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yet Talebi" sheetId="1" state="visible" r:id="rId1"/>
    <sheet name="Varsayimlar" sheetId="2" state="visible" r:id="rId2"/>
    <sheet name="Nasil Doldurulur" sheetId="3" state="visible" r:id="rId3"/>
  </sheets>
  <definedNames>
    <definedName name="_xlnm._FilterDatabase" localSheetId="0" hidden="1">'Maliyet Talebi'!$A$1:$T$94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sz val="9"/>
    </font>
    <font>
      <name val="Arial"/>
      <b val="1"/>
      <sz val="13"/>
    </font>
    <font>
      <name val="Arial"/>
      <b val="1"/>
      <sz val="10"/>
    </font>
    <font>
      <name val="Arial"/>
      <color rgb="000000FF"/>
      <sz val="10"/>
    </font>
    <font>
      <name val="Arial"/>
      <i val="1"/>
      <sz val="10"/>
    </font>
    <font>
      <name val="Arial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2" fontId="2" fillId="4" borderId="1" pivotButton="0" quotePrefix="0" xfId="0"/>
    <xf numFmtId="164" fontId="2" fillId="4" borderId="1" pivotButton="0" quotePrefix="0" xfId="0"/>
    <xf numFmtId="0" fontId="2" fillId="4" borderId="1" pivotButton="0" quotePrefix="0" xfId="0"/>
    <xf numFmtId="164" fontId="2" fillId="0" borderId="1" pivotButton="0" quotePrefix="0" xfId="0"/>
    <xf numFmtId="2" fontId="2" fillId="5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center" wrapText="1"/>
    </xf>
    <xf numFmtId="0" fontId="2" fillId="0" borderId="0" pivotButton="0" quotePrefix="0" xfId="0"/>
    <xf numFmtId="165" fontId="7" fillId="4" borderId="0" pivotButton="0" quotePrefix="0" xfId="0"/>
    <xf numFmtId="166" fontId="7" fillId="4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center" wrapText="1"/>
    </xf>
    <xf numFmtId="0" fontId="9" fillId="0" borderId="0" pivotButton="0" quotePrefix="0" xfId="0"/>
    <xf numFmtId="0" fontId="1" fillId="2" borderId="0" applyAlignment="1" pivotButton="0" quotePrefix="0" xfId="0">
      <alignment horizontal="center" wrapText="1"/>
    </xf>
    <xf numFmtId="0" fontId="7" fillId="4" borderId="1" pivotButton="0" quotePrefix="0" xfId="0"/>
    <xf numFmtId="2" fontId="7" fillId="4" borderId="1" pivotButton="0" quotePrefix="0" xfId="0"/>
    <xf numFmtId="164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9" customWidth="1" min="4" max="4"/>
    <col width="9" customWidth="1" min="5" max="5"/>
    <col width="12" customWidth="1" min="6" max="6"/>
    <col width="10" customWidth="1" min="7" max="7"/>
    <col width="11" customWidth="1" min="8" max="8"/>
    <col width="12" customWidth="1" min="9" max="9"/>
    <col width="11" customWidth="1" min="10" max="10"/>
    <col width="20" customWidth="1" min="11" max="11"/>
    <col width="12" customWidth="1" min="12" max="12"/>
    <col width="12" customWidth="1" min="13" max="13"/>
    <col width="16" customWidth="1" min="14" max="14"/>
    <col width="16" customWidth="1" min="15" max="15"/>
    <col width="30" customWidth="1" min="16" max="16"/>
    <col width="17" customWidth="1" min="17" max="17"/>
    <col width="18" customWidth="1" min="18" max="18"/>
    <col width="19" customWidth="1" min="19" max="19"/>
    <col width="46" customWidth="1" min="20" max="20"/>
  </cols>
  <sheetData>
    <row r="1" ht="34" customHeight="1">
      <c r="A1" s="1" t="inlineStr">
        <is>
          <t>#</t>
        </is>
      </c>
      <c r="B1" s="1" t="inlineStr">
        <is>
          <t>Etsy ID</t>
        </is>
      </c>
      <c r="C1" s="1" t="inlineStr">
        <is>
          <t>Urun / Product</t>
        </is>
      </c>
      <c r="D1" s="1" t="inlineStr">
        <is>
          <t>Durum</t>
        </is>
      </c>
      <c r="E1" s="1" t="inlineStr">
        <is>
          <t>Form</t>
        </is>
      </c>
      <c r="F1" s="1" t="inlineStr">
        <is>
          <t>Genislik mm
(cikarim)</t>
        </is>
      </c>
      <c r="G1" s="1" t="inlineStr">
        <is>
          <t>Shank mm</t>
        </is>
      </c>
      <c r="H1" s="1" t="inlineStr">
        <is>
          <t>Kalinlik mm</t>
        </is>
      </c>
      <c r="I1" s="1" t="inlineStr">
        <is>
          <t>Basliktaki mm</t>
        </is>
      </c>
      <c r="J1" s="1" t="inlineStr">
        <is>
          <t>KONTROL</t>
        </is>
      </c>
      <c r="K1" s="1" t="inlineStr">
        <is>
          <t>Tas (aciklamadan)</t>
        </is>
      </c>
      <c r="L1" s="2" t="inlineStr">
        <is>
          <t>GRAM 14K
(US 7)</t>
        </is>
      </c>
      <c r="M1" s="2" t="inlineStr">
        <is>
          <t>ISCILIK USD</t>
        </is>
      </c>
      <c r="N1" s="2" t="inlineStr">
        <is>
          <t>TAS+MIHLAMA USD</t>
        </is>
      </c>
      <c r="O1" s="2" t="inlineStr">
        <is>
          <t>DOKUM+DIGER USD</t>
        </is>
      </c>
      <c r="P1" s="2" t="inlineStr">
        <is>
          <t>URETICI NOTU</t>
        </is>
      </c>
      <c r="Q1" s="1" t="inlineStr">
        <is>
          <t>Metal maliyeti USD</t>
        </is>
      </c>
      <c r="R1" s="1" t="inlineStr">
        <is>
          <t>TOPLAM MALIYET USD</t>
        </is>
      </c>
      <c r="S1" s="1" t="inlineStr">
        <is>
          <t>Bizim gram tahminimiz</t>
        </is>
      </c>
      <c r="T1" s="1" t="inlineStr">
        <is>
          <t>Etsy link</t>
        </is>
      </c>
    </row>
    <row r="2">
      <c r="A2" s="3" t="n">
        <v>1</v>
      </c>
      <c r="B2" s="3" t="n">
        <v>4556227760</v>
      </c>
      <c r="C2" s="4" t="inlineStr">
        <is>
          <t>11mm Dome Band Ring | Chunky Minimalist Statement Ring, Stacking Jewelry</t>
        </is>
      </c>
      <c r="D2" s="3" t="inlineStr">
        <is>
          <t>Pasif</t>
        </is>
      </c>
      <c r="E2" s="3" t="inlineStr">
        <is>
          <t>dome</t>
        </is>
      </c>
      <c r="F2" s="3" t="n">
        <v>11</v>
      </c>
      <c r="G2" s="3" t="n">
        <v>3.5</v>
      </c>
      <c r="H2" s="3" t="n">
        <v>1.5</v>
      </c>
      <c r="I2" s="3" t="n">
        <v>11</v>
      </c>
      <c r="J2" s="5" t="inlineStr"/>
      <c r="K2" s="5" t="inlineStr">
        <is>
          <t>yok / none</t>
        </is>
      </c>
      <c r="L2" s="6" t="n"/>
      <c r="M2" s="7" t="n"/>
      <c r="N2" s="7" t="n"/>
      <c r="O2" s="7" t="n"/>
      <c r="P2" s="8" t="n"/>
      <c r="Q2" s="9">
        <f>IF($L2="","",$L2*Varsayimlar!$B$5*(1+Varsayimlar!$B$7))</f>
        <v/>
      </c>
      <c r="R2" s="9">
        <f>IF($L2="","",$Q2+N($M2)+N($N2)+N($O2))</f>
        <v/>
      </c>
      <c r="S2" s="10" t="n">
        <v>8.67</v>
      </c>
      <c r="T2" s="3" t="inlineStr">
        <is>
          <t>https://www.etsy.com/listing/4556227760/dome-band-ring-wide-dome-ring-chunky</t>
        </is>
      </c>
    </row>
    <row r="3">
      <c r="A3" s="3" t="n">
        <v>2</v>
      </c>
      <c r="B3" s="3" t="n">
        <v>4543752254</v>
      </c>
      <c r="C3" s="4" t="inlineStr">
        <is>
          <t>1mm Thin Stacking Ring | Minimalist Dainty Band | Simple Everyday Gold Silver Jewelry</t>
        </is>
      </c>
      <c r="D3" s="3" t="inlineStr">
        <is>
          <t>Pasif</t>
        </is>
      </c>
      <c r="E3" s="3" t="inlineStr">
        <is>
          <t>band</t>
        </is>
      </c>
      <c r="F3" s="3" t="n">
        <v>1</v>
      </c>
      <c r="G3" s="3" t="n"/>
      <c r="H3" s="3" t="n">
        <v>1.5</v>
      </c>
      <c r="I3" s="3" t="n">
        <v>1</v>
      </c>
      <c r="J3" s="5" t="inlineStr"/>
      <c r="K3" s="5" t="inlineStr">
        <is>
          <t>tekil/aksan tas</t>
        </is>
      </c>
      <c r="L3" s="6" t="n"/>
      <c r="M3" s="7" t="n"/>
      <c r="N3" s="7" t="n"/>
      <c r="O3" s="7" t="n"/>
      <c r="P3" s="8" t="n"/>
      <c r="Q3" s="9">
        <f>IF($L3="","",$L3*Varsayimlar!$B$5*(1+Varsayimlar!$B$7))</f>
        <v/>
      </c>
      <c r="R3" s="9">
        <f>IF($L3="","",$Q3+N($M3)+N($N3)+N($O3))</f>
        <v/>
      </c>
      <c r="S3" s="10" t="n">
        <v>1.2</v>
      </c>
      <c r="T3" s="3" t="inlineStr">
        <is>
          <t>https://www.etsy.com/listing/4543752254/1mm-thin-stacking-ring-minimalist-dainty</t>
        </is>
      </c>
    </row>
    <row r="4">
      <c r="A4" s="3" t="n">
        <v>3</v>
      </c>
      <c r="B4" s="3" t="n">
        <v>4546852268</v>
      </c>
      <c r="C4" s="4" t="inlineStr">
        <is>
          <t>2mm Smooth Gold Band Ring | Minimalist Wedding, Stacking, Promise Jewelry</t>
        </is>
      </c>
      <c r="D4" s="3" t="inlineStr">
        <is>
          <t>Pasif</t>
        </is>
      </c>
      <c r="E4" s="3" t="inlineStr">
        <is>
          <t>band</t>
        </is>
      </c>
      <c r="F4" s="3" t="n">
        <v>2</v>
      </c>
      <c r="G4" s="3" t="n"/>
      <c r="H4" s="3" t="n">
        <v>1.5</v>
      </c>
      <c r="I4" s="3" t="n">
        <v>2</v>
      </c>
      <c r="J4" s="5" t="inlineStr"/>
      <c r="K4" s="5" t="inlineStr">
        <is>
          <t>tam eternity</t>
        </is>
      </c>
      <c r="L4" s="6" t="n"/>
      <c r="M4" s="7" t="n"/>
      <c r="N4" s="7" t="n"/>
      <c r="O4" s="7" t="n"/>
      <c r="P4" s="8" t="n"/>
      <c r="Q4" s="9">
        <f>IF($L4="","",$L4*Varsayimlar!$B$5*(1+Varsayimlar!$B$7))</f>
        <v/>
      </c>
      <c r="R4" s="9">
        <f>IF($L4="","",$Q4+N($M4)+N($N4)+N($O4))</f>
        <v/>
      </c>
      <c r="S4" s="10" t="n">
        <v>2.39</v>
      </c>
      <c r="T4" s="3" t="inlineStr">
        <is>
          <t>https://www.etsy.com/listing/4546852268/2mm-smooth-gold-band-ring-minimalist</t>
        </is>
      </c>
    </row>
    <row r="5">
      <c r="A5" s="3" t="n">
        <v>4</v>
      </c>
      <c r="B5" s="3" t="n">
        <v>4549686009</v>
      </c>
      <c r="C5" s="4" t="inlineStr">
        <is>
          <t>4mm Curved Wedding Band Ring | Minimalist Stacking Bridal Ring</t>
        </is>
      </c>
      <c r="D5" s="3" t="inlineStr">
        <is>
          <t>Pasif</t>
        </is>
      </c>
      <c r="E5" s="3" t="inlineStr">
        <is>
          <t>band</t>
        </is>
      </c>
      <c r="F5" s="3" t="n">
        <v>4</v>
      </c>
      <c r="G5" s="3" t="n"/>
      <c r="H5" s="3" t="n">
        <v>1.5</v>
      </c>
      <c r="I5" s="3" t="n">
        <v>4</v>
      </c>
      <c r="J5" s="5" t="inlineStr"/>
      <c r="K5" s="5" t="inlineStr">
        <is>
          <t>yok / none</t>
        </is>
      </c>
      <c r="L5" s="6" t="n"/>
      <c r="M5" s="7" t="n"/>
      <c r="N5" s="7" t="n"/>
      <c r="O5" s="7" t="n"/>
      <c r="P5" s="8" t="n"/>
      <c r="Q5" s="9">
        <f>IF($L5="","",$L5*Varsayimlar!$B$5*(1+Varsayimlar!$B$7))</f>
        <v/>
      </c>
      <c r="R5" s="9">
        <f>IF($L5="","",$Q5+N($M5)+N($N5)+N($O5))</f>
        <v/>
      </c>
      <c r="S5" s="10" t="n">
        <v>4.79</v>
      </c>
      <c r="T5" s="3" t="inlineStr">
        <is>
          <t>https://www.etsy.com/listing/4549686009/4mm-curved-wedding-band-ring-minimalist</t>
        </is>
      </c>
    </row>
    <row r="6">
      <c r="A6" s="3" t="n">
        <v>5</v>
      </c>
      <c r="B6" s="3" t="n">
        <v>4543147022</v>
      </c>
      <c r="C6" s="4" t="inlineStr">
        <is>
          <t>4mm Smooth Band Ring | Minimalist Wedding Stacking Ring</t>
        </is>
      </c>
      <c r="D6" s="3" t="inlineStr">
        <is>
          <t>Pasif</t>
        </is>
      </c>
      <c r="E6" s="3" t="inlineStr">
        <is>
          <t>band</t>
        </is>
      </c>
      <c r="F6" s="3" t="n">
        <v>4</v>
      </c>
      <c r="G6" s="3" t="n"/>
      <c r="H6" s="3" t="n">
        <v>1.5</v>
      </c>
      <c r="I6" s="3" t="n">
        <v>4</v>
      </c>
      <c r="J6" s="5" t="inlineStr"/>
      <c r="K6" s="5" t="inlineStr">
        <is>
          <t>yok / none</t>
        </is>
      </c>
      <c r="L6" s="6" t="n"/>
      <c r="M6" s="7" t="n"/>
      <c r="N6" s="7" t="n"/>
      <c r="O6" s="7" t="n"/>
      <c r="P6" s="8" t="n"/>
      <c r="Q6" s="9">
        <f>IF($L6="","",$L6*Varsayimlar!$B$5*(1+Varsayimlar!$B$7))</f>
        <v/>
      </c>
      <c r="R6" s="9">
        <f>IF($L6="","",$Q6+N($M6)+N($N6)+N($O6))</f>
        <v/>
      </c>
      <c r="S6" s="10" t="n">
        <v>4.79</v>
      </c>
      <c r="T6" s="3" t="inlineStr">
        <is>
          <t>https://www.etsy.com/listing/4543147022/4mm-smooth-band-ring-minimalist-wedding</t>
        </is>
      </c>
    </row>
    <row r="7">
      <c r="A7" s="3" t="n">
        <v>6</v>
      </c>
      <c r="B7" s="3" t="n">
        <v>4547299090</v>
      </c>
      <c r="C7" s="4" t="inlineStr">
        <is>
          <t>4mm Summit Band Ring | Minimalist Wedding, Stacking, Promise Band | Modern Comfort Fit</t>
        </is>
      </c>
      <c r="D7" s="3" t="inlineStr">
        <is>
          <t>Pasif</t>
        </is>
      </c>
      <c r="E7" s="3" t="inlineStr">
        <is>
          <t>band</t>
        </is>
      </c>
      <c r="F7" s="3" t="n">
        <v>4</v>
      </c>
      <c r="G7" s="3" t="n">
        <v>4</v>
      </c>
      <c r="H7" s="3" t="n">
        <v>1.5</v>
      </c>
      <c r="I7" s="3" t="n">
        <v>4</v>
      </c>
      <c r="J7" s="5" t="inlineStr"/>
      <c r="K7" s="5" t="inlineStr">
        <is>
          <t>yok / none</t>
        </is>
      </c>
      <c r="L7" s="6" t="n"/>
      <c r="M7" s="7" t="n"/>
      <c r="N7" s="7" t="n"/>
      <c r="O7" s="7" t="n"/>
      <c r="P7" s="8" t="n"/>
      <c r="Q7" s="9">
        <f>IF($L7="","",$L7*Varsayimlar!$B$5*(1+Varsayimlar!$B$7))</f>
        <v/>
      </c>
      <c r="R7" s="9">
        <f>IF($L7="","",$Q7+N($M7)+N($N7)+N($O7))</f>
        <v/>
      </c>
      <c r="S7" s="10" t="n">
        <v>4.79</v>
      </c>
      <c r="T7" s="3" t="inlineStr">
        <is>
          <t>https://www.etsy.com/listing/4547299090/4mm-summit-band-ring-minimalist-wedding</t>
        </is>
      </c>
    </row>
    <row r="8">
      <c r="A8" s="3" t="n">
        <v>7</v>
      </c>
      <c r="B8" s="3" t="n">
        <v>4543746594</v>
      </c>
      <c r="C8" s="4" t="inlineStr">
        <is>
          <t>6mm Curved Band Ring | Minimalist Gold Silver Modern Stacking Jewelry</t>
        </is>
      </c>
      <c r="D8" s="3" t="inlineStr">
        <is>
          <t>Pasif</t>
        </is>
      </c>
      <c r="E8" s="3" t="inlineStr">
        <is>
          <t>band</t>
        </is>
      </c>
      <c r="F8" s="3" t="n">
        <v>6</v>
      </c>
      <c r="G8" s="3" t="n"/>
      <c r="H8" s="3" t="n">
        <v>1.5</v>
      </c>
      <c r="I8" s="3" t="n">
        <v>6</v>
      </c>
      <c r="J8" s="5" t="inlineStr"/>
      <c r="K8" s="5" t="inlineStr">
        <is>
          <t>yok / none</t>
        </is>
      </c>
      <c r="L8" s="6" t="n"/>
      <c r="M8" s="7" t="n"/>
      <c r="N8" s="7" t="n"/>
      <c r="O8" s="7" t="n"/>
      <c r="P8" s="8" t="n"/>
      <c r="Q8" s="9">
        <f>IF($L8="","",$L8*Varsayimlar!$B$5*(1+Varsayimlar!$B$7))</f>
        <v/>
      </c>
      <c r="R8" s="9">
        <f>IF($L8="","",$Q8+N($M8)+N($N8)+N($O8))</f>
        <v/>
      </c>
      <c r="S8" s="10" t="n">
        <v>7.18</v>
      </c>
      <c r="T8" s="3" t="inlineStr">
        <is>
          <t>https://www.etsy.com/listing/4543746594/6mm-curved-band-ring-minimalist-gold</t>
        </is>
      </c>
    </row>
    <row r="9">
      <c r="A9" s="3" t="n">
        <v>8</v>
      </c>
      <c r="B9" s="3" t="n">
        <v>4543233648</v>
      </c>
      <c r="C9" s="4" t="inlineStr">
        <is>
          <t>6mm Smooth Wedding Band | Minimalist Comfort Fit Ring, Stackable Gift</t>
        </is>
      </c>
      <c r="D9" s="3" t="inlineStr">
        <is>
          <t>Pasif</t>
        </is>
      </c>
      <c r="E9" s="3" t="inlineStr">
        <is>
          <t>band</t>
        </is>
      </c>
      <c r="F9" s="3" t="n">
        <v>6</v>
      </c>
      <c r="G9" s="3" t="n"/>
      <c r="H9" s="3" t="n">
        <v>1.5</v>
      </c>
      <c r="I9" s="3" t="n">
        <v>6</v>
      </c>
      <c r="J9" s="5" t="inlineStr"/>
      <c r="K9" s="5" t="inlineStr">
        <is>
          <t>yok / none</t>
        </is>
      </c>
      <c r="L9" s="6" t="n"/>
      <c r="M9" s="7" t="n"/>
      <c r="N9" s="7" t="n"/>
      <c r="O9" s="7" t="n"/>
      <c r="P9" s="8" t="n"/>
      <c r="Q9" s="9">
        <f>IF($L9="","",$L9*Varsayimlar!$B$5*(1+Varsayimlar!$B$7))</f>
        <v/>
      </c>
      <c r="R9" s="9">
        <f>IF($L9="","",$Q9+N($M9)+N($N9)+N($O9))</f>
        <v/>
      </c>
      <c r="S9" s="10" t="n">
        <v>7.18</v>
      </c>
      <c r="T9" s="3" t="inlineStr">
        <is>
          <t>https://www.etsy.com/listing/4543233648/6mm-smooth-wedding-band-minimalist</t>
        </is>
      </c>
    </row>
    <row r="10">
      <c r="A10" s="3" t="n">
        <v>9</v>
      </c>
      <c r="B10" s="3" t="n">
        <v>4558001828</v>
      </c>
      <c r="C10" s="4" t="inlineStr">
        <is>
          <t>7mm Pave Diamond Star Open Ring | Celestial Minimalist Jewelry</t>
        </is>
      </c>
      <c r="D10" s="3" t="inlineStr">
        <is>
          <t>Pasif</t>
        </is>
      </c>
      <c r="E10" s="3" t="inlineStr">
        <is>
          <t>band</t>
        </is>
      </c>
      <c r="F10" s="3" t="n">
        <v>7</v>
      </c>
      <c r="G10" s="3" t="n"/>
      <c r="H10" s="3" t="n">
        <v>1.5</v>
      </c>
      <c r="I10" s="3" t="n">
        <v>7</v>
      </c>
      <c r="J10" s="5" t="inlineStr"/>
      <c r="K10" s="5" t="inlineStr">
        <is>
          <t>pave</t>
        </is>
      </c>
      <c r="L10" s="6" t="n"/>
      <c r="M10" s="7" t="n"/>
      <c r="N10" s="7" t="n"/>
      <c r="O10" s="7" t="n"/>
      <c r="P10" s="8" t="n"/>
      <c r="Q10" s="9">
        <f>IF($L10="","",$L10*Varsayimlar!$B$5*(1+Varsayimlar!$B$7))</f>
        <v/>
      </c>
      <c r="R10" s="9">
        <f>IF($L10="","",$Q10+N($M10)+N($N10)+N($O10))</f>
        <v/>
      </c>
      <c r="S10" s="10" t="n">
        <v>8.369999999999999</v>
      </c>
      <c r="T10" s="3" t="inlineStr">
        <is>
          <t>https://www.etsy.com/listing/4558001828/7mm-pave-diamond-star-open-ring-o</t>
        </is>
      </c>
    </row>
    <row r="11">
      <c r="A11" s="3" t="n">
        <v>10</v>
      </c>
      <c r="B11" s="3" t="n">
        <v>4552138588</v>
      </c>
      <c r="C11" s="4" t="inlineStr">
        <is>
          <t>Aurora Lab Grown Sapphire Eternity Ring | Blue Sapphire Band, 3.10mm Width</t>
        </is>
      </c>
      <c r="D11" s="3" t="inlineStr">
        <is>
          <t>Pasif</t>
        </is>
      </c>
      <c r="E11" s="3" t="inlineStr">
        <is>
          <t>band</t>
        </is>
      </c>
      <c r="F11" s="3" t="n">
        <v>3.1</v>
      </c>
      <c r="G11" s="3" t="n"/>
      <c r="H11" s="3" t="n">
        <v>1.5</v>
      </c>
      <c r="I11" s="3" t="n">
        <v>3.1</v>
      </c>
      <c r="J11" s="5" t="inlineStr"/>
      <c r="K11" s="5" t="inlineStr">
        <is>
          <t>tam eternity</t>
        </is>
      </c>
      <c r="L11" s="6" t="n"/>
      <c r="M11" s="7" t="n"/>
      <c r="N11" s="7" t="n"/>
      <c r="O11" s="7" t="n"/>
      <c r="P11" s="8" t="n"/>
      <c r="Q11" s="9">
        <f>IF($L11="","",$L11*Varsayimlar!$B$5*(1+Varsayimlar!$B$7))</f>
        <v/>
      </c>
      <c r="R11" s="9">
        <f>IF($L11="","",$Q11+N($M11)+N($N11)+N($O11))</f>
        <v/>
      </c>
      <c r="S11" s="10" t="n">
        <v>3.71</v>
      </c>
      <c r="T11" s="3" t="inlineStr">
        <is>
          <t>https://www.etsy.com/listing/4552138588/aurora-lab-grown-sapphire-eternity-ring</t>
        </is>
      </c>
    </row>
    <row r="12">
      <c r="A12" s="3" t="n">
        <v>11</v>
      </c>
      <c r="B12" s="3" t="n">
        <v>4554955252</v>
      </c>
      <c r="C12" s="4" t="inlineStr">
        <is>
          <t>Aurora Oval Eternity Ring | Minimalist Diamond Band, Stackable Wedding Ring</t>
        </is>
      </c>
      <c r="D12" s="3" t="inlineStr">
        <is>
          <t>Pasif</t>
        </is>
      </c>
      <c r="E12" s="3" t="inlineStr">
        <is>
          <t>band</t>
        </is>
      </c>
      <c r="F12" s="3" t="n">
        <v>2.5</v>
      </c>
      <c r="G12" s="3" t="n">
        <v>2.5</v>
      </c>
      <c r="H12" s="3" t="n">
        <v>1.5</v>
      </c>
      <c r="I12" s="3" t="n"/>
      <c r="J12" s="5" t="inlineStr"/>
      <c r="K12" s="5" t="inlineStr">
        <is>
          <t>tam eternity</t>
        </is>
      </c>
      <c r="L12" s="6" t="n"/>
      <c r="M12" s="7" t="n"/>
      <c r="N12" s="7" t="n"/>
      <c r="O12" s="7" t="n"/>
      <c r="P12" s="8" t="n"/>
      <c r="Q12" s="9">
        <f>IF($L12="","",$L12*Varsayimlar!$B$5*(1+Varsayimlar!$B$7))</f>
        <v/>
      </c>
      <c r="R12" s="9">
        <f>IF($L12="","",$Q12+N($M12)+N($N12)+N($O12))</f>
        <v/>
      </c>
      <c r="S12" s="10" t="n">
        <v>2.99</v>
      </c>
      <c r="T12" s="3" t="inlineStr">
        <is>
          <t>https://www.etsy.com/listing/4554955252/oval-eternity-ring-aurora-diamond-ring</t>
        </is>
      </c>
    </row>
    <row r="13">
      <c r="A13" s="3" t="n">
        <v>12</v>
      </c>
      <c r="B13" s="3" t="n">
        <v>4558666025</v>
      </c>
      <c r="C13" s="4" t="inlineStr">
        <is>
          <t>Baguette Diamond Eternity Ring | Thin Stackable Wedding Band | Minimalist Bridal Jewelry</t>
        </is>
      </c>
      <c r="D13" s="3" t="inlineStr">
        <is>
          <t>Pasif</t>
        </is>
      </c>
      <c r="E13" s="3" t="inlineStr">
        <is>
          <t>band</t>
        </is>
      </c>
      <c r="F13" s="3" t="n">
        <v>1.95</v>
      </c>
      <c r="G13" s="3" t="n"/>
      <c r="H13" s="3" t="n">
        <v>1.5</v>
      </c>
      <c r="I13" s="3" t="n"/>
      <c r="J13" s="5" t="inlineStr"/>
      <c r="K13" s="5" t="inlineStr">
        <is>
          <t>tam eternity (baget)</t>
        </is>
      </c>
      <c r="L13" s="6" t="n"/>
      <c r="M13" s="7" t="n"/>
      <c r="N13" s="7" t="n"/>
      <c r="O13" s="7" t="n"/>
      <c r="P13" s="8" t="n"/>
      <c r="Q13" s="9">
        <f>IF($L13="","",$L13*Varsayimlar!$B$5*(1+Varsayimlar!$B$7))</f>
        <v/>
      </c>
      <c r="R13" s="9">
        <f>IF($L13="","",$Q13+N($M13)+N($N13)+N($O13))</f>
        <v/>
      </c>
      <c r="S13" s="10" t="n">
        <v>2.33</v>
      </c>
      <c r="T13" s="3" t="inlineStr">
        <is>
          <t>https://www.etsy.com/listing/4558666025/baguette-eternity-ring-diamond-wedding</t>
        </is>
      </c>
    </row>
    <row r="14">
      <c r="A14" s="3" t="n">
        <v>13</v>
      </c>
      <c r="B14" s="3" t="n">
        <v>4559889337</v>
      </c>
      <c r="C14" s="4" t="inlineStr">
        <is>
          <t>Baguette Diamond Half Eternity Ring | 1.45mm Slim Stacking Wedding Band</t>
        </is>
      </c>
      <c r="D14" s="3" t="inlineStr">
        <is>
          <t>Pasif</t>
        </is>
      </c>
      <c r="E14" s="3" t="inlineStr">
        <is>
          <t>band</t>
        </is>
      </c>
      <c r="F14" s="3" t="n">
        <v>1.45</v>
      </c>
      <c r="G14" s="3" t="n"/>
      <c r="H14" s="3" t="n">
        <v>1.5</v>
      </c>
      <c r="I14" s="3" t="n">
        <v>1.45</v>
      </c>
      <c r="J14" s="5" t="inlineStr"/>
      <c r="K14" s="5" t="inlineStr">
        <is>
          <t>yarim eternity (baget)</t>
        </is>
      </c>
      <c r="L14" s="6" t="n"/>
      <c r="M14" s="7" t="n"/>
      <c r="N14" s="7" t="n"/>
      <c r="O14" s="7" t="n"/>
      <c r="P14" s="8" t="n"/>
      <c r="Q14" s="9">
        <f>IF($L14="","",$L14*Varsayimlar!$B$5*(1+Varsayimlar!$B$7))</f>
        <v/>
      </c>
      <c r="R14" s="9">
        <f>IF($L14="","",$Q14+N($M14)+N($N14)+N($O14))</f>
        <v/>
      </c>
      <c r="S14" s="10" t="n">
        <v>1.73</v>
      </c>
      <c r="T14" s="3" t="inlineStr">
        <is>
          <t>https://www.etsy.com/listing/4559889337/baguette-diamond-half-eternity-ring</t>
        </is>
      </c>
    </row>
    <row r="15">
      <c r="A15" s="3" t="n">
        <v>14</v>
      </c>
      <c r="B15" s="3" t="n">
        <v>4559901602</v>
      </c>
      <c r="C15" s="4" t="inlineStr">
        <is>
          <t>Baguette Emerald Half Eternity Ring | Minimalist Stackable Band (2.35mm Top)</t>
        </is>
      </c>
      <c r="D15" s="3" t="inlineStr">
        <is>
          <t>Pasif</t>
        </is>
      </c>
      <c r="E15" s="3" t="inlineStr">
        <is>
          <t>band</t>
        </is>
      </c>
      <c r="F15" s="3" t="n">
        <v>2.35</v>
      </c>
      <c r="G15" s="3" t="n">
        <v>1.15</v>
      </c>
      <c r="H15" s="3" t="n">
        <v>1.5</v>
      </c>
      <c r="I15" s="3" t="n">
        <v>2.35</v>
      </c>
      <c r="J15" s="5" t="inlineStr"/>
      <c r="K15" s="5" t="inlineStr">
        <is>
          <t>yarim eternity (baget)</t>
        </is>
      </c>
      <c r="L15" s="6" t="n"/>
      <c r="M15" s="7" t="n"/>
      <c r="N15" s="7" t="n"/>
      <c r="O15" s="7" t="n"/>
      <c r="P15" s="8" t="n"/>
      <c r="Q15" s="9">
        <f>IF($L15="","",$L15*Varsayimlar!$B$5*(1+Varsayimlar!$B$7))</f>
        <v/>
      </c>
      <c r="R15" s="9">
        <f>IF($L15="","",$Q15+N($M15)+N($N15)+N($O15))</f>
        <v/>
      </c>
      <c r="S15" s="10" t="n">
        <v>2.09</v>
      </c>
      <c r="T15" s="3" t="inlineStr">
        <is>
          <t>https://www.etsy.com/listing/4559901602/emerald-baguette-half-eternity-ring</t>
        </is>
      </c>
    </row>
    <row r="16">
      <c r="A16" s="3" t="n">
        <v>15</v>
      </c>
      <c r="B16" s="3" t="n">
        <v>4559862879</v>
      </c>
      <c r="C16" s="4" t="inlineStr">
        <is>
          <t>Baguette Emerald Open Ring | Minimalist Gold Gemstone Stackable Band</t>
        </is>
      </c>
      <c r="D16" s="3" t="inlineStr">
        <is>
          <t>Pasif</t>
        </is>
      </c>
      <c r="E16" s="3" t="inlineStr">
        <is>
          <t>band</t>
        </is>
      </c>
      <c r="F16" s="3" t="n">
        <v>1.1</v>
      </c>
      <c r="G16" s="3" t="n">
        <v>1.1</v>
      </c>
      <c r="H16" s="3" t="n">
        <v>1.5</v>
      </c>
      <c r="I16" s="3" t="n"/>
      <c r="J16" s="5" t="inlineStr"/>
      <c r="K16" s="5" t="inlineStr">
        <is>
          <t>baget</t>
        </is>
      </c>
      <c r="L16" s="6" t="n"/>
      <c r="M16" s="7" t="n"/>
      <c r="N16" s="7" t="n"/>
      <c r="O16" s="7" t="n"/>
      <c r="P16" s="8" t="n"/>
      <c r="Q16" s="9">
        <f>IF($L16="","",$L16*Varsayimlar!$B$5*(1+Varsayimlar!$B$7))</f>
        <v/>
      </c>
      <c r="R16" s="9">
        <f>IF($L16="","",$Q16+N($M16)+N($N16)+N($O16))</f>
        <v/>
      </c>
      <c r="S16" s="10" t="n">
        <v>1.32</v>
      </c>
      <c r="T16" s="3" t="inlineStr">
        <is>
          <t>https://www.etsy.com/listing/4559862879/baguette-emerald-open-ring-emerald-green</t>
        </is>
      </c>
    </row>
    <row r="17">
      <c r="A17" s="3" t="n">
        <v>16</v>
      </c>
      <c r="B17" s="3" t="n">
        <v>4553815586</v>
      </c>
      <c r="C17" s="4" t="inlineStr">
        <is>
          <t>Baguette Ring | Minimalist Stackable Diamond Band | Everyday Wedding Ring</t>
        </is>
      </c>
      <c r="D17" s="3" t="inlineStr">
        <is>
          <t>Pasif</t>
        </is>
      </c>
      <c r="E17" s="3" t="inlineStr">
        <is>
          <t>band</t>
        </is>
      </c>
      <c r="F17" s="3" t="n">
        <v>1</v>
      </c>
      <c r="G17" s="3" t="n">
        <v>1</v>
      </c>
      <c r="H17" s="3" t="n">
        <v>1.5</v>
      </c>
      <c r="I17" s="3" t="n">
        <v>1</v>
      </c>
      <c r="J17" s="5" t="inlineStr"/>
      <c r="K17" s="5" t="inlineStr">
        <is>
          <t>baget</t>
        </is>
      </c>
      <c r="L17" s="6" t="n"/>
      <c r="M17" s="7" t="n"/>
      <c r="N17" s="7" t="n"/>
      <c r="O17" s="7" t="n"/>
      <c r="P17" s="8" t="n"/>
      <c r="Q17" s="9">
        <f>IF($L17="","",$L17*Varsayimlar!$B$5*(1+Varsayimlar!$B$7))</f>
        <v/>
      </c>
      <c r="R17" s="9">
        <f>IF($L17="","",$Q17+N($M17)+N($N17)+N($O17))</f>
        <v/>
      </c>
      <c r="S17" s="10" t="n">
        <v>1.2</v>
      </c>
      <c r="T17" s="3" t="inlineStr">
        <is>
          <t>https://www.etsy.com/listing/4553815586/baguette-ring-minimalist-stackable</t>
        </is>
      </c>
    </row>
    <row r="18">
      <c r="A18" s="3" t="n">
        <v>17</v>
      </c>
      <c r="B18" s="3" t="n">
        <v>4556230955</v>
      </c>
      <c r="C18" s="4" t="inlineStr">
        <is>
          <t>Bezel Emerald Half Eternity Band | Minimalist Stacking Ring | Anniversary Gift</t>
        </is>
      </c>
      <c r="D18" s="3" t="inlineStr">
        <is>
          <t>Pasif</t>
        </is>
      </c>
      <c r="E18" s="3" t="inlineStr">
        <is>
          <t>band</t>
        </is>
      </c>
      <c r="F18" s="3" t="n">
        <v>2.5</v>
      </c>
      <c r="G18" s="3" t="n">
        <v>1.3</v>
      </c>
      <c r="H18" s="3" t="n">
        <v>1.5</v>
      </c>
      <c r="I18" s="3" t="n"/>
      <c r="J18" s="5" t="inlineStr"/>
      <c r="K18" s="5" t="inlineStr">
        <is>
          <t>yarim eternity</t>
        </is>
      </c>
      <c r="L18" s="6" t="n"/>
      <c r="M18" s="7" t="n"/>
      <c r="N18" s="7" t="n"/>
      <c r="O18" s="7" t="n"/>
      <c r="P18" s="8" t="n"/>
      <c r="Q18" s="9">
        <f>IF($L18="","",$L18*Varsayimlar!$B$5*(1+Varsayimlar!$B$7))</f>
        <v/>
      </c>
      <c r="R18" s="9">
        <f>IF($L18="","",$Q18+N($M18)+N($N18)+N($O18))</f>
        <v/>
      </c>
      <c r="S18" s="10" t="n">
        <v>2.27</v>
      </c>
      <c r="T18" s="3" t="inlineStr">
        <is>
          <t>https://www.etsy.com/listing/4556230955/bezel-emerald-half-eternity-band-emerald</t>
        </is>
      </c>
    </row>
    <row r="19">
      <c r="A19" s="3" t="n">
        <v>18</v>
      </c>
      <c r="B19" s="3" t="n">
        <v>4556240933</v>
      </c>
      <c r="C19" s="4" t="inlineStr">
        <is>
          <t>Boa Gemstone Coil Ring | Serpent Inspired Wrap Statement Ring</t>
        </is>
      </c>
      <c r="D19" s="3" t="inlineStr">
        <is>
          <t>Pasif</t>
        </is>
      </c>
      <c r="E19" s="3" t="inlineStr">
        <is>
          <t>band</t>
        </is>
      </c>
      <c r="F19" s="3" t="n">
        <v>9.699999999999999</v>
      </c>
      <c r="G19" s="3" t="n"/>
      <c r="H19" s="3" t="n">
        <v>1.5</v>
      </c>
      <c r="I19" s="3" t="n"/>
      <c r="J19" s="5" t="inlineStr"/>
      <c r="K19" s="5" t="inlineStr">
        <is>
          <t>tekil/aksan tas</t>
        </is>
      </c>
      <c r="L19" s="6" t="n"/>
      <c r="M19" s="7" t="n"/>
      <c r="N19" s="7" t="n"/>
      <c r="O19" s="7" t="n"/>
      <c r="P19" s="8" t="n"/>
      <c r="Q19" s="9">
        <f>IF($L19="","",$L19*Varsayimlar!$B$5*(1+Varsayimlar!$B$7))</f>
        <v/>
      </c>
      <c r="R19" s="9">
        <f>IF($L19="","",$Q19+N($M19)+N($N19)+N($O19))</f>
        <v/>
      </c>
      <c r="S19" s="10" t="n">
        <v>11.6</v>
      </c>
      <c r="T19" s="3" t="inlineStr">
        <is>
          <t>https://www.etsy.com/listing/4556240933/boa-gemstone-coil-ring-serpent-inspired</t>
        </is>
      </c>
    </row>
    <row r="20">
      <c r="A20" s="3" t="n">
        <v>19</v>
      </c>
      <c r="B20" s="3" t="n">
        <v>4549692483</v>
      </c>
      <c r="C20" s="4" t="inlineStr">
        <is>
          <t>Bold Diamond Eternity Band | 4mm Wedding Ring, Minimalist Bridal Stacking Band</t>
        </is>
      </c>
      <c r="D20" s="3" t="inlineStr">
        <is>
          <t>Pasif</t>
        </is>
      </c>
      <c r="E20" s="3" t="inlineStr">
        <is>
          <t>band</t>
        </is>
      </c>
      <c r="F20" s="3" t="n">
        <v>4</v>
      </c>
      <c r="G20" s="3" t="n"/>
      <c r="H20" s="3" t="n">
        <v>1.5</v>
      </c>
      <c r="I20" s="3" t="n">
        <v>4</v>
      </c>
      <c r="J20" s="5" t="inlineStr"/>
      <c r="K20" s="5" t="inlineStr">
        <is>
          <t>tam eternity</t>
        </is>
      </c>
      <c r="L20" s="6" t="n"/>
      <c r="M20" s="7" t="n"/>
      <c r="N20" s="7" t="n"/>
      <c r="O20" s="7" t="n"/>
      <c r="P20" s="8" t="n"/>
      <c r="Q20" s="9">
        <f>IF($L20="","",$L20*Varsayimlar!$B$5*(1+Varsayimlar!$B$7))</f>
        <v/>
      </c>
      <c r="R20" s="9">
        <f>IF($L20="","",$Q20+N($M20)+N($N20)+N($O20))</f>
        <v/>
      </c>
      <c r="S20" s="10" t="n">
        <v>4.79</v>
      </c>
      <c r="T20" s="3" t="inlineStr">
        <is>
          <t>https://www.etsy.com/listing/4549692483/bold-diamond-eternity-band-4mm-wedding</t>
        </is>
      </c>
    </row>
    <row r="21">
      <c r="A21" s="3" t="n">
        <v>20</v>
      </c>
      <c r="B21" s="3" t="n">
        <v>4544917788</v>
      </c>
      <c r="C21" s="4" t="inlineStr">
        <is>
          <t>Bold Diamond Eternity Ring | 2.6mm Gold Wedding Band, Stacking Ring</t>
        </is>
      </c>
      <c r="D21" s="3" t="inlineStr">
        <is>
          <t>Pasif</t>
        </is>
      </c>
      <c r="E21" s="3" t="inlineStr">
        <is>
          <t>band</t>
        </is>
      </c>
      <c r="F21" s="3" t="n">
        <v>2.6</v>
      </c>
      <c r="G21" s="3" t="n"/>
      <c r="H21" s="3" t="n">
        <v>1.5</v>
      </c>
      <c r="I21" s="3" t="n">
        <v>2.6</v>
      </c>
      <c r="J21" s="5" t="inlineStr"/>
      <c r="K21" s="5" t="inlineStr">
        <is>
          <t>tam eternity</t>
        </is>
      </c>
      <c r="L21" s="6" t="n"/>
      <c r="M21" s="7" t="n"/>
      <c r="N21" s="7" t="n"/>
      <c r="O21" s="7" t="n"/>
      <c r="P21" s="8" t="n"/>
      <c r="Q21" s="9">
        <f>IF($L21="","",$L21*Varsayimlar!$B$5*(1+Varsayimlar!$B$7))</f>
        <v/>
      </c>
      <c r="R21" s="9">
        <f>IF($L21="","",$Q21+N($M21)+N($N21)+N($O21))</f>
        <v/>
      </c>
      <c r="S21" s="10" t="n">
        <v>3.11</v>
      </c>
      <c r="T21" s="3" t="inlineStr">
        <is>
          <t>https://www.etsy.com/listing/4544917788/bold-diamond-eternity-ring-26mm-gold</t>
        </is>
      </c>
    </row>
    <row r="22">
      <c r="A22" s="3" t="n">
        <v>21</v>
      </c>
      <c r="B22" s="3" t="n">
        <v>4552128868</v>
      </c>
      <c r="C22" s="4" t="inlineStr">
        <is>
          <t>Bold Dot Ring | Minimalist Stacking Band | Modern Everyday Jewelry (3.6mm Wide)</t>
        </is>
      </c>
      <c r="D22" s="3" t="inlineStr">
        <is>
          <t>Pasif</t>
        </is>
      </c>
      <c r="E22" s="3" t="inlineStr">
        <is>
          <t>band</t>
        </is>
      </c>
      <c r="F22" s="3" t="n">
        <v>3.6</v>
      </c>
      <c r="G22" s="3" t="n"/>
      <c r="H22" s="3" t="n">
        <v>1.6</v>
      </c>
      <c r="I22" s="3" t="n">
        <v>3.6</v>
      </c>
      <c r="J22" s="5" t="inlineStr"/>
      <c r="K22" s="5" t="inlineStr">
        <is>
          <t>yok / none</t>
        </is>
      </c>
      <c r="L22" s="6" t="n"/>
      <c r="M22" s="7" t="n"/>
      <c r="N22" s="7" t="n"/>
      <c r="O22" s="7" t="n"/>
      <c r="P22" s="8" t="n"/>
      <c r="Q22" s="9">
        <f>IF($L22="","",$L22*Varsayimlar!$B$5*(1+Varsayimlar!$B$7))</f>
        <v/>
      </c>
      <c r="R22" s="9">
        <f>IF($L22="","",$Q22+N($M22)+N($N22)+N($O22))</f>
        <v/>
      </c>
      <c r="S22" s="10" t="n">
        <v>4.59</v>
      </c>
      <c r="T22" s="3" t="inlineStr">
        <is>
          <t>https://www.etsy.com/listing/4552128868/bold-dot-ring-minimalist-stacking-band</t>
        </is>
      </c>
    </row>
    <row r="23">
      <c r="A23" s="3" t="n">
        <v>22</v>
      </c>
      <c r="B23" s="3" t="n">
        <v>4545510477</v>
      </c>
      <c r="C23" s="4" t="inlineStr">
        <is>
          <t>Bold Line Eternity Band Ring | 3mm Minimalist Stacking Wedding Anniversary Band</t>
        </is>
      </c>
      <c r="D23" s="3" t="inlineStr">
        <is>
          <t>Pasif</t>
        </is>
      </c>
      <c r="E23" s="3" t="inlineStr">
        <is>
          <t>band</t>
        </is>
      </c>
      <c r="F23" s="3" t="n">
        <v>3</v>
      </c>
      <c r="G23" s="3" t="n"/>
      <c r="H23" s="3" t="n">
        <v>1.5</v>
      </c>
      <c r="I23" s="3" t="n">
        <v>3</v>
      </c>
      <c r="J23" s="5" t="inlineStr"/>
      <c r="K23" s="5" t="inlineStr">
        <is>
          <t>tam eternity</t>
        </is>
      </c>
      <c r="L23" s="6" t="n"/>
      <c r="M23" s="7" t="n"/>
      <c r="N23" s="7" t="n"/>
      <c r="O23" s="7" t="n"/>
      <c r="P23" s="8" t="n"/>
      <c r="Q23" s="9">
        <f>IF($L23="","",$L23*Varsayimlar!$B$5*(1+Varsayimlar!$B$7))</f>
        <v/>
      </c>
      <c r="R23" s="9">
        <f>IF($L23="","",$Q23+N($M23)+N($N23)+N($O23))</f>
        <v/>
      </c>
      <c r="S23" s="10" t="n">
        <v>3.59</v>
      </c>
      <c r="T23" s="3" t="inlineStr">
        <is>
          <t>https://www.etsy.com/listing/4545510477/bold-line-eternity-band-ring-3mm</t>
        </is>
      </c>
    </row>
    <row r="24">
      <c r="A24" s="3" t="n">
        <v>23</v>
      </c>
      <c r="B24" s="3" t="n">
        <v>4550930017</v>
      </c>
      <c r="C24" s="4" t="inlineStr">
        <is>
          <t>Bold Puzzle Stacking Ring | 3mm Gold Band, Modern Minimalist Statement Jewelry</t>
        </is>
      </c>
      <c r="D24" s="3" t="inlineStr">
        <is>
          <t>Pasif</t>
        </is>
      </c>
      <c r="E24" s="3" t="inlineStr">
        <is>
          <t>band</t>
        </is>
      </c>
      <c r="F24" s="3" t="n">
        <v>3</v>
      </c>
      <c r="G24" s="3" t="n">
        <v>3</v>
      </c>
      <c r="H24" s="3" t="n">
        <v>1.5</v>
      </c>
      <c r="I24" s="3" t="n">
        <v>3</v>
      </c>
      <c r="J24" s="5" t="inlineStr"/>
      <c r="K24" s="5" t="inlineStr">
        <is>
          <t>yok / none</t>
        </is>
      </c>
      <c r="L24" s="6" t="n"/>
      <c r="M24" s="7" t="n"/>
      <c r="N24" s="7" t="n"/>
      <c r="O24" s="7" t="n"/>
      <c r="P24" s="8" t="n"/>
      <c r="Q24" s="9">
        <f>IF($L24="","",$L24*Varsayimlar!$B$5*(1+Varsayimlar!$B$7))</f>
        <v/>
      </c>
      <c r="R24" s="9">
        <f>IF($L24="","",$Q24+N($M24)+N($N24)+N($O24))</f>
        <v/>
      </c>
      <c r="S24" s="10" t="n">
        <v>3.59</v>
      </c>
      <c r="T24" s="3" t="inlineStr">
        <is>
          <t>https://www.etsy.com/listing/4550930017/bold-puzzle-stacking-ring-3mm-gold-band</t>
        </is>
      </c>
    </row>
    <row r="25">
      <c r="A25" s="3" t="n">
        <v>24</v>
      </c>
      <c r="B25" s="3" t="n">
        <v>4551550234</v>
      </c>
      <c r="C25" s="4" t="inlineStr">
        <is>
          <t>Bold Round Signet Ring | 13mm Top Width, 4mm Shank | Modern Statement Jewelry</t>
        </is>
      </c>
      <c r="D25" s="3" t="inlineStr">
        <is>
          <t>Pasif</t>
        </is>
      </c>
      <c r="E25" s="3" t="inlineStr">
        <is>
          <t>signet</t>
        </is>
      </c>
      <c r="F25" s="3" t="n">
        <v>13</v>
      </c>
      <c r="G25" s="3" t="n">
        <v>4</v>
      </c>
      <c r="H25" s="3" t="n">
        <v>1.5</v>
      </c>
      <c r="I25" s="3" t="n">
        <v>13</v>
      </c>
      <c r="J25" s="5" t="inlineStr"/>
      <c r="K25" s="5" t="inlineStr">
        <is>
          <t>yok / none</t>
        </is>
      </c>
      <c r="L25" s="6" t="n"/>
      <c r="M25" s="7" t="n"/>
      <c r="N25" s="7" t="n"/>
      <c r="O25" s="7" t="n"/>
      <c r="P25" s="8" t="n"/>
      <c r="Q25" s="9">
        <f>IF($L25="","",$L25*Varsayimlar!$B$5*(1+Varsayimlar!$B$7))</f>
        <v/>
      </c>
      <c r="R25" s="9">
        <f>IF($L25="","",$Q25+N($M25)+N($N25)+N($O25))</f>
        <v/>
      </c>
      <c r="S25" s="10" t="n">
        <v>10.17</v>
      </c>
      <c r="T25" s="3" t="inlineStr">
        <is>
          <t>https://www.etsy.com/listing/4551550234/bold-round-signet-ring-13mm-top-width</t>
        </is>
      </c>
    </row>
    <row r="26">
      <c r="A26" s="3" t="n">
        <v>25</v>
      </c>
      <c r="B26" s="3" t="n">
        <v>4554965833</v>
      </c>
      <c r="C26" s="4" t="inlineStr">
        <is>
          <t>Bold Stacker Ring | Minimalist Band, 3mm Width, Everyday Jewelry</t>
        </is>
      </c>
      <c r="D26" s="3" t="inlineStr">
        <is>
          <t>Pasif</t>
        </is>
      </c>
      <c r="E26" s="3" t="inlineStr">
        <is>
          <t>band</t>
        </is>
      </c>
      <c r="F26" s="3" t="n">
        <v>3</v>
      </c>
      <c r="G26" s="3" t="n"/>
      <c r="H26" s="3" t="n">
        <v>1.5</v>
      </c>
      <c r="I26" s="3" t="n">
        <v>3</v>
      </c>
      <c r="J26" s="5" t="inlineStr"/>
      <c r="K26" s="5" t="inlineStr">
        <is>
          <t>yok / none</t>
        </is>
      </c>
      <c r="L26" s="6" t="n"/>
      <c r="M26" s="7" t="n"/>
      <c r="N26" s="7" t="n"/>
      <c r="O26" s="7" t="n"/>
      <c r="P26" s="8" t="n"/>
      <c r="Q26" s="9">
        <f>IF($L26="","",$L26*Varsayimlar!$B$5*(1+Varsayimlar!$B$7))</f>
        <v/>
      </c>
      <c r="R26" s="9">
        <f>IF($L26="","",$Q26+N($M26)+N($N26)+N($O26))</f>
        <v/>
      </c>
      <c r="S26" s="10" t="n">
        <v>3.59</v>
      </c>
      <c r="T26" s="3" t="inlineStr">
        <is>
          <t>https://www.etsy.com/listing/4554965833/bold-stacking-ring-chunky-stacker-ring</t>
        </is>
      </c>
    </row>
    <row r="27">
      <c r="A27" s="3" t="n">
        <v>26</v>
      </c>
      <c r="B27" s="3" t="n">
        <v>4546827813</v>
      </c>
      <c r="C27" s="4" t="inlineStr">
        <is>
          <t>Braided Wedding Band | Minimalist Woven Ring, Stackable Jewelry (4.45mm)</t>
        </is>
      </c>
      <c r="D27" s="3" t="inlineStr">
        <is>
          <t>Pasif</t>
        </is>
      </c>
      <c r="E27" s="3" t="inlineStr">
        <is>
          <t>band</t>
        </is>
      </c>
      <c r="F27" s="3" t="n">
        <v>4.45</v>
      </c>
      <c r="G27" s="3" t="n"/>
      <c r="H27" s="3" t="n">
        <v>1.5</v>
      </c>
      <c r="I27" s="3" t="n">
        <v>4.45</v>
      </c>
      <c r="J27" s="5" t="inlineStr"/>
      <c r="K27" s="5" t="inlineStr">
        <is>
          <t>tam eternity</t>
        </is>
      </c>
      <c r="L27" s="6" t="n"/>
      <c r="M27" s="7" t="n"/>
      <c r="N27" s="7" t="n"/>
      <c r="O27" s="7" t="n"/>
      <c r="P27" s="8" t="n"/>
      <c r="Q27" s="9">
        <f>IF($L27="","",$L27*Varsayimlar!$B$5*(1+Varsayimlar!$B$7))</f>
        <v/>
      </c>
      <c r="R27" s="9">
        <f>IF($L27="","",$Q27+N($M27)+N($N27)+N($O27))</f>
        <v/>
      </c>
      <c r="S27" s="10" t="n">
        <v>5.32</v>
      </c>
      <c r="T27" s="3" t="inlineStr">
        <is>
          <t>https://www.etsy.com/listing/4546827813/braided-wedding-band-minimalist-woven</t>
        </is>
      </c>
    </row>
    <row r="28">
      <c r="A28" s="3" t="n">
        <v>27</v>
      </c>
      <c r="B28" s="3" t="n">
        <v>4554957582</v>
      </c>
      <c r="C28" s="4" t="inlineStr">
        <is>
          <t>Celestial Dome Ring | Sterling Silver Minimalist Band | Everyday Stackable Jewelry</t>
        </is>
      </c>
      <c r="D28" s="3" t="inlineStr">
        <is>
          <t>Pasif</t>
        </is>
      </c>
      <c r="E28" s="3" t="inlineStr">
        <is>
          <t>dome</t>
        </is>
      </c>
      <c r="F28" s="3" t="n">
        <v>5.6</v>
      </c>
      <c r="G28" s="3" t="n">
        <v>1.65</v>
      </c>
      <c r="H28" s="3" t="n">
        <v>1.5</v>
      </c>
      <c r="I28" s="3" t="n"/>
      <c r="J28" s="5" t="inlineStr"/>
      <c r="K28" s="5" t="inlineStr">
        <is>
          <t>yok / none</t>
        </is>
      </c>
      <c r="L28" s="6" t="n"/>
      <c r="M28" s="7" t="n"/>
      <c r="N28" s="7" t="n"/>
      <c r="O28" s="7" t="n"/>
      <c r="P28" s="8" t="n"/>
      <c r="Q28" s="9">
        <f>IF($L28="","",$L28*Varsayimlar!$B$5*(1+Varsayimlar!$B$7))</f>
        <v/>
      </c>
      <c r="R28" s="9">
        <f>IF($L28="","",$Q28+N($M28)+N($N28)+N($O28))</f>
        <v/>
      </c>
      <c r="S28" s="10" t="n">
        <v>4.34</v>
      </c>
      <c r="T28" s="3" t="inlineStr">
        <is>
          <t>https://www.etsy.com/listing/4554957582/celestial-dome-ring-sterling-silver-dome</t>
        </is>
      </c>
    </row>
    <row r="29">
      <c r="A29" s="3" t="n">
        <v>28</v>
      </c>
      <c r="B29" s="3" t="n">
        <v>4549031600</v>
      </c>
      <c r="C29" s="4" t="inlineStr">
        <is>
          <t>Charlotte Bold Gold Ring | Wide Band Minimalist Statement Jewelry</t>
        </is>
      </c>
      <c r="D29" s="3" t="inlineStr">
        <is>
          <t>Pasif</t>
        </is>
      </c>
      <c r="E29" s="3" t="inlineStr">
        <is>
          <t>band</t>
        </is>
      </c>
      <c r="F29" s="3" t="n">
        <v>9.35</v>
      </c>
      <c r="G29" s="3" t="n"/>
      <c r="H29" s="3" t="n">
        <v>1.5</v>
      </c>
      <c r="I29" s="3" t="n"/>
      <c r="J29" s="5" t="inlineStr"/>
      <c r="K29" s="5" t="inlineStr">
        <is>
          <t>yok / none</t>
        </is>
      </c>
      <c r="L29" s="6" t="n"/>
      <c r="M29" s="7" t="n"/>
      <c r="N29" s="7" t="n"/>
      <c r="O29" s="7" t="n"/>
      <c r="P29" s="8" t="n"/>
      <c r="Q29" s="9">
        <f>IF($L29="","",$L29*Varsayimlar!$B$5*(1+Varsayimlar!$B$7))</f>
        <v/>
      </c>
      <c r="R29" s="9">
        <f>IF($L29="","",$Q29+N($M29)+N($N29)+N($O29))</f>
        <v/>
      </c>
      <c r="S29" s="10" t="n">
        <v>11.19</v>
      </c>
      <c r="T29" s="3" t="inlineStr">
        <is>
          <t>https://www.etsy.com/listing/4549031600/charlotte-bold-gold-ring-wide-band</t>
        </is>
      </c>
    </row>
    <row r="30">
      <c r="A30" s="3" t="n">
        <v>29</v>
      </c>
      <c r="B30" s="3" t="n">
        <v>4552100498</v>
      </c>
      <c r="C30" s="4" t="inlineStr">
        <is>
          <t>Charlotte Crest Gold Stacking Ring | Minimalist Dainty Band, 2.8mm Everyday Jewelry</t>
        </is>
      </c>
      <c r="D30" s="3" t="inlineStr">
        <is>
          <t>Pasif</t>
        </is>
      </c>
      <c r="E30" s="3" t="inlineStr">
        <is>
          <t>band</t>
        </is>
      </c>
      <c r="F30" s="3" t="n">
        <v>2.8</v>
      </c>
      <c r="G30" s="3" t="n"/>
      <c r="H30" s="3" t="n">
        <v>1.5</v>
      </c>
      <c r="I30" s="3" t="n">
        <v>2.8</v>
      </c>
      <c r="J30" s="5" t="inlineStr"/>
      <c r="K30" s="5" t="inlineStr">
        <is>
          <t>yok / none</t>
        </is>
      </c>
      <c r="L30" s="6" t="n"/>
      <c r="M30" s="7" t="n"/>
      <c r="N30" s="7" t="n"/>
      <c r="O30" s="7" t="n"/>
      <c r="P30" s="8" t="n"/>
      <c r="Q30" s="9">
        <f>IF($L30="","",$L30*Varsayimlar!$B$5*(1+Varsayimlar!$B$7))</f>
        <v/>
      </c>
      <c r="R30" s="9">
        <f>IF($L30="","",$Q30+N($M30)+N($N30)+N($O30))</f>
        <v/>
      </c>
      <c r="S30" s="10" t="n">
        <v>3.35</v>
      </c>
      <c r="T30" s="3" t="inlineStr">
        <is>
          <t>https://www.etsy.com/listing/4552100498/charlotte-crest-gold-stacking-ring</t>
        </is>
      </c>
    </row>
    <row r="31">
      <c r="A31" s="3" t="n">
        <v>30</v>
      </c>
      <c r="B31" s="3" t="n">
        <v>4554964031</v>
      </c>
      <c r="C31" s="4" t="inlineStr">
        <is>
          <t>Charlotte Ring | 6.35mm Wide Chunky Band Statement Ring</t>
        </is>
      </c>
      <c r="D31" s="3" t="inlineStr">
        <is>
          <t>Pasif</t>
        </is>
      </c>
      <c r="E31" s="3" t="inlineStr">
        <is>
          <t>band</t>
        </is>
      </c>
      <c r="F31" s="3" t="n">
        <v>6.35</v>
      </c>
      <c r="G31" s="3" t="n"/>
      <c r="H31" s="3" t="n">
        <v>1.5</v>
      </c>
      <c r="I31" s="3" t="n">
        <v>6.35</v>
      </c>
      <c r="J31" s="5" t="inlineStr"/>
      <c r="K31" s="5" t="inlineStr">
        <is>
          <t>yok / none</t>
        </is>
      </c>
      <c r="L31" s="6" t="n"/>
      <c r="M31" s="7" t="n"/>
      <c r="N31" s="7" t="n"/>
      <c r="O31" s="7" t="n"/>
      <c r="P31" s="8" t="n"/>
      <c r="Q31" s="9">
        <f>IF($L31="","",$L31*Varsayimlar!$B$5*(1+Varsayimlar!$B$7))</f>
        <v/>
      </c>
      <c r="R31" s="9">
        <f>IF($L31="","",$Q31+N($M31)+N($N31)+N($O31))</f>
        <v/>
      </c>
      <c r="S31" s="10" t="n">
        <v>7.6</v>
      </c>
      <c r="T31" s="3" t="inlineStr">
        <is>
          <t>https://www.etsy.com/listing/4554964031/charlotte-ring-chunky-band-ring</t>
        </is>
      </c>
    </row>
    <row r="32">
      <c r="A32" s="3" t="n">
        <v>31</v>
      </c>
      <c r="B32" s="3" t="n">
        <v>4550953712</v>
      </c>
      <c r="C32" s="4" t="inlineStr">
        <is>
          <t>Charlotte Stacker Ring Set | Minimalist Band, 6.20mm Width, Dainty Jewelry</t>
        </is>
      </c>
      <c r="D32" s="3" t="inlineStr">
        <is>
          <t>Pasif</t>
        </is>
      </c>
      <c r="E32" s="3" t="inlineStr">
        <is>
          <t>band</t>
        </is>
      </c>
      <c r="F32" s="3" t="n">
        <v>6.2</v>
      </c>
      <c r="G32" s="3" t="n"/>
      <c r="H32" s="3" t="n">
        <v>1.5</v>
      </c>
      <c r="I32" s="3" t="n">
        <v>6.2</v>
      </c>
      <c r="J32" s="5" t="inlineStr"/>
      <c r="K32" s="5" t="inlineStr">
        <is>
          <t>yok / none</t>
        </is>
      </c>
      <c r="L32" s="6" t="n"/>
      <c r="M32" s="7" t="n"/>
      <c r="N32" s="7" t="n"/>
      <c r="O32" s="7" t="n"/>
      <c r="P32" s="8" t="n"/>
      <c r="Q32" s="9">
        <f>IF($L32="","",$L32*Varsayimlar!$B$5*(1+Varsayimlar!$B$7))</f>
        <v/>
      </c>
      <c r="R32" s="9">
        <f>IF($L32="","",$Q32+N($M32)+N($N32)+N($O32))</f>
        <v/>
      </c>
      <c r="S32" s="10" t="n">
        <v>7.42</v>
      </c>
      <c r="T32" s="3" t="inlineStr">
        <is>
          <t>https://www.etsy.com/listing/4550953712/charlotte-stacker-ring-set-minimalist</t>
        </is>
      </c>
    </row>
    <row r="33">
      <c r="A33" s="3" t="n">
        <v>32</v>
      </c>
      <c r="B33" s="3" t="n">
        <v>4553157256</v>
      </c>
      <c r="C33" s="4" t="inlineStr">
        <is>
          <t>Chunky Dome Ring | Modern Gold Statement Band | Minimalist Jewelry (6.3mm Top Width)</t>
        </is>
      </c>
      <c r="D33" s="3" t="inlineStr">
        <is>
          <t>Pasif</t>
        </is>
      </c>
      <c r="E33" s="3" t="inlineStr">
        <is>
          <t>dome</t>
        </is>
      </c>
      <c r="F33" s="3" t="n">
        <v>6.3</v>
      </c>
      <c r="G33" s="3" t="n">
        <v>2</v>
      </c>
      <c r="H33" s="3" t="n">
        <v>1.5</v>
      </c>
      <c r="I33" s="3" t="n">
        <v>6.3</v>
      </c>
      <c r="J33" s="5" t="inlineStr"/>
      <c r="K33" s="5" t="inlineStr">
        <is>
          <t>yok / none</t>
        </is>
      </c>
      <c r="L33" s="6" t="n"/>
      <c r="M33" s="7" t="n"/>
      <c r="N33" s="7" t="n"/>
      <c r="O33" s="7" t="n"/>
      <c r="P33" s="8" t="n"/>
      <c r="Q33" s="9">
        <f>IF($L33="","",$L33*Varsayimlar!$B$5*(1+Varsayimlar!$B$7))</f>
        <v/>
      </c>
      <c r="R33" s="9">
        <f>IF($L33="","",$Q33+N($M33)+N($N33)+N($O33))</f>
        <v/>
      </c>
      <c r="S33" s="10" t="n">
        <v>4.96</v>
      </c>
      <c r="T33" s="3" t="inlineStr">
        <is>
          <t>https://www.etsy.com/listing/4553157256/chunky-dome-ring-modern-gold-statement</t>
        </is>
      </c>
    </row>
    <row r="34">
      <c r="A34" s="3" t="n">
        <v>33</v>
      </c>
      <c r="B34" s="3" t="n">
        <v>4556249030</v>
      </c>
      <c r="C34" s="4" t="inlineStr">
        <is>
          <t>Chunky Dome Statement Ring | Minimalist Gold Band, Stackable Modern Jewelry</t>
        </is>
      </c>
      <c r="D34" s="3" t="inlineStr">
        <is>
          <t>Pasif</t>
        </is>
      </c>
      <c r="E34" s="3" t="inlineStr">
        <is>
          <t>dome</t>
        </is>
      </c>
      <c r="F34" s="3" t="n">
        <v>5.8</v>
      </c>
      <c r="G34" s="3" t="n"/>
      <c r="H34" s="3" t="n">
        <v>1.5</v>
      </c>
      <c r="I34" s="3" t="n"/>
      <c r="J34" s="5" t="inlineStr"/>
      <c r="K34" s="5" t="inlineStr">
        <is>
          <t>yok / none</t>
        </is>
      </c>
      <c r="L34" s="6" t="n"/>
      <c r="M34" s="7" t="n"/>
      <c r="N34" s="7" t="n"/>
      <c r="O34" s="7" t="n"/>
      <c r="P34" s="8" t="n"/>
      <c r="Q34" s="9">
        <f>IF($L34="","",$L34*Varsayimlar!$B$5*(1+Varsayimlar!$B$7))</f>
        <v/>
      </c>
      <c r="R34" s="9">
        <f>IF($L34="","",$Q34+N($M34)+N($N34)+N($O34))</f>
        <v/>
      </c>
      <c r="S34" s="10" t="n">
        <v>6.94</v>
      </c>
      <c r="T34" s="3" t="inlineStr">
        <is>
          <t>https://www.etsy.com/listing/4556249030/dome-figure-ring-o-dome-statement-ring-o</t>
        </is>
      </c>
    </row>
    <row r="35">
      <c r="A35" s="3" t="n">
        <v>34</v>
      </c>
      <c r="B35" s="3" t="n">
        <v>4552026081</v>
      </c>
      <c r="C35" s="4" t="inlineStr">
        <is>
          <t>Colosseum Wide Band Ring | Modern Minimalist Gold Statement Jewelry</t>
        </is>
      </c>
      <c r="D35" s="3" t="inlineStr">
        <is>
          <t>Pasif</t>
        </is>
      </c>
      <c r="E35" s="3" t="inlineStr">
        <is>
          <t>band</t>
        </is>
      </c>
      <c r="F35" s="3" t="n">
        <v>1.5</v>
      </c>
      <c r="G35" s="3" t="n"/>
      <c r="H35" s="3" t="n">
        <v>1.5</v>
      </c>
      <c r="I35" s="3" t="n"/>
      <c r="J35" s="5" t="inlineStr"/>
      <c r="K35" s="5" t="inlineStr">
        <is>
          <t>yok / none</t>
        </is>
      </c>
      <c r="L35" s="6" t="n"/>
      <c r="M35" s="7" t="n"/>
      <c r="N35" s="7" t="n"/>
      <c r="O35" s="7" t="n"/>
      <c r="P35" s="8" t="n"/>
      <c r="Q35" s="9">
        <f>IF($L35="","",$L35*Varsayimlar!$B$5*(1+Varsayimlar!$B$7))</f>
        <v/>
      </c>
      <c r="R35" s="9">
        <f>IF($L35="","",$Q35+N($M35)+N($N35)+N($O35))</f>
        <v/>
      </c>
      <c r="S35" s="10" t="n">
        <v>1.79</v>
      </c>
      <c r="T35" s="3" t="inlineStr">
        <is>
          <t>https://www.etsy.com/listing/4552026081/colosseum-wide-band-ring-modern</t>
        </is>
      </c>
    </row>
    <row r="36">
      <c r="A36" s="3" t="n">
        <v>35</v>
      </c>
      <c r="B36" s="3" t="n">
        <v>4552085145</v>
      </c>
      <c r="C36" s="4" t="inlineStr">
        <is>
          <t>Courage Signet Ring | Bold Minimalist Statement Jewelry (13mm Top)</t>
        </is>
      </c>
      <c r="D36" s="3" t="inlineStr">
        <is>
          <t>Pasif</t>
        </is>
      </c>
      <c r="E36" s="3" t="inlineStr">
        <is>
          <t>signet</t>
        </is>
      </c>
      <c r="F36" s="3" t="n">
        <v>13</v>
      </c>
      <c r="G36" s="3" t="n">
        <v>1.7</v>
      </c>
      <c r="H36" s="3" t="n">
        <v>1.5</v>
      </c>
      <c r="I36" s="3" t="n">
        <v>13</v>
      </c>
      <c r="J36" s="5" t="inlineStr"/>
      <c r="K36" s="5" t="inlineStr">
        <is>
          <t>yok / none</t>
        </is>
      </c>
      <c r="L36" s="6" t="n"/>
      <c r="M36" s="7" t="n"/>
      <c r="N36" s="7" t="n"/>
      <c r="O36" s="7" t="n"/>
      <c r="P36" s="8" t="n"/>
      <c r="Q36" s="9">
        <f>IF($L36="","",$L36*Varsayimlar!$B$5*(1+Varsayimlar!$B$7))</f>
        <v/>
      </c>
      <c r="R36" s="9">
        <f>IF($L36="","",$Q36+N($M36)+N($N36)+N($O36))</f>
        <v/>
      </c>
      <c r="S36" s="10" t="n">
        <v>8.789999999999999</v>
      </c>
      <c r="T36" s="3" t="inlineStr">
        <is>
          <t>https://www.etsy.com/listing/4552085145/courage-signet-ring-bold-minimalist</t>
        </is>
      </c>
    </row>
    <row r="37">
      <c r="A37" s="3" t="n">
        <v>36</v>
      </c>
      <c r="B37" s="3" t="n">
        <v>4551576045</v>
      </c>
      <c r="C37" s="4" t="inlineStr">
        <is>
          <t>Curved Gold Band Ring | Minimalist 2mm Stacking Wedding Ring</t>
        </is>
      </c>
      <c r="D37" s="3" t="inlineStr">
        <is>
          <t>Pasif</t>
        </is>
      </c>
      <c r="E37" s="3" t="inlineStr">
        <is>
          <t>band</t>
        </is>
      </c>
      <c r="F37" s="3" t="n">
        <v>2</v>
      </c>
      <c r="G37" s="3" t="n"/>
      <c r="H37" s="3" t="n">
        <v>1.5</v>
      </c>
      <c r="I37" s="3" t="n">
        <v>2</v>
      </c>
      <c r="J37" s="5" t="inlineStr"/>
      <c r="K37" s="5" t="inlineStr">
        <is>
          <t>yok / none</t>
        </is>
      </c>
      <c r="L37" s="6" t="n"/>
      <c r="M37" s="7" t="n"/>
      <c r="N37" s="7" t="n"/>
      <c r="O37" s="7" t="n"/>
      <c r="P37" s="8" t="n"/>
      <c r="Q37" s="9">
        <f>IF($L37="","",$L37*Varsayimlar!$B$5*(1+Varsayimlar!$B$7))</f>
        <v/>
      </c>
      <c r="R37" s="9">
        <f>IF($L37="","",$Q37+N($M37)+N($N37)+N($O37))</f>
        <v/>
      </c>
      <c r="S37" s="10" t="n">
        <v>2.39</v>
      </c>
      <c r="T37" s="3" t="inlineStr">
        <is>
          <t>https://www.etsy.com/listing/4551576045/curved-gold-band-ring-minimalist-2mm</t>
        </is>
      </c>
    </row>
    <row r="38">
      <c r="A38" s="3" t="n">
        <v>37</v>
      </c>
      <c r="B38" s="3" t="n">
        <v>4538876982</v>
      </c>
      <c r="C38" s="4" t="inlineStr">
        <is>
          <t>Curved Pave Diamond Nesting Ring, Solid Gold</t>
        </is>
      </c>
      <c r="D38" s="3" t="inlineStr">
        <is>
          <t>Pasif</t>
        </is>
      </c>
      <c r="E38" s="3" t="inlineStr">
        <is>
          <t>band</t>
        </is>
      </c>
      <c r="F38" s="3" t="n">
        <v>1.5</v>
      </c>
      <c r="G38" s="3" t="n"/>
      <c r="H38" s="3" t="n">
        <v>1.5</v>
      </c>
      <c r="I38" s="3" t="n"/>
      <c r="J38" s="5" t="inlineStr"/>
      <c r="K38" s="5" t="inlineStr">
        <is>
          <t>pave</t>
        </is>
      </c>
      <c r="L38" s="6" t="n"/>
      <c r="M38" s="7" t="n"/>
      <c r="N38" s="7" t="n"/>
      <c r="O38" s="7" t="n"/>
      <c r="P38" s="8" t="n"/>
      <c r="Q38" s="9">
        <f>IF($L38="","",$L38*Varsayimlar!$B$5*(1+Varsayimlar!$B$7))</f>
        <v/>
      </c>
      <c r="R38" s="9">
        <f>IF($L38="","",$Q38+N($M38)+N($N38)+N($O38))</f>
        <v/>
      </c>
      <c r="S38" s="10" t="n">
        <v>1.79</v>
      </c>
      <c r="T38" s="3" t="inlineStr">
        <is>
          <t>https://www.etsy.com/listing/4538876982/dome-pave-diamond-ring-curved-wave</t>
        </is>
      </c>
    </row>
    <row r="39">
      <c r="A39" s="3" t="n">
        <v>38</v>
      </c>
      <c r="B39" s="3" t="n">
        <v>4557310374</v>
      </c>
      <c r="C39" s="4" t="inlineStr">
        <is>
          <t>Dainty Pearl and Diamond Ring | Slim 1mm Band, Minimalist Jewelry</t>
        </is>
      </c>
      <c r="D39" s="3" t="inlineStr">
        <is>
          <t>Pasif</t>
        </is>
      </c>
      <c r="E39" s="3" t="inlineStr">
        <is>
          <t>band</t>
        </is>
      </c>
      <c r="F39" s="3" t="n">
        <v>1</v>
      </c>
      <c r="G39" s="3" t="n"/>
      <c r="H39" s="3" t="n">
        <v>1.5</v>
      </c>
      <c r="I39" s="3" t="n">
        <v>1</v>
      </c>
      <c r="J39" s="5" t="inlineStr"/>
      <c r="K39" s="5" t="inlineStr">
        <is>
          <t>yok / none</t>
        </is>
      </c>
      <c r="L39" s="6" t="n"/>
      <c r="M39" s="7" t="n"/>
      <c r="N39" s="7" t="n"/>
      <c r="O39" s="7" t="n"/>
      <c r="P39" s="8" t="n"/>
      <c r="Q39" s="9">
        <f>IF($L39="","",$L39*Varsayimlar!$B$5*(1+Varsayimlar!$B$7))</f>
        <v/>
      </c>
      <c r="R39" s="9">
        <f>IF($L39="","",$Q39+N($M39)+N($N39)+N($O39))</f>
        <v/>
      </c>
      <c r="S39" s="10" t="n">
        <v>1.2</v>
      </c>
      <c r="T39" s="3" t="inlineStr">
        <is>
          <t>https://www.etsy.com/listing/4557310374/beverly-ring-dainty-stacking-ring-slim</t>
        </is>
      </c>
    </row>
    <row r="40">
      <c r="A40" s="3" t="n">
        <v>39</v>
      </c>
      <c r="B40" s="3" t="n">
        <v>4545535248</v>
      </c>
      <c r="C40" s="4" t="inlineStr">
        <is>
          <t>Diamond Cluster Engagement Ring | Elegant Statement Bridal Wedding Band</t>
        </is>
      </c>
      <c r="D40" s="3" t="inlineStr">
        <is>
          <t>Pasif</t>
        </is>
      </c>
      <c r="E40" s="3" t="inlineStr">
        <is>
          <t>band</t>
        </is>
      </c>
      <c r="F40" s="3" t="n">
        <v>7</v>
      </c>
      <c r="G40" s="3" t="n">
        <v>2</v>
      </c>
      <c r="H40" s="3" t="n">
        <v>1.5</v>
      </c>
      <c r="I40" s="3" t="n"/>
      <c r="J40" s="5" t="inlineStr"/>
      <c r="K40" s="5" t="inlineStr">
        <is>
          <t>tekil/aksan tas</t>
        </is>
      </c>
      <c r="L40" s="6" t="n"/>
      <c r="M40" s="7" t="n"/>
      <c r="N40" s="7" t="n"/>
      <c r="O40" s="7" t="n"/>
      <c r="P40" s="8" t="n"/>
      <c r="Q40" s="9">
        <f>IF($L40="","",$L40*Varsayimlar!$B$5*(1+Varsayimlar!$B$7))</f>
        <v/>
      </c>
      <c r="R40" s="9">
        <f>IF($L40="","",$Q40+N($M40)+N($N40)+N($O40))</f>
        <v/>
      </c>
      <c r="S40" s="10" t="n">
        <v>5.38</v>
      </c>
      <c r="T40" s="3" t="inlineStr">
        <is>
          <t>https://www.etsy.com/listing/4545535248/diamond-cluster-engagement-ring-elegant</t>
        </is>
      </c>
    </row>
    <row r="41">
      <c r="A41" s="3" t="n">
        <v>40</v>
      </c>
      <c r="B41" s="3" t="n">
        <v>4558673647</v>
      </c>
      <c r="C41" s="4" t="inlineStr">
        <is>
          <t>Diamond Coil Ring | Modern Spiral Band, 9.8mm Width</t>
        </is>
      </c>
      <c r="D41" s="3" t="inlineStr">
        <is>
          <t>Pasif</t>
        </is>
      </c>
      <c r="E41" s="3" t="inlineStr">
        <is>
          <t>band</t>
        </is>
      </c>
      <c r="F41" s="3" t="n">
        <v>9.800000000000001</v>
      </c>
      <c r="G41" s="3" t="n"/>
      <c r="H41" s="3" t="n">
        <v>1.5</v>
      </c>
      <c r="I41" s="3" t="n">
        <v>9.800000000000001</v>
      </c>
      <c r="J41" s="5" t="inlineStr"/>
      <c r="K41" s="5" t="inlineStr">
        <is>
          <t>tekil/aksan tas</t>
        </is>
      </c>
      <c r="L41" s="6" t="n"/>
      <c r="M41" s="7" t="n"/>
      <c r="N41" s="7" t="n"/>
      <c r="O41" s="7" t="n"/>
      <c r="P41" s="8" t="n"/>
      <c r="Q41" s="9">
        <f>IF($L41="","",$L41*Varsayimlar!$B$5*(1+Varsayimlar!$B$7))</f>
        <v/>
      </c>
      <c r="R41" s="9">
        <f>IF($L41="","",$Q41+N($M41)+N($N41)+N($O41))</f>
        <v/>
      </c>
      <c r="S41" s="10" t="n">
        <v>11.72</v>
      </c>
      <c r="T41" s="3" t="inlineStr">
        <is>
          <t>https://www.etsy.com/listing/4558673647/diamond-coil-ring-modern-spiral-band</t>
        </is>
      </c>
    </row>
    <row r="42">
      <c r="A42" s="3" t="n">
        <v>41</v>
      </c>
      <c r="B42" s="3" t="n">
        <v>4557295667</v>
      </c>
      <c r="C42" s="4" t="inlineStr">
        <is>
          <t>Diamond Eternity Band | Minimalist 2.8mm Wedding Ring for Women</t>
        </is>
      </c>
      <c r="D42" s="3" t="inlineStr">
        <is>
          <t>Pasif</t>
        </is>
      </c>
      <c r="E42" s="3" t="inlineStr">
        <is>
          <t>band</t>
        </is>
      </c>
      <c r="F42" s="3" t="n">
        <v>2.8</v>
      </c>
      <c r="G42" s="3" t="n"/>
      <c r="H42" s="3" t="n">
        <v>1.5</v>
      </c>
      <c r="I42" s="3" t="n">
        <v>2.8</v>
      </c>
      <c r="J42" s="5" t="inlineStr"/>
      <c r="K42" s="5" t="inlineStr">
        <is>
          <t>tam eternity</t>
        </is>
      </c>
      <c r="L42" s="6" t="n"/>
      <c r="M42" s="7" t="n"/>
      <c r="N42" s="7" t="n"/>
      <c r="O42" s="7" t="n"/>
      <c r="P42" s="8" t="n"/>
      <c r="Q42" s="9">
        <f>IF($L42="","",$L42*Varsayimlar!$B$5*(1+Varsayimlar!$B$7))</f>
        <v/>
      </c>
      <c r="R42" s="9">
        <f>IF($L42="","",$Q42+N($M42)+N($N42)+N($O42))</f>
        <v/>
      </c>
      <c r="S42" s="10" t="n">
        <v>3.35</v>
      </c>
      <c r="T42" s="3" t="inlineStr">
        <is>
          <t>https://www.etsy.com/listing/4557295667/diamond-eternity-band-dainty-diamond</t>
        </is>
      </c>
    </row>
    <row r="43">
      <c r="A43" s="3" t="n">
        <v>42</v>
      </c>
      <c r="B43" s="3" t="n">
        <v>4552114869</v>
      </c>
      <c r="C43" s="4" t="inlineStr">
        <is>
          <t>Diamond Half Eternity Ring | 2.5mm Bold Wedding Band, Stackable Bridal Jewelry</t>
        </is>
      </c>
      <c r="D43" s="3" t="inlineStr">
        <is>
          <t>Pasif</t>
        </is>
      </c>
      <c r="E43" s="3" t="inlineStr">
        <is>
          <t>band</t>
        </is>
      </c>
      <c r="F43" s="3" t="n">
        <v>2.5</v>
      </c>
      <c r="G43" s="3" t="n"/>
      <c r="H43" s="3" t="n">
        <v>1.5</v>
      </c>
      <c r="I43" s="3" t="n">
        <v>2.5</v>
      </c>
      <c r="J43" s="5" t="inlineStr"/>
      <c r="K43" s="5" t="inlineStr">
        <is>
          <t>yarim eternity</t>
        </is>
      </c>
      <c r="L43" s="6" t="n"/>
      <c r="M43" s="7" t="n"/>
      <c r="N43" s="7" t="n"/>
      <c r="O43" s="7" t="n"/>
      <c r="P43" s="8" t="n"/>
      <c r="Q43" s="9">
        <f>IF($L43="","",$L43*Varsayimlar!$B$5*(1+Varsayimlar!$B$7))</f>
        <v/>
      </c>
      <c r="R43" s="9">
        <f>IF($L43="","",$Q43+N($M43)+N($N43)+N($O43))</f>
        <v/>
      </c>
      <c r="S43" s="10" t="n">
        <v>2.99</v>
      </c>
      <c r="T43" s="3" t="inlineStr">
        <is>
          <t>https://www.etsy.com/listing/4552114869/diamond-half-eternity-ring-25mm-bold</t>
        </is>
      </c>
    </row>
    <row r="44">
      <c r="A44" s="3" t="n">
        <v>43</v>
      </c>
      <c r="B44" s="3" t="n">
        <v>4547301260</v>
      </c>
      <c r="C44" s="4" t="inlineStr">
        <is>
          <t>Diamond Stacking Ring | Minimalist Wedding Band, Dainty Promise Ring, Everyday Wear</t>
        </is>
      </c>
      <c r="D44" s="3" t="inlineStr">
        <is>
          <t>Pasif</t>
        </is>
      </c>
      <c r="E44" s="3" t="inlineStr">
        <is>
          <t>band</t>
        </is>
      </c>
      <c r="F44" s="3" t="n">
        <v>1.6</v>
      </c>
      <c r="G44" s="3" t="n">
        <v>1.6</v>
      </c>
      <c r="H44" s="3" t="n">
        <v>1.5</v>
      </c>
      <c r="I44" s="3" t="n"/>
      <c r="J44" s="5" t="inlineStr"/>
      <c r="K44" s="5" t="inlineStr">
        <is>
          <t>tekil/aksan tas</t>
        </is>
      </c>
      <c r="L44" s="6" t="n"/>
      <c r="M44" s="7" t="n"/>
      <c r="N44" s="7" t="n"/>
      <c r="O44" s="7" t="n"/>
      <c r="P44" s="8" t="n"/>
      <c r="Q44" s="9">
        <f>IF($L44="","",$L44*Varsayimlar!$B$5*(1+Varsayimlar!$B$7))</f>
        <v/>
      </c>
      <c r="R44" s="9">
        <f>IF($L44="","",$Q44+N($M44)+N($N44)+N($O44))</f>
        <v/>
      </c>
      <c r="S44" s="10" t="n">
        <v>1.91</v>
      </c>
      <c r="T44" s="3" t="inlineStr">
        <is>
          <t>https://www.etsy.com/listing/4547301260/diamond-stacking-ring-minimalist-wedding</t>
        </is>
      </c>
    </row>
    <row r="45">
      <c r="A45" s="3" t="n">
        <v>44</v>
      </c>
      <c r="B45" s="3" t="n">
        <v>4552097960</v>
      </c>
      <c r="C45" s="4" t="inlineStr">
        <is>
          <t>Dome Figure Balance Ring | Sculptural Minimalist Statement (3.4mm Wide)</t>
        </is>
      </c>
      <c r="D45" s="3" t="inlineStr">
        <is>
          <t>Pasif</t>
        </is>
      </c>
      <c r="E45" s="3" t="inlineStr">
        <is>
          <t>dome</t>
        </is>
      </c>
      <c r="F45" s="3" t="n">
        <v>3.4</v>
      </c>
      <c r="G45" s="3" t="n"/>
      <c r="H45" s="3" t="n">
        <v>1.5</v>
      </c>
      <c r="I45" s="3" t="n">
        <v>3.4</v>
      </c>
      <c r="J45" s="5" t="inlineStr"/>
      <c r="K45" s="5" t="inlineStr">
        <is>
          <t>yok / none</t>
        </is>
      </c>
      <c r="L45" s="6" t="n"/>
      <c r="M45" s="7" t="n"/>
      <c r="N45" s="7" t="n"/>
      <c r="O45" s="7" t="n"/>
      <c r="P45" s="8" t="n"/>
      <c r="Q45" s="9">
        <f>IF($L45="","",$L45*Varsayimlar!$B$5*(1+Varsayimlar!$B$7))</f>
        <v/>
      </c>
      <c r="R45" s="9">
        <f>IF($L45="","",$Q45+N($M45)+N($N45)+N($O45))</f>
        <v/>
      </c>
      <c r="S45" s="10" t="n">
        <v>4.07</v>
      </c>
      <c r="T45" s="3" t="inlineStr">
        <is>
          <t>https://www.etsy.com/listing/4552097960/dome-figure-balance-ring-o-sculptural</t>
        </is>
      </c>
    </row>
    <row r="46">
      <c r="A46" s="3" t="n">
        <v>45</v>
      </c>
      <c r="B46" s="3" t="n">
        <v>4544906099</v>
      </c>
      <c r="C46" s="4" t="inlineStr">
        <is>
          <t>Duo Beaded Stacker Ring | Minimalist Gold Band, Everyday Jewelry (2.9mm Width)</t>
        </is>
      </c>
      <c r="D46" s="3" t="inlineStr">
        <is>
          <t>Pasif</t>
        </is>
      </c>
      <c r="E46" s="3" t="inlineStr">
        <is>
          <t>band</t>
        </is>
      </c>
      <c r="F46" s="3" t="n">
        <v>2.9</v>
      </c>
      <c r="G46" s="3" t="n"/>
      <c r="H46" s="3" t="n">
        <v>1.5</v>
      </c>
      <c r="I46" s="3" t="n">
        <v>2.9</v>
      </c>
      <c r="J46" s="5" t="inlineStr"/>
      <c r="K46" s="5" t="inlineStr">
        <is>
          <t>yok / none</t>
        </is>
      </c>
      <c r="L46" s="6" t="n"/>
      <c r="M46" s="7" t="n"/>
      <c r="N46" s="7" t="n"/>
      <c r="O46" s="7" t="n"/>
      <c r="P46" s="8" t="n"/>
      <c r="Q46" s="9">
        <f>IF($L46="","",$L46*Varsayimlar!$B$5*(1+Varsayimlar!$B$7))</f>
        <v/>
      </c>
      <c r="R46" s="9">
        <f>IF($L46="","",$Q46+N($M46)+N($N46)+N($O46))</f>
        <v/>
      </c>
      <c r="S46" s="10" t="n">
        <v>3.47</v>
      </c>
      <c r="T46" s="3" t="inlineStr">
        <is>
          <t>https://www.etsy.com/listing/4544906099/duo-beaded-stacker-ring-minimalist-gold</t>
        </is>
      </c>
    </row>
    <row r="47">
      <c r="A47" s="3" t="n">
        <v>46</v>
      </c>
      <c r="B47" s="3" t="n">
        <v>4554958199</v>
      </c>
      <c r="C47" s="4" t="inlineStr">
        <is>
          <t>Emerald Diamond Wishbone Ring | Curved Stacking Wedding Band</t>
        </is>
      </c>
      <c r="D47" s="3" t="inlineStr">
        <is>
          <t>Pasif</t>
        </is>
      </c>
      <c r="E47" s="3" t="inlineStr">
        <is>
          <t>band</t>
        </is>
      </c>
      <c r="F47" s="3" t="n">
        <v>1</v>
      </c>
      <c r="G47" s="3" t="n">
        <v>1</v>
      </c>
      <c r="H47" s="3" t="n">
        <v>1.5</v>
      </c>
      <c r="I47" s="3" t="n"/>
      <c r="J47" s="5" t="inlineStr"/>
      <c r="K47" s="5" t="inlineStr">
        <is>
          <t>tekil/aksan tas</t>
        </is>
      </c>
      <c r="L47" s="6" t="n"/>
      <c r="M47" s="7" t="n"/>
      <c r="N47" s="7" t="n"/>
      <c r="O47" s="7" t="n"/>
      <c r="P47" s="8" t="n"/>
      <c r="Q47" s="9">
        <f>IF($L47="","",$L47*Varsayimlar!$B$5*(1+Varsayimlar!$B$7))</f>
        <v/>
      </c>
      <c r="R47" s="9">
        <f>IF($L47="","",$Q47+N($M47)+N($N47)+N($O47))</f>
        <v/>
      </c>
      <c r="S47" s="10" t="n">
        <v>1.2</v>
      </c>
      <c r="T47" s="3" t="inlineStr">
        <is>
          <t>https://www.etsy.com/listing/4554958199/emerald-diamond-ring-wishbone-wedding</t>
        </is>
      </c>
    </row>
    <row r="48">
      <c r="A48" s="3" t="n">
        <v>47</v>
      </c>
      <c r="B48" s="3" t="n">
        <v>4553159638</v>
      </c>
      <c r="C48" s="4" t="inlineStr">
        <is>
          <t>Enamel Charlotte Stacker Ring | Colorful Band with 1.75mm Stone, Everyday Minimalist</t>
        </is>
      </c>
      <c r="D48" s="3" t="inlineStr">
        <is>
          <t>Pasif</t>
        </is>
      </c>
      <c r="E48" s="3" t="inlineStr">
        <is>
          <t>band</t>
        </is>
      </c>
      <c r="F48" s="3" t="n">
        <v>3.3</v>
      </c>
      <c r="G48" s="3" t="n"/>
      <c r="H48" s="3" t="n">
        <v>1.5</v>
      </c>
      <c r="I48" s="3" t="n">
        <v>1.75</v>
      </c>
      <c r="J48" s="5" t="inlineStr"/>
      <c r="K48" s="5" t="inlineStr">
        <is>
          <t>tekil/aksan tas</t>
        </is>
      </c>
      <c r="L48" s="6" t="n"/>
      <c r="M48" s="7" t="n"/>
      <c r="N48" s="7" t="n"/>
      <c r="O48" s="7" t="n"/>
      <c r="P48" s="8" t="n"/>
      <c r="Q48" s="9">
        <f>IF($L48="","",$L48*Varsayimlar!$B$5*(1+Varsayimlar!$B$7))</f>
        <v/>
      </c>
      <c r="R48" s="9">
        <f>IF($L48="","",$Q48+N($M48)+N($N48)+N($O48))</f>
        <v/>
      </c>
      <c r="S48" s="10" t="n">
        <v>3.95</v>
      </c>
      <c r="T48" s="3" t="inlineStr">
        <is>
          <t>https://www.etsy.com/listing/4553159638/enamel-charlotte-stacker-ring-colorful</t>
        </is>
      </c>
    </row>
    <row r="49">
      <c r="A49" s="3" t="n">
        <v>48</v>
      </c>
      <c r="B49" s="3" t="n">
        <v>4549712730</v>
      </c>
      <c r="C49" s="4" t="inlineStr">
        <is>
          <t>Gemstone Trillion Stacker Ring | Minimalist Wedding Band, 3mm Band</t>
        </is>
      </c>
      <c r="D49" s="3" t="inlineStr">
        <is>
          <t>Pasif</t>
        </is>
      </c>
      <c r="E49" s="3" t="inlineStr">
        <is>
          <t>band</t>
        </is>
      </c>
      <c r="F49" s="3" t="n">
        <v>3</v>
      </c>
      <c r="G49" s="3" t="n"/>
      <c r="H49" s="3" t="n">
        <v>1.5</v>
      </c>
      <c r="I49" s="3" t="n">
        <v>3</v>
      </c>
      <c r="J49" s="5" t="inlineStr"/>
      <c r="K49" s="5" t="inlineStr">
        <is>
          <t>tam eternity</t>
        </is>
      </c>
      <c r="L49" s="6" t="n"/>
      <c r="M49" s="7" t="n"/>
      <c r="N49" s="7" t="n"/>
      <c r="O49" s="7" t="n"/>
      <c r="P49" s="8" t="n"/>
      <c r="Q49" s="9">
        <f>IF($L49="","",$L49*Varsayimlar!$B$5*(1+Varsayimlar!$B$7))</f>
        <v/>
      </c>
      <c r="R49" s="9">
        <f>IF($L49="","",$Q49+N($M49)+N($N49)+N($O49))</f>
        <v/>
      </c>
      <c r="S49" s="10" t="n">
        <v>3.59</v>
      </c>
      <c r="T49" s="3" t="inlineStr">
        <is>
          <t>https://www.etsy.com/listing/4549712730/gemstone-trillion-stacker-ring</t>
        </is>
      </c>
    </row>
    <row r="50">
      <c r="A50" s="3" t="n">
        <v>49</v>
      </c>
      <c r="B50" s="3" t="n">
        <v>4550924858</v>
      </c>
      <c r="C50" s="4" t="inlineStr">
        <is>
          <t>Gold Beaded Stacking Ring | Minimalist Everyday Band, Delicate Gift</t>
        </is>
      </c>
      <c r="D50" s="3" t="inlineStr">
        <is>
          <t>Pasif</t>
        </is>
      </c>
      <c r="E50" s="3" t="inlineStr">
        <is>
          <t>band</t>
        </is>
      </c>
      <c r="F50" s="3" t="n">
        <v>1.3</v>
      </c>
      <c r="G50" s="3" t="n"/>
      <c r="H50" s="3" t="n">
        <v>1.5</v>
      </c>
      <c r="I50" s="3" t="n"/>
      <c r="J50" s="5" t="inlineStr"/>
      <c r="K50" s="5" t="inlineStr">
        <is>
          <t>yok / none</t>
        </is>
      </c>
      <c r="L50" s="6" t="n"/>
      <c r="M50" s="7" t="n"/>
      <c r="N50" s="7" t="n"/>
      <c r="O50" s="7" t="n"/>
      <c r="P50" s="8" t="n"/>
      <c r="Q50" s="9">
        <f>IF($L50="","",$L50*Varsayimlar!$B$5*(1+Varsayimlar!$B$7))</f>
        <v/>
      </c>
      <c r="R50" s="9">
        <f>IF($L50="","",$Q50+N($M50)+N($N50)+N($O50))</f>
        <v/>
      </c>
      <c r="S50" s="10" t="n">
        <v>1.56</v>
      </c>
      <c r="T50" s="3" t="inlineStr">
        <is>
          <t>https://www.etsy.com/listing/4550924858/gold-beaded-stacking-ring-minimalist</t>
        </is>
      </c>
    </row>
    <row r="51">
      <c r="A51" s="3" t="n">
        <v>50</v>
      </c>
      <c r="B51" s="3" t="n">
        <v>4557987114</v>
      </c>
      <c r="C51" s="4" t="inlineStr">
        <is>
          <t>Gold Dot Band Ring | Minimalist Stackable Everyday Jewelry</t>
        </is>
      </c>
      <c r="D51" s="3" t="inlineStr">
        <is>
          <t>Pasif</t>
        </is>
      </c>
      <c r="E51" s="3" t="inlineStr">
        <is>
          <t>band</t>
        </is>
      </c>
      <c r="F51" s="3" t="n">
        <v>2.3</v>
      </c>
      <c r="G51" s="3" t="n"/>
      <c r="H51" s="3" t="n">
        <v>1.5</v>
      </c>
      <c r="I51" s="3" t="n"/>
      <c r="J51" s="5" t="inlineStr"/>
      <c r="K51" s="5" t="inlineStr">
        <is>
          <t>yok / none</t>
        </is>
      </c>
      <c r="L51" s="6" t="n"/>
      <c r="M51" s="7" t="n"/>
      <c r="N51" s="7" t="n"/>
      <c r="O51" s="7" t="n"/>
      <c r="P51" s="8" t="n"/>
      <c r="Q51" s="9">
        <f>IF($L51="","",$L51*Varsayimlar!$B$5*(1+Varsayimlar!$B$7))</f>
        <v/>
      </c>
      <c r="R51" s="9">
        <f>IF($L51="","",$Q51+N($M51)+N($N51)+N($O51))</f>
        <v/>
      </c>
      <c r="S51" s="10" t="n">
        <v>2.75</v>
      </c>
      <c r="T51" s="3" t="inlineStr">
        <is>
          <t>https://www.etsy.com/listing/4557987114/dot-band-ring-stackable-ring-minimalist</t>
        </is>
      </c>
    </row>
    <row r="52">
      <c r="A52" s="3" t="n">
        <v>51</v>
      </c>
      <c r="B52" s="3" t="n">
        <v>4550284137</v>
      </c>
      <c r="C52" s="4" t="inlineStr">
        <is>
          <t>Gold Pave Diamond Signet Ring | Minimalist Statement Pinky Ring</t>
        </is>
      </c>
      <c r="D52" s="3" t="inlineStr">
        <is>
          <t>Pasif</t>
        </is>
      </c>
      <c r="E52" s="3" t="inlineStr">
        <is>
          <t>signet</t>
        </is>
      </c>
      <c r="F52" s="3" t="n">
        <v>8</v>
      </c>
      <c r="G52" s="3" t="n">
        <v>1.5</v>
      </c>
      <c r="H52" s="3" t="n">
        <v>1.5</v>
      </c>
      <c r="I52" s="3" t="n"/>
      <c r="J52" s="5" t="inlineStr"/>
      <c r="K52" s="5" t="inlineStr">
        <is>
          <t>pave</t>
        </is>
      </c>
      <c r="L52" s="6" t="n"/>
      <c r="M52" s="7" t="n"/>
      <c r="N52" s="7" t="n"/>
      <c r="O52" s="7" t="n"/>
      <c r="P52" s="8" t="n"/>
      <c r="Q52" s="9">
        <f>IF($L52="","",$L52*Varsayimlar!$B$5*(1+Varsayimlar!$B$7))</f>
        <v/>
      </c>
      <c r="R52" s="9">
        <f>IF($L52="","",$Q52+N($M52)+N($N52)+N($O52))</f>
        <v/>
      </c>
      <c r="S52" s="10" t="n">
        <v>5.68</v>
      </c>
      <c r="T52" s="3" t="inlineStr">
        <is>
          <t>https://www.etsy.com/listing/4550284137/gold-pave-diamond-signet-ring-o</t>
        </is>
      </c>
    </row>
    <row r="53">
      <c r="A53" s="3" t="n">
        <v>52</v>
      </c>
      <c r="B53" s="3" t="n">
        <v>4550936365</v>
      </c>
      <c r="C53" s="4" t="inlineStr">
        <is>
          <t>Gold Pave Puzzle Ring | Minimalist Stacking Band, Everyday Jewelry</t>
        </is>
      </c>
      <c r="D53" s="3" t="inlineStr">
        <is>
          <t>Pasif</t>
        </is>
      </c>
      <c r="E53" s="3" t="inlineStr">
        <is>
          <t>band</t>
        </is>
      </c>
      <c r="F53" s="3" t="n">
        <v>1.5</v>
      </c>
      <c r="G53" s="3" t="n">
        <v>1.5</v>
      </c>
      <c r="H53" s="3" t="n">
        <v>1.5</v>
      </c>
      <c r="I53" s="3" t="n"/>
      <c r="J53" s="5" t="inlineStr"/>
      <c r="K53" s="5" t="inlineStr">
        <is>
          <t>pave</t>
        </is>
      </c>
      <c r="L53" s="6" t="n"/>
      <c r="M53" s="7" t="n"/>
      <c r="N53" s="7" t="n"/>
      <c r="O53" s="7" t="n"/>
      <c r="P53" s="8" t="n"/>
      <c r="Q53" s="9">
        <f>IF($L53="","",$L53*Varsayimlar!$B$5*(1+Varsayimlar!$B$7))</f>
        <v/>
      </c>
      <c r="R53" s="9">
        <f>IF($L53="","",$Q53+N($M53)+N($N53)+N($O53))</f>
        <v/>
      </c>
      <c r="S53" s="10" t="n">
        <v>1.79</v>
      </c>
      <c r="T53" s="3" t="inlineStr">
        <is>
          <t>https://www.etsy.com/listing/4550936365/gold-pave-puzzle-ring-o-minimalist</t>
        </is>
      </c>
    </row>
    <row r="54">
      <c r="A54" s="3" t="n">
        <v>53</v>
      </c>
      <c r="B54" s="3" t="n">
        <v>4550299061</v>
      </c>
      <c r="C54" s="4" t="inlineStr">
        <is>
          <t>Gold Signet Ring | Minimalist Pinky Ring, Dainty Stackable Jewelry</t>
        </is>
      </c>
      <c r="D54" s="3" t="inlineStr">
        <is>
          <t>Pasif</t>
        </is>
      </c>
      <c r="E54" s="3" t="inlineStr">
        <is>
          <t>signet</t>
        </is>
      </c>
      <c r="F54" s="3" t="n">
        <v>7</v>
      </c>
      <c r="G54" s="3" t="n">
        <v>1.8</v>
      </c>
      <c r="H54" s="3" t="n">
        <v>1.5</v>
      </c>
      <c r="I54" s="3" t="n"/>
      <c r="J54" s="5" t="inlineStr"/>
      <c r="K54" s="5" t="inlineStr">
        <is>
          <t>yok / none</t>
        </is>
      </c>
      <c r="L54" s="6" t="n"/>
      <c r="M54" s="7" t="n"/>
      <c r="N54" s="7" t="n"/>
      <c r="O54" s="7" t="n"/>
      <c r="P54" s="8" t="n"/>
      <c r="Q54" s="9">
        <f>IF($L54="","",$L54*Varsayimlar!$B$5*(1+Varsayimlar!$B$7))</f>
        <v/>
      </c>
      <c r="R54" s="9">
        <f>IF($L54="","",$Q54+N($M54)+N($N54)+N($O54))</f>
        <v/>
      </c>
      <c r="S54" s="10" t="n">
        <v>5.26</v>
      </c>
      <c r="T54" s="3" t="inlineStr">
        <is>
          <t>https://www.etsy.com/listing/4550299061/gold-signet-ring-minimalist-pinky-ring</t>
        </is>
      </c>
    </row>
    <row r="55">
      <c r="A55" s="3" t="n">
        <v>54</v>
      </c>
      <c r="B55" s="3" t="n">
        <v>4554955373</v>
      </c>
      <c r="C55" s="4" t="inlineStr">
        <is>
          <t>Heirloom Dome Ring | Modern Statement Wide Band, 8mm Top, Minimalist Everyday Jewelry</t>
        </is>
      </c>
      <c r="D55" s="3" t="inlineStr">
        <is>
          <t>Pasif</t>
        </is>
      </c>
      <c r="E55" s="3" t="inlineStr">
        <is>
          <t>band</t>
        </is>
      </c>
      <c r="F55" s="3" t="n">
        <v>8</v>
      </c>
      <c r="G55" s="3" t="n">
        <v>2.5</v>
      </c>
      <c r="H55" s="3" t="n">
        <v>1.5</v>
      </c>
      <c r="I55" s="3" t="n">
        <v>8</v>
      </c>
      <c r="J55" s="5" t="inlineStr"/>
      <c r="K55" s="5" t="inlineStr">
        <is>
          <t>yok / none</t>
        </is>
      </c>
      <c r="L55" s="6" t="n"/>
      <c r="M55" s="7" t="n"/>
      <c r="N55" s="7" t="n"/>
      <c r="O55" s="7" t="n"/>
      <c r="P55" s="8" t="n"/>
      <c r="Q55" s="9">
        <f>IF($L55="","",$L55*Varsayimlar!$B$5*(1+Varsayimlar!$B$7))</f>
        <v/>
      </c>
      <c r="R55" s="9">
        <f>IF($L55="","",$Q55+N($M55)+N($N55)+N($O55))</f>
        <v/>
      </c>
      <c r="S55" s="10" t="n">
        <v>6.28</v>
      </c>
      <c r="T55" s="3" t="inlineStr">
        <is>
          <t>https://www.etsy.com/listing/4554955373/heirloom-ring-dome-ring-modern-statement</t>
        </is>
      </c>
    </row>
    <row r="56">
      <c r="A56" s="3" t="n">
        <v>55</v>
      </c>
      <c r="B56" s="3" t="n">
        <v>4556245256</v>
      </c>
      <c r="C56" s="4" t="inlineStr">
        <is>
          <t>Interconnected Wave Pave Diamond Ring | Modern Sculptural Statement Jewelry</t>
        </is>
      </c>
      <c r="D56" s="3" t="inlineStr">
        <is>
          <t>Pasif</t>
        </is>
      </c>
      <c r="E56" s="3" t="inlineStr">
        <is>
          <t>band</t>
        </is>
      </c>
      <c r="F56" s="3" t="n">
        <v>9.300000000000001</v>
      </c>
      <c r="G56" s="3" t="n">
        <v>1.25</v>
      </c>
      <c r="H56" s="3" t="n">
        <v>1.5</v>
      </c>
      <c r="I56" s="3" t="n"/>
      <c r="J56" s="5" t="inlineStr"/>
      <c r="K56" s="5" t="inlineStr">
        <is>
          <t>pave</t>
        </is>
      </c>
      <c r="L56" s="6" t="n"/>
      <c r="M56" s="7" t="n"/>
      <c r="N56" s="7" t="n"/>
      <c r="O56" s="7" t="n"/>
      <c r="P56" s="8" t="n"/>
      <c r="Q56" s="9">
        <f>IF($L56="","",$L56*Varsayimlar!$B$5*(1+Varsayimlar!$B$7))</f>
        <v/>
      </c>
      <c r="R56" s="9">
        <f>IF($L56="","",$Q56+N($M56)+N($N56)+N($O56))</f>
        <v/>
      </c>
      <c r="S56" s="10" t="n">
        <v>6.31</v>
      </c>
      <c r="T56" s="3" t="inlineStr">
        <is>
          <t>https://www.etsy.com/listing/4556245256/wave-pave-diamond-ring-o-interlocking</t>
        </is>
      </c>
    </row>
    <row r="57">
      <c r="A57" s="3" t="n">
        <v>56</v>
      </c>
      <c r="B57" s="3" t="n">
        <v>4546842479</v>
      </c>
      <c r="C57" s="4" t="inlineStr">
        <is>
          <t>Lab Grown Diamond Eternity Band | 1.7mm Wedding Ring, Stackable Anniversary Gift</t>
        </is>
      </c>
      <c r="D57" s="3" t="inlineStr">
        <is>
          <t>Pasif</t>
        </is>
      </c>
      <c r="E57" s="3" t="inlineStr">
        <is>
          <t>band</t>
        </is>
      </c>
      <c r="F57" s="3" t="n">
        <v>1.7</v>
      </c>
      <c r="G57" s="3" t="n">
        <v>1.7</v>
      </c>
      <c r="H57" s="3" t="n">
        <v>1.5</v>
      </c>
      <c r="I57" s="3" t="n">
        <v>1.7</v>
      </c>
      <c r="J57" s="5" t="inlineStr"/>
      <c r="K57" s="5" t="inlineStr">
        <is>
          <t>tam eternity</t>
        </is>
      </c>
      <c r="L57" s="6" t="n"/>
      <c r="M57" s="7" t="n"/>
      <c r="N57" s="7" t="n"/>
      <c r="O57" s="7" t="n"/>
      <c r="P57" s="8" t="n"/>
      <c r="Q57" s="9">
        <f>IF($L57="","",$L57*Varsayimlar!$B$5*(1+Varsayimlar!$B$7))</f>
        <v/>
      </c>
      <c r="R57" s="9">
        <f>IF($L57="","",$Q57+N($M57)+N($N57)+N($O57))</f>
        <v/>
      </c>
      <c r="S57" s="10" t="n">
        <v>2.03</v>
      </c>
      <c r="T57" s="3" t="inlineStr">
        <is>
          <t>https://www.etsy.com/listing/4546842479/lab-grown-diamond-eternity-band-17mm</t>
        </is>
      </c>
    </row>
    <row r="58">
      <c r="A58" s="3" t="n">
        <v>57</v>
      </c>
      <c r="B58" s="3" t="n">
        <v>4552078311</v>
      </c>
      <c r="C58" s="4" t="inlineStr">
        <is>
          <t>Lab Grown Diamond Eternity Band | 3.1mm Wedding Ring, Stackable Anniversary Gift</t>
        </is>
      </c>
      <c r="D58" s="3" t="inlineStr">
        <is>
          <t>Pasif</t>
        </is>
      </c>
      <c r="E58" s="3" t="inlineStr">
        <is>
          <t>band</t>
        </is>
      </c>
      <c r="F58" s="3" t="n">
        <v>3.1</v>
      </c>
      <c r="G58" s="3" t="n"/>
      <c r="H58" s="3" t="n">
        <v>1.5</v>
      </c>
      <c r="I58" s="3" t="n">
        <v>3.1</v>
      </c>
      <c r="J58" s="5" t="inlineStr"/>
      <c r="K58" s="5" t="inlineStr">
        <is>
          <t>tam eternity</t>
        </is>
      </c>
      <c r="L58" s="6" t="n"/>
      <c r="M58" s="7" t="n"/>
      <c r="N58" s="7" t="n"/>
      <c r="O58" s="7" t="n"/>
      <c r="P58" s="8" t="n"/>
      <c r="Q58" s="9">
        <f>IF($L58="","",$L58*Varsayimlar!$B$5*(1+Varsayimlar!$B$7))</f>
        <v/>
      </c>
      <c r="R58" s="9">
        <f>IF($L58="","",$Q58+N($M58)+N($N58)+N($O58))</f>
        <v/>
      </c>
      <c r="S58" s="10" t="n">
        <v>3.71</v>
      </c>
      <c r="T58" s="3" t="inlineStr">
        <is>
          <t>https://www.etsy.com/listing/4552078311/lab-grown-diamond-eternity-band-31mm</t>
        </is>
      </c>
    </row>
    <row r="59">
      <c r="A59" s="3" t="n">
        <v>58</v>
      </c>
      <c r="B59" s="3" t="n">
        <v>4552097077</v>
      </c>
      <c r="C59" s="4" t="inlineStr">
        <is>
          <t>Lab Grown Diamond Line Ring | Minimalist Stacking Band (1.3mm Width)</t>
        </is>
      </c>
      <c r="D59" s="3" t="inlineStr">
        <is>
          <t>Pasif</t>
        </is>
      </c>
      <c r="E59" s="3" t="inlineStr">
        <is>
          <t>band</t>
        </is>
      </c>
      <c r="F59" s="3" t="n">
        <v>1.3</v>
      </c>
      <c r="G59" s="3" t="n"/>
      <c r="H59" s="3" t="n">
        <v>1.5</v>
      </c>
      <c r="I59" s="3" t="n">
        <v>1.3</v>
      </c>
      <c r="J59" s="5" t="inlineStr"/>
      <c r="K59" s="5" t="inlineStr">
        <is>
          <t>tekil/aksan tas</t>
        </is>
      </c>
      <c r="L59" s="6" t="n"/>
      <c r="M59" s="7" t="n"/>
      <c r="N59" s="7" t="n"/>
      <c r="O59" s="7" t="n"/>
      <c r="P59" s="8" t="n"/>
      <c r="Q59" s="9">
        <f>IF($L59="","",$L59*Varsayimlar!$B$5*(1+Varsayimlar!$B$7))</f>
        <v/>
      </c>
      <c r="R59" s="9">
        <f>IF($L59="","",$Q59+N($M59)+N($N59)+N($O59))</f>
        <v/>
      </c>
      <c r="S59" s="10" t="n">
        <v>1.56</v>
      </c>
      <c r="T59" s="3" t="inlineStr">
        <is>
          <t>https://www.etsy.com/listing/4552097077/lab-grown-diamond-line-ring-minimalist</t>
        </is>
      </c>
    </row>
    <row r="60">
      <c r="A60" s="3" t="n">
        <v>59</v>
      </c>
      <c r="B60" s="3" t="n">
        <v>4553792547</v>
      </c>
      <c r="C60" s="4" t="inlineStr">
        <is>
          <t>Lab Grown Sapphire Dome Ring | Pave Statement Band, 6.5mm Width</t>
        </is>
      </c>
      <c r="D60" s="3" t="inlineStr">
        <is>
          <t>Pasif</t>
        </is>
      </c>
      <c r="E60" s="3" t="inlineStr">
        <is>
          <t>dome</t>
        </is>
      </c>
      <c r="F60" s="3" t="n">
        <v>6.5</v>
      </c>
      <c r="G60" s="3" t="n"/>
      <c r="H60" s="3" t="n">
        <v>1.5</v>
      </c>
      <c r="I60" s="3" t="n">
        <v>6.5</v>
      </c>
      <c r="J60" s="5" t="inlineStr"/>
      <c r="K60" s="5" t="inlineStr">
        <is>
          <t>pave</t>
        </is>
      </c>
      <c r="L60" s="6" t="n"/>
      <c r="M60" s="7" t="n"/>
      <c r="N60" s="7" t="n"/>
      <c r="O60" s="7" t="n"/>
      <c r="P60" s="8" t="n"/>
      <c r="Q60" s="9">
        <f>IF($L60="","",$L60*Varsayimlar!$B$5*(1+Varsayimlar!$B$7))</f>
        <v/>
      </c>
      <c r="R60" s="9">
        <f>IF($L60="","",$Q60+N($M60)+N($N60)+N($O60))</f>
        <v/>
      </c>
      <c r="S60" s="10" t="n">
        <v>7.78</v>
      </c>
      <c r="T60" s="3" t="inlineStr">
        <is>
          <t>https://www.etsy.com/listing/4553792547/lab-grown-sapphire-dome-ring-o-pave</t>
        </is>
      </c>
    </row>
    <row r="61">
      <c r="A61" s="3" t="n">
        <v>60</v>
      </c>
      <c r="B61" s="3" t="n">
        <v>4557989576</v>
      </c>
      <c r="C61" s="4" t="inlineStr">
        <is>
          <t>Lacey Lab Grown Diamond Band | Delicate Stacking Wedding Ring</t>
        </is>
      </c>
      <c r="D61" s="3" t="inlineStr">
        <is>
          <t>Pasif</t>
        </is>
      </c>
      <c r="E61" s="3" t="inlineStr">
        <is>
          <t>band</t>
        </is>
      </c>
      <c r="F61" s="3" t="n">
        <v>2.3</v>
      </c>
      <c r="G61" s="3" t="n"/>
      <c r="H61" s="3" t="n">
        <v>1.5</v>
      </c>
      <c r="I61" s="3" t="n"/>
      <c r="J61" s="5" t="inlineStr"/>
      <c r="K61" s="5" t="inlineStr">
        <is>
          <t>tekil/aksan tas</t>
        </is>
      </c>
      <c r="L61" s="6" t="n"/>
      <c r="M61" s="7" t="n"/>
      <c r="N61" s="7" t="n"/>
      <c r="O61" s="7" t="n"/>
      <c r="P61" s="8" t="n"/>
      <c r="Q61" s="9">
        <f>IF($L61="","",$L61*Varsayimlar!$B$5*(1+Varsayimlar!$B$7))</f>
        <v/>
      </c>
      <c r="R61" s="9">
        <f>IF($L61="","",$Q61+N($M61)+N($N61)+N($O61))</f>
        <v/>
      </c>
      <c r="S61" s="10" t="n">
        <v>2.75</v>
      </c>
      <c r="T61" s="3" t="inlineStr">
        <is>
          <t>https://www.etsy.com/listing/4557989576/lab-grown-diamond-ring-lacey-diamond</t>
        </is>
      </c>
    </row>
    <row r="62">
      <c r="A62" s="3" t="n">
        <v>61</v>
      </c>
      <c r="B62" s="3" t="n">
        <v>4553155082</v>
      </c>
      <c r="C62" s="4" t="inlineStr">
        <is>
          <t>Lacey Lab Grown Sapphire Ring | Dainty Engagement Ring | Minimalist Gemstone Jewelry</t>
        </is>
      </c>
      <c r="D62" s="3" t="inlineStr">
        <is>
          <t>Pasif</t>
        </is>
      </c>
      <c r="E62" s="3" t="inlineStr">
        <is>
          <t>band</t>
        </is>
      </c>
      <c r="F62" s="3" t="n">
        <v>2.5</v>
      </c>
      <c r="G62" s="3" t="n">
        <v>1.5</v>
      </c>
      <c r="H62" s="3" t="n">
        <v>1.5</v>
      </c>
      <c r="I62" s="3" t="n">
        <v>2.5</v>
      </c>
      <c r="J62" s="5" t="inlineStr"/>
      <c r="K62" s="5" t="inlineStr">
        <is>
          <t>tekil/aksan tas</t>
        </is>
      </c>
      <c r="L62" s="6" t="n"/>
      <c r="M62" s="7" t="n"/>
      <c r="N62" s="7" t="n"/>
      <c r="O62" s="7" t="n"/>
      <c r="P62" s="8" t="n"/>
      <c r="Q62" s="9">
        <f>IF($L62="","",$L62*Varsayimlar!$B$5*(1+Varsayimlar!$B$7))</f>
        <v/>
      </c>
      <c r="R62" s="9">
        <f>IF($L62="","",$Q62+N($M62)+N($N62)+N($O62))</f>
        <v/>
      </c>
      <c r="S62" s="10" t="n">
        <v>2.39</v>
      </c>
      <c r="T62" s="3" t="inlineStr">
        <is>
          <t>https://www.etsy.com/listing/4553155082/lacey-lab-grown-sapphire-ring-dainty</t>
        </is>
      </c>
    </row>
    <row r="63">
      <c r="A63" s="3" t="n">
        <v>62</v>
      </c>
      <c r="B63" s="3" t="n">
        <v>4546179727</v>
      </c>
      <c r="C63" s="4" t="inlineStr">
        <is>
          <t>Meridian Band Ring | Minimalist Dome Design, Unisex Contemporary Jewelry</t>
        </is>
      </c>
      <c r="D63" s="3" t="inlineStr">
        <is>
          <t>Pasif</t>
        </is>
      </c>
      <c r="E63" s="3" t="inlineStr">
        <is>
          <t>dome</t>
        </is>
      </c>
      <c r="F63" s="3" t="n">
        <v>6</v>
      </c>
      <c r="G63" s="3" t="n">
        <v>6</v>
      </c>
      <c r="H63" s="3" t="n">
        <v>1.5</v>
      </c>
      <c r="I63" s="3" t="n"/>
      <c r="J63" s="5" t="inlineStr"/>
      <c r="K63" s="5" t="inlineStr">
        <is>
          <t>yok / none</t>
        </is>
      </c>
      <c r="L63" s="6" t="n"/>
      <c r="M63" s="7" t="n"/>
      <c r="N63" s="7" t="n"/>
      <c r="O63" s="7" t="n"/>
      <c r="P63" s="8" t="n"/>
      <c r="Q63" s="9">
        <f>IF($L63="","",$L63*Varsayimlar!$B$5*(1+Varsayimlar!$B$7))</f>
        <v/>
      </c>
      <c r="R63" s="9">
        <f>IF($L63="","",$Q63+N($M63)+N($N63)+N($O63))</f>
        <v/>
      </c>
      <c r="S63" s="10" t="n">
        <v>7.18</v>
      </c>
      <c r="T63" s="3" t="inlineStr">
        <is>
          <t>https://www.etsy.com/listing/4546179727/meridian-band-ring-minimalist-dome</t>
        </is>
      </c>
    </row>
    <row r="64">
      <c r="A64" s="3" t="n">
        <v>63</v>
      </c>
      <c r="B64" s="3" t="n">
        <v>4553808001</v>
      </c>
      <c r="C64" s="4" t="inlineStr">
        <is>
          <t>Metallic Sphere Ring | Minimalist 3mm Wide Band | Everyday Stacking Jewelry</t>
        </is>
      </c>
      <c r="D64" s="3" t="inlineStr">
        <is>
          <t>Pasif</t>
        </is>
      </c>
      <c r="E64" s="3" t="inlineStr">
        <is>
          <t>band</t>
        </is>
      </c>
      <c r="F64" s="3" t="n">
        <v>3</v>
      </c>
      <c r="G64" s="3" t="n"/>
      <c r="H64" s="3" t="n">
        <v>1.5</v>
      </c>
      <c r="I64" s="3" t="n">
        <v>3</v>
      </c>
      <c r="J64" s="5" t="inlineStr"/>
      <c r="K64" s="5" t="inlineStr">
        <is>
          <t>yok / none</t>
        </is>
      </c>
      <c r="L64" s="6" t="n"/>
      <c r="M64" s="7" t="n"/>
      <c r="N64" s="7" t="n"/>
      <c r="O64" s="7" t="n"/>
      <c r="P64" s="8" t="n"/>
      <c r="Q64" s="9">
        <f>IF($L64="","",$L64*Varsayimlar!$B$5*(1+Varsayimlar!$B$7))</f>
        <v/>
      </c>
      <c r="R64" s="9">
        <f>IF($L64="","",$Q64+N($M64)+N($N64)+N($O64))</f>
        <v/>
      </c>
      <c r="S64" s="10" t="n">
        <v>3.59</v>
      </c>
      <c r="T64" s="3" t="inlineStr">
        <is>
          <t>https://www.etsy.com/listing/4553808001/metallic-sphere-ring-minimalist-3mm-wide</t>
        </is>
      </c>
    </row>
    <row r="65">
      <c r="A65" s="3" t="n">
        <v>64</v>
      </c>
      <c r="B65" s="3" t="n">
        <v>4546184741</v>
      </c>
      <c r="C65" s="4" t="inlineStr">
        <is>
          <t>Minimalist Gold Dome Ring | Modern Open Band Everyday Jewelry (5mm Wide)</t>
        </is>
      </c>
      <c r="D65" s="3" t="inlineStr">
        <is>
          <t>Pasif</t>
        </is>
      </c>
      <c r="E65" s="3" t="inlineStr">
        <is>
          <t>dome</t>
        </is>
      </c>
      <c r="F65" s="3" t="n">
        <v>5</v>
      </c>
      <c r="G65" s="3" t="n">
        <v>1.6</v>
      </c>
      <c r="H65" s="3" t="n">
        <v>1.5</v>
      </c>
      <c r="I65" s="3" t="n">
        <v>5</v>
      </c>
      <c r="J65" s="5" t="inlineStr"/>
      <c r="K65" s="5" t="inlineStr">
        <is>
          <t>yok / none</t>
        </is>
      </c>
      <c r="L65" s="6" t="n"/>
      <c r="M65" s="7" t="n"/>
      <c r="N65" s="7" t="n"/>
      <c r="O65" s="7" t="n"/>
      <c r="P65" s="8" t="n"/>
      <c r="Q65" s="9">
        <f>IF($L65="","",$L65*Varsayimlar!$B$5*(1+Varsayimlar!$B$7))</f>
        <v/>
      </c>
      <c r="R65" s="9">
        <f>IF($L65="","",$Q65+N($M65)+N($N65)+N($O65))</f>
        <v/>
      </c>
      <c r="S65" s="10" t="n">
        <v>3.95</v>
      </c>
      <c r="T65" s="3" t="inlineStr">
        <is>
          <t>https://www.etsy.com/listing/4546184741/minimalist-gold-dome-ring-modern-open</t>
        </is>
      </c>
    </row>
    <row r="66">
      <c r="A66" s="3" t="n">
        <v>65</v>
      </c>
      <c r="B66" s="3" t="n">
        <v>4549022637</v>
      </c>
      <c r="C66" s="4" t="inlineStr">
        <is>
          <t>Minimalist Gold Dome Ring | Slim Stacking Band | Everyday Statement Jewelry</t>
        </is>
      </c>
      <c r="D66" s="3" t="inlineStr">
        <is>
          <t>Pasif</t>
        </is>
      </c>
      <c r="E66" s="3" t="inlineStr">
        <is>
          <t>dome</t>
        </is>
      </c>
      <c r="F66" s="3" t="n">
        <v>3</v>
      </c>
      <c r="G66" s="3" t="n">
        <v>1.6</v>
      </c>
      <c r="H66" s="3" t="n">
        <v>1.5</v>
      </c>
      <c r="I66" s="3" t="n"/>
      <c r="J66" s="5" t="inlineStr"/>
      <c r="K66" s="5" t="inlineStr">
        <is>
          <t>yok / none</t>
        </is>
      </c>
      <c r="L66" s="6" t="n"/>
      <c r="M66" s="7" t="n"/>
      <c r="N66" s="7" t="n"/>
      <c r="O66" s="7" t="n"/>
      <c r="P66" s="8" t="n"/>
      <c r="Q66" s="9">
        <f>IF($L66="","",$L66*Varsayimlar!$B$5*(1+Varsayimlar!$B$7))</f>
        <v/>
      </c>
      <c r="R66" s="9">
        <f>IF($L66="","",$Q66+N($M66)+N($N66)+N($O66))</f>
        <v/>
      </c>
      <c r="S66" s="10" t="n">
        <v>2.75</v>
      </c>
      <c r="T66" s="3" t="inlineStr">
        <is>
          <t>https://www.etsy.com/listing/4549022637/minimalist-gold-dome-ring-slim-stacking</t>
        </is>
      </c>
    </row>
    <row r="67">
      <c r="A67" s="3" t="n">
        <v>66</v>
      </c>
      <c r="B67" s="3" t="n">
        <v>4551533957</v>
      </c>
      <c r="C67" s="4" t="inlineStr">
        <is>
          <t>Minimalist Gold Eternity Band Ring | Stackable Wedding Anniversary Band</t>
        </is>
      </c>
      <c r="D67" s="3" t="inlineStr">
        <is>
          <t>Pasif</t>
        </is>
      </c>
      <c r="E67" s="3" t="inlineStr">
        <is>
          <t>band</t>
        </is>
      </c>
      <c r="F67" s="3" t="n">
        <v>2</v>
      </c>
      <c r="G67" s="3" t="n"/>
      <c r="H67" s="3" t="n">
        <v>1.5</v>
      </c>
      <c r="I67" s="3" t="n"/>
      <c r="J67" s="5" t="inlineStr"/>
      <c r="K67" s="5" t="inlineStr">
        <is>
          <t>tam eternity</t>
        </is>
      </c>
      <c r="L67" s="6" t="n"/>
      <c r="M67" s="7" t="n"/>
      <c r="N67" s="7" t="n"/>
      <c r="O67" s="7" t="n"/>
      <c r="P67" s="8" t="n"/>
      <c r="Q67" s="9">
        <f>IF($L67="","",$L67*Varsayimlar!$B$5*(1+Varsayimlar!$B$7))</f>
        <v/>
      </c>
      <c r="R67" s="9">
        <f>IF($L67="","",$Q67+N($M67)+N($N67)+N($O67))</f>
        <v/>
      </c>
      <c r="S67" s="10" t="n">
        <v>2.39</v>
      </c>
      <c r="T67" s="3" t="inlineStr">
        <is>
          <t>https://www.etsy.com/listing/4551533957/minimalist-gold-eternity-band-ring</t>
        </is>
      </c>
    </row>
    <row r="68">
      <c r="A68" s="3" t="n">
        <v>67</v>
      </c>
      <c r="B68" s="3" t="n">
        <v>4550934548</v>
      </c>
      <c r="C68" s="4" t="inlineStr">
        <is>
          <t>Minimalist Gold Signet Ring | Classic 6mm Pinky Band Jewelry</t>
        </is>
      </c>
      <c r="D68" s="3" t="inlineStr">
        <is>
          <t>Pasif</t>
        </is>
      </c>
      <c r="E68" s="3" t="inlineStr">
        <is>
          <t>signet</t>
        </is>
      </c>
      <c r="F68" s="3" t="n">
        <v>6</v>
      </c>
      <c r="G68" s="3" t="n">
        <v>1</v>
      </c>
      <c r="H68" s="3" t="n">
        <v>1.5</v>
      </c>
      <c r="I68" s="3" t="n">
        <v>6</v>
      </c>
      <c r="J68" s="5" t="inlineStr"/>
      <c r="K68" s="5" t="inlineStr">
        <is>
          <t>yok / none</t>
        </is>
      </c>
      <c r="L68" s="6" t="n"/>
      <c r="M68" s="7" t="n"/>
      <c r="N68" s="7" t="n"/>
      <c r="O68" s="7" t="n"/>
      <c r="P68" s="8" t="n"/>
      <c r="Q68" s="9">
        <f>IF($L68="","",$L68*Varsayimlar!$B$5*(1+Varsayimlar!$B$7))</f>
        <v/>
      </c>
      <c r="R68" s="9">
        <f>IF($L68="","",$Q68+N($M68)+N($N68)+N($O68))</f>
        <v/>
      </c>
      <c r="S68" s="10" t="n">
        <v>4.19</v>
      </c>
      <c r="T68" s="3" t="inlineStr">
        <is>
          <t>https://www.etsy.com/listing/4550934548/minimalist-gold-signet-ring-classic-6mm</t>
        </is>
      </c>
    </row>
    <row r="69">
      <c r="A69" s="3" t="n">
        <v>68</v>
      </c>
      <c r="B69" s="3" t="n">
        <v>4552101181</v>
      </c>
      <c r="C69" s="4" t="inlineStr">
        <is>
          <t>Minimalist Gold Stacker Ring | 5.8mm Wide Band, Everyday Wear</t>
        </is>
      </c>
      <c r="D69" s="3" t="inlineStr">
        <is>
          <t>Pasif</t>
        </is>
      </c>
      <c r="E69" s="3" t="inlineStr">
        <is>
          <t>band</t>
        </is>
      </c>
      <c r="F69" s="3" t="n">
        <v>5.8</v>
      </c>
      <c r="G69" s="3" t="n"/>
      <c r="H69" s="3" t="n">
        <v>1.5</v>
      </c>
      <c r="I69" s="3" t="n">
        <v>5.8</v>
      </c>
      <c r="J69" s="5" t="inlineStr"/>
      <c r="K69" s="5" t="inlineStr">
        <is>
          <t>yok / none</t>
        </is>
      </c>
      <c r="L69" s="6" t="n"/>
      <c r="M69" s="7" t="n"/>
      <c r="N69" s="7" t="n"/>
      <c r="O69" s="7" t="n"/>
      <c r="P69" s="8" t="n"/>
      <c r="Q69" s="9">
        <f>IF($L69="","",$L69*Varsayimlar!$B$5*(1+Varsayimlar!$B$7))</f>
        <v/>
      </c>
      <c r="R69" s="9">
        <f>IF($L69="","",$Q69+N($M69)+N($N69)+N($O69))</f>
        <v/>
      </c>
      <c r="S69" s="10" t="n">
        <v>6.94</v>
      </c>
      <c r="T69" s="3" t="inlineStr">
        <is>
          <t>https://www.etsy.com/listing/4552101181/minimalist-gold-stacker-ring-58mm-wide</t>
        </is>
      </c>
    </row>
    <row r="70">
      <c r="A70" s="3" t="n">
        <v>69</v>
      </c>
      <c r="B70" s="3" t="n">
        <v>4552033260</v>
      </c>
      <c r="C70" s="4" t="inlineStr">
        <is>
          <t>Minimalist Gold Wishbone Ring | Dainty V Stacking Band, Everyday Wear</t>
        </is>
      </c>
      <c r="D70" s="3" t="inlineStr">
        <is>
          <t>Pasif</t>
        </is>
      </c>
      <c r="E70" s="3" t="inlineStr">
        <is>
          <t>band</t>
        </is>
      </c>
      <c r="F70" s="3" t="n">
        <v>1</v>
      </c>
      <c r="G70" s="3" t="n"/>
      <c r="H70" s="3" t="n">
        <v>1.5</v>
      </c>
      <c r="I70" s="3" t="n"/>
      <c r="J70" s="5" t="inlineStr"/>
      <c r="K70" s="5" t="inlineStr">
        <is>
          <t>yok / none</t>
        </is>
      </c>
      <c r="L70" s="6" t="n"/>
      <c r="M70" s="7" t="n"/>
      <c r="N70" s="7" t="n"/>
      <c r="O70" s="7" t="n"/>
      <c r="P70" s="8" t="n"/>
      <c r="Q70" s="9">
        <f>IF($L70="","",$L70*Varsayimlar!$B$5*(1+Varsayimlar!$B$7))</f>
        <v/>
      </c>
      <c r="R70" s="9">
        <f>IF($L70="","",$Q70+N($M70)+N($N70)+N($O70))</f>
        <v/>
      </c>
      <c r="S70" s="10" t="n">
        <v>1.2</v>
      </c>
      <c r="T70" s="3" t="inlineStr">
        <is>
          <t>https://www.etsy.com/listing/4552033260/minimalist-gold-wishbone-ring-dainty-v</t>
        </is>
      </c>
    </row>
    <row r="71">
      <c r="A71" s="3" t="n">
        <v>70</v>
      </c>
      <c r="B71" s="3" t="n">
        <v>4554940895</v>
      </c>
      <c r="C71" s="4" t="inlineStr">
        <is>
          <t>Open Diamond Band Ring | Minimalist Stackable Thin Ring</t>
        </is>
      </c>
      <c r="D71" s="3" t="inlineStr">
        <is>
          <t>Pasif</t>
        </is>
      </c>
      <c r="E71" s="3" t="inlineStr">
        <is>
          <t>band</t>
        </is>
      </c>
      <c r="F71" s="3" t="n">
        <v>1.2</v>
      </c>
      <c r="G71" s="3" t="n"/>
      <c r="H71" s="3" t="n">
        <v>1.5</v>
      </c>
      <c r="I71" s="3" t="n"/>
      <c r="J71" s="5" t="inlineStr"/>
      <c r="K71" s="5" t="inlineStr">
        <is>
          <t>tekil/aksan tas</t>
        </is>
      </c>
      <c r="L71" s="6" t="n"/>
      <c r="M71" s="7" t="n"/>
      <c r="N71" s="7" t="n"/>
      <c r="O71" s="7" t="n"/>
      <c r="P71" s="8" t="n"/>
      <c r="Q71" s="9">
        <f>IF($L71="","",$L71*Varsayimlar!$B$5*(1+Varsayimlar!$B$7))</f>
        <v/>
      </c>
      <c r="R71" s="9">
        <f>IF($L71="","",$Q71+N($M71)+N($N71)+N($O71))</f>
        <v/>
      </c>
      <c r="S71" s="10" t="n">
        <v>1.44</v>
      </c>
      <c r="T71" s="3" t="inlineStr">
        <is>
          <t>https://www.etsy.com/listing/4554940895/open-diamond-ring-delicate-diamond-band</t>
        </is>
      </c>
    </row>
    <row r="72">
      <c r="A72" s="3" t="n">
        <v>71</v>
      </c>
      <c r="B72" s="3" t="n">
        <v>4559884744</v>
      </c>
      <c r="C72" s="4" t="inlineStr">
        <is>
          <t>Open Dome Pave Diamond Ring | Minimalist Open Band Jewelry</t>
        </is>
      </c>
      <c r="D72" s="3" t="inlineStr">
        <is>
          <t>Pasif</t>
        </is>
      </c>
      <c r="E72" s="3" t="inlineStr">
        <is>
          <t>dome</t>
        </is>
      </c>
      <c r="F72" s="3" t="n">
        <v>5.5</v>
      </c>
      <c r="G72" s="3" t="n">
        <v>1.7</v>
      </c>
      <c r="H72" s="3" t="n">
        <v>1.5</v>
      </c>
      <c r="I72" s="3" t="n"/>
      <c r="J72" s="5" t="inlineStr"/>
      <c r="K72" s="5" t="inlineStr">
        <is>
          <t>pave</t>
        </is>
      </c>
      <c r="L72" s="6" t="n"/>
      <c r="M72" s="7" t="n"/>
      <c r="N72" s="7" t="n"/>
      <c r="O72" s="7" t="n"/>
      <c r="P72" s="8" t="n"/>
      <c r="Q72" s="9">
        <f>IF($L72="","",$L72*Varsayimlar!$B$5*(1+Varsayimlar!$B$7))</f>
        <v/>
      </c>
      <c r="R72" s="9">
        <f>IF($L72="","",$Q72+N($M72)+N($N72)+N($O72))</f>
        <v/>
      </c>
      <c r="S72" s="10" t="n">
        <v>4.31</v>
      </c>
      <c r="T72" s="3" t="inlineStr">
        <is>
          <t>https://www.etsy.com/listing/4559884744/pave-diamond-ring-open-dome-ring-open</t>
        </is>
      </c>
    </row>
    <row r="73">
      <c r="A73" s="3" t="n">
        <v>72</v>
      </c>
      <c r="B73" s="3" t="n">
        <v>4558660905</v>
      </c>
      <c r="C73" s="4" t="inlineStr">
        <is>
          <t>Organic Dome Marquise Ring | Thin Diamond Stacking Band, Minimalist Bridal Nesting Ring</t>
        </is>
      </c>
      <c r="D73" s="3" t="inlineStr">
        <is>
          <t>Pasif</t>
        </is>
      </c>
      <c r="E73" s="3" t="inlineStr">
        <is>
          <t>dome</t>
        </is>
      </c>
      <c r="F73" s="3" t="n">
        <v>3.8</v>
      </c>
      <c r="G73" s="3" t="n">
        <v>1.7</v>
      </c>
      <c r="H73" s="3" t="n">
        <v>1.5</v>
      </c>
      <c r="I73" s="3" t="n"/>
      <c r="J73" s="5" t="inlineStr"/>
      <c r="K73" s="5" t="inlineStr">
        <is>
          <t>tekil/aksan tas</t>
        </is>
      </c>
      <c r="L73" s="6" t="n"/>
      <c r="M73" s="7" t="n"/>
      <c r="N73" s="7" t="n"/>
      <c r="O73" s="7" t="n"/>
      <c r="P73" s="8" t="n"/>
      <c r="Q73" s="9">
        <f>IF($L73="","",$L73*Varsayimlar!$B$5*(1+Varsayimlar!$B$7))</f>
        <v/>
      </c>
      <c r="R73" s="9">
        <f>IF($L73="","",$Q73+N($M73)+N($N73)+N($O73))</f>
        <v/>
      </c>
      <c r="S73" s="10" t="n">
        <v>3.29</v>
      </c>
      <c r="T73" s="3" t="inlineStr">
        <is>
          <t>https://www.etsy.com/listing/4558660905/marquise-cut-nesting-ring-organic-dome</t>
        </is>
      </c>
    </row>
    <row r="74">
      <c r="A74" s="3" t="n">
        <v>73</v>
      </c>
      <c r="B74" s="3" t="n">
        <v>4552133042</v>
      </c>
      <c r="C74" s="4" t="inlineStr">
        <is>
          <t>Organic Dome Nesting Ring Set | Minimalist Stackable Rings (1.5mm)</t>
        </is>
      </c>
      <c r="D74" s="3" t="inlineStr">
        <is>
          <t>Pasif</t>
        </is>
      </c>
      <c r="E74" s="3" t="inlineStr">
        <is>
          <t>dome</t>
        </is>
      </c>
      <c r="F74" s="3" t="n">
        <v>1.5</v>
      </c>
      <c r="G74" s="3" t="n"/>
      <c r="H74" s="3" t="n">
        <v>1.5</v>
      </c>
      <c r="I74" s="3" t="n">
        <v>1.5</v>
      </c>
      <c r="J74" s="5" t="inlineStr"/>
      <c r="K74" s="5" t="inlineStr">
        <is>
          <t>yok / none</t>
        </is>
      </c>
      <c r="L74" s="6" t="n"/>
      <c r="M74" s="7" t="n"/>
      <c r="N74" s="7" t="n"/>
      <c r="O74" s="7" t="n"/>
      <c r="P74" s="8" t="n"/>
      <c r="Q74" s="9">
        <f>IF($L74="","",$L74*Varsayimlar!$B$5*(1+Varsayimlar!$B$7))</f>
        <v/>
      </c>
      <c r="R74" s="9">
        <f>IF($L74="","",$Q74+N($M74)+N($N74)+N($O74))</f>
        <v/>
      </c>
      <c r="S74" s="10" t="n">
        <v>1.79</v>
      </c>
      <c r="T74" s="3" t="inlineStr">
        <is>
          <t>https://www.etsy.com/listing/4552133042/organic-dome-nesting-ring-set-o</t>
        </is>
      </c>
    </row>
    <row r="75">
      <c r="A75" s="3" t="n">
        <v>74</v>
      </c>
      <c r="B75" s="3" t="n">
        <v>4559892713</v>
      </c>
      <c r="C75" s="4" t="inlineStr">
        <is>
          <t>Pave Diamond X Ring | Modern Stackable Statement Band (9.5mm Wide)</t>
        </is>
      </c>
      <c r="D75" s="3" t="inlineStr">
        <is>
          <t>Pasif</t>
        </is>
      </c>
      <c r="E75" s="3" t="inlineStr">
        <is>
          <t>band</t>
        </is>
      </c>
      <c r="F75" s="3" t="n">
        <v>9.5</v>
      </c>
      <c r="G75" s="3" t="n"/>
      <c r="H75" s="3" t="n">
        <v>1.5</v>
      </c>
      <c r="I75" s="3" t="n">
        <v>9.5</v>
      </c>
      <c r="J75" s="5" t="inlineStr"/>
      <c r="K75" s="5" t="inlineStr">
        <is>
          <t>pave</t>
        </is>
      </c>
      <c r="L75" s="6" t="n"/>
      <c r="M75" s="7" t="n"/>
      <c r="N75" s="7" t="n"/>
      <c r="O75" s="7" t="n"/>
      <c r="P75" s="8" t="n"/>
      <c r="Q75" s="9">
        <f>IF($L75="","",$L75*Varsayimlar!$B$5*(1+Varsayimlar!$B$7))</f>
        <v/>
      </c>
      <c r="R75" s="9">
        <f>IF($L75="","",$Q75+N($M75)+N($N75)+N($O75))</f>
        <v/>
      </c>
      <c r="S75" s="10" t="n">
        <v>11.37</v>
      </c>
      <c r="T75" s="3" t="inlineStr">
        <is>
          <t>https://www.etsy.com/listing/4559892713/pave-diamond-x-ring-o-x-ring-band-o</t>
        </is>
      </c>
    </row>
    <row r="76">
      <c r="A76" s="3" t="n">
        <v>75</v>
      </c>
      <c r="B76" s="3" t="n">
        <v>4559891185</v>
      </c>
      <c r="C76" s="4" t="inlineStr">
        <is>
          <t>Prism Lab Grown Diamond Eternity Band | Geometric Wedding Stacking Ring 2.2mm</t>
        </is>
      </c>
      <c r="D76" s="3" t="inlineStr">
        <is>
          <t>Pasif</t>
        </is>
      </c>
      <c r="E76" s="3" t="inlineStr">
        <is>
          <t>band</t>
        </is>
      </c>
      <c r="F76" s="3" t="n">
        <v>2.2</v>
      </c>
      <c r="G76" s="3" t="n">
        <v>2.2</v>
      </c>
      <c r="H76" s="3" t="n">
        <v>1.5</v>
      </c>
      <c r="I76" s="3" t="n">
        <v>2.2</v>
      </c>
      <c r="J76" s="5" t="inlineStr"/>
      <c r="K76" s="5" t="inlineStr">
        <is>
          <t>tam eternity</t>
        </is>
      </c>
      <c r="L76" s="6" t="n"/>
      <c r="M76" s="7" t="n"/>
      <c r="N76" s="7" t="n"/>
      <c r="O76" s="7" t="n"/>
      <c r="P76" s="8" t="n"/>
      <c r="Q76" s="9">
        <f>IF($L76="","",$L76*Varsayimlar!$B$5*(1+Varsayimlar!$B$7))</f>
        <v/>
      </c>
      <c r="R76" s="9">
        <f>IF($L76="","",$Q76+N($M76)+N($N76)+N($O76))</f>
        <v/>
      </c>
      <c r="S76" s="10" t="n">
        <v>2.63</v>
      </c>
      <c r="T76" s="3" t="inlineStr">
        <is>
          <t>https://www.etsy.com/listing/4559891185/lab-grown-diamond-eternity-band-prism</t>
        </is>
      </c>
    </row>
    <row r="77">
      <c r="A77" s="3" t="n">
        <v>76</v>
      </c>
      <c r="B77" s="3" t="n">
        <v>4554965144</v>
      </c>
      <c r="C77" s="4" t="inlineStr">
        <is>
          <t>Puffy Charlotte Dome Ring | 6.2mm Wide Stacker Band, Minimalist Statement Jewelry</t>
        </is>
      </c>
      <c r="D77" s="3" t="inlineStr">
        <is>
          <t>Pasif</t>
        </is>
      </c>
      <c r="E77" s="3" t="inlineStr">
        <is>
          <t>dome</t>
        </is>
      </c>
      <c r="F77" s="3" t="n">
        <v>6.2</v>
      </c>
      <c r="G77" s="3" t="n"/>
      <c r="H77" s="3" t="n">
        <v>1.5</v>
      </c>
      <c r="I77" s="3" t="n">
        <v>6.2</v>
      </c>
      <c r="J77" s="5" t="inlineStr"/>
      <c r="K77" s="5" t="inlineStr">
        <is>
          <t>yok / none</t>
        </is>
      </c>
      <c r="L77" s="6" t="n"/>
      <c r="M77" s="7" t="n"/>
      <c r="N77" s="7" t="n"/>
      <c r="O77" s="7" t="n"/>
      <c r="P77" s="8" t="n"/>
      <c r="Q77" s="9">
        <f>IF($L77="","",$L77*Varsayimlar!$B$5*(1+Varsayimlar!$B$7))</f>
        <v/>
      </c>
      <c r="R77" s="9">
        <f>IF($L77="","",$Q77+N($M77)+N($N77)+N($O77))</f>
        <v/>
      </c>
      <c r="S77" s="10" t="n">
        <v>7.42</v>
      </c>
      <c r="T77" s="3" t="inlineStr">
        <is>
          <t>https://www.etsy.com/listing/4554965144/puffy-charlotte-ring-chunky-stacker-ring</t>
        </is>
      </c>
    </row>
    <row r="78">
      <c r="A78" s="3" t="n">
        <v>77</v>
      </c>
      <c r="B78" s="3" t="n">
        <v>4554953887</v>
      </c>
      <c r="C78" s="4" t="inlineStr">
        <is>
          <t>Puzzle Stacking Ring | 1.5mm Thin Minimalist Band | Modern Everyday Jewelry</t>
        </is>
      </c>
      <c r="D78" s="3" t="inlineStr">
        <is>
          <t>Pasif</t>
        </is>
      </c>
      <c r="E78" s="3" t="inlineStr">
        <is>
          <t>band</t>
        </is>
      </c>
      <c r="F78" s="3" t="n">
        <v>1.5</v>
      </c>
      <c r="G78" s="3" t="n"/>
      <c r="H78" s="3" t="n">
        <v>1.5</v>
      </c>
      <c r="I78" s="3" t="n">
        <v>1.5</v>
      </c>
      <c r="J78" s="5" t="inlineStr"/>
      <c r="K78" s="5" t="inlineStr">
        <is>
          <t>yok / none</t>
        </is>
      </c>
      <c r="L78" s="6" t="n"/>
      <c r="M78" s="7" t="n"/>
      <c r="N78" s="7" t="n"/>
      <c r="O78" s="7" t="n"/>
      <c r="P78" s="8" t="n"/>
      <c r="Q78" s="9">
        <f>IF($L78="","",$L78*Varsayimlar!$B$5*(1+Varsayimlar!$B$7))</f>
        <v/>
      </c>
      <c r="R78" s="9">
        <f>IF($L78="","",$Q78+N($M78)+N($N78)+N($O78))</f>
        <v/>
      </c>
      <c r="S78" s="10" t="n">
        <v>1.79</v>
      </c>
      <c r="T78" s="3" t="inlineStr">
        <is>
          <t>https://www.etsy.com/listing/4554953887/puzzle-ring-stacking-ring-minimalist</t>
        </is>
      </c>
    </row>
    <row r="79">
      <c r="A79" s="3" t="n">
        <v>78</v>
      </c>
      <c r="B79" s="3" t="n">
        <v>4550939147</v>
      </c>
      <c r="C79" s="4" t="inlineStr">
        <is>
          <t>Sculptural Band Ring | Modern Minimalist, 2.5mm Width, Stackable Everyday Jewelry</t>
        </is>
      </c>
      <c r="D79" s="3" t="inlineStr">
        <is>
          <t>Pasif</t>
        </is>
      </c>
      <c r="E79" s="3" t="inlineStr">
        <is>
          <t>band</t>
        </is>
      </c>
      <c r="F79" s="3" t="n">
        <v>2.5</v>
      </c>
      <c r="G79" s="3" t="n"/>
      <c r="H79" s="3" t="n">
        <v>1.5</v>
      </c>
      <c r="I79" s="3" t="n">
        <v>2.5</v>
      </c>
      <c r="J79" s="5" t="inlineStr"/>
      <c r="K79" s="5" t="inlineStr">
        <is>
          <t>yok / none</t>
        </is>
      </c>
      <c r="L79" s="6" t="n"/>
      <c r="M79" s="7" t="n"/>
      <c r="N79" s="7" t="n"/>
      <c r="O79" s="7" t="n"/>
      <c r="P79" s="8" t="n"/>
      <c r="Q79" s="9">
        <f>IF($L79="","",$L79*Varsayimlar!$B$5*(1+Varsayimlar!$B$7))</f>
        <v/>
      </c>
      <c r="R79" s="9">
        <f>IF($L79="","",$Q79+N($M79)+N($N79)+N($O79))</f>
        <v/>
      </c>
      <c r="S79" s="10" t="n">
        <v>2.99</v>
      </c>
      <c r="T79" s="3" t="inlineStr">
        <is>
          <t>https://www.etsy.com/listing/4550939147/sculptural-band-ring-modern-minimalist</t>
        </is>
      </c>
    </row>
    <row r="80">
      <c r="A80" s="3" t="n">
        <v>79</v>
      </c>
      <c r="B80" s="3" t="n">
        <v>4557297951</v>
      </c>
      <c r="C80" s="4" t="inlineStr">
        <is>
          <t>Sculptural Open Dome Ring | Bold Minimalist Band, Contemporary Statement Jewelry</t>
        </is>
      </c>
      <c r="D80" s="3" t="inlineStr">
        <is>
          <t>Pasif</t>
        </is>
      </c>
      <c r="E80" s="3" t="inlineStr">
        <is>
          <t>dome</t>
        </is>
      </c>
      <c r="F80" s="3" t="n">
        <v>10.6</v>
      </c>
      <c r="G80" s="3" t="n">
        <v>2</v>
      </c>
      <c r="H80" s="3" t="n">
        <v>1.5</v>
      </c>
      <c r="I80" s="3" t="n"/>
      <c r="J80" s="5" t="inlineStr"/>
      <c r="K80" s="5" t="inlineStr">
        <is>
          <t>yok / none</t>
        </is>
      </c>
      <c r="L80" s="6" t="n"/>
      <c r="M80" s="7" t="n"/>
      <c r="N80" s="7" t="n"/>
      <c r="O80" s="7" t="n"/>
      <c r="P80" s="8" t="n"/>
      <c r="Q80" s="9">
        <f>IF($L80="","",$L80*Varsayimlar!$B$5*(1+Varsayimlar!$B$7))</f>
        <v/>
      </c>
      <c r="R80" s="9">
        <f>IF($L80="","",$Q80+N($M80)+N($N80)+N($O80))</f>
        <v/>
      </c>
      <c r="S80" s="10" t="n">
        <v>7.54</v>
      </c>
      <c r="T80" s="3" t="inlineStr">
        <is>
          <t>https://www.etsy.com/listing/4557297951/open-dome-ring-bold-dome-ring-sculptural</t>
        </is>
      </c>
    </row>
    <row r="81">
      <c r="A81" s="3" t="n">
        <v>80</v>
      </c>
      <c r="B81" s="3" t="n">
        <v>4558664005</v>
      </c>
      <c r="C81" s="4" t="inlineStr">
        <is>
          <t>Seismic Band Ring | 6mm Wide Contemporary Wedding Band, Minimalist Stackable Jewelry</t>
        </is>
      </c>
      <c r="D81" s="3" t="inlineStr">
        <is>
          <t>Pasif</t>
        </is>
      </c>
      <c r="E81" s="3" t="inlineStr">
        <is>
          <t>band</t>
        </is>
      </c>
      <c r="F81" s="3" t="n">
        <v>6</v>
      </c>
      <c r="G81" s="3" t="n">
        <v>6</v>
      </c>
      <c r="H81" s="3" t="n">
        <v>1.5</v>
      </c>
      <c r="I81" s="3" t="n">
        <v>6</v>
      </c>
      <c r="J81" s="5" t="inlineStr"/>
      <c r="K81" s="5" t="inlineStr">
        <is>
          <t>yok / none</t>
        </is>
      </c>
      <c r="L81" s="6" t="n"/>
      <c r="M81" s="7" t="n"/>
      <c r="N81" s="7" t="n"/>
      <c r="O81" s="7" t="n"/>
      <c r="P81" s="8" t="n"/>
      <c r="Q81" s="9">
        <f>IF($L81="","",$L81*Varsayimlar!$B$5*(1+Varsayimlar!$B$7))</f>
        <v/>
      </c>
      <c r="R81" s="9">
        <f>IF($L81="","",$Q81+N($M81)+N($N81)+N($O81))</f>
        <v/>
      </c>
      <c r="S81" s="10" t="n">
        <v>7.18</v>
      </c>
      <c r="T81" s="3" t="inlineStr">
        <is>
          <t>https://www.etsy.com/listing/4558664005/seismic-ring-band-6mm-chunky-band-ring</t>
        </is>
      </c>
    </row>
    <row r="82">
      <c r="A82" s="3" t="n">
        <v>81</v>
      </c>
      <c r="B82" s="3" t="n">
        <v>4559909674</v>
      </c>
      <c r="C82" s="4" t="inlineStr">
        <is>
          <t>Slim Diamond Eternity Band | 1.5mm Minimalist Wedding Ring</t>
        </is>
      </c>
      <c r="D82" s="3" t="inlineStr">
        <is>
          <t>Pasif</t>
        </is>
      </c>
      <c r="E82" s="3" t="inlineStr">
        <is>
          <t>band</t>
        </is>
      </c>
      <c r="F82" s="3" t="n">
        <v>1.5</v>
      </c>
      <c r="G82" s="3" t="n"/>
      <c r="H82" s="3" t="n">
        <v>1.5</v>
      </c>
      <c r="I82" s="3" t="n">
        <v>1.5</v>
      </c>
      <c r="J82" s="5" t="inlineStr"/>
      <c r="K82" s="5" t="inlineStr">
        <is>
          <t>tam eternity</t>
        </is>
      </c>
      <c r="L82" s="6" t="n"/>
      <c r="M82" s="7" t="n"/>
      <c r="N82" s="7" t="n"/>
      <c r="O82" s="7" t="n"/>
      <c r="P82" s="8" t="n"/>
      <c r="Q82" s="9">
        <f>IF($L82="","",$L82*Varsayimlar!$B$5*(1+Varsayimlar!$B$7))</f>
        <v/>
      </c>
      <c r="R82" s="9">
        <f>IF($L82="","",$Q82+N($M82)+N($N82)+N($O82))</f>
        <v/>
      </c>
      <c r="S82" s="10" t="n">
        <v>1.79</v>
      </c>
      <c r="T82" s="3" t="inlineStr">
        <is>
          <t>https://www.etsy.com/listing/4559909674/diamond-eternity-band-dainty-wedding</t>
        </is>
      </c>
    </row>
    <row r="83">
      <c r="A83" s="3" t="n">
        <v>82</v>
      </c>
      <c r="B83" s="3" t="n">
        <v>4559881595</v>
      </c>
      <c r="C83" s="4" t="inlineStr">
        <is>
          <t>Slim Diamond Eternity Band | Dainty Stacking Ring (1.1mm)</t>
        </is>
      </c>
      <c r="D83" s="3" t="inlineStr">
        <is>
          <t>Pasif</t>
        </is>
      </c>
      <c r="E83" s="3" t="inlineStr">
        <is>
          <t>band</t>
        </is>
      </c>
      <c r="F83" s="3" t="n">
        <v>1.1</v>
      </c>
      <c r="G83" s="3" t="n"/>
      <c r="H83" s="3" t="n">
        <v>1.5</v>
      </c>
      <c r="I83" s="3" t="n">
        <v>1.1</v>
      </c>
      <c r="J83" s="5" t="inlineStr"/>
      <c r="K83" s="5" t="inlineStr">
        <is>
          <t>tam eternity</t>
        </is>
      </c>
      <c r="L83" s="6" t="n"/>
      <c r="M83" s="7" t="n"/>
      <c r="N83" s="7" t="n"/>
      <c r="O83" s="7" t="n"/>
      <c r="P83" s="8" t="n"/>
      <c r="Q83" s="9">
        <f>IF($L83="","",$L83*Varsayimlar!$B$5*(1+Varsayimlar!$B$7))</f>
        <v/>
      </c>
      <c r="R83" s="9">
        <f>IF($L83="","",$Q83+N($M83)+N($N83)+N($O83))</f>
        <v/>
      </c>
      <c r="S83" s="10" t="n">
        <v>1.32</v>
      </c>
      <c r="T83" s="3" t="inlineStr">
        <is>
          <t>https://www.etsy.com/listing/4559881595/diamond-eternity-band-slim-diamond-ring</t>
        </is>
      </c>
    </row>
    <row r="84">
      <c r="A84" s="3" t="n">
        <v>83</v>
      </c>
      <c r="B84" s="3" t="n">
        <v>4558668281</v>
      </c>
      <c r="C84" s="4" t="inlineStr">
        <is>
          <t>Slim Gold Signet Ring | Dainty Minimalist Stacking Band, Everyday Modern Jewelry</t>
        </is>
      </c>
      <c r="D84" s="3" t="inlineStr">
        <is>
          <t>Pasif</t>
        </is>
      </c>
      <c r="E84" s="3" t="inlineStr">
        <is>
          <t>signet</t>
        </is>
      </c>
      <c r="F84" s="3" t="n">
        <v>3.8</v>
      </c>
      <c r="G84" s="3" t="n">
        <v>1.3</v>
      </c>
      <c r="H84" s="3" t="n">
        <v>1.5</v>
      </c>
      <c r="I84" s="3" t="n"/>
      <c r="J84" s="5" t="inlineStr"/>
      <c r="K84" s="5" t="inlineStr">
        <is>
          <t>yok / none</t>
        </is>
      </c>
      <c r="L84" s="6" t="n"/>
      <c r="M84" s="7" t="n"/>
      <c r="N84" s="7" t="n"/>
      <c r="O84" s="7" t="n"/>
      <c r="P84" s="8" t="n"/>
      <c r="Q84" s="9">
        <f>IF($L84="","",$L84*Varsayimlar!$B$5*(1+Varsayimlar!$B$7))</f>
        <v/>
      </c>
      <c r="R84" s="9">
        <f>IF($L84="","",$Q84+N($M84)+N($N84)+N($O84))</f>
        <v/>
      </c>
      <c r="S84" s="10" t="n">
        <v>3.05</v>
      </c>
      <c r="T84" s="3" t="inlineStr">
        <is>
          <t>https://www.etsy.com/listing/4558668281/slim-gold-signet-ring-dainty-minimalist</t>
        </is>
      </c>
    </row>
    <row r="85">
      <c r="A85" s="3" t="n">
        <v>84</v>
      </c>
      <c r="B85" s="3" t="n">
        <v>4549046924</v>
      </c>
      <c r="C85" s="4" t="inlineStr">
        <is>
          <t>Slim Rectangular Signet Ring | Minimalist Gold Band, Everyday Stackable Jewelry</t>
        </is>
      </c>
      <c r="D85" s="3" t="inlineStr">
        <is>
          <t>Pasif</t>
        </is>
      </c>
      <c r="E85" s="3" t="inlineStr">
        <is>
          <t>signet</t>
        </is>
      </c>
      <c r="F85" s="3" t="n">
        <v>6</v>
      </c>
      <c r="G85" s="3" t="n">
        <v>1</v>
      </c>
      <c r="H85" s="3" t="n">
        <v>1.5</v>
      </c>
      <c r="I85" s="3" t="n"/>
      <c r="J85" s="5" t="inlineStr"/>
      <c r="K85" s="5" t="inlineStr">
        <is>
          <t>yok / none</t>
        </is>
      </c>
      <c r="L85" s="6" t="n"/>
      <c r="M85" s="7" t="n"/>
      <c r="N85" s="7" t="n"/>
      <c r="O85" s="7" t="n"/>
      <c r="P85" s="8" t="n"/>
      <c r="Q85" s="9">
        <f>IF($L85="","",$L85*Varsayimlar!$B$5*(1+Varsayimlar!$B$7))</f>
        <v/>
      </c>
      <c r="R85" s="9">
        <f>IF($L85="","",$Q85+N($M85)+N($N85)+N($O85))</f>
        <v/>
      </c>
      <c r="S85" s="10" t="n">
        <v>4.19</v>
      </c>
      <c r="T85" s="3" t="inlineStr">
        <is>
          <t>https://www.etsy.com/listing/4549046924/slim-rectangular-signet-ring-minimalist</t>
        </is>
      </c>
    </row>
    <row r="86">
      <c r="A86" s="3" t="n">
        <v>85</v>
      </c>
      <c r="B86" s="3" t="n">
        <v>4556239169</v>
      </c>
      <c r="C86" s="4" t="inlineStr">
        <is>
          <t>Square Black Onyx Signet Ring | Minimalist Geometric Mens Jewelry</t>
        </is>
      </c>
      <c r="D86" s="3" t="inlineStr">
        <is>
          <t>Pasif</t>
        </is>
      </c>
      <c r="E86" s="3" t="inlineStr">
        <is>
          <t>signet</t>
        </is>
      </c>
      <c r="F86" s="3" t="n">
        <v>8.699999999999999</v>
      </c>
      <c r="G86" s="3" t="n">
        <v>2.5</v>
      </c>
      <c r="H86" s="3" t="n">
        <v>1.5</v>
      </c>
      <c r="I86" s="3" t="n"/>
      <c r="J86" s="5" t="inlineStr"/>
      <c r="K86" s="5" t="inlineStr">
        <is>
          <t>tekil/aksan tas</t>
        </is>
      </c>
      <c r="L86" s="6" t="n"/>
      <c r="M86" s="7" t="n"/>
      <c r="N86" s="7" t="n"/>
      <c r="O86" s="7" t="n"/>
      <c r="P86" s="8" t="n"/>
      <c r="Q86" s="9">
        <f>IF($L86="","",$L86*Varsayimlar!$B$5*(1+Varsayimlar!$B$7))</f>
        <v/>
      </c>
      <c r="R86" s="9">
        <f>IF($L86="","",$Q86+N($M86)+N($N86)+N($O86))</f>
        <v/>
      </c>
      <c r="S86" s="10" t="n">
        <v>6.7</v>
      </c>
      <c r="T86" s="3" t="inlineStr">
        <is>
          <t>https://www.etsy.com/listing/4556239169/black-onyx-square-signet-ring-mens</t>
        </is>
      </c>
    </row>
    <row r="87">
      <c r="A87" s="3" t="n">
        <v>86</v>
      </c>
      <c r="B87" s="3" t="n">
        <v>4543742514</v>
      </c>
      <c r="C87" s="4" t="inlineStr">
        <is>
          <t>Square Signet Ring | 10mm Minimalist Gold Band | Unisex Pinky Ring</t>
        </is>
      </c>
      <c r="D87" s="3" t="inlineStr">
        <is>
          <t>Pasif</t>
        </is>
      </c>
      <c r="E87" s="3" t="inlineStr">
        <is>
          <t>signet</t>
        </is>
      </c>
      <c r="F87" s="3" t="n">
        <v>10</v>
      </c>
      <c r="G87" s="3" t="n">
        <v>2.5</v>
      </c>
      <c r="H87" s="3" t="n">
        <v>1.5</v>
      </c>
      <c r="I87" s="3" t="n">
        <v>10</v>
      </c>
      <c r="J87" s="5" t="inlineStr"/>
      <c r="K87" s="5" t="inlineStr">
        <is>
          <t>yok / none</t>
        </is>
      </c>
      <c r="L87" s="6" t="n"/>
      <c r="M87" s="7" t="n"/>
      <c r="N87" s="7" t="n"/>
      <c r="O87" s="7" t="n"/>
      <c r="P87" s="8" t="n"/>
      <c r="Q87" s="9">
        <f>IF($L87="","",$L87*Varsayimlar!$B$5*(1+Varsayimlar!$B$7))</f>
        <v/>
      </c>
      <c r="R87" s="9">
        <f>IF($L87="","",$Q87+N($M87)+N($N87)+N($O87))</f>
        <v/>
      </c>
      <c r="S87" s="10" t="n">
        <v>10.72</v>
      </c>
      <c r="T87" s="3" t="inlineStr">
        <is>
          <t>https://www.etsy.com/listing/4543742514/square-signet-ring-10mm-minimalist-gold</t>
        </is>
      </c>
    </row>
    <row r="88">
      <c r="A88" s="3" t="n">
        <v>87</v>
      </c>
      <c r="B88" s="3" t="n">
        <v>4550942827</v>
      </c>
      <c r="C88" s="4" t="inlineStr">
        <is>
          <t>Stackable Gold Ring Set | Slim Charlotte Bands, Dainty Everyday Jewelry</t>
        </is>
      </c>
      <c r="D88" s="3" t="inlineStr">
        <is>
          <t>Pasif</t>
        </is>
      </c>
      <c r="E88" s="3" t="inlineStr">
        <is>
          <t>band</t>
        </is>
      </c>
      <c r="F88" s="3" t="n">
        <v>1.5</v>
      </c>
      <c r="G88" s="3" t="n"/>
      <c r="H88" s="3" t="n">
        <v>1.5</v>
      </c>
      <c r="I88" s="3" t="n"/>
      <c r="J88" s="5" t="inlineStr"/>
      <c r="K88" s="5" t="inlineStr">
        <is>
          <t>yok / none</t>
        </is>
      </c>
      <c r="L88" s="6" t="n"/>
      <c r="M88" s="7" t="n"/>
      <c r="N88" s="7" t="n"/>
      <c r="O88" s="7" t="n"/>
      <c r="P88" s="8" t="n"/>
      <c r="Q88" s="9">
        <f>IF($L88="","",$L88*Varsayimlar!$B$5*(1+Varsayimlar!$B$7))</f>
        <v/>
      </c>
      <c r="R88" s="9">
        <f>IF($L88="","",$Q88+N($M88)+N($N88)+N($O88))</f>
        <v/>
      </c>
      <c r="S88" s="10" t="n">
        <v>1.79</v>
      </c>
      <c r="T88" s="3" t="inlineStr">
        <is>
          <t>https://www.etsy.com/listing/4550942827/stackable-gold-ring-set-slim-charlotte</t>
        </is>
      </c>
    </row>
    <row r="89">
      <c r="A89" s="3" t="n">
        <v>88</v>
      </c>
      <c r="B89" s="3" t="n">
        <v>4538023253</v>
      </c>
      <c r="C89" s="4" t="inlineStr">
        <is>
          <t>Stevie Ring | Bold 6.5mm Wide Band | Modern Minimalist Statement Jewelry</t>
        </is>
      </c>
      <c r="D89" s="3" t="inlineStr">
        <is>
          <t>Pasif</t>
        </is>
      </c>
      <c r="E89" s="3" t="inlineStr">
        <is>
          <t>band</t>
        </is>
      </c>
      <c r="F89" s="3" t="n">
        <v>6.5</v>
      </c>
      <c r="G89" s="3" t="n"/>
      <c r="H89" s="3" t="n">
        <v>1.5</v>
      </c>
      <c r="I89" s="3" t="n">
        <v>6.5</v>
      </c>
      <c r="J89" s="5" t="inlineStr"/>
      <c r="K89" s="5" t="inlineStr">
        <is>
          <t>yok / none</t>
        </is>
      </c>
      <c r="L89" s="6" t="n"/>
      <c r="M89" s="7" t="n"/>
      <c r="N89" s="7" t="n"/>
      <c r="O89" s="7" t="n"/>
      <c r="P89" s="8" t="n"/>
      <c r="Q89" s="9">
        <f>IF($L89="","",$L89*Varsayimlar!$B$5*(1+Varsayimlar!$B$7))</f>
        <v/>
      </c>
      <c r="R89" s="9">
        <f>IF($L89="","",$Q89+N($M89)+N($N89)+N($O89))</f>
        <v/>
      </c>
      <c r="S89" s="10" t="n">
        <v>7.78</v>
      </c>
      <c r="T89" s="3" t="inlineStr">
        <is>
          <t>https://www.etsy.com/listing/4538023253/stevie-ring-65mm-statement-ring-gold</t>
        </is>
      </c>
    </row>
    <row r="90">
      <c r="A90" s="3" t="n">
        <v>89</v>
      </c>
      <c r="B90" s="3" t="n">
        <v>4547283007</v>
      </c>
      <c r="C90" s="4" t="inlineStr">
        <is>
          <t>Thin Gold Dome Ring | Minimalist Wedding Band, Everyday Stacking Jewelry</t>
        </is>
      </c>
      <c r="D90" s="3" t="inlineStr">
        <is>
          <t>Pasif</t>
        </is>
      </c>
      <c r="E90" s="3" t="inlineStr">
        <is>
          <t>dome</t>
        </is>
      </c>
      <c r="F90" s="3" t="n">
        <v>6.2</v>
      </c>
      <c r="G90" s="3" t="n">
        <v>2</v>
      </c>
      <c r="H90" s="3" t="n">
        <v>1.5</v>
      </c>
      <c r="I90" s="3" t="n"/>
      <c r="J90" s="5" t="inlineStr"/>
      <c r="K90" s="5" t="inlineStr">
        <is>
          <t>yok / none</t>
        </is>
      </c>
      <c r="L90" s="6" t="n"/>
      <c r="M90" s="7" t="n"/>
      <c r="N90" s="7" t="n"/>
      <c r="O90" s="7" t="n"/>
      <c r="P90" s="8" t="n"/>
      <c r="Q90" s="9">
        <f>IF($L90="","",$L90*Varsayimlar!$B$5*(1+Varsayimlar!$B$7))</f>
        <v/>
      </c>
      <c r="R90" s="9">
        <f>IF($L90="","",$Q90+N($M90)+N($N90)+N($O90))</f>
        <v/>
      </c>
      <c r="S90" s="10" t="n">
        <v>4.91</v>
      </c>
      <c r="T90" s="3" t="inlineStr">
        <is>
          <t>https://www.etsy.com/listing/4547283007/thin-gold-dome-ring-minimalist-wedding</t>
        </is>
      </c>
    </row>
    <row r="91">
      <c r="A91" s="3" t="n">
        <v>90</v>
      </c>
      <c r="B91" s="3" t="n">
        <v>4543248600</v>
      </c>
      <c r="C91" s="4" t="inlineStr">
        <is>
          <t>Twisted Duo Ring Set | Smooth and Twist Bands, Minimalist Wedding Jewelry</t>
        </is>
      </c>
      <c r="D91" s="3" t="inlineStr">
        <is>
          <t>Pasif</t>
        </is>
      </c>
      <c r="E91" s="3" t="inlineStr">
        <is>
          <t>band</t>
        </is>
      </c>
      <c r="F91" s="3" t="n">
        <v>1.5</v>
      </c>
      <c r="G91" s="3" t="n"/>
      <c r="H91" s="3" t="n">
        <v>1.5</v>
      </c>
      <c r="I91" s="3" t="n"/>
      <c r="J91" s="5" t="inlineStr"/>
      <c r="K91" s="5" t="inlineStr">
        <is>
          <t>yok / none</t>
        </is>
      </c>
      <c r="L91" s="6" t="n"/>
      <c r="M91" s="7" t="n"/>
      <c r="N91" s="7" t="n"/>
      <c r="O91" s="7" t="n"/>
      <c r="P91" s="8" t="n"/>
      <c r="Q91" s="9">
        <f>IF($L91="","",$L91*Varsayimlar!$B$5*(1+Varsayimlar!$B$7))</f>
        <v/>
      </c>
      <c r="R91" s="9">
        <f>IF($L91="","",$Q91+N($M91)+N($N91)+N($O91))</f>
        <v/>
      </c>
      <c r="S91" s="10" t="n">
        <v>4.31</v>
      </c>
      <c r="T91" s="3" t="inlineStr">
        <is>
          <t>https://www.etsy.com/listing/4543248600/twisted-duo-ring-set-smooth-and-twist</t>
        </is>
      </c>
    </row>
    <row r="92">
      <c r="A92" s="3" t="n">
        <v>91</v>
      </c>
      <c r="B92" s="3" t="n">
        <v>4546206240</v>
      </c>
      <c r="C92" s="4" t="inlineStr">
        <is>
          <t>Twisted Rope Band Ring | Minimalist Stacking Ring, Everyday Jewelry</t>
        </is>
      </c>
      <c r="D92" s="3" t="inlineStr">
        <is>
          <t>Pasif</t>
        </is>
      </c>
      <c r="E92" s="3" t="inlineStr">
        <is>
          <t>band</t>
        </is>
      </c>
      <c r="F92" s="3" t="n">
        <v>1.5</v>
      </c>
      <c r="G92" s="3" t="n"/>
      <c r="H92" s="3" t="n">
        <v>1.5</v>
      </c>
      <c r="I92" s="3" t="n"/>
      <c r="J92" s="5" t="inlineStr"/>
      <c r="K92" s="5" t="inlineStr">
        <is>
          <t>yok / none</t>
        </is>
      </c>
      <c r="L92" s="6" t="n"/>
      <c r="M92" s="7" t="n"/>
      <c r="N92" s="7" t="n"/>
      <c r="O92" s="7" t="n"/>
      <c r="P92" s="8" t="n"/>
      <c r="Q92" s="9">
        <f>IF($L92="","",$L92*Varsayimlar!$B$5*(1+Varsayimlar!$B$7))</f>
        <v/>
      </c>
      <c r="R92" s="9">
        <f>IF($L92="","",$Q92+N($M92)+N($N92)+N($O92))</f>
        <v/>
      </c>
      <c r="S92" s="10" t="n">
        <v>1.79</v>
      </c>
      <c r="T92" s="3" t="inlineStr">
        <is>
          <t>https://www.etsy.com/listing/4546206240/twisted-rope-band-ring-minimalist</t>
        </is>
      </c>
    </row>
    <row r="93">
      <c r="A93" s="3" t="n">
        <v>92</v>
      </c>
      <c r="B93" s="3" t="n">
        <v>4550306442</v>
      </c>
      <c r="C93" s="4" t="inlineStr">
        <is>
          <t>Ziggy Wave Ring | Sculptural Gold Band, Minimalist Stackable Jewelry</t>
        </is>
      </c>
      <c r="D93" s="3" t="inlineStr">
        <is>
          <t>Pasif</t>
        </is>
      </c>
      <c r="E93" s="3" t="inlineStr">
        <is>
          <t>band</t>
        </is>
      </c>
      <c r="F93" s="3" t="n">
        <v>4</v>
      </c>
      <c r="G93" s="3" t="n">
        <v>1.3</v>
      </c>
      <c r="H93" s="3" t="n">
        <v>1.5</v>
      </c>
      <c r="I93" s="3" t="n"/>
      <c r="J93" s="5" t="inlineStr"/>
      <c r="K93" s="5" t="inlineStr">
        <is>
          <t>yok / none</t>
        </is>
      </c>
      <c r="L93" s="6" t="n"/>
      <c r="M93" s="7" t="n"/>
      <c r="N93" s="7" t="n"/>
      <c r="O93" s="7" t="n"/>
      <c r="P93" s="8" t="n"/>
      <c r="Q93" s="9">
        <f>IF($L93="","",$L93*Varsayimlar!$B$5*(1+Varsayimlar!$B$7))</f>
        <v/>
      </c>
      <c r="R93" s="9">
        <f>IF($L93="","",$Q93+N($M93)+N($N93)+N($O93))</f>
        <v/>
      </c>
      <c r="S93" s="10" t="n">
        <v>3.17</v>
      </c>
      <c r="T93" s="3" t="inlineStr">
        <is>
          <t>https://www.etsy.com/listing/4550306442/ziggy-wave-ring-sculptural-gold-band</t>
        </is>
      </c>
    </row>
    <row r="94">
      <c r="A94" s="3" t="n">
        <v>93</v>
      </c>
      <c r="B94" s="3" t="n">
        <v>4558671043</v>
      </c>
      <c r="C94" s="4" t="inlineStr">
        <is>
          <t>10K/14k Solid Gold Wishbone Ring, 1mm Stacking Band with Clear Stone Accents</t>
        </is>
      </c>
      <c r="D94" s="3" t="inlineStr">
        <is>
          <t>Aktif</t>
        </is>
      </c>
      <c r="E94" s="3" t="inlineStr">
        <is>
          <t>band</t>
        </is>
      </c>
      <c r="F94" s="3" t="n">
        <v>1</v>
      </c>
      <c r="G94" s="3" t="n">
        <v>1</v>
      </c>
      <c r="H94" s="3" t="n">
        <v>1.5</v>
      </c>
      <c r="I94" s="3" t="n"/>
      <c r="J94" s="5" t="inlineStr"/>
      <c r="K94" s="5" t="inlineStr">
        <is>
          <t>tekil/aksan tas</t>
        </is>
      </c>
      <c r="L94" s="6" t="n"/>
      <c r="M94" s="7" t="n"/>
      <c r="N94" s="7" t="n"/>
      <c r="O94" s="7" t="n"/>
      <c r="P94" s="8" t="n"/>
      <c r="Q94" s="9">
        <f>IF($L94="","",$L94*Varsayimlar!$B$5*(1+Varsayimlar!$B$7))</f>
        <v/>
      </c>
      <c r="R94" s="9">
        <f>IF($L94="","",$Q94+N($M94)+N($N94)+N($O94))</f>
        <v/>
      </c>
      <c r="S94" s="10" t="n">
        <v>1.2</v>
      </c>
      <c r="T94" s="3" t="inlineStr">
        <is>
          <t>https://www.etsy.com/listing/4558671043/dainty-gold-wishbone-stacking-ring-thin</t>
        </is>
      </c>
    </row>
    <row r="96">
      <c r="C96" s="11" t="inlineStr">
        <is>
          <t>SARI hucreler uretici tarafindan doldurulacak. Genislikler canli Etsy aciklamalariyla teyit edildi (2026-09-08); acik celiski kalmadi.</t>
        </is>
      </c>
    </row>
    <row r="97">
      <c r="C97" s="12" t="inlineStr">
        <is>
          <t>Gram, 14K / US 7 referansinda istenir. Diger karat ve bedenler bu referanstan panelde olceklenir.</t>
        </is>
      </c>
    </row>
    <row r="98">
      <c r="C98" s="12" t="inlineStr">
        <is>
          <t>Kaynak: olculer Etsy urun aciklamalarindan otomatik cikarildi (Ophir Gold USA, panel DB, 93 kayit, 2026-08-28).</t>
        </is>
      </c>
    </row>
  </sheetData>
  <autoFilter ref="A1:T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68" customWidth="1" min="3" max="3"/>
  </cols>
  <sheetData>
    <row r="1">
      <c r="A1" s="13" t="inlineStr">
        <is>
          <t>Varsayimlar / Assumptions</t>
        </is>
      </c>
    </row>
    <row r="3">
      <c r="A3" s="14" t="inlineStr">
        <is>
          <t>Girdi</t>
        </is>
      </c>
      <c r="B3" s="14" t="inlineStr">
        <is>
          <t>Deger</t>
        </is>
      </c>
      <c r="C3" s="15" t="inlineStr">
        <is>
          <t>Kaynak / not</t>
        </is>
      </c>
    </row>
    <row r="4">
      <c r="A4" s="16" t="inlineStr">
        <is>
          <t>10K altin alis (USD/gram)</t>
        </is>
      </c>
      <c r="B4" s="17" t="n">
        <v>65</v>
      </c>
      <c r="C4" s="15" t="inlineStr">
        <is>
          <t>Panel &gt; Ayarlar &gt; Altin (gold_settings.purchase_price_10k_cents=6500)</t>
        </is>
      </c>
    </row>
    <row r="5">
      <c r="A5" s="16" t="inlineStr">
        <is>
          <t>14K altin alis (USD/gram)</t>
        </is>
      </c>
      <c r="B5" s="17" t="n">
        <v>101</v>
      </c>
      <c r="C5" s="15" t="inlineStr">
        <is>
          <t>Panel &gt; Ayarlar &gt; Altin (gold_settings.purchase_price_14k_cents=10100)</t>
        </is>
      </c>
    </row>
    <row r="6">
      <c r="A6" s="16" t="inlineStr">
        <is>
          <t>18K altin alis (USD/gram)</t>
        </is>
      </c>
      <c r="B6" s="17" t="n">
        <v>130</v>
      </c>
      <c r="C6" s="15" t="inlineStr">
        <is>
          <t>VARSAYIM - panelde 18K kaydi YOK. 14K'nin saflik oraniyla turetildi: 101/0.583*0.750.</t>
        </is>
      </c>
    </row>
    <row r="7">
      <c r="A7" s="16" t="inlineStr">
        <is>
          <t>Fire / kayip orani</t>
        </is>
      </c>
      <c r="B7" s="18" t="n">
        <v>0.07000000000000001</v>
      </c>
      <c r="C7" s="15" t="inlineStr">
        <is>
          <t>EON v4 motoru (lib/pricing/gold-index.ts, V4.fire). Uretici kendi firesini veriyorsa onu kullanin.</t>
        </is>
      </c>
    </row>
    <row r="8">
      <c r="A8" s="16" t="inlineStr">
        <is>
          <t>Referans beden</t>
        </is>
      </c>
      <c r="B8" s="19" t="inlineStr">
        <is>
          <t>US 7</t>
        </is>
      </c>
      <c r="C8" s="15" t="inlineStr">
        <is>
          <t>Gram talebi bu bedende. Panel diger bedenlere olcekler.</t>
        </is>
      </c>
    </row>
    <row r="9">
      <c r="A9" s="16" t="inlineStr">
        <is>
          <t>Referans kalinlik (mm)</t>
        </is>
      </c>
      <c r="B9" s="17" t="n">
        <v>1.5</v>
      </c>
      <c r="C9" s="15" t="inlineStr">
        <is>
          <t>93 listingin 63'unde aciklamada yazili; gozlenen araligin tamami 1.50-1.60 mm.</t>
        </is>
      </c>
    </row>
    <row r="11">
      <c r="A11" s="20" t="inlineStr">
        <is>
          <t>Metal maliyeti = gram x 14K alis x (1 + fire).  Toplam maliyet = metal + iscilik + tas/mihlama + dokum/diger.</t>
        </is>
      </c>
    </row>
    <row r="12">
      <c r="A12" s="11" t="inlineStr">
        <is>
          <t>SATIS fiyati bu sayfada YOK - once gercek maliyet toplanir, fiyat sonra panelde kurulur.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3" t="inlineStr">
        <is>
          <t>Nasil doldurulur / How to fill</t>
        </is>
      </c>
    </row>
    <row r="3" ht="30" customHeight="1">
      <c r="A3" s="14" t="inlineStr">
        <is>
          <t>Amac</t>
        </is>
      </c>
      <c r="B3" s="21" t="inlineStr">
        <is>
          <t>93 listing icin GERCEK maliyet girdilerini ureticiden almak. Panelde su an gram YOK; tum listingler tek tip 366 USD fiyatta.</t>
        </is>
      </c>
    </row>
    <row r="4" ht="30" customHeight="1">
      <c r="A4" s="14" t="inlineStr">
        <is>
          <t>Doldurulacak alanlar</t>
        </is>
      </c>
      <c r="B4" s="21" t="inlineStr">
        <is>
          <t>Yalnizca SARI hucreler: GRAM 14K (US 7), ISCILIK USD, TAS+MIHLAMA USD, DOKUM+DIGER USD, URETICI NOTU.</t>
        </is>
      </c>
    </row>
    <row r="5" ht="30" customHeight="1">
      <c r="A5" s="14" t="inlineStr">
        <is>
          <t>Gram</t>
        </is>
      </c>
      <c r="B5" s="21" t="inlineStr">
        <is>
          <t>14 ayar ve US 7 beden icin parca basi net gram. Tek referans yeter; diger karat/bedenler panelde hesaplanir.</t>
        </is>
      </c>
    </row>
    <row r="6" ht="30" customHeight="1">
      <c r="A6" s="14" t="inlineStr">
        <is>
          <t>Iscilik</t>
        </is>
      </c>
      <c r="B6" s="21" t="inlineStr">
        <is>
          <t>Parca basi iscilik (USD). Tas mihlama HARIC - o ayri sutunda.</t>
        </is>
      </c>
    </row>
    <row r="7" ht="30" customHeight="1">
      <c r="A7" s="14" t="inlineStr">
        <is>
          <t>Tas + mihlama</t>
        </is>
      </c>
      <c r="B7" s="21" t="inlineStr">
        <is>
          <t>Tas bedeli + mihlama iscilligi toplami (USD). Tas yoksa 0 yazin.</t>
        </is>
      </c>
    </row>
    <row r="8" ht="30" customHeight="1">
      <c r="A8" s="14" t="inlineStr">
        <is>
          <t>Dokum + diger</t>
        </is>
      </c>
      <c r="B8" s="21" t="inlineStr">
        <is>
          <t>Dokum, cila, kaplama vb. varsa (USD). Yoksa 0.</t>
        </is>
      </c>
    </row>
    <row r="9" ht="30" customHeight="1">
      <c r="A9" s="14" t="inlineStr">
        <is>
          <t>KONTROL sutunu</t>
        </is>
      </c>
      <c r="B9" s="21" t="inlineStr">
        <is>
          <t>Bos. Onceki surumde 9 satir isaretliydi; 2026-09-08 denetiminde hepsi YANLIS ALARM cikti - 8 satirda kalinlik genislik sutununa yazilmisti (duzeltildi), 1 satirda basliktaki mm tas olcusuydu.</t>
        </is>
      </c>
    </row>
    <row r="10" ht="30" customHeight="1">
      <c r="A10" s="14" t="inlineStr">
        <is>
          <t>Hesaplanan sutunlar</t>
        </is>
      </c>
      <c r="B10" s="21" t="inlineStr">
        <is>
          <t>'Metal maliyeti' ve 'TOPLAM MALIYET' otomatik hesaplanir - elle doldurmayin.</t>
        </is>
      </c>
    </row>
    <row r="11" ht="30" customHeight="1">
      <c r="A11" s="14" t="inlineStr">
        <is>
          <t>Bizim gram tahminimiz</t>
        </is>
      </c>
      <c r="B11" s="21" t="inlineStr">
        <is>
          <t>Sadece BUYUKLUK FIKRI icin. Olcuden hesaplanan kaba tahmindir, dogrulanmis degildir - referans almayin.</t>
        </is>
      </c>
    </row>
    <row r="13">
      <c r="A13" s="22" t="inlineStr">
        <is>
          <t>ORNEK SATIR (beklenen format)</t>
        </is>
      </c>
    </row>
    <row r="14">
      <c r="A14" s="23" t="inlineStr">
        <is>
          <t>Urun</t>
        </is>
      </c>
      <c r="B14" s="23" t="inlineStr">
        <is>
          <t>GRAM 14K (US 7)</t>
        </is>
      </c>
      <c r="C14" s="23" t="inlineStr">
        <is>
          <t>ISCILIK USD</t>
        </is>
      </c>
      <c r="D14" s="23" t="inlineStr">
        <is>
          <t>TAS+MIHLAMA USD</t>
        </is>
      </c>
      <c r="E14" s="23" t="inlineStr">
        <is>
          <t>DOKUM+DIGER USD</t>
        </is>
      </c>
      <c r="F14" s="23" t="inlineStr">
        <is>
          <t>URETICI NOTU</t>
        </is>
      </c>
    </row>
    <row r="15">
      <c r="A15" s="24" t="inlineStr">
        <is>
          <t>2mm Smooth Gold Band Ring</t>
        </is>
      </c>
      <c r="B15" s="25" t="n">
        <v>2.05</v>
      </c>
      <c r="C15" s="26" t="n">
        <v>100</v>
      </c>
      <c r="D15" s="26" t="n">
        <v>0</v>
      </c>
      <c r="E15" s="26" t="n">
        <v>12</v>
      </c>
      <c r="F15" s="24" t="inlineStr">
        <is>
          <t>Duz band, tassiz. US7 net 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2026-09-16T19:44:07Z</dcterms:created>
  <dcterms:modified xsi:type="dcterms:W3CDTF">2026-09-16T19:44:07Z</dcterms:modified>
</cp:coreProperties>
</file>