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p9pu7HKiNkZBhZf+7JN5Rc3JtbCpkIl6MgdSav8i2AY="/>
    </ext>
  </extLst>
</workbook>
</file>

<file path=xl/sharedStrings.xml><?xml version="1.0" encoding="utf-8"?>
<sst xmlns="http://schemas.openxmlformats.org/spreadsheetml/2006/main" count="222" uniqueCount="63">
  <si>
    <t>1.5 MM GRAM WEIGHT</t>
  </si>
  <si>
    <t>SIZE /WIDTH</t>
  </si>
  <si>
    <t>1 MM</t>
  </si>
  <si>
    <t>2 MM</t>
  </si>
  <si>
    <t>3 MM</t>
  </si>
  <si>
    <t>4 MM</t>
  </si>
  <si>
    <t>5 MM</t>
  </si>
  <si>
    <t>6 MM</t>
  </si>
  <si>
    <t>7 MM</t>
  </si>
  <si>
    <t>8 MM</t>
  </si>
  <si>
    <t xml:space="preserve"> 9 MM</t>
  </si>
  <si>
    <t>10 MM</t>
  </si>
  <si>
    <t>14K MALIYET TABLOSU</t>
  </si>
  <si>
    <t xml:space="preserve">platin ayrılacak </t>
  </si>
  <si>
    <t>14K PLANLANAN SATIS FIYATI</t>
  </si>
  <si>
    <t>SIZE / WIDTH</t>
  </si>
  <si>
    <t>9 MM</t>
  </si>
  <si>
    <t>1.5 mm</t>
  </si>
  <si>
    <t>1 mm</t>
  </si>
  <si>
    <t>2 mm</t>
  </si>
  <si>
    <t>3 mm</t>
  </si>
  <si>
    <t>2 1/4</t>
  </si>
  <si>
    <t>2 1/2</t>
  </si>
  <si>
    <t>2 3/4</t>
  </si>
  <si>
    <t>3 1/4</t>
  </si>
  <si>
    <t>3 1/2</t>
  </si>
  <si>
    <t>3 3/4</t>
  </si>
  <si>
    <t>4 1/4</t>
  </si>
  <si>
    <t>4 1/2</t>
  </si>
  <si>
    <t>4 3/4</t>
  </si>
  <si>
    <t>5 1/4</t>
  </si>
  <si>
    <t>5 1/2</t>
  </si>
  <si>
    <t>5 3/4</t>
  </si>
  <si>
    <t>6 1/4</t>
  </si>
  <si>
    <t>6 1/2</t>
  </si>
  <si>
    <t>6 3/4</t>
  </si>
  <si>
    <t>7 1/4</t>
  </si>
  <si>
    <t>7 1/2</t>
  </si>
  <si>
    <t>7 3/4</t>
  </si>
  <si>
    <t>8 1/4</t>
  </si>
  <si>
    <t>8 1/2</t>
  </si>
  <si>
    <t>8 3/4</t>
  </si>
  <si>
    <t>9 1/4</t>
  </si>
  <si>
    <t>9 1/2</t>
  </si>
  <si>
    <t>9 3/4</t>
  </si>
  <si>
    <t>10 1/4</t>
  </si>
  <si>
    <t>10 1/2</t>
  </si>
  <si>
    <t>10 3/4</t>
  </si>
  <si>
    <t>11 1/4</t>
  </si>
  <si>
    <t>11 1/2</t>
  </si>
  <si>
    <t>11 3/4</t>
  </si>
  <si>
    <t>12 1/4</t>
  </si>
  <si>
    <t>12 1/2</t>
  </si>
  <si>
    <t>12 3/4</t>
  </si>
  <si>
    <t>13 1/4</t>
  </si>
  <si>
    <t>13 1/2</t>
  </si>
  <si>
    <t>13 3/4</t>
  </si>
  <si>
    <t>14 1/4</t>
  </si>
  <si>
    <t>14 1/2</t>
  </si>
  <si>
    <t>14 3/4</t>
  </si>
  <si>
    <t>18K PLANLANAN SATIS FIYATI</t>
  </si>
  <si>
    <t xml:space="preserve">1mm için </t>
  </si>
  <si>
    <t>PLATINUM PLANLANAN SATIS FIYATI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</si>
</sst>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0.0"/>
  </numFmts>
  <fonts count="5">
    <font>
      <sz val="10.0"/>
      <color rgb="FF000000"/>
      <name val="Arial"/>
      <scheme val="minor"/>
    </font>
    <font>
      <sz val="22.0"/>
      <color theme="1"/>
      <name val="Arial"/>
    </font>
    <font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2" numFmtId="165" xfId="0" applyAlignment="1" applyBorder="1" applyFont="1" applyNumberFormat="1">
      <alignment horizontal="center" vertical="bottom"/>
    </xf>
    <xf borderId="5" fillId="0" fontId="2" numFmtId="165" xfId="0" applyAlignment="1" applyBorder="1" applyFont="1" applyNumberFormat="1">
      <alignment horizontal="center" vertical="bottom"/>
    </xf>
    <xf borderId="4" fillId="0" fontId="2" numFmtId="165" xfId="0" applyAlignment="1" applyBorder="1" applyFont="1" applyNumberFormat="1">
      <alignment horizontal="center" vertical="bottom"/>
    </xf>
    <xf borderId="0" fillId="0" fontId="4" numFmtId="0" xfId="0" applyFont="1"/>
    <xf borderId="7" fillId="0" fontId="2" numFmtId="0" xfId="0" applyAlignment="1" applyBorder="1" applyFont="1">
      <alignment horizontal="center" readingOrder="0" vertical="bottom"/>
    </xf>
    <xf borderId="8" fillId="0" fontId="2" numFmtId="165" xfId="0" applyAlignment="1" applyBorder="1" applyFont="1" applyNumberFormat="1">
      <alignment horizontal="center" vertical="bottom"/>
    </xf>
    <xf borderId="9" fillId="0" fontId="2" numFmtId="165" xfId="0" applyAlignment="1" applyBorder="1" applyFont="1" applyNumberFormat="1">
      <alignment horizontal="center" vertical="bottom"/>
    </xf>
    <xf borderId="7" fillId="0" fontId="2" numFmtId="165" xfId="0" applyAlignment="1" applyBorder="1" applyFont="1" applyNumberFormat="1">
      <alignment horizontal="center" vertical="bottom"/>
    </xf>
    <xf borderId="7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readingOrder="0" vertical="bottom"/>
    </xf>
    <xf borderId="11" fillId="0" fontId="2" numFmtId="0" xfId="0" applyAlignment="1" applyBorder="1" applyFont="1">
      <alignment horizontal="center" readingOrder="0" vertical="bottom"/>
    </xf>
    <xf borderId="12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5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readingOrder="0" vertical="bottom"/>
    </xf>
    <xf borderId="16" fillId="0" fontId="2" numFmtId="165" xfId="0" applyAlignment="1" applyBorder="1" applyFont="1" applyNumberFormat="1">
      <alignment horizontal="center" vertical="bottom"/>
    </xf>
    <xf borderId="17" fillId="0" fontId="2" numFmtId="165" xfId="0" applyAlignment="1" applyBorder="1" applyFont="1" applyNumberFormat="1">
      <alignment horizontal="center" vertical="bottom"/>
    </xf>
    <xf borderId="9" fillId="0" fontId="2" numFmtId="0" xfId="0" applyAlignment="1" applyBorder="1" applyFon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8" fillId="0" fontId="2" numFmtId="165" xfId="0" applyAlignment="1" applyBorder="1" applyFont="1" applyNumberFormat="1">
      <alignment horizontal="center" vertical="bottom"/>
    </xf>
    <xf borderId="9" fillId="0" fontId="2" numFmtId="0" xfId="0" applyAlignment="1" applyBorder="1" applyFont="1">
      <alignment horizontal="center" vertical="bottom"/>
    </xf>
    <xf borderId="19" fillId="0" fontId="2" numFmtId="0" xfId="0" applyAlignment="1" applyBorder="1" applyFont="1">
      <alignment horizontal="center" vertical="bottom"/>
    </xf>
    <xf borderId="20" fillId="0" fontId="2" numFmtId="0" xfId="0" applyAlignment="1" applyBorder="1" applyFont="1">
      <alignment horizontal="center" readingOrder="0" vertical="bottom"/>
    </xf>
    <xf borderId="21" fillId="0" fontId="2" numFmtId="0" xfId="0" applyAlignment="1" applyBorder="1" applyFont="1">
      <alignment horizontal="center" readingOrder="0" vertical="bottom"/>
    </xf>
    <xf borderId="22" fillId="0" fontId="2" numFmtId="0" xfId="0" applyAlignment="1" applyBorder="1" applyFont="1">
      <alignment readingOrder="0" vertical="bottom"/>
    </xf>
    <xf borderId="23" fillId="0" fontId="2" numFmtId="0" xfId="0" applyAlignment="1" applyBorder="1" applyFont="1">
      <alignment readingOrder="0" vertical="bottom"/>
    </xf>
    <xf borderId="24" fillId="0" fontId="2" numFmtId="0" xfId="0" applyAlignment="1" applyBorder="1" applyFont="1">
      <alignment vertical="bottom"/>
    </xf>
    <xf borderId="20" fillId="0" fontId="2" numFmtId="0" xfId="0" applyAlignment="1" applyBorder="1" applyFont="1">
      <alignment vertical="bottom"/>
    </xf>
    <xf borderId="16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readingOrder="0" vertical="bottom"/>
    </xf>
    <xf borderId="12" fillId="0" fontId="2" numFmtId="165" xfId="0" applyAlignment="1" applyBorder="1" applyFont="1" applyNumberFormat="1">
      <alignment horizontal="center" vertical="bottom"/>
    </xf>
    <xf borderId="13" fillId="0" fontId="2" numFmtId="165" xfId="0" applyAlignment="1" applyBorder="1" applyFont="1" applyNumberFormat="1">
      <alignment horizontal="center" vertical="bottom"/>
    </xf>
    <xf borderId="25" fillId="0" fontId="2" numFmtId="165" xfId="0" applyAlignment="1" applyBorder="1" applyFont="1" applyNumberFormat="1">
      <alignment horizontal="center" vertical="bottom"/>
    </xf>
    <xf borderId="22" fillId="0" fontId="2" numFmtId="0" xfId="0" applyAlignment="1" applyBorder="1" applyFont="1">
      <alignment vertical="bottom"/>
    </xf>
    <xf borderId="26" fillId="0" fontId="2" numFmtId="0" xfId="0" applyAlignment="1" applyBorder="1" applyFont="1">
      <alignment vertical="bottom"/>
    </xf>
    <xf borderId="27" fillId="0" fontId="2" numFmtId="0" xfId="0" applyAlignment="1" applyBorder="1" applyFont="1">
      <alignment vertical="bottom"/>
    </xf>
    <xf borderId="28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9.63"/>
    <col customWidth="1" min="3" max="3" width="9.38"/>
    <col customWidth="1" min="4" max="11" width="6.88"/>
  </cols>
  <sheetData>
    <row r="1">
      <c r="A1" s="1" t="s">
        <v>0</v>
      </c>
      <c r="L1" s="2"/>
      <c r="M1" s="2"/>
      <c r="N1" s="2"/>
      <c r="O1" s="2"/>
      <c r="P1" s="2"/>
      <c r="Q1" s="2"/>
      <c r="R1" s="2"/>
    </row>
    <row r="2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2"/>
      <c r="M2" s="2"/>
      <c r="N2" s="2"/>
      <c r="O2" s="2"/>
      <c r="P2" s="2"/>
      <c r="Q2" s="2"/>
      <c r="R2" s="2"/>
    </row>
    <row r="3" ht="15.75" customHeight="1">
      <c r="A3" s="4">
        <v>2.0</v>
      </c>
      <c r="B3" s="4">
        <f t="shared" ref="B3:B17" si="1">C3/2</f>
        <v>0.94</v>
      </c>
      <c r="C3" s="4">
        <v>1.88</v>
      </c>
      <c r="D3" s="4">
        <v>2.8</v>
      </c>
      <c r="E3" s="4">
        <v>3.76</v>
      </c>
      <c r="F3" s="4">
        <v>4.74</v>
      </c>
      <c r="G3" s="4">
        <v>5.62</v>
      </c>
      <c r="H3" s="4">
        <v>6.54</v>
      </c>
      <c r="I3" s="4">
        <v>7.52</v>
      </c>
      <c r="J3" s="4">
        <v>8.46</v>
      </c>
      <c r="K3" s="4">
        <v>9.36</v>
      </c>
      <c r="L3" s="2"/>
      <c r="M3" s="2"/>
      <c r="N3" s="2"/>
      <c r="O3" s="2"/>
      <c r="P3" s="2"/>
      <c r="Q3" s="2"/>
      <c r="R3" s="2"/>
    </row>
    <row r="4" ht="15.75" customHeight="1">
      <c r="A4" s="3">
        <v>3.0</v>
      </c>
      <c r="B4" s="4">
        <f t="shared" si="1"/>
        <v>0.99</v>
      </c>
      <c r="C4" s="3">
        <v>1.98</v>
      </c>
      <c r="D4" s="3">
        <v>2.96</v>
      </c>
      <c r="E4" s="3">
        <f t="shared" ref="E4:E17" si="2">C4*2</f>
        <v>3.96</v>
      </c>
      <c r="F4" s="3">
        <f t="shared" ref="F4:F17" si="3">C4*2.5</f>
        <v>4.95</v>
      </c>
      <c r="G4" s="3">
        <f t="shared" ref="G4:G17" si="4">D4*2</f>
        <v>5.92</v>
      </c>
      <c r="H4" s="3">
        <f t="shared" ref="H4:H17" si="5">C4*3.5</f>
        <v>6.93</v>
      </c>
      <c r="I4" s="3">
        <f t="shared" ref="I4:I17" si="6">E4*2</f>
        <v>7.92</v>
      </c>
      <c r="J4" s="3">
        <f t="shared" ref="J4:J17" si="7">C4*4.5</f>
        <v>8.91</v>
      </c>
      <c r="K4" s="3">
        <f t="shared" ref="K4:K17" si="8">F4*2</f>
        <v>9.9</v>
      </c>
      <c r="L4" s="2"/>
      <c r="M4" s="2"/>
      <c r="N4" s="2"/>
      <c r="O4" s="2"/>
      <c r="P4" s="2"/>
      <c r="Q4" s="2"/>
      <c r="R4" s="2"/>
    </row>
    <row r="5" ht="15.75" customHeight="1">
      <c r="A5" s="3">
        <v>4.0</v>
      </c>
      <c r="B5" s="4">
        <f t="shared" si="1"/>
        <v>1.04</v>
      </c>
      <c r="C5" s="3">
        <v>2.08</v>
      </c>
      <c r="D5" s="3">
        <v>3.11</v>
      </c>
      <c r="E5" s="3">
        <f t="shared" si="2"/>
        <v>4.16</v>
      </c>
      <c r="F5" s="3">
        <f t="shared" si="3"/>
        <v>5.2</v>
      </c>
      <c r="G5" s="3">
        <f t="shared" si="4"/>
        <v>6.22</v>
      </c>
      <c r="H5" s="3">
        <f t="shared" si="5"/>
        <v>7.28</v>
      </c>
      <c r="I5" s="3">
        <f t="shared" si="6"/>
        <v>8.32</v>
      </c>
      <c r="J5" s="3">
        <f t="shared" si="7"/>
        <v>9.36</v>
      </c>
      <c r="K5" s="3">
        <f t="shared" si="8"/>
        <v>10.4</v>
      </c>
      <c r="L5" s="2"/>
      <c r="M5" s="2"/>
      <c r="N5" s="2"/>
      <c r="O5" s="2"/>
      <c r="P5" s="2"/>
      <c r="Q5" s="2"/>
      <c r="R5" s="2"/>
    </row>
    <row r="6" ht="15.75" customHeight="1">
      <c r="A6" s="3">
        <v>5.0</v>
      </c>
      <c r="B6" s="4">
        <f t="shared" si="1"/>
        <v>1.095</v>
      </c>
      <c r="C6" s="3">
        <v>2.19</v>
      </c>
      <c r="D6" s="3">
        <v>3.27</v>
      </c>
      <c r="E6" s="3">
        <f t="shared" si="2"/>
        <v>4.38</v>
      </c>
      <c r="F6" s="3">
        <f t="shared" si="3"/>
        <v>5.475</v>
      </c>
      <c r="G6" s="3">
        <f t="shared" si="4"/>
        <v>6.54</v>
      </c>
      <c r="H6" s="3">
        <f t="shared" si="5"/>
        <v>7.665</v>
      </c>
      <c r="I6" s="3">
        <f t="shared" si="6"/>
        <v>8.76</v>
      </c>
      <c r="J6" s="3">
        <f t="shared" si="7"/>
        <v>9.855</v>
      </c>
      <c r="K6" s="3">
        <f t="shared" si="8"/>
        <v>10.95</v>
      </c>
      <c r="L6" s="2"/>
      <c r="M6" s="2"/>
      <c r="N6" s="2"/>
      <c r="O6" s="2"/>
      <c r="P6" s="2"/>
      <c r="Q6" s="2"/>
      <c r="R6" s="2"/>
    </row>
    <row r="7" ht="15.75" customHeight="1">
      <c r="A7" s="3">
        <v>6.0</v>
      </c>
      <c r="B7" s="4">
        <f t="shared" si="1"/>
        <v>1.145</v>
      </c>
      <c r="C7" s="3">
        <v>2.29</v>
      </c>
      <c r="D7" s="3">
        <v>3.42</v>
      </c>
      <c r="E7" s="3">
        <f t="shared" si="2"/>
        <v>4.58</v>
      </c>
      <c r="F7" s="3">
        <f t="shared" si="3"/>
        <v>5.725</v>
      </c>
      <c r="G7" s="3">
        <f t="shared" si="4"/>
        <v>6.84</v>
      </c>
      <c r="H7" s="3">
        <f t="shared" si="5"/>
        <v>8.015</v>
      </c>
      <c r="I7" s="3">
        <f t="shared" si="6"/>
        <v>9.16</v>
      </c>
      <c r="J7" s="3">
        <f t="shared" si="7"/>
        <v>10.305</v>
      </c>
      <c r="K7" s="3">
        <f t="shared" si="8"/>
        <v>11.45</v>
      </c>
      <c r="L7" s="2"/>
      <c r="M7" s="2"/>
      <c r="N7" s="2"/>
      <c r="O7" s="2"/>
      <c r="P7" s="2"/>
      <c r="Q7" s="2"/>
      <c r="R7" s="2"/>
    </row>
    <row r="8" ht="15.75" customHeight="1">
      <c r="A8" s="3">
        <v>7.0</v>
      </c>
      <c r="B8" s="4">
        <f t="shared" si="1"/>
        <v>1.195</v>
      </c>
      <c r="C8" s="3">
        <v>2.39</v>
      </c>
      <c r="D8" s="3">
        <v>3.57</v>
      </c>
      <c r="E8" s="3">
        <f t="shared" si="2"/>
        <v>4.78</v>
      </c>
      <c r="F8" s="3">
        <f t="shared" si="3"/>
        <v>5.975</v>
      </c>
      <c r="G8" s="3">
        <f t="shared" si="4"/>
        <v>7.14</v>
      </c>
      <c r="H8" s="3">
        <f t="shared" si="5"/>
        <v>8.365</v>
      </c>
      <c r="I8" s="3">
        <f t="shared" si="6"/>
        <v>9.56</v>
      </c>
      <c r="J8" s="3">
        <f t="shared" si="7"/>
        <v>10.755</v>
      </c>
      <c r="K8" s="3">
        <f t="shared" si="8"/>
        <v>11.95</v>
      </c>
      <c r="L8" s="2"/>
      <c r="M8" s="2"/>
      <c r="N8" s="2"/>
      <c r="O8" s="2"/>
      <c r="P8" s="2"/>
      <c r="Q8" s="2"/>
      <c r="R8" s="2"/>
    </row>
    <row r="9" ht="15.75" customHeight="1">
      <c r="A9" s="3">
        <v>8.0</v>
      </c>
      <c r="B9" s="4">
        <f t="shared" si="1"/>
        <v>1.25</v>
      </c>
      <c r="C9" s="3">
        <v>2.5</v>
      </c>
      <c r="D9" s="3">
        <v>3.73</v>
      </c>
      <c r="E9" s="3">
        <f t="shared" si="2"/>
        <v>5</v>
      </c>
      <c r="F9" s="3">
        <f t="shared" si="3"/>
        <v>6.25</v>
      </c>
      <c r="G9" s="3">
        <f t="shared" si="4"/>
        <v>7.46</v>
      </c>
      <c r="H9" s="3">
        <f t="shared" si="5"/>
        <v>8.75</v>
      </c>
      <c r="I9" s="3">
        <f t="shared" si="6"/>
        <v>10</v>
      </c>
      <c r="J9" s="3">
        <f t="shared" si="7"/>
        <v>11.25</v>
      </c>
      <c r="K9" s="3">
        <f t="shared" si="8"/>
        <v>12.5</v>
      </c>
      <c r="L9" s="2"/>
      <c r="M9" s="2"/>
      <c r="N9" s="2"/>
      <c r="O9" s="2"/>
      <c r="P9" s="2"/>
      <c r="Q9" s="2"/>
      <c r="R9" s="2"/>
    </row>
    <row r="10" ht="15.75" customHeight="1">
      <c r="A10" s="3">
        <v>9.0</v>
      </c>
      <c r="B10" s="4">
        <f t="shared" si="1"/>
        <v>1.3</v>
      </c>
      <c r="C10" s="3">
        <v>2.6</v>
      </c>
      <c r="D10" s="3">
        <v>3.88</v>
      </c>
      <c r="E10" s="3">
        <f t="shared" si="2"/>
        <v>5.2</v>
      </c>
      <c r="F10" s="3">
        <f t="shared" si="3"/>
        <v>6.5</v>
      </c>
      <c r="G10" s="3">
        <f t="shared" si="4"/>
        <v>7.76</v>
      </c>
      <c r="H10" s="3">
        <f t="shared" si="5"/>
        <v>9.1</v>
      </c>
      <c r="I10" s="3">
        <f t="shared" si="6"/>
        <v>10.4</v>
      </c>
      <c r="J10" s="3">
        <f t="shared" si="7"/>
        <v>11.7</v>
      </c>
      <c r="K10" s="3">
        <f t="shared" si="8"/>
        <v>13</v>
      </c>
      <c r="L10" s="2"/>
      <c r="M10" s="2"/>
      <c r="N10" s="2"/>
      <c r="O10" s="2"/>
      <c r="P10" s="2"/>
      <c r="Q10" s="2"/>
      <c r="R10" s="2"/>
    </row>
    <row r="11" ht="15.75" customHeight="1">
      <c r="A11" s="3">
        <v>10.0</v>
      </c>
      <c r="B11" s="4">
        <f t="shared" si="1"/>
        <v>1.35</v>
      </c>
      <c r="C11" s="3">
        <v>2.7</v>
      </c>
      <c r="D11" s="3">
        <v>4.04</v>
      </c>
      <c r="E11" s="3">
        <f t="shared" si="2"/>
        <v>5.4</v>
      </c>
      <c r="F11" s="3">
        <f t="shared" si="3"/>
        <v>6.75</v>
      </c>
      <c r="G11" s="3">
        <f t="shared" si="4"/>
        <v>8.08</v>
      </c>
      <c r="H11" s="3">
        <f t="shared" si="5"/>
        <v>9.45</v>
      </c>
      <c r="I11" s="3">
        <f t="shared" si="6"/>
        <v>10.8</v>
      </c>
      <c r="J11" s="3">
        <f t="shared" si="7"/>
        <v>12.15</v>
      </c>
      <c r="K11" s="3">
        <f t="shared" si="8"/>
        <v>13.5</v>
      </c>
      <c r="L11" s="2"/>
      <c r="M11" s="2"/>
      <c r="N11" s="2"/>
      <c r="O11" s="2"/>
      <c r="P11" s="2"/>
      <c r="Q11" s="2"/>
      <c r="R11" s="2"/>
    </row>
    <row r="12" ht="15.75" customHeight="1">
      <c r="A12" s="3">
        <v>11.0</v>
      </c>
      <c r="B12" s="4">
        <f t="shared" si="1"/>
        <v>1.4</v>
      </c>
      <c r="C12" s="3">
        <v>2.8</v>
      </c>
      <c r="D12" s="3">
        <v>4.19</v>
      </c>
      <c r="E12" s="3">
        <f t="shared" si="2"/>
        <v>5.6</v>
      </c>
      <c r="F12" s="3">
        <f t="shared" si="3"/>
        <v>7</v>
      </c>
      <c r="G12" s="3">
        <f t="shared" si="4"/>
        <v>8.38</v>
      </c>
      <c r="H12" s="3">
        <f t="shared" si="5"/>
        <v>9.8</v>
      </c>
      <c r="I12" s="3">
        <f t="shared" si="6"/>
        <v>11.2</v>
      </c>
      <c r="J12" s="3">
        <f t="shared" si="7"/>
        <v>12.6</v>
      </c>
      <c r="K12" s="3">
        <f t="shared" si="8"/>
        <v>14</v>
      </c>
      <c r="L12" s="2"/>
      <c r="M12" s="2"/>
      <c r="N12" s="2"/>
      <c r="O12" s="2"/>
      <c r="P12" s="2"/>
      <c r="Q12" s="2"/>
      <c r="R12" s="2"/>
    </row>
    <row r="13" ht="15.75" customHeight="1">
      <c r="A13" s="3">
        <v>12.0</v>
      </c>
      <c r="B13" s="4">
        <f t="shared" si="1"/>
        <v>1.455</v>
      </c>
      <c r="C13" s="3">
        <v>2.91</v>
      </c>
      <c r="D13" s="3">
        <v>4.34</v>
      </c>
      <c r="E13" s="3">
        <f t="shared" si="2"/>
        <v>5.82</v>
      </c>
      <c r="F13" s="3">
        <f t="shared" si="3"/>
        <v>7.275</v>
      </c>
      <c r="G13" s="3">
        <f t="shared" si="4"/>
        <v>8.68</v>
      </c>
      <c r="H13" s="3">
        <f t="shared" si="5"/>
        <v>10.185</v>
      </c>
      <c r="I13" s="3">
        <f t="shared" si="6"/>
        <v>11.64</v>
      </c>
      <c r="J13" s="3">
        <f t="shared" si="7"/>
        <v>13.095</v>
      </c>
      <c r="K13" s="3">
        <f t="shared" si="8"/>
        <v>14.55</v>
      </c>
      <c r="L13" s="2"/>
      <c r="M13" s="2"/>
      <c r="N13" s="2"/>
      <c r="O13" s="2"/>
      <c r="P13" s="2"/>
      <c r="Q13" s="2"/>
      <c r="R13" s="2"/>
    </row>
    <row r="14" ht="15.75" customHeight="1">
      <c r="A14" s="3">
        <v>13.0</v>
      </c>
      <c r="B14" s="4">
        <f t="shared" si="1"/>
        <v>1.505</v>
      </c>
      <c r="C14" s="3">
        <v>3.01</v>
      </c>
      <c r="D14" s="3">
        <v>4.5</v>
      </c>
      <c r="E14" s="3">
        <f t="shared" si="2"/>
        <v>6.02</v>
      </c>
      <c r="F14" s="3">
        <f t="shared" si="3"/>
        <v>7.525</v>
      </c>
      <c r="G14" s="3">
        <f t="shared" si="4"/>
        <v>9</v>
      </c>
      <c r="H14" s="3">
        <f t="shared" si="5"/>
        <v>10.535</v>
      </c>
      <c r="I14" s="3">
        <f t="shared" si="6"/>
        <v>12.04</v>
      </c>
      <c r="J14" s="3">
        <f t="shared" si="7"/>
        <v>13.545</v>
      </c>
      <c r="K14" s="3">
        <f t="shared" si="8"/>
        <v>15.05</v>
      </c>
      <c r="L14" s="2"/>
      <c r="M14" s="2"/>
      <c r="N14" s="2"/>
      <c r="O14" s="2"/>
      <c r="P14" s="2"/>
      <c r="Q14" s="2"/>
      <c r="R14" s="2"/>
    </row>
    <row r="15" ht="15.75" customHeight="1">
      <c r="A15" s="3">
        <v>14.0</v>
      </c>
      <c r="B15" s="4">
        <f t="shared" si="1"/>
        <v>1.555</v>
      </c>
      <c r="C15" s="3">
        <v>3.11</v>
      </c>
      <c r="D15" s="3">
        <v>4.65</v>
      </c>
      <c r="E15" s="3">
        <f t="shared" si="2"/>
        <v>6.22</v>
      </c>
      <c r="F15" s="3">
        <f t="shared" si="3"/>
        <v>7.775</v>
      </c>
      <c r="G15" s="3">
        <f t="shared" si="4"/>
        <v>9.3</v>
      </c>
      <c r="H15" s="3">
        <f t="shared" si="5"/>
        <v>10.885</v>
      </c>
      <c r="I15" s="3">
        <f t="shared" si="6"/>
        <v>12.44</v>
      </c>
      <c r="J15" s="3">
        <f t="shared" si="7"/>
        <v>13.995</v>
      </c>
      <c r="K15" s="3">
        <f t="shared" si="8"/>
        <v>15.55</v>
      </c>
      <c r="L15" s="2"/>
      <c r="M15" s="2"/>
      <c r="N15" s="2"/>
      <c r="O15" s="2"/>
      <c r="P15" s="2"/>
      <c r="Q15" s="2"/>
      <c r="R15" s="2"/>
    </row>
    <row r="16" ht="15.75" customHeight="1">
      <c r="A16" s="3">
        <v>15.0</v>
      </c>
      <c r="B16" s="4">
        <f t="shared" si="1"/>
        <v>1.61</v>
      </c>
      <c r="C16" s="3">
        <v>3.22</v>
      </c>
      <c r="D16" s="3">
        <v>4.8</v>
      </c>
      <c r="E16" s="3">
        <f t="shared" si="2"/>
        <v>6.44</v>
      </c>
      <c r="F16" s="3">
        <f t="shared" si="3"/>
        <v>8.05</v>
      </c>
      <c r="G16" s="3">
        <f t="shared" si="4"/>
        <v>9.6</v>
      </c>
      <c r="H16" s="3">
        <f t="shared" si="5"/>
        <v>11.27</v>
      </c>
      <c r="I16" s="3">
        <f t="shared" si="6"/>
        <v>12.88</v>
      </c>
      <c r="J16" s="3">
        <f t="shared" si="7"/>
        <v>14.49</v>
      </c>
      <c r="K16" s="3">
        <f t="shared" si="8"/>
        <v>16.1</v>
      </c>
      <c r="L16" s="2"/>
      <c r="M16" s="2"/>
      <c r="N16" s="2"/>
      <c r="O16" s="2"/>
      <c r="P16" s="2"/>
      <c r="Q16" s="2"/>
      <c r="R16" s="2"/>
    </row>
    <row r="17" ht="15.75" customHeight="1">
      <c r="A17" s="3">
        <v>16.0</v>
      </c>
      <c r="B17" s="4">
        <f t="shared" si="1"/>
        <v>1.66</v>
      </c>
      <c r="C17" s="3">
        <v>3.32</v>
      </c>
      <c r="D17" s="3">
        <v>4.96</v>
      </c>
      <c r="E17" s="3">
        <f t="shared" si="2"/>
        <v>6.64</v>
      </c>
      <c r="F17" s="3">
        <f t="shared" si="3"/>
        <v>8.3</v>
      </c>
      <c r="G17" s="3">
        <f t="shared" si="4"/>
        <v>9.92</v>
      </c>
      <c r="H17" s="3">
        <f t="shared" si="5"/>
        <v>11.62</v>
      </c>
      <c r="I17" s="3">
        <f t="shared" si="6"/>
        <v>13.28</v>
      </c>
      <c r="J17" s="3">
        <f t="shared" si="7"/>
        <v>14.94</v>
      </c>
      <c r="K17" s="3">
        <f t="shared" si="8"/>
        <v>16.6</v>
      </c>
      <c r="L17" s="2"/>
      <c r="M17" s="2"/>
      <c r="N17" s="2"/>
      <c r="O17" s="2"/>
      <c r="P17" s="2"/>
      <c r="Q17" s="2"/>
      <c r="R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1" t="s">
        <v>12</v>
      </c>
      <c r="L20" s="2"/>
      <c r="M20" s="2"/>
      <c r="N20" s="2"/>
      <c r="O20" s="2"/>
      <c r="P20" s="2"/>
      <c r="Q20" s="2"/>
      <c r="R20" s="2"/>
    </row>
    <row r="21" ht="15.75" customHeight="1">
      <c r="A21" s="5" t="s">
        <v>1</v>
      </c>
      <c r="B21" s="6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  <c r="K21" s="5" t="s">
        <v>11</v>
      </c>
      <c r="L21" s="2"/>
      <c r="M21" s="2"/>
      <c r="N21" s="2"/>
      <c r="O21" s="2"/>
      <c r="P21" s="2"/>
      <c r="Q21" s="2"/>
      <c r="R21" s="2"/>
    </row>
    <row r="22" ht="15.75" customHeight="1">
      <c r="A22" s="5">
        <v>2.0</v>
      </c>
      <c r="B22" s="5">
        <f t="shared" ref="B22:B36" si="10">C22/2</f>
        <v>75.2</v>
      </c>
      <c r="C22" s="5">
        <f t="shared" ref="C22:K22" si="9">(C3*0.8)*100</f>
        <v>150.4</v>
      </c>
      <c r="D22" s="5">
        <f t="shared" si="9"/>
        <v>224</v>
      </c>
      <c r="E22" s="5">
        <f t="shared" si="9"/>
        <v>300.8</v>
      </c>
      <c r="F22" s="5">
        <f t="shared" si="9"/>
        <v>379.2</v>
      </c>
      <c r="G22" s="5">
        <f t="shared" si="9"/>
        <v>449.6</v>
      </c>
      <c r="H22" s="5">
        <f t="shared" si="9"/>
        <v>523.2</v>
      </c>
      <c r="I22" s="5">
        <f t="shared" si="9"/>
        <v>601.6</v>
      </c>
      <c r="J22" s="5">
        <f t="shared" si="9"/>
        <v>676.8</v>
      </c>
      <c r="K22" s="5">
        <f t="shared" si="9"/>
        <v>748.8</v>
      </c>
      <c r="L22" s="2"/>
      <c r="M22" s="2"/>
      <c r="N22" s="2"/>
      <c r="O22" s="2"/>
      <c r="P22" s="2"/>
      <c r="Q22" s="2"/>
      <c r="R22" s="2"/>
    </row>
    <row r="23" ht="15.75" customHeight="1">
      <c r="A23" s="5">
        <v>3.0</v>
      </c>
      <c r="B23" s="5">
        <f t="shared" si="10"/>
        <v>79.2</v>
      </c>
      <c r="C23" s="5">
        <f t="shared" ref="C23:K23" si="11">(C4*0.8)*100</f>
        <v>158.4</v>
      </c>
      <c r="D23" s="5">
        <f t="shared" si="11"/>
        <v>236.8</v>
      </c>
      <c r="E23" s="5">
        <f t="shared" si="11"/>
        <v>316.8</v>
      </c>
      <c r="F23" s="5">
        <f t="shared" si="11"/>
        <v>396</v>
      </c>
      <c r="G23" s="5">
        <f t="shared" si="11"/>
        <v>473.6</v>
      </c>
      <c r="H23" s="5">
        <f t="shared" si="11"/>
        <v>554.4</v>
      </c>
      <c r="I23" s="5">
        <f t="shared" si="11"/>
        <v>633.6</v>
      </c>
      <c r="J23" s="5">
        <f t="shared" si="11"/>
        <v>712.8</v>
      </c>
      <c r="K23" s="5">
        <f t="shared" si="11"/>
        <v>792</v>
      </c>
      <c r="L23" s="2"/>
      <c r="M23" s="2"/>
      <c r="N23" s="2"/>
      <c r="O23" s="2"/>
      <c r="P23" s="2"/>
      <c r="Q23" s="2"/>
      <c r="R23" s="2"/>
    </row>
    <row r="24" ht="15.75" customHeight="1">
      <c r="A24" s="5">
        <v>4.0</v>
      </c>
      <c r="B24" s="5">
        <f t="shared" si="10"/>
        <v>83.2</v>
      </c>
      <c r="C24" s="5">
        <f t="shared" ref="C24:K24" si="12">(C5*0.8)*100</f>
        <v>166.4</v>
      </c>
      <c r="D24" s="5">
        <f t="shared" si="12"/>
        <v>248.8</v>
      </c>
      <c r="E24" s="5">
        <f t="shared" si="12"/>
        <v>332.8</v>
      </c>
      <c r="F24" s="5">
        <f t="shared" si="12"/>
        <v>416</v>
      </c>
      <c r="G24" s="5">
        <f t="shared" si="12"/>
        <v>497.6</v>
      </c>
      <c r="H24" s="5">
        <f t="shared" si="12"/>
        <v>582.4</v>
      </c>
      <c r="I24" s="5">
        <f t="shared" si="12"/>
        <v>665.6</v>
      </c>
      <c r="J24" s="5">
        <f t="shared" si="12"/>
        <v>748.8</v>
      </c>
      <c r="K24" s="5">
        <f t="shared" si="12"/>
        <v>832</v>
      </c>
      <c r="L24" s="2"/>
      <c r="M24" s="2"/>
      <c r="N24" s="2"/>
      <c r="O24" s="2"/>
      <c r="P24" s="2"/>
      <c r="Q24" s="2"/>
      <c r="R24" s="2"/>
    </row>
    <row r="25" ht="15.75" customHeight="1">
      <c r="A25" s="5">
        <v>5.0</v>
      </c>
      <c r="B25" s="5">
        <f t="shared" si="10"/>
        <v>87.6</v>
      </c>
      <c r="C25" s="5">
        <f t="shared" ref="C25:K25" si="13">(C6*0.8)*100</f>
        <v>175.2</v>
      </c>
      <c r="D25" s="5">
        <f t="shared" si="13"/>
        <v>261.6</v>
      </c>
      <c r="E25" s="5">
        <f t="shared" si="13"/>
        <v>350.4</v>
      </c>
      <c r="F25" s="5">
        <f t="shared" si="13"/>
        <v>438</v>
      </c>
      <c r="G25" s="5">
        <f t="shared" si="13"/>
        <v>523.2</v>
      </c>
      <c r="H25" s="5">
        <f t="shared" si="13"/>
        <v>613.2</v>
      </c>
      <c r="I25" s="5">
        <f t="shared" si="13"/>
        <v>700.8</v>
      </c>
      <c r="J25" s="5">
        <f t="shared" si="13"/>
        <v>788.4</v>
      </c>
      <c r="K25" s="5">
        <f t="shared" si="13"/>
        <v>876</v>
      </c>
      <c r="L25" s="2"/>
      <c r="M25" s="2"/>
      <c r="N25" s="2"/>
      <c r="O25" s="2"/>
      <c r="P25" s="2"/>
      <c r="Q25" s="2"/>
      <c r="R25" s="2"/>
    </row>
    <row r="26" ht="15.75" customHeight="1">
      <c r="A26" s="5">
        <v>6.0</v>
      </c>
      <c r="B26" s="5">
        <f t="shared" si="10"/>
        <v>91.6</v>
      </c>
      <c r="C26" s="5">
        <f t="shared" ref="C26:K26" si="14">(C7*0.8)*100</f>
        <v>183.2</v>
      </c>
      <c r="D26" s="5">
        <f t="shared" si="14"/>
        <v>273.6</v>
      </c>
      <c r="E26" s="5">
        <f t="shared" si="14"/>
        <v>366.4</v>
      </c>
      <c r="F26" s="5">
        <f t="shared" si="14"/>
        <v>458</v>
      </c>
      <c r="G26" s="5">
        <f t="shared" si="14"/>
        <v>547.2</v>
      </c>
      <c r="H26" s="5">
        <f t="shared" si="14"/>
        <v>641.2</v>
      </c>
      <c r="I26" s="5">
        <f t="shared" si="14"/>
        <v>732.8</v>
      </c>
      <c r="J26" s="5">
        <f t="shared" si="14"/>
        <v>824.4</v>
      </c>
      <c r="K26" s="5">
        <f t="shared" si="14"/>
        <v>916</v>
      </c>
      <c r="L26" s="2"/>
      <c r="M26" s="2"/>
      <c r="N26" s="2"/>
      <c r="O26" s="2"/>
      <c r="P26" s="2"/>
      <c r="Q26" s="2"/>
      <c r="R26" s="2"/>
    </row>
    <row r="27" ht="15.75" customHeight="1">
      <c r="A27" s="5">
        <v>7.0</v>
      </c>
      <c r="B27" s="5">
        <f t="shared" si="10"/>
        <v>95.6</v>
      </c>
      <c r="C27" s="5">
        <f t="shared" ref="C27:K27" si="15">(C8*0.8)*100</f>
        <v>191.2</v>
      </c>
      <c r="D27" s="5">
        <f t="shared" si="15"/>
        <v>285.6</v>
      </c>
      <c r="E27" s="5">
        <f t="shared" si="15"/>
        <v>382.4</v>
      </c>
      <c r="F27" s="5">
        <f t="shared" si="15"/>
        <v>478</v>
      </c>
      <c r="G27" s="5">
        <f t="shared" si="15"/>
        <v>571.2</v>
      </c>
      <c r="H27" s="5">
        <f t="shared" si="15"/>
        <v>669.2</v>
      </c>
      <c r="I27" s="5">
        <f t="shared" si="15"/>
        <v>764.8</v>
      </c>
      <c r="J27" s="5">
        <f t="shared" si="15"/>
        <v>860.4</v>
      </c>
      <c r="K27" s="5">
        <f t="shared" si="15"/>
        <v>956</v>
      </c>
      <c r="L27" s="2"/>
      <c r="M27" s="2"/>
      <c r="N27" s="2"/>
      <c r="O27" s="2"/>
      <c r="P27" s="2"/>
      <c r="Q27" s="2"/>
      <c r="R27" s="2"/>
    </row>
    <row r="28" ht="15.75" customHeight="1">
      <c r="A28" s="5">
        <v>8.0</v>
      </c>
      <c r="B28" s="5">
        <f t="shared" si="10"/>
        <v>100</v>
      </c>
      <c r="C28" s="5">
        <f t="shared" ref="C28:K28" si="16">(C9*0.8)*100</f>
        <v>200</v>
      </c>
      <c r="D28" s="5">
        <f t="shared" si="16"/>
        <v>298.4</v>
      </c>
      <c r="E28" s="5">
        <f t="shared" si="16"/>
        <v>400</v>
      </c>
      <c r="F28" s="5">
        <f t="shared" si="16"/>
        <v>500</v>
      </c>
      <c r="G28" s="5">
        <f t="shared" si="16"/>
        <v>596.8</v>
      </c>
      <c r="H28" s="5">
        <f t="shared" si="16"/>
        <v>700</v>
      </c>
      <c r="I28" s="5">
        <f t="shared" si="16"/>
        <v>800</v>
      </c>
      <c r="J28" s="5">
        <f t="shared" si="16"/>
        <v>900</v>
      </c>
      <c r="K28" s="5">
        <f t="shared" si="16"/>
        <v>1000</v>
      </c>
      <c r="L28" s="2"/>
      <c r="M28" s="2"/>
      <c r="N28" s="2"/>
      <c r="O28" s="2"/>
      <c r="P28" s="2"/>
      <c r="Q28" s="2"/>
      <c r="R28" s="2"/>
    </row>
    <row r="29" ht="15.75" customHeight="1">
      <c r="A29" s="5">
        <v>9.0</v>
      </c>
      <c r="B29" s="5">
        <f t="shared" si="10"/>
        <v>104</v>
      </c>
      <c r="C29" s="5">
        <f t="shared" ref="C29:K29" si="17">(C10*0.8)*100</f>
        <v>208</v>
      </c>
      <c r="D29" s="5">
        <f t="shared" si="17"/>
        <v>310.4</v>
      </c>
      <c r="E29" s="5">
        <f t="shared" si="17"/>
        <v>416</v>
      </c>
      <c r="F29" s="5">
        <f t="shared" si="17"/>
        <v>520</v>
      </c>
      <c r="G29" s="5">
        <f t="shared" si="17"/>
        <v>620.8</v>
      </c>
      <c r="H29" s="5">
        <f t="shared" si="17"/>
        <v>728</v>
      </c>
      <c r="I29" s="5">
        <f t="shared" si="17"/>
        <v>832</v>
      </c>
      <c r="J29" s="5">
        <f t="shared" si="17"/>
        <v>936</v>
      </c>
      <c r="K29" s="5">
        <f t="shared" si="17"/>
        <v>1040</v>
      </c>
      <c r="L29" s="2"/>
      <c r="M29" s="2"/>
      <c r="N29" s="2"/>
      <c r="O29" s="2"/>
      <c r="P29" s="2"/>
      <c r="Q29" s="2"/>
      <c r="R29" s="2"/>
    </row>
    <row r="30" ht="15.75" customHeight="1">
      <c r="A30" s="5">
        <v>10.0</v>
      </c>
      <c r="B30" s="5">
        <f t="shared" si="10"/>
        <v>108</v>
      </c>
      <c r="C30" s="5">
        <f t="shared" ref="C30:K30" si="18">(C11*0.8)*100</f>
        <v>216</v>
      </c>
      <c r="D30" s="5">
        <f t="shared" si="18"/>
        <v>323.2</v>
      </c>
      <c r="E30" s="5">
        <f t="shared" si="18"/>
        <v>432</v>
      </c>
      <c r="F30" s="5">
        <f t="shared" si="18"/>
        <v>540</v>
      </c>
      <c r="G30" s="5">
        <f t="shared" si="18"/>
        <v>646.4</v>
      </c>
      <c r="H30" s="5">
        <f t="shared" si="18"/>
        <v>756</v>
      </c>
      <c r="I30" s="5">
        <f t="shared" si="18"/>
        <v>864</v>
      </c>
      <c r="J30" s="5">
        <f t="shared" si="18"/>
        <v>972</v>
      </c>
      <c r="K30" s="5">
        <f t="shared" si="18"/>
        <v>1080</v>
      </c>
      <c r="L30" s="2"/>
      <c r="M30" s="2"/>
      <c r="N30" s="2"/>
      <c r="O30" s="2"/>
      <c r="P30" s="2"/>
      <c r="Q30" s="2"/>
      <c r="R30" s="2"/>
    </row>
    <row r="31" ht="15.75" customHeight="1">
      <c r="A31" s="5">
        <v>11.0</v>
      </c>
      <c r="B31" s="5">
        <f t="shared" si="10"/>
        <v>112</v>
      </c>
      <c r="C31" s="5">
        <f t="shared" ref="C31:K31" si="19">(C12*0.8)*100</f>
        <v>224</v>
      </c>
      <c r="D31" s="5">
        <f t="shared" si="19"/>
        <v>335.2</v>
      </c>
      <c r="E31" s="5">
        <f t="shared" si="19"/>
        <v>448</v>
      </c>
      <c r="F31" s="5">
        <f t="shared" si="19"/>
        <v>560</v>
      </c>
      <c r="G31" s="5">
        <f t="shared" si="19"/>
        <v>670.4</v>
      </c>
      <c r="H31" s="5">
        <f t="shared" si="19"/>
        <v>784</v>
      </c>
      <c r="I31" s="5">
        <f t="shared" si="19"/>
        <v>896</v>
      </c>
      <c r="J31" s="5">
        <f t="shared" si="19"/>
        <v>1008</v>
      </c>
      <c r="K31" s="5">
        <f t="shared" si="19"/>
        <v>1120</v>
      </c>
      <c r="L31" s="2"/>
      <c r="M31" s="2"/>
      <c r="N31" s="2"/>
      <c r="O31" s="2"/>
      <c r="P31" s="2"/>
      <c r="Q31" s="2"/>
      <c r="R31" s="2"/>
    </row>
    <row r="32" ht="15.75" customHeight="1">
      <c r="A32" s="5">
        <v>12.0</v>
      </c>
      <c r="B32" s="5">
        <f t="shared" si="10"/>
        <v>116.4</v>
      </c>
      <c r="C32" s="5">
        <f t="shared" ref="C32:K32" si="20">(C13*0.8)*100</f>
        <v>232.8</v>
      </c>
      <c r="D32" s="5">
        <f t="shared" si="20"/>
        <v>347.2</v>
      </c>
      <c r="E32" s="5">
        <f t="shared" si="20"/>
        <v>465.6</v>
      </c>
      <c r="F32" s="5">
        <f t="shared" si="20"/>
        <v>582</v>
      </c>
      <c r="G32" s="5">
        <f t="shared" si="20"/>
        <v>694.4</v>
      </c>
      <c r="H32" s="5">
        <f t="shared" si="20"/>
        <v>814.8</v>
      </c>
      <c r="I32" s="5">
        <f t="shared" si="20"/>
        <v>931.2</v>
      </c>
      <c r="J32" s="5">
        <f t="shared" si="20"/>
        <v>1047.6</v>
      </c>
      <c r="K32" s="5">
        <f t="shared" si="20"/>
        <v>1164</v>
      </c>
      <c r="L32" s="2"/>
      <c r="M32" s="2"/>
      <c r="N32" s="2"/>
      <c r="O32" s="2"/>
      <c r="P32" s="2"/>
      <c r="Q32" s="2"/>
      <c r="R32" s="2"/>
    </row>
    <row r="33" ht="15.75" customHeight="1">
      <c r="A33" s="5">
        <v>13.0</v>
      </c>
      <c r="B33" s="5">
        <f t="shared" si="10"/>
        <v>120.4</v>
      </c>
      <c r="C33" s="5">
        <f t="shared" ref="C33:K33" si="21">(C14*0.8)*100</f>
        <v>240.8</v>
      </c>
      <c r="D33" s="5">
        <f t="shared" si="21"/>
        <v>360</v>
      </c>
      <c r="E33" s="5">
        <f t="shared" si="21"/>
        <v>481.6</v>
      </c>
      <c r="F33" s="5">
        <f t="shared" si="21"/>
        <v>602</v>
      </c>
      <c r="G33" s="5">
        <f t="shared" si="21"/>
        <v>720</v>
      </c>
      <c r="H33" s="5">
        <f t="shared" si="21"/>
        <v>842.8</v>
      </c>
      <c r="I33" s="5">
        <f t="shared" si="21"/>
        <v>963.2</v>
      </c>
      <c r="J33" s="5">
        <f t="shared" si="21"/>
        <v>1083.6</v>
      </c>
      <c r="K33" s="5">
        <f t="shared" si="21"/>
        <v>1204</v>
      </c>
      <c r="L33" s="2"/>
      <c r="M33" s="2"/>
      <c r="N33" s="2"/>
      <c r="O33" s="2"/>
      <c r="P33" s="2"/>
      <c r="Q33" s="2"/>
      <c r="R33" s="2"/>
    </row>
    <row r="34" ht="15.75" customHeight="1">
      <c r="A34" s="5">
        <v>14.0</v>
      </c>
      <c r="B34" s="5">
        <f t="shared" si="10"/>
        <v>124.4</v>
      </c>
      <c r="C34" s="5">
        <f t="shared" ref="C34:K34" si="22">(C15*0.8)*100</f>
        <v>248.8</v>
      </c>
      <c r="D34" s="5">
        <f t="shared" si="22"/>
        <v>372</v>
      </c>
      <c r="E34" s="5">
        <f t="shared" si="22"/>
        <v>497.6</v>
      </c>
      <c r="F34" s="5">
        <f t="shared" si="22"/>
        <v>622</v>
      </c>
      <c r="G34" s="5">
        <f t="shared" si="22"/>
        <v>744</v>
      </c>
      <c r="H34" s="5">
        <f t="shared" si="22"/>
        <v>870.8</v>
      </c>
      <c r="I34" s="5">
        <f t="shared" si="22"/>
        <v>995.2</v>
      </c>
      <c r="J34" s="5">
        <f t="shared" si="22"/>
        <v>1119.6</v>
      </c>
      <c r="K34" s="5">
        <f t="shared" si="22"/>
        <v>1244</v>
      </c>
      <c r="L34" s="2"/>
      <c r="M34" s="2"/>
      <c r="N34" s="2"/>
      <c r="O34" s="2"/>
      <c r="P34" s="2"/>
      <c r="Q34" s="2"/>
      <c r="R34" s="2"/>
    </row>
    <row r="35" ht="15.75" customHeight="1">
      <c r="A35" s="5">
        <v>15.0</v>
      </c>
      <c r="B35" s="5">
        <f t="shared" si="10"/>
        <v>128.8</v>
      </c>
      <c r="C35" s="5">
        <f t="shared" ref="C35:K35" si="23">(C16*0.8)*100</f>
        <v>257.6</v>
      </c>
      <c r="D35" s="5">
        <f t="shared" si="23"/>
        <v>384</v>
      </c>
      <c r="E35" s="5">
        <f t="shared" si="23"/>
        <v>515.2</v>
      </c>
      <c r="F35" s="5">
        <f t="shared" si="23"/>
        <v>644</v>
      </c>
      <c r="G35" s="5">
        <f t="shared" si="23"/>
        <v>768</v>
      </c>
      <c r="H35" s="5">
        <f t="shared" si="23"/>
        <v>901.6</v>
      </c>
      <c r="I35" s="5">
        <f t="shared" si="23"/>
        <v>1030.4</v>
      </c>
      <c r="J35" s="5">
        <f t="shared" si="23"/>
        <v>1159.2</v>
      </c>
      <c r="K35" s="5">
        <f t="shared" si="23"/>
        <v>1288</v>
      </c>
      <c r="L35" s="2"/>
      <c r="M35" s="2"/>
      <c r="N35" s="2"/>
      <c r="O35" s="2"/>
      <c r="P35" s="2"/>
      <c r="Q35" s="2"/>
      <c r="R35" s="2"/>
    </row>
    <row r="36" ht="15.75" customHeight="1">
      <c r="A36" s="5">
        <v>16.0</v>
      </c>
      <c r="B36" s="5">
        <f t="shared" si="10"/>
        <v>132.8</v>
      </c>
      <c r="C36" s="5">
        <f t="shared" ref="C36:K36" si="24">(C17*0.8)*100</f>
        <v>265.6</v>
      </c>
      <c r="D36" s="5">
        <f t="shared" si="24"/>
        <v>396.8</v>
      </c>
      <c r="E36" s="5">
        <f t="shared" si="24"/>
        <v>531.2</v>
      </c>
      <c r="F36" s="5">
        <f t="shared" si="24"/>
        <v>664</v>
      </c>
      <c r="G36" s="5">
        <f t="shared" si="24"/>
        <v>793.6</v>
      </c>
      <c r="H36" s="5">
        <f t="shared" si="24"/>
        <v>929.6</v>
      </c>
      <c r="I36" s="5">
        <f t="shared" si="24"/>
        <v>1062.4</v>
      </c>
      <c r="J36" s="5">
        <f t="shared" si="24"/>
        <v>1195.2</v>
      </c>
      <c r="K36" s="5">
        <f t="shared" si="24"/>
        <v>1328</v>
      </c>
      <c r="L36" s="2"/>
      <c r="M36" s="2"/>
      <c r="N36" s="2"/>
      <c r="O36" s="2"/>
      <c r="P36" s="2"/>
      <c r="Q36" s="2"/>
      <c r="R36" s="2"/>
    </row>
    <row r="37" ht="15.75" customHeight="1">
      <c r="A37" s="7"/>
      <c r="B37" s="7"/>
      <c r="C37" s="7"/>
      <c r="D37" s="7"/>
      <c r="E37" s="7"/>
      <c r="F37" s="7"/>
      <c r="G37" s="2"/>
      <c r="H37" s="2"/>
      <c r="I37" s="2"/>
      <c r="J37" s="2"/>
      <c r="K37" s="2"/>
      <c r="L37" s="2"/>
      <c r="M37" s="2"/>
      <c r="N37" s="2"/>
      <c r="O37" s="8" t="s">
        <v>13</v>
      </c>
      <c r="P37" s="2"/>
      <c r="Q37" s="2"/>
      <c r="R37" s="2"/>
    </row>
    <row r="38">
      <c r="A38" s="9" t="s">
        <v>14</v>
      </c>
      <c r="L38" s="2"/>
      <c r="M38" s="2"/>
      <c r="N38" s="2"/>
      <c r="O38" s="2"/>
      <c r="P38" s="2"/>
      <c r="Q38" s="2"/>
      <c r="R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5.75" customHeight="1">
      <c r="A40" s="10" t="s">
        <v>15</v>
      </c>
      <c r="B40" s="11" t="s">
        <v>2</v>
      </c>
      <c r="C40" s="11" t="s">
        <v>3</v>
      </c>
      <c r="D40" s="12" t="s">
        <v>4</v>
      </c>
      <c r="E40" s="12" t="s">
        <v>5</v>
      </c>
      <c r="F40" s="12" t="s">
        <v>6</v>
      </c>
      <c r="G40" s="12" t="s">
        <v>7</v>
      </c>
      <c r="H40" s="12" t="s">
        <v>8</v>
      </c>
      <c r="I40" s="12" t="s">
        <v>9</v>
      </c>
      <c r="J40" s="12" t="s">
        <v>16</v>
      </c>
      <c r="K40" s="12" t="s">
        <v>11</v>
      </c>
      <c r="L40" s="13" t="s">
        <v>17</v>
      </c>
      <c r="M40" s="8" t="s">
        <v>18</v>
      </c>
      <c r="N40" s="8" t="s">
        <v>19</v>
      </c>
      <c r="O40" s="14">
        <v>45414.0</v>
      </c>
      <c r="P40" s="8" t="s">
        <v>20</v>
      </c>
      <c r="Q40" s="2"/>
      <c r="R40" s="2"/>
    </row>
    <row r="41" ht="15.75" customHeight="1">
      <c r="A41" s="15">
        <v>2.0</v>
      </c>
      <c r="B41" s="16">
        <f t="shared" ref="B41:B92" si="26">C41/2</f>
        <v>97.74</v>
      </c>
      <c r="C41" s="17">
        <f t="shared" ref="C41:K41" si="25">(C22*1.2)+15</f>
        <v>195.48</v>
      </c>
      <c r="D41" s="17">
        <f t="shared" si="25"/>
        <v>283.8</v>
      </c>
      <c r="E41" s="17">
        <f t="shared" si="25"/>
        <v>375.96</v>
      </c>
      <c r="F41" s="17">
        <f t="shared" si="25"/>
        <v>470.04</v>
      </c>
      <c r="G41" s="17">
        <f t="shared" si="25"/>
        <v>554.52</v>
      </c>
      <c r="H41" s="17">
        <f t="shared" si="25"/>
        <v>642.84</v>
      </c>
      <c r="I41" s="17">
        <f t="shared" si="25"/>
        <v>736.92</v>
      </c>
      <c r="J41" s="18">
        <f t="shared" si="25"/>
        <v>827.16</v>
      </c>
      <c r="K41" s="19">
        <f t="shared" si="25"/>
        <v>913.56</v>
      </c>
      <c r="L41" s="2">
        <f t="shared" ref="L41:L92" si="28">C41*1.3</f>
        <v>254.124</v>
      </c>
      <c r="M41" s="2">
        <f t="shared" ref="M41:M92" si="29">L41*0.66</f>
        <v>167.72184</v>
      </c>
      <c r="N41" s="2">
        <f t="shared" ref="N41:N92" si="30">M41*2</f>
        <v>335.44368</v>
      </c>
      <c r="O41" s="2">
        <f t="shared" ref="O41:O92" si="31">N41*1.25</f>
        <v>419.3046</v>
      </c>
      <c r="P41" s="20">
        <f t="shared" ref="P41:P92" si="32">L41*2</f>
        <v>508.248</v>
      </c>
      <c r="Q41" s="2"/>
      <c r="R41" s="2"/>
    </row>
    <row r="42" ht="15.75" customHeight="1">
      <c r="A42" s="21" t="s">
        <v>21</v>
      </c>
      <c r="B42" s="16">
        <f t="shared" si="26"/>
        <v>120.3</v>
      </c>
      <c r="C42" s="22">
        <f t="shared" ref="C42:K42" si="27">(C22*1.5)+15</f>
        <v>240.6</v>
      </c>
      <c r="D42" s="22">
        <f t="shared" si="27"/>
        <v>351</v>
      </c>
      <c r="E42" s="22">
        <f t="shared" si="27"/>
        <v>466.2</v>
      </c>
      <c r="F42" s="22">
        <f t="shared" si="27"/>
        <v>583.8</v>
      </c>
      <c r="G42" s="22">
        <f t="shared" si="27"/>
        <v>689.4</v>
      </c>
      <c r="H42" s="22">
        <f t="shared" si="27"/>
        <v>799.8</v>
      </c>
      <c r="I42" s="22">
        <f t="shared" si="27"/>
        <v>917.4</v>
      </c>
      <c r="J42" s="23">
        <f t="shared" si="27"/>
        <v>1030.2</v>
      </c>
      <c r="K42" s="24">
        <f t="shared" si="27"/>
        <v>1138.2</v>
      </c>
      <c r="L42" s="2">
        <f t="shared" si="28"/>
        <v>312.78</v>
      </c>
      <c r="M42" s="2">
        <f t="shared" si="29"/>
        <v>206.4348</v>
      </c>
      <c r="N42" s="2">
        <f t="shared" si="30"/>
        <v>412.8696</v>
      </c>
      <c r="O42" s="2">
        <f t="shared" si="31"/>
        <v>516.087</v>
      </c>
      <c r="P42" s="20">
        <f t="shared" si="32"/>
        <v>625.56</v>
      </c>
      <c r="Q42" s="2"/>
      <c r="R42" s="2"/>
    </row>
    <row r="43" ht="15.75" customHeight="1">
      <c r="A43" s="21" t="s">
        <v>22</v>
      </c>
      <c r="B43" s="16">
        <f t="shared" si="26"/>
        <v>120.3</v>
      </c>
      <c r="C43" s="22">
        <f t="shared" ref="C43:K43" si="33">(C22*1.5)+15</f>
        <v>240.6</v>
      </c>
      <c r="D43" s="22">
        <f t="shared" si="33"/>
        <v>351</v>
      </c>
      <c r="E43" s="22">
        <f t="shared" si="33"/>
        <v>466.2</v>
      </c>
      <c r="F43" s="22">
        <f t="shared" si="33"/>
        <v>583.8</v>
      </c>
      <c r="G43" s="22">
        <f t="shared" si="33"/>
        <v>689.4</v>
      </c>
      <c r="H43" s="22">
        <f t="shared" si="33"/>
        <v>799.8</v>
      </c>
      <c r="I43" s="22">
        <f t="shared" si="33"/>
        <v>917.4</v>
      </c>
      <c r="J43" s="23">
        <f t="shared" si="33"/>
        <v>1030.2</v>
      </c>
      <c r="K43" s="24">
        <f t="shared" si="33"/>
        <v>1138.2</v>
      </c>
      <c r="L43" s="2">
        <f t="shared" si="28"/>
        <v>312.78</v>
      </c>
      <c r="M43" s="2">
        <f t="shared" si="29"/>
        <v>206.4348</v>
      </c>
      <c r="N43" s="2">
        <f t="shared" si="30"/>
        <v>412.8696</v>
      </c>
      <c r="O43" s="2">
        <f t="shared" si="31"/>
        <v>516.087</v>
      </c>
      <c r="P43" s="20">
        <f t="shared" si="32"/>
        <v>625.56</v>
      </c>
      <c r="Q43" s="2"/>
      <c r="R43" s="2"/>
    </row>
    <row r="44" ht="15.75" customHeight="1">
      <c r="A44" s="21" t="s">
        <v>23</v>
      </c>
      <c r="B44" s="16">
        <f t="shared" si="26"/>
        <v>120.3</v>
      </c>
      <c r="C44" s="22">
        <f t="shared" ref="C44:K44" si="34">(C22*1.5)+15</f>
        <v>240.6</v>
      </c>
      <c r="D44" s="22">
        <f t="shared" si="34"/>
        <v>351</v>
      </c>
      <c r="E44" s="22">
        <f t="shared" si="34"/>
        <v>466.2</v>
      </c>
      <c r="F44" s="22">
        <f t="shared" si="34"/>
        <v>583.8</v>
      </c>
      <c r="G44" s="22">
        <f t="shared" si="34"/>
        <v>689.4</v>
      </c>
      <c r="H44" s="22">
        <f t="shared" si="34"/>
        <v>799.8</v>
      </c>
      <c r="I44" s="22">
        <f t="shared" si="34"/>
        <v>917.4</v>
      </c>
      <c r="J44" s="23">
        <f t="shared" si="34"/>
        <v>1030.2</v>
      </c>
      <c r="K44" s="24">
        <f t="shared" si="34"/>
        <v>1138.2</v>
      </c>
      <c r="L44" s="2">
        <f t="shared" si="28"/>
        <v>312.78</v>
      </c>
      <c r="M44" s="2">
        <f t="shared" si="29"/>
        <v>206.4348</v>
      </c>
      <c r="N44" s="2">
        <f t="shared" si="30"/>
        <v>412.8696</v>
      </c>
      <c r="O44" s="2">
        <f t="shared" si="31"/>
        <v>516.087</v>
      </c>
      <c r="P44" s="20">
        <f t="shared" si="32"/>
        <v>625.56</v>
      </c>
      <c r="Q44" s="2"/>
      <c r="R44" s="2"/>
    </row>
    <row r="45" ht="15.75" customHeight="1">
      <c r="A45" s="25">
        <v>3.0</v>
      </c>
      <c r="B45" s="16">
        <f t="shared" si="26"/>
        <v>126.3</v>
      </c>
      <c r="C45" s="22">
        <f t="shared" ref="C45:K45" si="35">(C23*1.5)+15</f>
        <v>252.6</v>
      </c>
      <c r="D45" s="22">
        <f t="shared" si="35"/>
        <v>370.2</v>
      </c>
      <c r="E45" s="22">
        <f t="shared" si="35"/>
        <v>490.2</v>
      </c>
      <c r="F45" s="22">
        <f t="shared" si="35"/>
        <v>609</v>
      </c>
      <c r="G45" s="22">
        <f t="shared" si="35"/>
        <v>725.4</v>
      </c>
      <c r="H45" s="22">
        <f t="shared" si="35"/>
        <v>846.6</v>
      </c>
      <c r="I45" s="22">
        <f t="shared" si="35"/>
        <v>965.4</v>
      </c>
      <c r="J45" s="23">
        <f t="shared" si="35"/>
        <v>1084.2</v>
      </c>
      <c r="K45" s="24">
        <f t="shared" si="35"/>
        <v>1203</v>
      </c>
      <c r="L45" s="2">
        <f t="shared" si="28"/>
        <v>328.38</v>
      </c>
      <c r="M45" s="2">
        <f t="shared" si="29"/>
        <v>216.7308</v>
      </c>
      <c r="N45" s="2">
        <f t="shared" si="30"/>
        <v>433.4616</v>
      </c>
      <c r="O45" s="2">
        <f t="shared" si="31"/>
        <v>541.827</v>
      </c>
      <c r="P45" s="20">
        <f t="shared" si="32"/>
        <v>656.76</v>
      </c>
      <c r="Q45" s="2"/>
      <c r="R45" s="2"/>
    </row>
    <row r="46" ht="15.75" customHeight="1">
      <c r="A46" s="25" t="s">
        <v>24</v>
      </c>
      <c r="B46" s="16">
        <f t="shared" si="26"/>
        <v>126.3</v>
      </c>
      <c r="C46" s="22">
        <f t="shared" ref="C46:K46" si="36">(C23*1.5)+15</f>
        <v>252.6</v>
      </c>
      <c r="D46" s="22">
        <f t="shared" si="36"/>
        <v>370.2</v>
      </c>
      <c r="E46" s="22">
        <f t="shared" si="36"/>
        <v>490.2</v>
      </c>
      <c r="F46" s="22">
        <f t="shared" si="36"/>
        <v>609</v>
      </c>
      <c r="G46" s="22">
        <f t="shared" si="36"/>
        <v>725.4</v>
      </c>
      <c r="H46" s="22">
        <f t="shared" si="36"/>
        <v>846.6</v>
      </c>
      <c r="I46" s="22">
        <f t="shared" si="36"/>
        <v>965.4</v>
      </c>
      <c r="J46" s="23">
        <f t="shared" si="36"/>
        <v>1084.2</v>
      </c>
      <c r="K46" s="24">
        <f t="shared" si="36"/>
        <v>1203</v>
      </c>
      <c r="L46" s="2">
        <f t="shared" si="28"/>
        <v>328.38</v>
      </c>
      <c r="M46" s="2">
        <f t="shared" si="29"/>
        <v>216.7308</v>
      </c>
      <c r="N46" s="2">
        <f t="shared" si="30"/>
        <v>433.4616</v>
      </c>
      <c r="O46" s="2">
        <f t="shared" si="31"/>
        <v>541.827</v>
      </c>
      <c r="P46" s="20">
        <f t="shared" si="32"/>
        <v>656.76</v>
      </c>
      <c r="Q46" s="2"/>
      <c r="R46" s="2"/>
    </row>
    <row r="47" ht="15.75" customHeight="1">
      <c r="A47" s="25" t="s">
        <v>25</v>
      </c>
      <c r="B47" s="16">
        <f t="shared" si="26"/>
        <v>126.3</v>
      </c>
      <c r="C47" s="22">
        <f t="shared" ref="C47:K47" si="37">(C23*1.5)+15</f>
        <v>252.6</v>
      </c>
      <c r="D47" s="22">
        <f t="shared" si="37"/>
        <v>370.2</v>
      </c>
      <c r="E47" s="22">
        <f t="shared" si="37"/>
        <v>490.2</v>
      </c>
      <c r="F47" s="22">
        <f t="shared" si="37"/>
        <v>609</v>
      </c>
      <c r="G47" s="22">
        <f t="shared" si="37"/>
        <v>725.4</v>
      </c>
      <c r="H47" s="22">
        <f t="shared" si="37"/>
        <v>846.6</v>
      </c>
      <c r="I47" s="22">
        <f t="shared" si="37"/>
        <v>965.4</v>
      </c>
      <c r="J47" s="23">
        <f t="shared" si="37"/>
        <v>1084.2</v>
      </c>
      <c r="K47" s="24">
        <f t="shared" si="37"/>
        <v>1203</v>
      </c>
      <c r="L47" s="2">
        <f t="shared" si="28"/>
        <v>328.38</v>
      </c>
      <c r="M47" s="2">
        <f t="shared" si="29"/>
        <v>216.7308</v>
      </c>
      <c r="N47" s="2">
        <f t="shared" si="30"/>
        <v>433.4616</v>
      </c>
      <c r="O47" s="2">
        <f t="shared" si="31"/>
        <v>541.827</v>
      </c>
      <c r="P47" s="20">
        <f t="shared" si="32"/>
        <v>656.76</v>
      </c>
      <c r="Q47" s="2"/>
      <c r="R47" s="2"/>
    </row>
    <row r="48" ht="15.75" customHeight="1">
      <c r="A48" s="25" t="s">
        <v>26</v>
      </c>
      <c r="B48" s="16">
        <f t="shared" si="26"/>
        <v>126.3</v>
      </c>
      <c r="C48" s="22">
        <f t="shared" ref="C48:K48" si="38">(C23*1.5)+15</f>
        <v>252.6</v>
      </c>
      <c r="D48" s="22">
        <f t="shared" si="38"/>
        <v>370.2</v>
      </c>
      <c r="E48" s="22">
        <f t="shared" si="38"/>
        <v>490.2</v>
      </c>
      <c r="F48" s="22">
        <f t="shared" si="38"/>
        <v>609</v>
      </c>
      <c r="G48" s="22">
        <f t="shared" si="38"/>
        <v>725.4</v>
      </c>
      <c r="H48" s="22">
        <f t="shared" si="38"/>
        <v>846.6</v>
      </c>
      <c r="I48" s="22">
        <f t="shared" si="38"/>
        <v>965.4</v>
      </c>
      <c r="J48" s="23">
        <f t="shared" si="38"/>
        <v>1084.2</v>
      </c>
      <c r="K48" s="24">
        <f t="shared" si="38"/>
        <v>1203</v>
      </c>
      <c r="L48" s="2">
        <f t="shared" si="28"/>
        <v>328.38</v>
      </c>
      <c r="M48" s="2">
        <f t="shared" si="29"/>
        <v>216.7308</v>
      </c>
      <c r="N48" s="2">
        <f t="shared" si="30"/>
        <v>433.4616</v>
      </c>
      <c r="O48" s="2">
        <f t="shared" si="31"/>
        <v>541.827</v>
      </c>
      <c r="P48" s="20">
        <f t="shared" si="32"/>
        <v>656.76</v>
      </c>
      <c r="Q48" s="2"/>
      <c r="R48" s="2"/>
    </row>
    <row r="49" ht="15.75" customHeight="1">
      <c r="A49" s="25">
        <v>4.0</v>
      </c>
      <c r="B49" s="16">
        <f t="shared" si="26"/>
        <v>132.3</v>
      </c>
      <c r="C49" s="22">
        <f t="shared" ref="C49:K49" si="39">(C24*1.5)+15</f>
        <v>264.6</v>
      </c>
      <c r="D49" s="22">
        <f t="shared" si="39"/>
        <v>388.2</v>
      </c>
      <c r="E49" s="22">
        <f t="shared" si="39"/>
        <v>514.2</v>
      </c>
      <c r="F49" s="22">
        <f t="shared" si="39"/>
        <v>639</v>
      </c>
      <c r="G49" s="22">
        <f t="shared" si="39"/>
        <v>761.4</v>
      </c>
      <c r="H49" s="22">
        <f t="shared" si="39"/>
        <v>888.6</v>
      </c>
      <c r="I49" s="22">
        <f t="shared" si="39"/>
        <v>1013.4</v>
      </c>
      <c r="J49" s="23">
        <f t="shared" si="39"/>
        <v>1138.2</v>
      </c>
      <c r="K49" s="24">
        <f t="shared" si="39"/>
        <v>1263</v>
      </c>
      <c r="L49" s="2">
        <f t="shared" si="28"/>
        <v>343.98</v>
      </c>
      <c r="M49" s="2">
        <f t="shared" si="29"/>
        <v>227.0268</v>
      </c>
      <c r="N49" s="2">
        <f t="shared" si="30"/>
        <v>454.0536</v>
      </c>
      <c r="O49" s="2">
        <f t="shared" si="31"/>
        <v>567.567</v>
      </c>
      <c r="P49" s="20">
        <f t="shared" si="32"/>
        <v>687.96</v>
      </c>
      <c r="Q49" s="2"/>
      <c r="R49" s="2"/>
    </row>
    <row r="50" ht="15.75" customHeight="1">
      <c r="A50" s="25" t="s">
        <v>27</v>
      </c>
      <c r="B50" s="16">
        <f t="shared" si="26"/>
        <v>132.3</v>
      </c>
      <c r="C50" s="22">
        <f t="shared" ref="C50:K50" si="40">(C24*1.5)+15</f>
        <v>264.6</v>
      </c>
      <c r="D50" s="22">
        <f t="shared" si="40"/>
        <v>388.2</v>
      </c>
      <c r="E50" s="22">
        <f t="shared" si="40"/>
        <v>514.2</v>
      </c>
      <c r="F50" s="22">
        <f t="shared" si="40"/>
        <v>639</v>
      </c>
      <c r="G50" s="22">
        <f t="shared" si="40"/>
        <v>761.4</v>
      </c>
      <c r="H50" s="22">
        <f t="shared" si="40"/>
        <v>888.6</v>
      </c>
      <c r="I50" s="22">
        <f t="shared" si="40"/>
        <v>1013.4</v>
      </c>
      <c r="J50" s="23">
        <f t="shared" si="40"/>
        <v>1138.2</v>
      </c>
      <c r="K50" s="24">
        <f t="shared" si="40"/>
        <v>1263</v>
      </c>
      <c r="L50" s="2">
        <f t="shared" si="28"/>
        <v>343.98</v>
      </c>
      <c r="M50" s="2">
        <f t="shared" si="29"/>
        <v>227.0268</v>
      </c>
      <c r="N50" s="2">
        <f t="shared" si="30"/>
        <v>454.0536</v>
      </c>
      <c r="O50" s="2">
        <f t="shared" si="31"/>
        <v>567.567</v>
      </c>
      <c r="P50" s="20">
        <f t="shared" si="32"/>
        <v>687.96</v>
      </c>
      <c r="Q50" s="2"/>
      <c r="R50" s="2"/>
    </row>
    <row r="51" ht="15.75" customHeight="1">
      <c r="A51" s="25" t="s">
        <v>28</v>
      </c>
      <c r="B51" s="16">
        <f t="shared" si="26"/>
        <v>132.3</v>
      </c>
      <c r="C51" s="22">
        <f t="shared" ref="C51:K51" si="41">(C24*1.5)+15</f>
        <v>264.6</v>
      </c>
      <c r="D51" s="22">
        <f t="shared" si="41"/>
        <v>388.2</v>
      </c>
      <c r="E51" s="22">
        <f t="shared" si="41"/>
        <v>514.2</v>
      </c>
      <c r="F51" s="22">
        <f t="shared" si="41"/>
        <v>639</v>
      </c>
      <c r="G51" s="22">
        <f t="shared" si="41"/>
        <v>761.4</v>
      </c>
      <c r="H51" s="22">
        <f t="shared" si="41"/>
        <v>888.6</v>
      </c>
      <c r="I51" s="22">
        <f t="shared" si="41"/>
        <v>1013.4</v>
      </c>
      <c r="J51" s="23">
        <f t="shared" si="41"/>
        <v>1138.2</v>
      </c>
      <c r="K51" s="24">
        <f t="shared" si="41"/>
        <v>1263</v>
      </c>
      <c r="L51" s="2">
        <f t="shared" si="28"/>
        <v>343.98</v>
      </c>
      <c r="M51" s="2">
        <f t="shared" si="29"/>
        <v>227.0268</v>
      </c>
      <c r="N51" s="2">
        <f t="shared" si="30"/>
        <v>454.0536</v>
      </c>
      <c r="O51" s="2">
        <f t="shared" si="31"/>
        <v>567.567</v>
      </c>
      <c r="P51" s="20">
        <f t="shared" si="32"/>
        <v>687.96</v>
      </c>
      <c r="Q51" s="2"/>
      <c r="R51" s="2"/>
    </row>
    <row r="52" ht="15.75" customHeight="1">
      <c r="A52" s="25" t="s">
        <v>29</v>
      </c>
      <c r="B52" s="16">
        <f t="shared" si="26"/>
        <v>132.3</v>
      </c>
      <c r="C52" s="22">
        <f t="shared" ref="C52:K52" si="42">(C24*1.5)+15</f>
        <v>264.6</v>
      </c>
      <c r="D52" s="22">
        <f t="shared" si="42"/>
        <v>388.2</v>
      </c>
      <c r="E52" s="22">
        <f t="shared" si="42"/>
        <v>514.2</v>
      </c>
      <c r="F52" s="22">
        <f t="shared" si="42"/>
        <v>639</v>
      </c>
      <c r="G52" s="22">
        <f t="shared" si="42"/>
        <v>761.4</v>
      </c>
      <c r="H52" s="22">
        <f t="shared" si="42"/>
        <v>888.6</v>
      </c>
      <c r="I52" s="22">
        <f t="shared" si="42"/>
        <v>1013.4</v>
      </c>
      <c r="J52" s="23">
        <f t="shared" si="42"/>
        <v>1138.2</v>
      </c>
      <c r="K52" s="24">
        <f t="shared" si="42"/>
        <v>1263</v>
      </c>
      <c r="L52" s="2">
        <f t="shared" si="28"/>
        <v>343.98</v>
      </c>
      <c r="M52" s="2">
        <f t="shared" si="29"/>
        <v>227.0268</v>
      </c>
      <c r="N52" s="2">
        <f t="shared" si="30"/>
        <v>454.0536</v>
      </c>
      <c r="O52" s="2">
        <f t="shared" si="31"/>
        <v>567.567</v>
      </c>
      <c r="P52" s="20">
        <f t="shared" si="32"/>
        <v>687.96</v>
      </c>
      <c r="Q52" s="2"/>
      <c r="R52" s="2"/>
    </row>
    <row r="53" ht="15.75" customHeight="1">
      <c r="A53" s="25">
        <v>5.0</v>
      </c>
      <c r="B53" s="16">
        <f t="shared" si="26"/>
        <v>165.18</v>
      </c>
      <c r="C53" s="22">
        <f t="shared" ref="C53:K53" si="43">(C25*1.8)+15</f>
        <v>330.36</v>
      </c>
      <c r="D53" s="22">
        <f t="shared" si="43"/>
        <v>485.88</v>
      </c>
      <c r="E53" s="22">
        <f t="shared" si="43"/>
        <v>645.72</v>
      </c>
      <c r="F53" s="22">
        <f t="shared" si="43"/>
        <v>803.4</v>
      </c>
      <c r="G53" s="22">
        <f t="shared" si="43"/>
        <v>956.76</v>
      </c>
      <c r="H53" s="22">
        <f t="shared" si="43"/>
        <v>1118.76</v>
      </c>
      <c r="I53" s="22">
        <f t="shared" si="43"/>
        <v>1276.44</v>
      </c>
      <c r="J53" s="23">
        <f t="shared" si="43"/>
        <v>1434.12</v>
      </c>
      <c r="K53" s="24">
        <f t="shared" si="43"/>
        <v>1591.8</v>
      </c>
      <c r="L53" s="2">
        <f t="shared" si="28"/>
        <v>429.468</v>
      </c>
      <c r="M53" s="2">
        <f t="shared" si="29"/>
        <v>283.44888</v>
      </c>
      <c r="N53" s="2">
        <f t="shared" si="30"/>
        <v>566.89776</v>
      </c>
      <c r="O53" s="2">
        <f t="shared" si="31"/>
        <v>708.6222</v>
      </c>
      <c r="P53" s="20">
        <f t="shared" si="32"/>
        <v>858.936</v>
      </c>
      <c r="Q53" s="2"/>
      <c r="R53" s="2"/>
    </row>
    <row r="54" ht="15.75" customHeight="1">
      <c r="A54" s="25" t="s">
        <v>30</v>
      </c>
      <c r="B54" s="16">
        <f t="shared" si="26"/>
        <v>165.18</v>
      </c>
      <c r="C54" s="22">
        <f t="shared" ref="C54:K54" si="44">(C25*1.8)+15</f>
        <v>330.36</v>
      </c>
      <c r="D54" s="22">
        <f t="shared" si="44"/>
        <v>485.88</v>
      </c>
      <c r="E54" s="22">
        <f t="shared" si="44"/>
        <v>645.72</v>
      </c>
      <c r="F54" s="22">
        <f t="shared" si="44"/>
        <v>803.4</v>
      </c>
      <c r="G54" s="22">
        <f t="shared" si="44"/>
        <v>956.76</v>
      </c>
      <c r="H54" s="22">
        <f t="shared" si="44"/>
        <v>1118.76</v>
      </c>
      <c r="I54" s="22">
        <f t="shared" si="44"/>
        <v>1276.44</v>
      </c>
      <c r="J54" s="23">
        <f t="shared" si="44"/>
        <v>1434.12</v>
      </c>
      <c r="K54" s="24">
        <f t="shared" si="44"/>
        <v>1591.8</v>
      </c>
      <c r="L54" s="2">
        <f t="shared" si="28"/>
        <v>429.468</v>
      </c>
      <c r="M54" s="2">
        <f t="shared" si="29"/>
        <v>283.44888</v>
      </c>
      <c r="N54" s="2">
        <f t="shared" si="30"/>
        <v>566.89776</v>
      </c>
      <c r="O54" s="2">
        <f t="shared" si="31"/>
        <v>708.6222</v>
      </c>
      <c r="P54" s="20">
        <f t="shared" si="32"/>
        <v>858.936</v>
      </c>
      <c r="Q54" s="2"/>
      <c r="R54" s="2"/>
    </row>
    <row r="55" ht="15.75" customHeight="1">
      <c r="A55" s="25" t="s">
        <v>31</v>
      </c>
      <c r="B55" s="16">
        <f t="shared" si="26"/>
        <v>165.18</v>
      </c>
      <c r="C55" s="22">
        <f t="shared" ref="C55:K55" si="45">(C25*1.8)+15</f>
        <v>330.36</v>
      </c>
      <c r="D55" s="22">
        <f t="shared" si="45"/>
        <v>485.88</v>
      </c>
      <c r="E55" s="22">
        <f t="shared" si="45"/>
        <v>645.72</v>
      </c>
      <c r="F55" s="22">
        <f t="shared" si="45"/>
        <v>803.4</v>
      </c>
      <c r="G55" s="22">
        <f t="shared" si="45"/>
        <v>956.76</v>
      </c>
      <c r="H55" s="22">
        <f t="shared" si="45"/>
        <v>1118.76</v>
      </c>
      <c r="I55" s="22">
        <f t="shared" si="45"/>
        <v>1276.44</v>
      </c>
      <c r="J55" s="23">
        <f t="shared" si="45"/>
        <v>1434.12</v>
      </c>
      <c r="K55" s="24">
        <f t="shared" si="45"/>
        <v>1591.8</v>
      </c>
      <c r="L55" s="2">
        <f t="shared" si="28"/>
        <v>429.468</v>
      </c>
      <c r="M55" s="2">
        <f t="shared" si="29"/>
        <v>283.44888</v>
      </c>
      <c r="N55" s="2">
        <f t="shared" si="30"/>
        <v>566.89776</v>
      </c>
      <c r="O55" s="2">
        <f t="shared" si="31"/>
        <v>708.6222</v>
      </c>
      <c r="P55" s="20">
        <f t="shared" si="32"/>
        <v>858.936</v>
      </c>
      <c r="Q55" s="2"/>
      <c r="R55" s="2"/>
    </row>
    <row r="56" ht="15.75" customHeight="1">
      <c r="A56" s="25" t="s">
        <v>32</v>
      </c>
      <c r="B56" s="16">
        <f t="shared" si="26"/>
        <v>165.18</v>
      </c>
      <c r="C56" s="22">
        <f t="shared" ref="C56:K56" si="46">(C25*1.8)+15</f>
        <v>330.36</v>
      </c>
      <c r="D56" s="22">
        <f t="shared" si="46"/>
        <v>485.88</v>
      </c>
      <c r="E56" s="22">
        <f t="shared" si="46"/>
        <v>645.72</v>
      </c>
      <c r="F56" s="22">
        <f t="shared" si="46"/>
        <v>803.4</v>
      </c>
      <c r="G56" s="22">
        <f t="shared" si="46"/>
        <v>956.76</v>
      </c>
      <c r="H56" s="22">
        <f t="shared" si="46"/>
        <v>1118.76</v>
      </c>
      <c r="I56" s="22">
        <f t="shared" si="46"/>
        <v>1276.44</v>
      </c>
      <c r="J56" s="23">
        <f t="shared" si="46"/>
        <v>1434.12</v>
      </c>
      <c r="K56" s="24">
        <f t="shared" si="46"/>
        <v>1591.8</v>
      </c>
      <c r="L56" s="2">
        <f t="shared" si="28"/>
        <v>429.468</v>
      </c>
      <c r="M56" s="2">
        <f t="shared" si="29"/>
        <v>283.44888</v>
      </c>
      <c r="N56" s="2">
        <f t="shared" si="30"/>
        <v>566.89776</v>
      </c>
      <c r="O56" s="2">
        <f t="shared" si="31"/>
        <v>708.6222</v>
      </c>
      <c r="P56" s="20">
        <f t="shared" si="32"/>
        <v>858.936</v>
      </c>
      <c r="Q56" s="2"/>
      <c r="R56" s="2"/>
    </row>
    <row r="57" ht="15.75" customHeight="1">
      <c r="A57" s="25">
        <v>6.0</v>
      </c>
      <c r="B57" s="16">
        <f t="shared" si="26"/>
        <v>190.7</v>
      </c>
      <c r="C57" s="22">
        <f t="shared" ref="C57:K57" si="47">(C26*2)+15</f>
        <v>381.4</v>
      </c>
      <c r="D57" s="22">
        <f t="shared" si="47"/>
        <v>562.2</v>
      </c>
      <c r="E57" s="22">
        <f t="shared" si="47"/>
        <v>747.8</v>
      </c>
      <c r="F57" s="22">
        <f t="shared" si="47"/>
        <v>931</v>
      </c>
      <c r="G57" s="22">
        <f t="shared" si="47"/>
        <v>1109.4</v>
      </c>
      <c r="H57" s="22">
        <f t="shared" si="47"/>
        <v>1297.4</v>
      </c>
      <c r="I57" s="22">
        <f t="shared" si="47"/>
        <v>1480.6</v>
      </c>
      <c r="J57" s="23">
        <f t="shared" si="47"/>
        <v>1663.8</v>
      </c>
      <c r="K57" s="24">
        <f t="shared" si="47"/>
        <v>1847</v>
      </c>
      <c r="L57" s="2">
        <f t="shared" si="28"/>
        <v>495.82</v>
      </c>
      <c r="M57" s="2">
        <f t="shared" si="29"/>
        <v>327.2412</v>
      </c>
      <c r="N57" s="2">
        <f t="shared" si="30"/>
        <v>654.4824</v>
      </c>
      <c r="O57" s="2">
        <f t="shared" si="31"/>
        <v>818.103</v>
      </c>
      <c r="P57" s="20">
        <f t="shared" si="32"/>
        <v>991.64</v>
      </c>
      <c r="Q57" s="2"/>
      <c r="R57" s="2"/>
    </row>
    <row r="58" ht="15.75" customHeight="1">
      <c r="A58" s="25" t="s">
        <v>33</v>
      </c>
      <c r="B58" s="16">
        <f t="shared" si="26"/>
        <v>190.7</v>
      </c>
      <c r="C58" s="22">
        <f t="shared" ref="C58:K58" si="48">(C26*2)+15</f>
        <v>381.4</v>
      </c>
      <c r="D58" s="22">
        <f t="shared" si="48"/>
        <v>562.2</v>
      </c>
      <c r="E58" s="22">
        <f t="shared" si="48"/>
        <v>747.8</v>
      </c>
      <c r="F58" s="22">
        <f t="shared" si="48"/>
        <v>931</v>
      </c>
      <c r="G58" s="22">
        <f t="shared" si="48"/>
        <v>1109.4</v>
      </c>
      <c r="H58" s="22">
        <f t="shared" si="48"/>
        <v>1297.4</v>
      </c>
      <c r="I58" s="22">
        <f t="shared" si="48"/>
        <v>1480.6</v>
      </c>
      <c r="J58" s="23">
        <f t="shared" si="48"/>
        <v>1663.8</v>
      </c>
      <c r="K58" s="24">
        <f t="shared" si="48"/>
        <v>1847</v>
      </c>
      <c r="L58" s="2">
        <f t="shared" si="28"/>
        <v>495.82</v>
      </c>
      <c r="M58" s="2">
        <f t="shared" si="29"/>
        <v>327.2412</v>
      </c>
      <c r="N58" s="2">
        <f t="shared" si="30"/>
        <v>654.4824</v>
      </c>
      <c r="O58" s="2">
        <f t="shared" si="31"/>
        <v>818.103</v>
      </c>
      <c r="P58" s="20">
        <f t="shared" si="32"/>
        <v>991.64</v>
      </c>
      <c r="Q58" s="2"/>
      <c r="R58" s="2"/>
    </row>
    <row r="59" ht="15.75" customHeight="1">
      <c r="A59" s="25" t="s">
        <v>34</v>
      </c>
      <c r="B59" s="16">
        <f t="shared" si="26"/>
        <v>190.7</v>
      </c>
      <c r="C59" s="22">
        <f t="shared" ref="C59:K59" si="49">(C26*2)+15</f>
        <v>381.4</v>
      </c>
      <c r="D59" s="22">
        <f t="shared" si="49"/>
        <v>562.2</v>
      </c>
      <c r="E59" s="22">
        <f t="shared" si="49"/>
        <v>747.8</v>
      </c>
      <c r="F59" s="22">
        <f t="shared" si="49"/>
        <v>931</v>
      </c>
      <c r="G59" s="22">
        <f t="shared" si="49"/>
        <v>1109.4</v>
      </c>
      <c r="H59" s="22">
        <f t="shared" si="49"/>
        <v>1297.4</v>
      </c>
      <c r="I59" s="22">
        <f t="shared" si="49"/>
        <v>1480.6</v>
      </c>
      <c r="J59" s="23">
        <f t="shared" si="49"/>
        <v>1663.8</v>
      </c>
      <c r="K59" s="24">
        <f t="shared" si="49"/>
        <v>1847</v>
      </c>
      <c r="L59" s="2">
        <f t="shared" si="28"/>
        <v>495.82</v>
      </c>
      <c r="M59" s="2">
        <f t="shared" si="29"/>
        <v>327.2412</v>
      </c>
      <c r="N59" s="2">
        <f t="shared" si="30"/>
        <v>654.4824</v>
      </c>
      <c r="O59" s="2">
        <f t="shared" si="31"/>
        <v>818.103</v>
      </c>
      <c r="P59" s="20">
        <f t="shared" si="32"/>
        <v>991.64</v>
      </c>
      <c r="Q59" s="2"/>
      <c r="R59" s="2"/>
    </row>
    <row r="60" ht="15.75" customHeight="1">
      <c r="A60" s="25" t="s">
        <v>35</v>
      </c>
      <c r="B60" s="16">
        <f t="shared" si="26"/>
        <v>190.7</v>
      </c>
      <c r="C60" s="22">
        <f t="shared" ref="C60:K60" si="50">(C26*2)+15</f>
        <v>381.4</v>
      </c>
      <c r="D60" s="22">
        <f t="shared" si="50"/>
        <v>562.2</v>
      </c>
      <c r="E60" s="22">
        <f t="shared" si="50"/>
        <v>747.8</v>
      </c>
      <c r="F60" s="22">
        <f t="shared" si="50"/>
        <v>931</v>
      </c>
      <c r="G60" s="22">
        <f t="shared" si="50"/>
        <v>1109.4</v>
      </c>
      <c r="H60" s="22">
        <f t="shared" si="50"/>
        <v>1297.4</v>
      </c>
      <c r="I60" s="22">
        <f t="shared" si="50"/>
        <v>1480.6</v>
      </c>
      <c r="J60" s="23">
        <f t="shared" si="50"/>
        <v>1663.8</v>
      </c>
      <c r="K60" s="24">
        <f t="shared" si="50"/>
        <v>1847</v>
      </c>
      <c r="L60" s="2">
        <f t="shared" si="28"/>
        <v>495.82</v>
      </c>
      <c r="M60" s="2">
        <f t="shared" si="29"/>
        <v>327.2412</v>
      </c>
      <c r="N60" s="2">
        <f t="shared" si="30"/>
        <v>654.4824</v>
      </c>
      <c r="O60" s="2">
        <f t="shared" si="31"/>
        <v>818.103</v>
      </c>
      <c r="P60" s="20">
        <f t="shared" si="32"/>
        <v>991.64</v>
      </c>
      <c r="Q60" s="2"/>
      <c r="R60" s="2"/>
    </row>
    <row r="61" ht="15.75" customHeight="1">
      <c r="A61" s="25">
        <v>7.0</v>
      </c>
      <c r="B61" s="16">
        <f t="shared" si="26"/>
        <v>198.7</v>
      </c>
      <c r="C61" s="22">
        <f t="shared" ref="C61:K61" si="51">(C27*2)+15</f>
        <v>397.4</v>
      </c>
      <c r="D61" s="22">
        <f t="shared" si="51"/>
        <v>586.2</v>
      </c>
      <c r="E61" s="22">
        <f t="shared" si="51"/>
        <v>779.8</v>
      </c>
      <c r="F61" s="22">
        <f t="shared" si="51"/>
        <v>971</v>
      </c>
      <c r="G61" s="22">
        <f t="shared" si="51"/>
        <v>1157.4</v>
      </c>
      <c r="H61" s="22">
        <f t="shared" si="51"/>
        <v>1353.4</v>
      </c>
      <c r="I61" s="22">
        <f t="shared" si="51"/>
        <v>1544.6</v>
      </c>
      <c r="J61" s="23">
        <f t="shared" si="51"/>
        <v>1735.8</v>
      </c>
      <c r="K61" s="24">
        <f t="shared" si="51"/>
        <v>1927</v>
      </c>
      <c r="L61" s="2">
        <f t="shared" si="28"/>
        <v>516.62</v>
      </c>
      <c r="M61" s="2">
        <f t="shared" si="29"/>
        <v>340.9692</v>
      </c>
      <c r="N61" s="2">
        <f t="shared" si="30"/>
        <v>681.9384</v>
      </c>
      <c r="O61" s="2">
        <f t="shared" si="31"/>
        <v>852.423</v>
      </c>
      <c r="P61" s="20">
        <f t="shared" si="32"/>
        <v>1033.24</v>
      </c>
      <c r="Q61" s="2"/>
      <c r="R61" s="2"/>
    </row>
    <row r="62" ht="15.75" customHeight="1">
      <c r="A62" s="25" t="s">
        <v>36</v>
      </c>
      <c r="B62" s="16">
        <f t="shared" si="26"/>
        <v>198.7</v>
      </c>
      <c r="C62" s="22">
        <f t="shared" ref="C62:K62" si="52">(C27*2)+15</f>
        <v>397.4</v>
      </c>
      <c r="D62" s="22">
        <f t="shared" si="52"/>
        <v>586.2</v>
      </c>
      <c r="E62" s="22">
        <f t="shared" si="52"/>
        <v>779.8</v>
      </c>
      <c r="F62" s="22">
        <f t="shared" si="52"/>
        <v>971</v>
      </c>
      <c r="G62" s="22">
        <f t="shared" si="52"/>
        <v>1157.4</v>
      </c>
      <c r="H62" s="22">
        <f t="shared" si="52"/>
        <v>1353.4</v>
      </c>
      <c r="I62" s="22">
        <f t="shared" si="52"/>
        <v>1544.6</v>
      </c>
      <c r="J62" s="23">
        <f t="shared" si="52"/>
        <v>1735.8</v>
      </c>
      <c r="K62" s="24">
        <f t="shared" si="52"/>
        <v>1927</v>
      </c>
      <c r="L62" s="2">
        <f t="shared" si="28"/>
        <v>516.62</v>
      </c>
      <c r="M62" s="2">
        <f t="shared" si="29"/>
        <v>340.9692</v>
      </c>
      <c r="N62" s="2">
        <f t="shared" si="30"/>
        <v>681.9384</v>
      </c>
      <c r="O62" s="2">
        <f t="shared" si="31"/>
        <v>852.423</v>
      </c>
      <c r="P62" s="20">
        <f t="shared" si="32"/>
        <v>1033.24</v>
      </c>
      <c r="Q62" s="2"/>
      <c r="R62" s="2"/>
    </row>
    <row r="63" ht="15.75" customHeight="1">
      <c r="A63" s="25" t="s">
        <v>37</v>
      </c>
      <c r="B63" s="16">
        <f t="shared" si="26"/>
        <v>198.7</v>
      </c>
      <c r="C63" s="22">
        <f t="shared" ref="C63:K63" si="53">(C27*2)+15</f>
        <v>397.4</v>
      </c>
      <c r="D63" s="22">
        <f t="shared" si="53"/>
        <v>586.2</v>
      </c>
      <c r="E63" s="22">
        <f t="shared" si="53"/>
        <v>779.8</v>
      </c>
      <c r="F63" s="22">
        <f t="shared" si="53"/>
        <v>971</v>
      </c>
      <c r="G63" s="22">
        <f t="shared" si="53"/>
        <v>1157.4</v>
      </c>
      <c r="H63" s="22">
        <f t="shared" si="53"/>
        <v>1353.4</v>
      </c>
      <c r="I63" s="22">
        <f t="shared" si="53"/>
        <v>1544.6</v>
      </c>
      <c r="J63" s="23">
        <f t="shared" si="53"/>
        <v>1735.8</v>
      </c>
      <c r="K63" s="24">
        <f t="shared" si="53"/>
        <v>1927</v>
      </c>
      <c r="L63" s="2">
        <f t="shared" si="28"/>
        <v>516.62</v>
      </c>
      <c r="M63" s="2">
        <f t="shared" si="29"/>
        <v>340.9692</v>
      </c>
      <c r="N63" s="2">
        <f t="shared" si="30"/>
        <v>681.9384</v>
      </c>
      <c r="O63" s="2">
        <f t="shared" si="31"/>
        <v>852.423</v>
      </c>
      <c r="P63" s="20">
        <f t="shared" si="32"/>
        <v>1033.24</v>
      </c>
      <c r="Q63" s="2"/>
      <c r="R63" s="2"/>
    </row>
    <row r="64" ht="15.75" customHeight="1">
      <c r="A64" s="25" t="s">
        <v>38</v>
      </c>
      <c r="B64" s="16">
        <f t="shared" si="26"/>
        <v>198.7</v>
      </c>
      <c r="C64" s="22">
        <f t="shared" ref="C64:K64" si="54">(C27*2)+15</f>
        <v>397.4</v>
      </c>
      <c r="D64" s="22">
        <f t="shared" si="54"/>
        <v>586.2</v>
      </c>
      <c r="E64" s="22">
        <f t="shared" si="54"/>
        <v>779.8</v>
      </c>
      <c r="F64" s="22">
        <f t="shared" si="54"/>
        <v>971</v>
      </c>
      <c r="G64" s="22">
        <f t="shared" si="54"/>
        <v>1157.4</v>
      </c>
      <c r="H64" s="22">
        <f t="shared" si="54"/>
        <v>1353.4</v>
      </c>
      <c r="I64" s="22">
        <f t="shared" si="54"/>
        <v>1544.6</v>
      </c>
      <c r="J64" s="23">
        <f t="shared" si="54"/>
        <v>1735.8</v>
      </c>
      <c r="K64" s="24">
        <f t="shared" si="54"/>
        <v>1927</v>
      </c>
      <c r="L64" s="2">
        <f t="shared" si="28"/>
        <v>516.62</v>
      </c>
      <c r="M64" s="2">
        <f t="shared" si="29"/>
        <v>340.9692</v>
      </c>
      <c r="N64" s="2">
        <f t="shared" si="30"/>
        <v>681.9384</v>
      </c>
      <c r="O64" s="2">
        <f t="shared" si="31"/>
        <v>852.423</v>
      </c>
      <c r="P64" s="20">
        <f t="shared" si="32"/>
        <v>1033.24</v>
      </c>
      <c r="Q64" s="2"/>
      <c r="R64" s="2"/>
    </row>
    <row r="65" ht="15.75" customHeight="1">
      <c r="A65" s="25">
        <v>8.0</v>
      </c>
      <c r="B65" s="16">
        <f t="shared" si="26"/>
        <v>207.5</v>
      </c>
      <c r="C65" s="22">
        <f t="shared" ref="C65:K65" si="55">(C28*2)+15</f>
        <v>415</v>
      </c>
      <c r="D65" s="22">
        <f t="shared" si="55"/>
        <v>611.8</v>
      </c>
      <c r="E65" s="22">
        <f t="shared" si="55"/>
        <v>815</v>
      </c>
      <c r="F65" s="22">
        <f t="shared" si="55"/>
        <v>1015</v>
      </c>
      <c r="G65" s="22">
        <f t="shared" si="55"/>
        <v>1208.6</v>
      </c>
      <c r="H65" s="22">
        <f t="shared" si="55"/>
        <v>1415</v>
      </c>
      <c r="I65" s="22">
        <f t="shared" si="55"/>
        <v>1615</v>
      </c>
      <c r="J65" s="23">
        <f t="shared" si="55"/>
        <v>1815</v>
      </c>
      <c r="K65" s="24">
        <f t="shared" si="55"/>
        <v>2015</v>
      </c>
      <c r="L65" s="2">
        <f t="shared" si="28"/>
        <v>539.5</v>
      </c>
      <c r="M65" s="2">
        <f t="shared" si="29"/>
        <v>356.07</v>
      </c>
      <c r="N65" s="2">
        <f t="shared" si="30"/>
        <v>712.14</v>
      </c>
      <c r="O65" s="2">
        <f t="shared" si="31"/>
        <v>890.175</v>
      </c>
      <c r="P65" s="20">
        <f t="shared" si="32"/>
        <v>1079</v>
      </c>
      <c r="Q65" s="2"/>
      <c r="R65" s="2"/>
    </row>
    <row r="66" ht="15.75" customHeight="1">
      <c r="A66" s="25" t="s">
        <v>39</v>
      </c>
      <c r="B66" s="16">
        <f t="shared" si="26"/>
        <v>207.5</v>
      </c>
      <c r="C66" s="22">
        <f t="shared" ref="C66:K66" si="56">(C28*2)+15</f>
        <v>415</v>
      </c>
      <c r="D66" s="22">
        <f t="shared" si="56"/>
        <v>611.8</v>
      </c>
      <c r="E66" s="22">
        <f t="shared" si="56"/>
        <v>815</v>
      </c>
      <c r="F66" s="22">
        <f t="shared" si="56"/>
        <v>1015</v>
      </c>
      <c r="G66" s="22">
        <f t="shared" si="56"/>
        <v>1208.6</v>
      </c>
      <c r="H66" s="22">
        <f t="shared" si="56"/>
        <v>1415</v>
      </c>
      <c r="I66" s="22">
        <f t="shared" si="56"/>
        <v>1615</v>
      </c>
      <c r="J66" s="23">
        <f t="shared" si="56"/>
        <v>1815</v>
      </c>
      <c r="K66" s="24">
        <f t="shared" si="56"/>
        <v>2015</v>
      </c>
      <c r="L66" s="2">
        <f t="shared" si="28"/>
        <v>539.5</v>
      </c>
      <c r="M66" s="2">
        <f t="shared" si="29"/>
        <v>356.07</v>
      </c>
      <c r="N66" s="2">
        <f t="shared" si="30"/>
        <v>712.14</v>
      </c>
      <c r="O66" s="2">
        <f t="shared" si="31"/>
        <v>890.175</v>
      </c>
      <c r="P66" s="20">
        <f t="shared" si="32"/>
        <v>1079</v>
      </c>
      <c r="Q66" s="2"/>
      <c r="R66" s="2"/>
    </row>
    <row r="67" ht="15.75" customHeight="1">
      <c r="A67" s="25" t="s">
        <v>40</v>
      </c>
      <c r="B67" s="16">
        <f t="shared" si="26"/>
        <v>207.5</v>
      </c>
      <c r="C67" s="22">
        <f t="shared" ref="C67:K67" si="57">(C28*2)+15</f>
        <v>415</v>
      </c>
      <c r="D67" s="22">
        <f t="shared" si="57"/>
        <v>611.8</v>
      </c>
      <c r="E67" s="22">
        <f t="shared" si="57"/>
        <v>815</v>
      </c>
      <c r="F67" s="22">
        <f t="shared" si="57"/>
        <v>1015</v>
      </c>
      <c r="G67" s="22">
        <f t="shared" si="57"/>
        <v>1208.6</v>
      </c>
      <c r="H67" s="22">
        <f t="shared" si="57"/>
        <v>1415</v>
      </c>
      <c r="I67" s="22">
        <f t="shared" si="57"/>
        <v>1615</v>
      </c>
      <c r="J67" s="23">
        <f t="shared" si="57"/>
        <v>1815</v>
      </c>
      <c r="K67" s="24">
        <f t="shared" si="57"/>
        <v>2015</v>
      </c>
      <c r="L67" s="2">
        <f t="shared" si="28"/>
        <v>539.5</v>
      </c>
      <c r="M67" s="2">
        <f t="shared" si="29"/>
        <v>356.07</v>
      </c>
      <c r="N67" s="2">
        <f t="shared" si="30"/>
        <v>712.14</v>
      </c>
      <c r="O67" s="2">
        <f t="shared" si="31"/>
        <v>890.175</v>
      </c>
      <c r="P67" s="20">
        <f t="shared" si="32"/>
        <v>1079</v>
      </c>
      <c r="Q67" s="2"/>
      <c r="R67" s="2"/>
    </row>
    <row r="68" ht="15.75" customHeight="1">
      <c r="A68" s="25" t="s">
        <v>41</v>
      </c>
      <c r="B68" s="16">
        <f t="shared" si="26"/>
        <v>207.5</v>
      </c>
      <c r="C68" s="22">
        <f t="shared" ref="C68:K68" si="58">(C28*2)+15</f>
        <v>415</v>
      </c>
      <c r="D68" s="22">
        <f t="shared" si="58"/>
        <v>611.8</v>
      </c>
      <c r="E68" s="22">
        <f t="shared" si="58"/>
        <v>815</v>
      </c>
      <c r="F68" s="22">
        <f t="shared" si="58"/>
        <v>1015</v>
      </c>
      <c r="G68" s="22">
        <f t="shared" si="58"/>
        <v>1208.6</v>
      </c>
      <c r="H68" s="22">
        <f t="shared" si="58"/>
        <v>1415</v>
      </c>
      <c r="I68" s="22">
        <f t="shared" si="58"/>
        <v>1615</v>
      </c>
      <c r="J68" s="23">
        <f t="shared" si="58"/>
        <v>1815</v>
      </c>
      <c r="K68" s="24">
        <f t="shared" si="58"/>
        <v>2015</v>
      </c>
      <c r="L68" s="2">
        <f t="shared" si="28"/>
        <v>539.5</v>
      </c>
      <c r="M68" s="2">
        <f t="shared" si="29"/>
        <v>356.07</v>
      </c>
      <c r="N68" s="2">
        <f t="shared" si="30"/>
        <v>712.14</v>
      </c>
      <c r="O68" s="2">
        <f t="shared" si="31"/>
        <v>890.175</v>
      </c>
      <c r="P68" s="20">
        <f t="shared" si="32"/>
        <v>1079</v>
      </c>
      <c r="Q68" s="2"/>
      <c r="R68" s="2"/>
    </row>
    <row r="69" ht="15.75" customHeight="1">
      <c r="A69" s="25">
        <v>9.0</v>
      </c>
      <c r="B69" s="16">
        <f t="shared" si="26"/>
        <v>215.5</v>
      </c>
      <c r="C69" s="22">
        <f t="shared" ref="C69:K69" si="59">(C29*2)+15</f>
        <v>431</v>
      </c>
      <c r="D69" s="22">
        <f t="shared" si="59"/>
        <v>635.8</v>
      </c>
      <c r="E69" s="22">
        <f t="shared" si="59"/>
        <v>847</v>
      </c>
      <c r="F69" s="22">
        <f t="shared" si="59"/>
        <v>1055</v>
      </c>
      <c r="G69" s="22">
        <f t="shared" si="59"/>
        <v>1256.6</v>
      </c>
      <c r="H69" s="22">
        <f t="shared" si="59"/>
        <v>1471</v>
      </c>
      <c r="I69" s="22">
        <f t="shared" si="59"/>
        <v>1679</v>
      </c>
      <c r="J69" s="23">
        <f t="shared" si="59"/>
        <v>1887</v>
      </c>
      <c r="K69" s="24">
        <f t="shared" si="59"/>
        <v>2095</v>
      </c>
      <c r="L69" s="2">
        <f t="shared" si="28"/>
        <v>560.3</v>
      </c>
      <c r="M69" s="2">
        <f t="shared" si="29"/>
        <v>369.798</v>
      </c>
      <c r="N69" s="2">
        <f t="shared" si="30"/>
        <v>739.596</v>
      </c>
      <c r="O69" s="2">
        <f t="shared" si="31"/>
        <v>924.495</v>
      </c>
      <c r="P69" s="20">
        <f t="shared" si="32"/>
        <v>1120.6</v>
      </c>
      <c r="Q69" s="2"/>
      <c r="R69" s="2"/>
    </row>
    <row r="70" ht="15.75" customHeight="1">
      <c r="A70" s="25" t="s">
        <v>42</v>
      </c>
      <c r="B70" s="16">
        <f t="shared" si="26"/>
        <v>215.5</v>
      </c>
      <c r="C70" s="22">
        <f t="shared" ref="C70:K70" si="60">(C29*2)+15</f>
        <v>431</v>
      </c>
      <c r="D70" s="22">
        <f t="shared" si="60"/>
        <v>635.8</v>
      </c>
      <c r="E70" s="22">
        <f t="shared" si="60"/>
        <v>847</v>
      </c>
      <c r="F70" s="22">
        <f t="shared" si="60"/>
        <v>1055</v>
      </c>
      <c r="G70" s="22">
        <f t="shared" si="60"/>
        <v>1256.6</v>
      </c>
      <c r="H70" s="22">
        <f t="shared" si="60"/>
        <v>1471</v>
      </c>
      <c r="I70" s="22">
        <f t="shared" si="60"/>
        <v>1679</v>
      </c>
      <c r="J70" s="23">
        <f t="shared" si="60"/>
        <v>1887</v>
      </c>
      <c r="K70" s="24">
        <f t="shared" si="60"/>
        <v>2095</v>
      </c>
      <c r="L70" s="2">
        <f t="shared" si="28"/>
        <v>560.3</v>
      </c>
      <c r="M70" s="2">
        <f t="shared" si="29"/>
        <v>369.798</v>
      </c>
      <c r="N70" s="2">
        <f t="shared" si="30"/>
        <v>739.596</v>
      </c>
      <c r="O70" s="2">
        <f t="shared" si="31"/>
        <v>924.495</v>
      </c>
      <c r="P70" s="20">
        <f t="shared" si="32"/>
        <v>1120.6</v>
      </c>
      <c r="Q70" s="2"/>
      <c r="R70" s="2"/>
    </row>
    <row r="71" ht="15.75" customHeight="1">
      <c r="A71" s="25" t="s">
        <v>43</v>
      </c>
      <c r="B71" s="16">
        <f t="shared" si="26"/>
        <v>215.5</v>
      </c>
      <c r="C71" s="22">
        <f t="shared" ref="C71:K71" si="61">(C29*2)+15</f>
        <v>431</v>
      </c>
      <c r="D71" s="22">
        <f t="shared" si="61"/>
        <v>635.8</v>
      </c>
      <c r="E71" s="22">
        <f t="shared" si="61"/>
        <v>847</v>
      </c>
      <c r="F71" s="22">
        <f t="shared" si="61"/>
        <v>1055</v>
      </c>
      <c r="G71" s="22">
        <f t="shared" si="61"/>
        <v>1256.6</v>
      </c>
      <c r="H71" s="22">
        <f t="shared" si="61"/>
        <v>1471</v>
      </c>
      <c r="I71" s="22">
        <f t="shared" si="61"/>
        <v>1679</v>
      </c>
      <c r="J71" s="23">
        <f t="shared" si="61"/>
        <v>1887</v>
      </c>
      <c r="K71" s="24">
        <f t="shared" si="61"/>
        <v>2095</v>
      </c>
      <c r="L71" s="2">
        <f t="shared" si="28"/>
        <v>560.3</v>
      </c>
      <c r="M71" s="2">
        <f t="shared" si="29"/>
        <v>369.798</v>
      </c>
      <c r="N71" s="2">
        <f t="shared" si="30"/>
        <v>739.596</v>
      </c>
      <c r="O71" s="2">
        <f t="shared" si="31"/>
        <v>924.495</v>
      </c>
      <c r="P71" s="20">
        <f t="shared" si="32"/>
        <v>1120.6</v>
      </c>
      <c r="Q71" s="2"/>
      <c r="R71" s="2"/>
    </row>
    <row r="72" ht="15.75" customHeight="1">
      <c r="A72" s="25" t="s">
        <v>44</v>
      </c>
      <c r="B72" s="16">
        <f t="shared" si="26"/>
        <v>215.5</v>
      </c>
      <c r="C72" s="22">
        <f t="shared" ref="C72:K72" si="62">(C29*2)+15</f>
        <v>431</v>
      </c>
      <c r="D72" s="22">
        <f t="shared" si="62"/>
        <v>635.8</v>
      </c>
      <c r="E72" s="22">
        <f t="shared" si="62"/>
        <v>847</v>
      </c>
      <c r="F72" s="22">
        <f t="shared" si="62"/>
        <v>1055</v>
      </c>
      <c r="G72" s="22">
        <f t="shared" si="62"/>
        <v>1256.6</v>
      </c>
      <c r="H72" s="22">
        <f t="shared" si="62"/>
        <v>1471</v>
      </c>
      <c r="I72" s="22">
        <f t="shared" si="62"/>
        <v>1679</v>
      </c>
      <c r="J72" s="23">
        <f t="shared" si="62"/>
        <v>1887</v>
      </c>
      <c r="K72" s="24">
        <f t="shared" si="62"/>
        <v>2095</v>
      </c>
      <c r="L72" s="2">
        <f t="shared" si="28"/>
        <v>560.3</v>
      </c>
      <c r="M72" s="2">
        <f t="shared" si="29"/>
        <v>369.798</v>
      </c>
      <c r="N72" s="2">
        <f t="shared" si="30"/>
        <v>739.596</v>
      </c>
      <c r="O72" s="2">
        <f t="shared" si="31"/>
        <v>924.495</v>
      </c>
      <c r="P72" s="20">
        <f t="shared" si="32"/>
        <v>1120.6</v>
      </c>
      <c r="Q72" s="2"/>
      <c r="R72" s="2"/>
    </row>
    <row r="73" ht="15.75" customHeight="1">
      <c r="A73" s="25">
        <v>10.0</v>
      </c>
      <c r="B73" s="16">
        <f t="shared" si="26"/>
        <v>223.5</v>
      </c>
      <c r="C73" s="22">
        <f t="shared" ref="C73:K73" si="63">(C30*2)+15</f>
        <v>447</v>
      </c>
      <c r="D73" s="22">
        <f t="shared" si="63"/>
        <v>661.4</v>
      </c>
      <c r="E73" s="22">
        <f t="shared" si="63"/>
        <v>879</v>
      </c>
      <c r="F73" s="22">
        <f t="shared" si="63"/>
        <v>1095</v>
      </c>
      <c r="G73" s="22">
        <f t="shared" si="63"/>
        <v>1307.8</v>
      </c>
      <c r="H73" s="22">
        <f t="shared" si="63"/>
        <v>1527</v>
      </c>
      <c r="I73" s="22">
        <f t="shared" si="63"/>
        <v>1743</v>
      </c>
      <c r="J73" s="23">
        <f t="shared" si="63"/>
        <v>1959</v>
      </c>
      <c r="K73" s="24">
        <f t="shared" si="63"/>
        <v>2175</v>
      </c>
      <c r="L73" s="2">
        <f t="shared" si="28"/>
        <v>581.1</v>
      </c>
      <c r="M73" s="2">
        <f t="shared" si="29"/>
        <v>383.526</v>
      </c>
      <c r="N73" s="2">
        <f t="shared" si="30"/>
        <v>767.052</v>
      </c>
      <c r="O73" s="2">
        <f t="shared" si="31"/>
        <v>958.815</v>
      </c>
      <c r="P73" s="20">
        <f t="shared" si="32"/>
        <v>1162.2</v>
      </c>
      <c r="Q73" s="2"/>
      <c r="R73" s="2"/>
    </row>
    <row r="74" ht="15.75" customHeight="1">
      <c r="A74" s="25" t="s">
        <v>45</v>
      </c>
      <c r="B74" s="16">
        <f t="shared" si="26"/>
        <v>223.5</v>
      </c>
      <c r="C74" s="22">
        <f t="shared" ref="C74:K74" si="64">(C30*2)+15</f>
        <v>447</v>
      </c>
      <c r="D74" s="22">
        <f t="shared" si="64"/>
        <v>661.4</v>
      </c>
      <c r="E74" s="22">
        <f t="shared" si="64"/>
        <v>879</v>
      </c>
      <c r="F74" s="22">
        <f t="shared" si="64"/>
        <v>1095</v>
      </c>
      <c r="G74" s="22">
        <f t="shared" si="64"/>
        <v>1307.8</v>
      </c>
      <c r="H74" s="22">
        <f t="shared" si="64"/>
        <v>1527</v>
      </c>
      <c r="I74" s="22">
        <f t="shared" si="64"/>
        <v>1743</v>
      </c>
      <c r="J74" s="23">
        <f t="shared" si="64"/>
        <v>1959</v>
      </c>
      <c r="K74" s="24">
        <f t="shared" si="64"/>
        <v>2175</v>
      </c>
      <c r="L74" s="2">
        <f t="shared" si="28"/>
        <v>581.1</v>
      </c>
      <c r="M74" s="2">
        <f t="shared" si="29"/>
        <v>383.526</v>
      </c>
      <c r="N74" s="2">
        <f t="shared" si="30"/>
        <v>767.052</v>
      </c>
      <c r="O74" s="2">
        <f t="shared" si="31"/>
        <v>958.815</v>
      </c>
      <c r="P74" s="20">
        <f t="shared" si="32"/>
        <v>1162.2</v>
      </c>
      <c r="Q74" s="2"/>
      <c r="R74" s="2"/>
    </row>
    <row r="75" ht="15.75" customHeight="1">
      <c r="A75" s="25" t="s">
        <v>46</v>
      </c>
      <c r="B75" s="16">
        <f t="shared" si="26"/>
        <v>223.5</v>
      </c>
      <c r="C75" s="22">
        <f t="shared" ref="C75:K75" si="65">(C30*2)+15</f>
        <v>447</v>
      </c>
      <c r="D75" s="22">
        <f t="shared" si="65"/>
        <v>661.4</v>
      </c>
      <c r="E75" s="22">
        <f t="shared" si="65"/>
        <v>879</v>
      </c>
      <c r="F75" s="22">
        <f t="shared" si="65"/>
        <v>1095</v>
      </c>
      <c r="G75" s="22">
        <f t="shared" si="65"/>
        <v>1307.8</v>
      </c>
      <c r="H75" s="22">
        <f t="shared" si="65"/>
        <v>1527</v>
      </c>
      <c r="I75" s="22">
        <f t="shared" si="65"/>
        <v>1743</v>
      </c>
      <c r="J75" s="23">
        <f t="shared" si="65"/>
        <v>1959</v>
      </c>
      <c r="K75" s="24">
        <f t="shared" si="65"/>
        <v>2175</v>
      </c>
      <c r="L75" s="2">
        <f t="shared" si="28"/>
        <v>581.1</v>
      </c>
      <c r="M75" s="2">
        <f t="shared" si="29"/>
        <v>383.526</v>
      </c>
      <c r="N75" s="2">
        <f t="shared" si="30"/>
        <v>767.052</v>
      </c>
      <c r="O75" s="2">
        <f t="shared" si="31"/>
        <v>958.815</v>
      </c>
      <c r="P75" s="20">
        <f t="shared" si="32"/>
        <v>1162.2</v>
      </c>
      <c r="Q75" s="2"/>
      <c r="R75" s="2"/>
    </row>
    <row r="76" ht="15.75" customHeight="1">
      <c r="A76" s="25" t="s">
        <v>47</v>
      </c>
      <c r="B76" s="16">
        <f t="shared" si="26"/>
        <v>223.5</v>
      </c>
      <c r="C76" s="22">
        <f t="shared" ref="C76:K76" si="66">(C30*2)+15</f>
        <v>447</v>
      </c>
      <c r="D76" s="22">
        <f t="shared" si="66"/>
        <v>661.4</v>
      </c>
      <c r="E76" s="22">
        <f t="shared" si="66"/>
        <v>879</v>
      </c>
      <c r="F76" s="22">
        <f t="shared" si="66"/>
        <v>1095</v>
      </c>
      <c r="G76" s="22">
        <f t="shared" si="66"/>
        <v>1307.8</v>
      </c>
      <c r="H76" s="22">
        <f t="shared" si="66"/>
        <v>1527</v>
      </c>
      <c r="I76" s="22">
        <f t="shared" si="66"/>
        <v>1743</v>
      </c>
      <c r="J76" s="23">
        <f t="shared" si="66"/>
        <v>1959</v>
      </c>
      <c r="K76" s="24">
        <f t="shared" si="66"/>
        <v>2175</v>
      </c>
      <c r="L76" s="2">
        <f t="shared" si="28"/>
        <v>581.1</v>
      </c>
      <c r="M76" s="2">
        <f t="shared" si="29"/>
        <v>383.526</v>
      </c>
      <c r="N76" s="2">
        <f t="shared" si="30"/>
        <v>767.052</v>
      </c>
      <c r="O76" s="2">
        <f t="shared" si="31"/>
        <v>958.815</v>
      </c>
      <c r="P76" s="20">
        <f t="shared" si="32"/>
        <v>1162.2</v>
      </c>
      <c r="Q76" s="2"/>
      <c r="R76" s="2"/>
    </row>
    <row r="77" ht="15.75" customHeight="1">
      <c r="A77" s="25">
        <v>11.0</v>
      </c>
      <c r="B77" s="16">
        <f t="shared" si="26"/>
        <v>231.5</v>
      </c>
      <c r="C77" s="22">
        <f t="shared" ref="C77:K77" si="67">(C31*2)+15</f>
        <v>463</v>
      </c>
      <c r="D77" s="22">
        <f t="shared" si="67"/>
        <v>685.4</v>
      </c>
      <c r="E77" s="22">
        <f t="shared" si="67"/>
        <v>911</v>
      </c>
      <c r="F77" s="22">
        <f t="shared" si="67"/>
        <v>1135</v>
      </c>
      <c r="G77" s="22">
        <f t="shared" si="67"/>
        <v>1355.8</v>
      </c>
      <c r="H77" s="22">
        <f t="shared" si="67"/>
        <v>1583</v>
      </c>
      <c r="I77" s="22">
        <f t="shared" si="67"/>
        <v>1807</v>
      </c>
      <c r="J77" s="23">
        <f t="shared" si="67"/>
        <v>2031</v>
      </c>
      <c r="K77" s="24">
        <f t="shared" si="67"/>
        <v>2255</v>
      </c>
      <c r="L77" s="2">
        <f t="shared" si="28"/>
        <v>601.9</v>
      </c>
      <c r="M77" s="2">
        <f t="shared" si="29"/>
        <v>397.254</v>
      </c>
      <c r="N77" s="2">
        <f t="shared" si="30"/>
        <v>794.508</v>
      </c>
      <c r="O77" s="2">
        <f t="shared" si="31"/>
        <v>993.135</v>
      </c>
      <c r="P77" s="20">
        <f t="shared" si="32"/>
        <v>1203.8</v>
      </c>
      <c r="Q77" s="2"/>
      <c r="R77" s="2"/>
    </row>
    <row r="78" ht="15.75" customHeight="1">
      <c r="A78" s="25" t="s">
        <v>48</v>
      </c>
      <c r="B78" s="16">
        <f t="shared" si="26"/>
        <v>231.5</v>
      </c>
      <c r="C78" s="22">
        <f t="shared" ref="C78:K78" si="68">(C31*2)+15</f>
        <v>463</v>
      </c>
      <c r="D78" s="22">
        <f t="shared" si="68"/>
        <v>685.4</v>
      </c>
      <c r="E78" s="22">
        <f t="shared" si="68"/>
        <v>911</v>
      </c>
      <c r="F78" s="22">
        <f t="shared" si="68"/>
        <v>1135</v>
      </c>
      <c r="G78" s="22">
        <f t="shared" si="68"/>
        <v>1355.8</v>
      </c>
      <c r="H78" s="22">
        <f t="shared" si="68"/>
        <v>1583</v>
      </c>
      <c r="I78" s="22">
        <f t="shared" si="68"/>
        <v>1807</v>
      </c>
      <c r="J78" s="23">
        <f t="shared" si="68"/>
        <v>2031</v>
      </c>
      <c r="K78" s="24">
        <f t="shared" si="68"/>
        <v>2255</v>
      </c>
      <c r="L78" s="2">
        <f t="shared" si="28"/>
        <v>601.9</v>
      </c>
      <c r="M78" s="2">
        <f t="shared" si="29"/>
        <v>397.254</v>
      </c>
      <c r="N78" s="2">
        <f t="shared" si="30"/>
        <v>794.508</v>
      </c>
      <c r="O78" s="2">
        <f t="shared" si="31"/>
        <v>993.135</v>
      </c>
      <c r="P78" s="20">
        <f t="shared" si="32"/>
        <v>1203.8</v>
      </c>
      <c r="Q78" s="2"/>
      <c r="R78" s="2"/>
    </row>
    <row r="79" ht="15.75" customHeight="1">
      <c r="A79" s="25" t="s">
        <v>49</v>
      </c>
      <c r="B79" s="16">
        <f t="shared" si="26"/>
        <v>231.5</v>
      </c>
      <c r="C79" s="22">
        <f t="shared" ref="C79:K79" si="69">(C31*2)+15</f>
        <v>463</v>
      </c>
      <c r="D79" s="22">
        <f t="shared" si="69"/>
        <v>685.4</v>
      </c>
      <c r="E79" s="22">
        <f t="shared" si="69"/>
        <v>911</v>
      </c>
      <c r="F79" s="22">
        <f t="shared" si="69"/>
        <v>1135</v>
      </c>
      <c r="G79" s="22">
        <f t="shared" si="69"/>
        <v>1355.8</v>
      </c>
      <c r="H79" s="22">
        <f t="shared" si="69"/>
        <v>1583</v>
      </c>
      <c r="I79" s="22">
        <f t="shared" si="69"/>
        <v>1807</v>
      </c>
      <c r="J79" s="23">
        <f t="shared" si="69"/>
        <v>2031</v>
      </c>
      <c r="K79" s="24">
        <f t="shared" si="69"/>
        <v>2255</v>
      </c>
      <c r="L79" s="2">
        <f t="shared" si="28"/>
        <v>601.9</v>
      </c>
      <c r="M79" s="2">
        <f t="shared" si="29"/>
        <v>397.254</v>
      </c>
      <c r="N79" s="2">
        <f t="shared" si="30"/>
        <v>794.508</v>
      </c>
      <c r="O79" s="2">
        <f t="shared" si="31"/>
        <v>993.135</v>
      </c>
      <c r="P79" s="20">
        <f t="shared" si="32"/>
        <v>1203.8</v>
      </c>
      <c r="Q79" s="2"/>
      <c r="R79" s="2"/>
    </row>
    <row r="80" ht="15.75" customHeight="1">
      <c r="A80" s="25" t="s">
        <v>50</v>
      </c>
      <c r="B80" s="16">
        <f t="shared" si="26"/>
        <v>231.5</v>
      </c>
      <c r="C80" s="22">
        <f t="shared" ref="C80:K80" si="70">(C31*2)+15</f>
        <v>463</v>
      </c>
      <c r="D80" s="22">
        <f t="shared" si="70"/>
        <v>685.4</v>
      </c>
      <c r="E80" s="22">
        <f t="shared" si="70"/>
        <v>911</v>
      </c>
      <c r="F80" s="22">
        <f t="shared" si="70"/>
        <v>1135</v>
      </c>
      <c r="G80" s="22">
        <f t="shared" si="70"/>
        <v>1355.8</v>
      </c>
      <c r="H80" s="22">
        <f t="shared" si="70"/>
        <v>1583</v>
      </c>
      <c r="I80" s="22">
        <f t="shared" si="70"/>
        <v>1807</v>
      </c>
      <c r="J80" s="23">
        <f t="shared" si="70"/>
        <v>2031</v>
      </c>
      <c r="K80" s="24">
        <f t="shared" si="70"/>
        <v>2255</v>
      </c>
      <c r="L80" s="2">
        <f t="shared" si="28"/>
        <v>601.9</v>
      </c>
      <c r="M80" s="2">
        <f t="shared" si="29"/>
        <v>397.254</v>
      </c>
      <c r="N80" s="2">
        <f t="shared" si="30"/>
        <v>794.508</v>
      </c>
      <c r="O80" s="2">
        <f t="shared" si="31"/>
        <v>993.135</v>
      </c>
      <c r="P80" s="20">
        <f t="shared" si="32"/>
        <v>1203.8</v>
      </c>
      <c r="Q80" s="2"/>
      <c r="R80" s="2"/>
    </row>
    <row r="81" ht="15.75" customHeight="1">
      <c r="A81" s="25">
        <v>12.0</v>
      </c>
      <c r="B81" s="16">
        <f t="shared" si="26"/>
        <v>240.3</v>
      </c>
      <c r="C81" s="22">
        <f t="shared" ref="C81:K81" si="71">(C32*2)+15</f>
        <v>480.6</v>
      </c>
      <c r="D81" s="22">
        <f t="shared" si="71"/>
        <v>709.4</v>
      </c>
      <c r="E81" s="22">
        <f t="shared" si="71"/>
        <v>946.2</v>
      </c>
      <c r="F81" s="22">
        <f t="shared" si="71"/>
        <v>1179</v>
      </c>
      <c r="G81" s="22">
        <f t="shared" si="71"/>
        <v>1403.8</v>
      </c>
      <c r="H81" s="22">
        <f t="shared" si="71"/>
        <v>1644.6</v>
      </c>
      <c r="I81" s="22">
        <f t="shared" si="71"/>
        <v>1877.4</v>
      </c>
      <c r="J81" s="23">
        <f t="shared" si="71"/>
        <v>2110.2</v>
      </c>
      <c r="K81" s="24">
        <f t="shared" si="71"/>
        <v>2343</v>
      </c>
      <c r="L81" s="2">
        <f t="shared" si="28"/>
        <v>624.78</v>
      </c>
      <c r="M81" s="2">
        <f t="shared" si="29"/>
        <v>412.3548</v>
      </c>
      <c r="N81" s="2">
        <f t="shared" si="30"/>
        <v>824.7096</v>
      </c>
      <c r="O81" s="2">
        <f t="shared" si="31"/>
        <v>1030.887</v>
      </c>
      <c r="P81" s="20">
        <f t="shared" si="32"/>
        <v>1249.56</v>
      </c>
      <c r="Q81" s="2"/>
      <c r="R81" s="2"/>
    </row>
    <row r="82" ht="15.75" customHeight="1">
      <c r="A82" s="25" t="s">
        <v>51</v>
      </c>
      <c r="B82" s="16">
        <f t="shared" si="26"/>
        <v>240.3</v>
      </c>
      <c r="C82" s="22">
        <f t="shared" ref="C82:K82" si="72">(C32*2)+15</f>
        <v>480.6</v>
      </c>
      <c r="D82" s="22">
        <f t="shared" si="72"/>
        <v>709.4</v>
      </c>
      <c r="E82" s="22">
        <f t="shared" si="72"/>
        <v>946.2</v>
      </c>
      <c r="F82" s="22">
        <f t="shared" si="72"/>
        <v>1179</v>
      </c>
      <c r="G82" s="22">
        <f t="shared" si="72"/>
        <v>1403.8</v>
      </c>
      <c r="H82" s="22">
        <f t="shared" si="72"/>
        <v>1644.6</v>
      </c>
      <c r="I82" s="22">
        <f t="shared" si="72"/>
        <v>1877.4</v>
      </c>
      <c r="J82" s="23">
        <f t="shared" si="72"/>
        <v>2110.2</v>
      </c>
      <c r="K82" s="24">
        <f t="shared" si="72"/>
        <v>2343</v>
      </c>
      <c r="L82" s="2">
        <f t="shared" si="28"/>
        <v>624.78</v>
      </c>
      <c r="M82" s="2">
        <f t="shared" si="29"/>
        <v>412.3548</v>
      </c>
      <c r="N82" s="2">
        <f t="shared" si="30"/>
        <v>824.7096</v>
      </c>
      <c r="O82" s="2">
        <f t="shared" si="31"/>
        <v>1030.887</v>
      </c>
      <c r="P82" s="20">
        <f t="shared" si="32"/>
        <v>1249.56</v>
      </c>
      <c r="Q82" s="2"/>
      <c r="R82" s="2"/>
    </row>
    <row r="83" ht="15.75" customHeight="1">
      <c r="A83" s="25" t="s">
        <v>52</v>
      </c>
      <c r="B83" s="16">
        <f t="shared" si="26"/>
        <v>240.3</v>
      </c>
      <c r="C83" s="22">
        <f t="shared" ref="C83:K83" si="73">(C32*2)+15</f>
        <v>480.6</v>
      </c>
      <c r="D83" s="22">
        <f t="shared" si="73"/>
        <v>709.4</v>
      </c>
      <c r="E83" s="22">
        <f t="shared" si="73"/>
        <v>946.2</v>
      </c>
      <c r="F83" s="22">
        <f t="shared" si="73"/>
        <v>1179</v>
      </c>
      <c r="G83" s="22">
        <f t="shared" si="73"/>
        <v>1403.8</v>
      </c>
      <c r="H83" s="22">
        <f t="shared" si="73"/>
        <v>1644.6</v>
      </c>
      <c r="I83" s="22">
        <f t="shared" si="73"/>
        <v>1877.4</v>
      </c>
      <c r="J83" s="23">
        <f t="shared" si="73"/>
        <v>2110.2</v>
      </c>
      <c r="K83" s="24">
        <f t="shared" si="73"/>
        <v>2343</v>
      </c>
      <c r="L83" s="2">
        <f t="shared" si="28"/>
        <v>624.78</v>
      </c>
      <c r="M83" s="2">
        <f t="shared" si="29"/>
        <v>412.3548</v>
      </c>
      <c r="N83" s="2">
        <f t="shared" si="30"/>
        <v>824.7096</v>
      </c>
      <c r="O83" s="2">
        <f t="shared" si="31"/>
        <v>1030.887</v>
      </c>
      <c r="P83" s="20">
        <f t="shared" si="32"/>
        <v>1249.56</v>
      </c>
      <c r="Q83" s="2"/>
      <c r="R83" s="2"/>
    </row>
    <row r="84" ht="15.75" customHeight="1">
      <c r="A84" s="25" t="s">
        <v>53</v>
      </c>
      <c r="B84" s="16">
        <f t="shared" si="26"/>
        <v>240.3</v>
      </c>
      <c r="C84" s="22">
        <f t="shared" ref="C84:K84" si="74">(C32*2)+15</f>
        <v>480.6</v>
      </c>
      <c r="D84" s="22">
        <f t="shared" si="74"/>
        <v>709.4</v>
      </c>
      <c r="E84" s="22">
        <f t="shared" si="74"/>
        <v>946.2</v>
      </c>
      <c r="F84" s="22">
        <f t="shared" si="74"/>
        <v>1179</v>
      </c>
      <c r="G84" s="22">
        <f t="shared" si="74"/>
        <v>1403.8</v>
      </c>
      <c r="H84" s="22">
        <f t="shared" si="74"/>
        <v>1644.6</v>
      </c>
      <c r="I84" s="22">
        <f t="shared" si="74"/>
        <v>1877.4</v>
      </c>
      <c r="J84" s="23">
        <f t="shared" si="74"/>
        <v>2110.2</v>
      </c>
      <c r="K84" s="24">
        <f t="shared" si="74"/>
        <v>2343</v>
      </c>
      <c r="L84" s="2">
        <f t="shared" si="28"/>
        <v>624.78</v>
      </c>
      <c r="M84" s="2">
        <f t="shared" si="29"/>
        <v>412.3548</v>
      </c>
      <c r="N84" s="2">
        <f t="shared" si="30"/>
        <v>824.7096</v>
      </c>
      <c r="O84" s="2">
        <f t="shared" si="31"/>
        <v>1030.887</v>
      </c>
      <c r="P84" s="20">
        <f t="shared" si="32"/>
        <v>1249.56</v>
      </c>
      <c r="Q84" s="2"/>
      <c r="R84" s="2"/>
    </row>
    <row r="85" ht="15.75" customHeight="1">
      <c r="A85" s="25">
        <v>13.0</v>
      </c>
      <c r="B85" s="16">
        <f t="shared" si="26"/>
        <v>248.3</v>
      </c>
      <c r="C85" s="22">
        <f t="shared" ref="C85:K85" si="75">(C33*2)+15</f>
        <v>496.6</v>
      </c>
      <c r="D85" s="22">
        <f t="shared" si="75"/>
        <v>735</v>
      </c>
      <c r="E85" s="22">
        <f t="shared" si="75"/>
        <v>978.2</v>
      </c>
      <c r="F85" s="22">
        <f t="shared" si="75"/>
        <v>1219</v>
      </c>
      <c r="G85" s="22">
        <f t="shared" si="75"/>
        <v>1455</v>
      </c>
      <c r="H85" s="22">
        <f t="shared" si="75"/>
        <v>1700.6</v>
      </c>
      <c r="I85" s="22">
        <f t="shared" si="75"/>
        <v>1941.4</v>
      </c>
      <c r="J85" s="23">
        <f t="shared" si="75"/>
        <v>2182.2</v>
      </c>
      <c r="K85" s="24">
        <f t="shared" si="75"/>
        <v>2423</v>
      </c>
      <c r="L85" s="2">
        <f t="shared" si="28"/>
        <v>645.58</v>
      </c>
      <c r="M85" s="2">
        <f t="shared" si="29"/>
        <v>426.0828</v>
      </c>
      <c r="N85" s="2">
        <f t="shared" si="30"/>
        <v>852.1656</v>
      </c>
      <c r="O85" s="2">
        <f t="shared" si="31"/>
        <v>1065.207</v>
      </c>
      <c r="P85" s="20">
        <f t="shared" si="32"/>
        <v>1291.16</v>
      </c>
      <c r="Q85" s="2"/>
      <c r="R85" s="2"/>
    </row>
    <row r="86" ht="15.75" customHeight="1">
      <c r="A86" s="25" t="s">
        <v>54</v>
      </c>
      <c r="B86" s="16">
        <f t="shared" si="26"/>
        <v>248.3</v>
      </c>
      <c r="C86" s="22">
        <f t="shared" ref="C86:K86" si="76">(C33*2)+15</f>
        <v>496.6</v>
      </c>
      <c r="D86" s="22">
        <f t="shared" si="76"/>
        <v>735</v>
      </c>
      <c r="E86" s="22">
        <f t="shared" si="76"/>
        <v>978.2</v>
      </c>
      <c r="F86" s="22">
        <f t="shared" si="76"/>
        <v>1219</v>
      </c>
      <c r="G86" s="22">
        <f t="shared" si="76"/>
        <v>1455</v>
      </c>
      <c r="H86" s="22">
        <f t="shared" si="76"/>
        <v>1700.6</v>
      </c>
      <c r="I86" s="22">
        <f t="shared" si="76"/>
        <v>1941.4</v>
      </c>
      <c r="J86" s="23">
        <f t="shared" si="76"/>
        <v>2182.2</v>
      </c>
      <c r="K86" s="24">
        <f t="shared" si="76"/>
        <v>2423</v>
      </c>
      <c r="L86" s="2">
        <f t="shared" si="28"/>
        <v>645.58</v>
      </c>
      <c r="M86" s="2">
        <f t="shared" si="29"/>
        <v>426.0828</v>
      </c>
      <c r="N86" s="2">
        <f t="shared" si="30"/>
        <v>852.1656</v>
      </c>
      <c r="O86" s="2">
        <f t="shared" si="31"/>
        <v>1065.207</v>
      </c>
      <c r="P86" s="20">
        <f t="shared" si="32"/>
        <v>1291.16</v>
      </c>
      <c r="Q86" s="2"/>
      <c r="R86" s="2"/>
    </row>
    <row r="87" ht="15.75" customHeight="1">
      <c r="A87" s="25" t="s">
        <v>55</v>
      </c>
      <c r="B87" s="16">
        <f t="shared" si="26"/>
        <v>248.3</v>
      </c>
      <c r="C87" s="22">
        <f t="shared" ref="C87:K87" si="77">(C33*2)+15</f>
        <v>496.6</v>
      </c>
      <c r="D87" s="22">
        <f t="shared" si="77"/>
        <v>735</v>
      </c>
      <c r="E87" s="22">
        <f t="shared" si="77"/>
        <v>978.2</v>
      </c>
      <c r="F87" s="22">
        <f t="shared" si="77"/>
        <v>1219</v>
      </c>
      <c r="G87" s="22">
        <f t="shared" si="77"/>
        <v>1455</v>
      </c>
      <c r="H87" s="22">
        <f t="shared" si="77"/>
        <v>1700.6</v>
      </c>
      <c r="I87" s="22">
        <f t="shared" si="77"/>
        <v>1941.4</v>
      </c>
      <c r="J87" s="23">
        <f t="shared" si="77"/>
        <v>2182.2</v>
      </c>
      <c r="K87" s="24">
        <f t="shared" si="77"/>
        <v>2423</v>
      </c>
      <c r="L87" s="2">
        <f t="shared" si="28"/>
        <v>645.58</v>
      </c>
      <c r="M87" s="2">
        <f t="shared" si="29"/>
        <v>426.0828</v>
      </c>
      <c r="N87" s="2">
        <f t="shared" si="30"/>
        <v>852.1656</v>
      </c>
      <c r="O87" s="2">
        <f t="shared" si="31"/>
        <v>1065.207</v>
      </c>
      <c r="P87" s="20">
        <f t="shared" si="32"/>
        <v>1291.16</v>
      </c>
      <c r="Q87" s="2"/>
      <c r="R87" s="2"/>
    </row>
    <row r="88" ht="15.75" customHeight="1">
      <c r="A88" s="25" t="s">
        <v>56</v>
      </c>
      <c r="B88" s="16">
        <f t="shared" si="26"/>
        <v>248.3</v>
      </c>
      <c r="C88" s="22">
        <f t="shared" ref="C88:K88" si="78">(C33*2)+15</f>
        <v>496.6</v>
      </c>
      <c r="D88" s="22">
        <f t="shared" si="78"/>
        <v>735</v>
      </c>
      <c r="E88" s="22">
        <f t="shared" si="78"/>
        <v>978.2</v>
      </c>
      <c r="F88" s="22">
        <f t="shared" si="78"/>
        <v>1219</v>
      </c>
      <c r="G88" s="22">
        <f t="shared" si="78"/>
        <v>1455</v>
      </c>
      <c r="H88" s="22">
        <f t="shared" si="78"/>
        <v>1700.6</v>
      </c>
      <c r="I88" s="22">
        <f t="shared" si="78"/>
        <v>1941.4</v>
      </c>
      <c r="J88" s="23">
        <f t="shared" si="78"/>
        <v>2182.2</v>
      </c>
      <c r="K88" s="24">
        <f t="shared" si="78"/>
        <v>2423</v>
      </c>
      <c r="L88" s="2">
        <f t="shared" si="28"/>
        <v>645.58</v>
      </c>
      <c r="M88" s="2">
        <f t="shared" si="29"/>
        <v>426.0828</v>
      </c>
      <c r="N88" s="2">
        <f t="shared" si="30"/>
        <v>852.1656</v>
      </c>
      <c r="O88" s="2">
        <f t="shared" si="31"/>
        <v>1065.207</v>
      </c>
      <c r="P88" s="20">
        <f t="shared" si="32"/>
        <v>1291.16</v>
      </c>
      <c r="Q88" s="2"/>
      <c r="R88" s="2"/>
    </row>
    <row r="89" ht="15.75" customHeight="1">
      <c r="A89" s="25">
        <v>14.0</v>
      </c>
      <c r="B89" s="16">
        <f t="shared" si="26"/>
        <v>256.3</v>
      </c>
      <c r="C89" s="22">
        <f t="shared" ref="C89:K89" si="79">(C34*2)+15</f>
        <v>512.6</v>
      </c>
      <c r="D89" s="22">
        <f t="shared" si="79"/>
        <v>759</v>
      </c>
      <c r="E89" s="22">
        <f t="shared" si="79"/>
        <v>1010.2</v>
      </c>
      <c r="F89" s="22">
        <f t="shared" si="79"/>
        <v>1259</v>
      </c>
      <c r="G89" s="22">
        <f t="shared" si="79"/>
        <v>1503</v>
      </c>
      <c r="H89" s="22">
        <f t="shared" si="79"/>
        <v>1756.6</v>
      </c>
      <c r="I89" s="22">
        <f t="shared" si="79"/>
        <v>2005.4</v>
      </c>
      <c r="J89" s="23">
        <f t="shared" si="79"/>
        <v>2254.2</v>
      </c>
      <c r="K89" s="24">
        <f t="shared" si="79"/>
        <v>2503</v>
      </c>
      <c r="L89" s="2">
        <f t="shared" si="28"/>
        <v>666.38</v>
      </c>
      <c r="M89" s="2">
        <f t="shared" si="29"/>
        <v>439.8108</v>
      </c>
      <c r="N89" s="2">
        <f t="shared" si="30"/>
        <v>879.6216</v>
      </c>
      <c r="O89" s="2">
        <f t="shared" si="31"/>
        <v>1099.527</v>
      </c>
      <c r="P89" s="20">
        <f t="shared" si="32"/>
        <v>1332.76</v>
      </c>
      <c r="Q89" s="2"/>
      <c r="R89" s="2"/>
    </row>
    <row r="90" ht="15.75" customHeight="1">
      <c r="A90" s="25" t="s">
        <v>57</v>
      </c>
      <c r="B90" s="16">
        <f t="shared" si="26"/>
        <v>256.3</v>
      </c>
      <c r="C90" s="22">
        <f t="shared" ref="C90:K90" si="80">(C34*2)+15</f>
        <v>512.6</v>
      </c>
      <c r="D90" s="22">
        <f t="shared" si="80"/>
        <v>759</v>
      </c>
      <c r="E90" s="22">
        <f t="shared" si="80"/>
        <v>1010.2</v>
      </c>
      <c r="F90" s="22">
        <f t="shared" si="80"/>
        <v>1259</v>
      </c>
      <c r="G90" s="22">
        <f t="shared" si="80"/>
        <v>1503</v>
      </c>
      <c r="H90" s="22">
        <f t="shared" si="80"/>
        <v>1756.6</v>
      </c>
      <c r="I90" s="22">
        <f t="shared" si="80"/>
        <v>2005.4</v>
      </c>
      <c r="J90" s="23">
        <f t="shared" si="80"/>
        <v>2254.2</v>
      </c>
      <c r="K90" s="24">
        <f t="shared" si="80"/>
        <v>2503</v>
      </c>
      <c r="L90" s="2">
        <f t="shared" si="28"/>
        <v>666.38</v>
      </c>
      <c r="M90" s="2">
        <f t="shared" si="29"/>
        <v>439.8108</v>
      </c>
      <c r="N90" s="2">
        <f t="shared" si="30"/>
        <v>879.6216</v>
      </c>
      <c r="O90" s="2">
        <f t="shared" si="31"/>
        <v>1099.527</v>
      </c>
      <c r="P90" s="20">
        <f t="shared" si="32"/>
        <v>1332.76</v>
      </c>
      <c r="Q90" s="2"/>
      <c r="R90" s="2"/>
    </row>
    <row r="91" ht="15.75" customHeight="1">
      <c r="A91" s="25" t="s">
        <v>58</v>
      </c>
      <c r="B91" s="16">
        <f t="shared" si="26"/>
        <v>256.3</v>
      </c>
      <c r="C91" s="22">
        <f t="shared" ref="C91:K91" si="81">(C34*2)+15</f>
        <v>512.6</v>
      </c>
      <c r="D91" s="22">
        <f t="shared" si="81"/>
        <v>759</v>
      </c>
      <c r="E91" s="22">
        <f t="shared" si="81"/>
        <v>1010.2</v>
      </c>
      <c r="F91" s="22">
        <f t="shared" si="81"/>
        <v>1259</v>
      </c>
      <c r="G91" s="22">
        <f t="shared" si="81"/>
        <v>1503</v>
      </c>
      <c r="H91" s="22">
        <f t="shared" si="81"/>
        <v>1756.6</v>
      </c>
      <c r="I91" s="22">
        <f t="shared" si="81"/>
        <v>2005.4</v>
      </c>
      <c r="J91" s="23">
        <f t="shared" si="81"/>
        <v>2254.2</v>
      </c>
      <c r="K91" s="24">
        <f t="shared" si="81"/>
        <v>2503</v>
      </c>
      <c r="L91" s="2">
        <f t="shared" si="28"/>
        <v>666.38</v>
      </c>
      <c r="M91" s="2">
        <f t="shared" si="29"/>
        <v>439.8108</v>
      </c>
      <c r="N91" s="2">
        <f t="shared" si="30"/>
        <v>879.6216</v>
      </c>
      <c r="O91" s="2">
        <f t="shared" si="31"/>
        <v>1099.527</v>
      </c>
      <c r="P91" s="20">
        <f t="shared" si="32"/>
        <v>1332.76</v>
      </c>
      <c r="Q91" s="2"/>
      <c r="R91" s="2"/>
    </row>
    <row r="92" ht="15.75" customHeight="1">
      <c r="A92" s="25" t="s">
        <v>59</v>
      </c>
      <c r="B92" s="16">
        <f t="shared" si="26"/>
        <v>256.3</v>
      </c>
      <c r="C92" s="22">
        <f t="shared" ref="C92:K92" si="82">(C34*2)+15</f>
        <v>512.6</v>
      </c>
      <c r="D92" s="22">
        <f t="shared" si="82"/>
        <v>759</v>
      </c>
      <c r="E92" s="22">
        <f t="shared" si="82"/>
        <v>1010.2</v>
      </c>
      <c r="F92" s="22">
        <f t="shared" si="82"/>
        <v>1259</v>
      </c>
      <c r="G92" s="22">
        <f t="shared" si="82"/>
        <v>1503</v>
      </c>
      <c r="H92" s="22">
        <f t="shared" si="82"/>
        <v>1756.6</v>
      </c>
      <c r="I92" s="22">
        <f t="shared" si="82"/>
        <v>2005.4</v>
      </c>
      <c r="J92" s="23">
        <f t="shared" si="82"/>
        <v>2254.2</v>
      </c>
      <c r="K92" s="24">
        <f t="shared" si="82"/>
        <v>2503</v>
      </c>
      <c r="L92" s="2">
        <f t="shared" si="28"/>
        <v>666.38</v>
      </c>
      <c r="M92" s="2">
        <f t="shared" si="29"/>
        <v>439.8108</v>
      </c>
      <c r="N92" s="2">
        <f t="shared" si="30"/>
        <v>879.6216</v>
      </c>
      <c r="O92" s="2">
        <f t="shared" si="31"/>
        <v>1099.527</v>
      </c>
      <c r="P92" s="20">
        <f t="shared" si="32"/>
        <v>1332.76</v>
      </c>
      <c r="Q92" s="2"/>
      <c r="R92" s="2"/>
    </row>
    <row r="93" ht="15.75" customHeight="1">
      <c r="A93" s="26">
        <v>15.0</v>
      </c>
      <c r="B93" s="27"/>
      <c r="C93" s="28">
        <v>258.0</v>
      </c>
      <c r="D93" s="29">
        <v>384.0</v>
      </c>
      <c r="E93" s="29">
        <v>506.0</v>
      </c>
      <c r="F93" s="29">
        <v>632.0</v>
      </c>
      <c r="G93" s="29">
        <v>760.0</v>
      </c>
      <c r="H93" s="29">
        <v>885.0</v>
      </c>
      <c r="I93" s="30"/>
      <c r="J93" s="31"/>
      <c r="K93" s="32"/>
      <c r="L93" s="2"/>
      <c r="M93" s="2"/>
      <c r="N93" s="2"/>
      <c r="O93" s="2"/>
      <c r="P93" s="2"/>
      <c r="Q93" s="2"/>
      <c r="R93" s="2"/>
    </row>
    <row r="94" ht="15.75" customHeight="1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9" t="s">
        <v>60</v>
      </c>
      <c r="L95" s="2"/>
      <c r="M95" s="2"/>
      <c r="N95" s="2"/>
      <c r="O95" s="2"/>
      <c r="P95" s="2"/>
      <c r="Q95" s="2"/>
      <c r="R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5.75" customHeight="1">
      <c r="A97" s="33" t="s">
        <v>15</v>
      </c>
      <c r="B97" s="34" t="s">
        <v>2</v>
      </c>
      <c r="C97" s="12" t="s">
        <v>3</v>
      </c>
      <c r="D97" s="11" t="s">
        <v>4</v>
      </c>
      <c r="E97" s="12" t="s">
        <v>5</v>
      </c>
      <c r="F97" s="12" t="s">
        <v>6</v>
      </c>
      <c r="G97" s="12" t="s">
        <v>7</v>
      </c>
      <c r="H97" s="12" t="s">
        <v>8</v>
      </c>
      <c r="I97" s="12" t="s">
        <v>9</v>
      </c>
      <c r="J97" s="12" t="s">
        <v>16</v>
      </c>
      <c r="K97" s="12" t="s">
        <v>11</v>
      </c>
      <c r="L97" s="2"/>
      <c r="M97" s="2"/>
      <c r="N97" s="2"/>
      <c r="O97" s="2"/>
      <c r="P97" s="2"/>
      <c r="Q97" s="2"/>
      <c r="R97" s="2"/>
    </row>
    <row r="98" ht="15.75" customHeight="1">
      <c r="A98" s="16">
        <v>2.0</v>
      </c>
      <c r="B98" s="16">
        <f t="shared" ref="B98:B149" si="84">C98/2</f>
        <v>133.836</v>
      </c>
      <c r="C98" s="17">
        <f t="shared" ref="C98:K98" si="83">((C41-15)*1.4)+15</f>
        <v>267.672</v>
      </c>
      <c r="D98" s="35">
        <f t="shared" si="83"/>
        <v>391.32</v>
      </c>
      <c r="E98" s="35">
        <f t="shared" si="83"/>
        <v>520.344</v>
      </c>
      <c r="F98" s="35">
        <f t="shared" si="83"/>
        <v>652.056</v>
      </c>
      <c r="G98" s="35">
        <f t="shared" si="83"/>
        <v>770.328</v>
      </c>
      <c r="H98" s="35">
        <f t="shared" si="83"/>
        <v>893.976</v>
      </c>
      <c r="I98" s="35">
        <f t="shared" si="83"/>
        <v>1025.688</v>
      </c>
      <c r="J98" s="35">
        <f t="shared" si="83"/>
        <v>1152.024</v>
      </c>
      <c r="K98" s="36">
        <f t="shared" si="83"/>
        <v>1272.984</v>
      </c>
      <c r="L98" s="2"/>
      <c r="M98" s="8" t="s">
        <v>61</v>
      </c>
      <c r="N98" s="2"/>
      <c r="O98" s="2"/>
      <c r="P98" s="2"/>
      <c r="Q98" s="2"/>
      <c r="R98" s="2"/>
    </row>
    <row r="99" ht="15.75" customHeight="1">
      <c r="A99" s="37" t="s">
        <v>21</v>
      </c>
      <c r="B99" s="16">
        <f t="shared" si="84"/>
        <v>165.42</v>
      </c>
      <c r="C99" s="22">
        <f t="shared" ref="C99:K99" si="85">((C42-15)*1.4)+15</f>
        <v>330.84</v>
      </c>
      <c r="D99" s="38">
        <f t="shared" si="85"/>
        <v>485.4</v>
      </c>
      <c r="E99" s="38">
        <f t="shared" si="85"/>
        <v>646.68</v>
      </c>
      <c r="F99" s="38">
        <f t="shared" si="85"/>
        <v>811.32</v>
      </c>
      <c r="G99" s="38">
        <f t="shared" si="85"/>
        <v>959.16</v>
      </c>
      <c r="H99" s="38">
        <f t="shared" si="85"/>
        <v>1113.72</v>
      </c>
      <c r="I99" s="38">
        <f t="shared" si="85"/>
        <v>1278.36</v>
      </c>
      <c r="J99" s="38">
        <f t="shared" si="85"/>
        <v>1436.28</v>
      </c>
      <c r="K99" s="39">
        <f t="shared" si="85"/>
        <v>1587.48</v>
      </c>
      <c r="L99" s="2"/>
      <c r="M99" s="2"/>
      <c r="N99" s="2"/>
      <c r="O99" s="2"/>
      <c r="P99" s="2"/>
      <c r="Q99" s="2"/>
      <c r="R99" s="2"/>
    </row>
    <row r="100" ht="15.75" customHeight="1">
      <c r="A100" s="37" t="s">
        <v>22</v>
      </c>
      <c r="B100" s="16">
        <f t="shared" si="84"/>
        <v>165.42</v>
      </c>
      <c r="C100" s="22">
        <f t="shared" ref="C100:K100" si="86">((C43-15)*1.4)+15</f>
        <v>330.84</v>
      </c>
      <c r="D100" s="38">
        <f t="shared" si="86"/>
        <v>485.4</v>
      </c>
      <c r="E100" s="38">
        <f t="shared" si="86"/>
        <v>646.68</v>
      </c>
      <c r="F100" s="38">
        <f t="shared" si="86"/>
        <v>811.32</v>
      </c>
      <c r="G100" s="38">
        <f t="shared" si="86"/>
        <v>959.16</v>
      </c>
      <c r="H100" s="38">
        <f t="shared" si="86"/>
        <v>1113.72</v>
      </c>
      <c r="I100" s="38">
        <f t="shared" si="86"/>
        <v>1278.36</v>
      </c>
      <c r="J100" s="38">
        <f t="shared" si="86"/>
        <v>1436.28</v>
      </c>
      <c r="K100" s="39">
        <f t="shared" si="86"/>
        <v>1587.48</v>
      </c>
      <c r="L100" s="2"/>
      <c r="M100" s="2"/>
      <c r="N100" s="2"/>
      <c r="O100" s="2"/>
      <c r="P100" s="2"/>
      <c r="Q100" s="2"/>
      <c r="R100" s="2"/>
    </row>
    <row r="101" ht="15.75" customHeight="1">
      <c r="A101" s="37" t="s">
        <v>23</v>
      </c>
      <c r="B101" s="16">
        <f t="shared" si="84"/>
        <v>165.42</v>
      </c>
      <c r="C101" s="22">
        <f t="shared" ref="C101:K101" si="87">((C44-15)*1.4)+15</f>
        <v>330.84</v>
      </c>
      <c r="D101" s="38">
        <f t="shared" si="87"/>
        <v>485.4</v>
      </c>
      <c r="E101" s="38">
        <f t="shared" si="87"/>
        <v>646.68</v>
      </c>
      <c r="F101" s="38">
        <f t="shared" si="87"/>
        <v>811.32</v>
      </c>
      <c r="G101" s="38">
        <f t="shared" si="87"/>
        <v>959.16</v>
      </c>
      <c r="H101" s="38">
        <f t="shared" si="87"/>
        <v>1113.72</v>
      </c>
      <c r="I101" s="38">
        <f t="shared" si="87"/>
        <v>1278.36</v>
      </c>
      <c r="J101" s="38">
        <f t="shared" si="87"/>
        <v>1436.28</v>
      </c>
      <c r="K101" s="39">
        <f t="shared" si="87"/>
        <v>1587.48</v>
      </c>
      <c r="L101" s="2"/>
      <c r="M101" s="2"/>
      <c r="N101" s="2"/>
      <c r="O101" s="2"/>
      <c r="P101" s="2"/>
      <c r="Q101" s="2"/>
      <c r="R101" s="2"/>
    </row>
    <row r="102" ht="15.75" customHeight="1">
      <c r="A102" s="40">
        <v>3.0</v>
      </c>
      <c r="B102" s="16">
        <f t="shared" si="84"/>
        <v>173.82</v>
      </c>
      <c r="C102" s="22">
        <f t="shared" ref="C102:K102" si="88">((C45-15)*1.4)+15</f>
        <v>347.64</v>
      </c>
      <c r="D102" s="38">
        <f t="shared" si="88"/>
        <v>512.28</v>
      </c>
      <c r="E102" s="38">
        <f t="shared" si="88"/>
        <v>680.28</v>
      </c>
      <c r="F102" s="38">
        <f t="shared" si="88"/>
        <v>846.6</v>
      </c>
      <c r="G102" s="38">
        <f t="shared" si="88"/>
        <v>1009.56</v>
      </c>
      <c r="H102" s="38">
        <f t="shared" si="88"/>
        <v>1179.24</v>
      </c>
      <c r="I102" s="38">
        <f t="shared" si="88"/>
        <v>1345.56</v>
      </c>
      <c r="J102" s="38">
        <f t="shared" si="88"/>
        <v>1511.88</v>
      </c>
      <c r="K102" s="39">
        <f t="shared" si="88"/>
        <v>1678.2</v>
      </c>
      <c r="L102" s="2"/>
      <c r="M102" s="2"/>
      <c r="N102" s="2"/>
      <c r="O102" s="2"/>
      <c r="P102" s="2"/>
      <c r="Q102" s="2"/>
      <c r="R102" s="2"/>
    </row>
    <row r="103" ht="15.75" customHeight="1">
      <c r="A103" s="40" t="s">
        <v>24</v>
      </c>
      <c r="B103" s="16">
        <f t="shared" si="84"/>
        <v>173.82</v>
      </c>
      <c r="C103" s="22">
        <f t="shared" ref="C103:K103" si="89">((C46-15)*1.4)+15</f>
        <v>347.64</v>
      </c>
      <c r="D103" s="38">
        <f t="shared" si="89"/>
        <v>512.28</v>
      </c>
      <c r="E103" s="38">
        <f t="shared" si="89"/>
        <v>680.28</v>
      </c>
      <c r="F103" s="38">
        <f t="shared" si="89"/>
        <v>846.6</v>
      </c>
      <c r="G103" s="38">
        <f t="shared" si="89"/>
        <v>1009.56</v>
      </c>
      <c r="H103" s="38">
        <f t="shared" si="89"/>
        <v>1179.24</v>
      </c>
      <c r="I103" s="38">
        <f t="shared" si="89"/>
        <v>1345.56</v>
      </c>
      <c r="J103" s="38">
        <f t="shared" si="89"/>
        <v>1511.88</v>
      </c>
      <c r="K103" s="39">
        <f t="shared" si="89"/>
        <v>1678.2</v>
      </c>
      <c r="L103" s="2"/>
      <c r="M103" s="2"/>
      <c r="N103" s="2"/>
      <c r="O103" s="2"/>
      <c r="P103" s="2"/>
      <c r="Q103" s="2"/>
      <c r="R103" s="2"/>
    </row>
    <row r="104" ht="15.75" customHeight="1">
      <c r="A104" s="40" t="s">
        <v>25</v>
      </c>
      <c r="B104" s="16">
        <f t="shared" si="84"/>
        <v>173.82</v>
      </c>
      <c r="C104" s="22">
        <f t="shared" ref="C104:K104" si="90">((C47-15)*1.4)+15</f>
        <v>347.64</v>
      </c>
      <c r="D104" s="38">
        <f t="shared" si="90"/>
        <v>512.28</v>
      </c>
      <c r="E104" s="38">
        <f t="shared" si="90"/>
        <v>680.28</v>
      </c>
      <c r="F104" s="38">
        <f t="shared" si="90"/>
        <v>846.6</v>
      </c>
      <c r="G104" s="38">
        <f t="shared" si="90"/>
        <v>1009.56</v>
      </c>
      <c r="H104" s="38">
        <f t="shared" si="90"/>
        <v>1179.24</v>
      </c>
      <c r="I104" s="38">
        <f t="shared" si="90"/>
        <v>1345.56</v>
      </c>
      <c r="J104" s="38">
        <f t="shared" si="90"/>
        <v>1511.88</v>
      </c>
      <c r="K104" s="39">
        <f t="shared" si="90"/>
        <v>1678.2</v>
      </c>
      <c r="L104" s="2"/>
      <c r="M104" s="2"/>
      <c r="N104" s="2"/>
      <c r="O104" s="2"/>
      <c r="P104" s="2"/>
      <c r="Q104" s="2"/>
      <c r="R104" s="2"/>
    </row>
    <row r="105" ht="15.75" customHeight="1">
      <c r="A105" s="40" t="s">
        <v>26</v>
      </c>
      <c r="B105" s="16">
        <f t="shared" si="84"/>
        <v>173.82</v>
      </c>
      <c r="C105" s="22">
        <f t="shared" ref="C105:K105" si="91">((C48-15)*1.4)+15</f>
        <v>347.64</v>
      </c>
      <c r="D105" s="38">
        <f t="shared" si="91"/>
        <v>512.28</v>
      </c>
      <c r="E105" s="38">
        <f t="shared" si="91"/>
        <v>680.28</v>
      </c>
      <c r="F105" s="38">
        <f t="shared" si="91"/>
        <v>846.6</v>
      </c>
      <c r="G105" s="38">
        <f t="shared" si="91"/>
        <v>1009.56</v>
      </c>
      <c r="H105" s="38">
        <f t="shared" si="91"/>
        <v>1179.24</v>
      </c>
      <c r="I105" s="38">
        <f t="shared" si="91"/>
        <v>1345.56</v>
      </c>
      <c r="J105" s="38">
        <f t="shared" si="91"/>
        <v>1511.88</v>
      </c>
      <c r="K105" s="39">
        <f t="shared" si="91"/>
        <v>1678.2</v>
      </c>
      <c r="L105" s="2"/>
      <c r="M105" s="2"/>
      <c r="N105" s="2"/>
      <c r="O105" s="2"/>
      <c r="P105" s="2"/>
      <c r="Q105" s="2"/>
      <c r="R105" s="2"/>
    </row>
    <row r="106" ht="15.75" customHeight="1">
      <c r="A106" s="40">
        <v>4.0</v>
      </c>
      <c r="B106" s="16">
        <f t="shared" si="84"/>
        <v>182.22</v>
      </c>
      <c r="C106" s="22">
        <f t="shared" ref="C106:K106" si="92">((C49-15)*1.4)+15</f>
        <v>364.44</v>
      </c>
      <c r="D106" s="38">
        <f t="shared" si="92"/>
        <v>537.48</v>
      </c>
      <c r="E106" s="38">
        <f t="shared" si="92"/>
        <v>713.88</v>
      </c>
      <c r="F106" s="38">
        <f t="shared" si="92"/>
        <v>888.6</v>
      </c>
      <c r="G106" s="38">
        <f t="shared" si="92"/>
        <v>1059.96</v>
      </c>
      <c r="H106" s="38">
        <f t="shared" si="92"/>
        <v>1238.04</v>
      </c>
      <c r="I106" s="38">
        <f t="shared" si="92"/>
        <v>1412.76</v>
      </c>
      <c r="J106" s="38">
        <f t="shared" si="92"/>
        <v>1587.48</v>
      </c>
      <c r="K106" s="39">
        <f t="shared" si="92"/>
        <v>1762.2</v>
      </c>
      <c r="L106" s="2"/>
      <c r="M106" s="2"/>
      <c r="N106" s="2"/>
      <c r="O106" s="2"/>
      <c r="P106" s="2"/>
      <c r="Q106" s="2"/>
      <c r="R106" s="2"/>
    </row>
    <row r="107" ht="15.75" customHeight="1">
      <c r="A107" s="40" t="s">
        <v>27</v>
      </c>
      <c r="B107" s="16">
        <f t="shared" si="84"/>
        <v>182.22</v>
      </c>
      <c r="C107" s="22">
        <f t="shared" ref="C107:K107" si="93">((C50-15)*1.4)+15</f>
        <v>364.44</v>
      </c>
      <c r="D107" s="38">
        <f t="shared" si="93"/>
        <v>537.48</v>
      </c>
      <c r="E107" s="38">
        <f t="shared" si="93"/>
        <v>713.88</v>
      </c>
      <c r="F107" s="38">
        <f t="shared" si="93"/>
        <v>888.6</v>
      </c>
      <c r="G107" s="38">
        <f t="shared" si="93"/>
        <v>1059.96</v>
      </c>
      <c r="H107" s="38">
        <f t="shared" si="93"/>
        <v>1238.04</v>
      </c>
      <c r="I107" s="38">
        <f t="shared" si="93"/>
        <v>1412.76</v>
      </c>
      <c r="J107" s="38">
        <f t="shared" si="93"/>
        <v>1587.48</v>
      </c>
      <c r="K107" s="39">
        <f t="shared" si="93"/>
        <v>1762.2</v>
      </c>
      <c r="L107" s="2"/>
      <c r="M107" s="2"/>
      <c r="N107" s="2"/>
      <c r="O107" s="2"/>
      <c r="P107" s="2"/>
      <c r="Q107" s="2"/>
      <c r="R107" s="2"/>
    </row>
    <row r="108" ht="15.75" customHeight="1">
      <c r="A108" s="40" t="s">
        <v>28</v>
      </c>
      <c r="B108" s="16">
        <f t="shared" si="84"/>
        <v>182.22</v>
      </c>
      <c r="C108" s="22">
        <f t="shared" ref="C108:K108" si="94">((C51-15)*1.4)+15</f>
        <v>364.44</v>
      </c>
      <c r="D108" s="38">
        <f t="shared" si="94"/>
        <v>537.48</v>
      </c>
      <c r="E108" s="38">
        <f t="shared" si="94"/>
        <v>713.88</v>
      </c>
      <c r="F108" s="38">
        <f t="shared" si="94"/>
        <v>888.6</v>
      </c>
      <c r="G108" s="38">
        <f t="shared" si="94"/>
        <v>1059.96</v>
      </c>
      <c r="H108" s="38">
        <f t="shared" si="94"/>
        <v>1238.04</v>
      </c>
      <c r="I108" s="38">
        <f t="shared" si="94"/>
        <v>1412.76</v>
      </c>
      <c r="J108" s="38">
        <f t="shared" si="94"/>
        <v>1587.48</v>
      </c>
      <c r="K108" s="39">
        <f t="shared" si="94"/>
        <v>1762.2</v>
      </c>
      <c r="L108" s="2"/>
      <c r="M108" s="2"/>
      <c r="N108" s="2"/>
      <c r="O108" s="2"/>
      <c r="P108" s="2"/>
      <c r="Q108" s="2"/>
      <c r="R108" s="2"/>
    </row>
    <row r="109" ht="15.75" customHeight="1">
      <c r="A109" s="40" t="s">
        <v>29</v>
      </c>
      <c r="B109" s="16">
        <f t="shared" si="84"/>
        <v>182.22</v>
      </c>
      <c r="C109" s="22">
        <f t="shared" ref="C109:K109" si="95">((C52-15)*1.4)+15</f>
        <v>364.44</v>
      </c>
      <c r="D109" s="38">
        <f t="shared" si="95"/>
        <v>537.48</v>
      </c>
      <c r="E109" s="38">
        <f t="shared" si="95"/>
        <v>713.88</v>
      </c>
      <c r="F109" s="38">
        <f t="shared" si="95"/>
        <v>888.6</v>
      </c>
      <c r="G109" s="38">
        <f t="shared" si="95"/>
        <v>1059.96</v>
      </c>
      <c r="H109" s="38">
        <f t="shared" si="95"/>
        <v>1238.04</v>
      </c>
      <c r="I109" s="38">
        <f t="shared" si="95"/>
        <v>1412.76</v>
      </c>
      <c r="J109" s="38">
        <f t="shared" si="95"/>
        <v>1587.48</v>
      </c>
      <c r="K109" s="39">
        <f t="shared" si="95"/>
        <v>1762.2</v>
      </c>
      <c r="L109" s="2"/>
      <c r="M109" s="2"/>
      <c r="N109" s="2"/>
      <c r="O109" s="2"/>
      <c r="P109" s="2"/>
      <c r="Q109" s="2"/>
      <c r="R109" s="2"/>
    </row>
    <row r="110" ht="15.75" customHeight="1">
      <c r="A110" s="40">
        <v>5.0</v>
      </c>
      <c r="B110" s="16">
        <f t="shared" si="84"/>
        <v>228.252</v>
      </c>
      <c r="C110" s="22">
        <f t="shared" ref="C110:K110" si="96">((C53-15)*1.4)+15</f>
        <v>456.504</v>
      </c>
      <c r="D110" s="38">
        <f t="shared" si="96"/>
        <v>674.232</v>
      </c>
      <c r="E110" s="38">
        <f t="shared" si="96"/>
        <v>898.008</v>
      </c>
      <c r="F110" s="38">
        <f t="shared" si="96"/>
        <v>1118.76</v>
      </c>
      <c r="G110" s="38">
        <f t="shared" si="96"/>
        <v>1333.464</v>
      </c>
      <c r="H110" s="38">
        <f t="shared" si="96"/>
        <v>1560.264</v>
      </c>
      <c r="I110" s="38">
        <f t="shared" si="96"/>
        <v>1781.016</v>
      </c>
      <c r="J110" s="38">
        <f t="shared" si="96"/>
        <v>2001.768</v>
      </c>
      <c r="K110" s="39">
        <f t="shared" si="96"/>
        <v>2222.52</v>
      </c>
      <c r="L110" s="2"/>
      <c r="M110" s="2"/>
      <c r="N110" s="2"/>
      <c r="O110" s="2"/>
      <c r="P110" s="2"/>
      <c r="Q110" s="2"/>
      <c r="R110" s="2"/>
    </row>
    <row r="111" ht="15.75" customHeight="1">
      <c r="A111" s="40" t="s">
        <v>30</v>
      </c>
      <c r="B111" s="16">
        <f t="shared" si="84"/>
        <v>228.252</v>
      </c>
      <c r="C111" s="22">
        <f t="shared" ref="C111:K111" si="97">((C54-15)*1.4)+15</f>
        <v>456.504</v>
      </c>
      <c r="D111" s="38">
        <f t="shared" si="97"/>
        <v>674.232</v>
      </c>
      <c r="E111" s="38">
        <f t="shared" si="97"/>
        <v>898.008</v>
      </c>
      <c r="F111" s="38">
        <f t="shared" si="97"/>
        <v>1118.76</v>
      </c>
      <c r="G111" s="38">
        <f t="shared" si="97"/>
        <v>1333.464</v>
      </c>
      <c r="H111" s="38">
        <f t="shared" si="97"/>
        <v>1560.264</v>
      </c>
      <c r="I111" s="38">
        <f t="shared" si="97"/>
        <v>1781.016</v>
      </c>
      <c r="J111" s="38">
        <f t="shared" si="97"/>
        <v>2001.768</v>
      </c>
      <c r="K111" s="39">
        <f t="shared" si="97"/>
        <v>2222.52</v>
      </c>
      <c r="L111" s="2"/>
      <c r="M111" s="2"/>
      <c r="N111" s="2"/>
      <c r="O111" s="2"/>
      <c r="P111" s="2"/>
      <c r="Q111" s="2"/>
      <c r="R111" s="2"/>
    </row>
    <row r="112" ht="15.75" customHeight="1">
      <c r="A112" s="40" t="s">
        <v>31</v>
      </c>
      <c r="B112" s="16">
        <f t="shared" si="84"/>
        <v>228.252</v>
      </c>
      <c r="C112" s="22">
        <f t="shared" ref="C112:K112" si="98">((C55-15)*1.4)+15</f>
        <v>456.504</v>
      </c>
      <c r="D112" s="38">
        <f t="shared" si="98"/>
        <v>674.232</v>
      </c>
      <c r="E112" s="38">
        <f t="shared" si="98"/>
        <v>898.008</v>
      </c>
      <c r="F112" s="38">
        <f t="shared" si="98"/>
        <v>1118.76</v>
      </c>
      <c r="G112" s="38">
        <f t="shared" si="98"/>
        <v>1333.464</v>
      </c>
      <c r="H112" s="38">
        <f t="shared" si="98"/>
        <v>1560.264</v>
      </c>
      <c r="I112" s="38">
        <f t="shared" si="98"/>
        <v>1781.016</v>
      </c>
      <c r="J112" s="38">
        <f t="shared" si="98"/>
        <v>2001.768</v>
      </c>
      <c r="K112" s="39">
        <f t="shared" si="98"/>
        <v>2222.52</v>
      </c>
      <c r="L112" s="2"/>
      <c r="M112" s="2"/>
      <c r="N112" s="2"/>
      <c r="O112" s="2"/>
      <c r="P112" s="2"/>
      <c r="Q112" s="2"/>
      <c r="R112" s="2"/>
    </row>
    <row r="113" ht="15.75" customHeight="1">
      <c r="A113" s="40" t="s">
        <v>32</v>
      </c>
      <c r="B113" s="16">
        <f t="shared" si="84"/>
        <v>228.252</v>
      </c>
      <c r="C113" s="22">
        <f t="shared" ref="C113:K113" si="99">((C56-15)*1.4)+15</f>
        <v>456.504</v>
      </c>
      <c r="D113" s="38">
        <f t="shared" si="99"/>
        <v>674.232</v>
      </c>
      <c r="E113" s="38">
        <f t="shared" si="99"/>
        <v>898.008</v>
      </c>
      <c r="F113" s="38">
        <f t="shared" si="99"/>
        <v>1118.76</v>
      </c>
      <c r="G113" s="38">
        <f t="shared" si="99"/>
        <v>1333.464</v>
      </c>
      <c r="H113" s="38">
        <f t="shared" si="99"/>
        <v>1560.264</v>
      </c>
      <c r="I113" s="38">
        <f t="shared" si="99"/>
        <v>1781.016</v>
      </c>
      <c r="J113" s="38">
        <f t="shared" si="99"/>
        <v>2001.768</v>
      </c>
      <c r="K113" s="39">
        <f t="shared" si="99"/>
        <v>2222.52</v>
      </c>
      <c r="L113" s="2"/>
      <c r="M113" s="2"/>
      <c r="N113" s="2"/>
      <c r="O113" s="2"/>
      <c r="P113" s="2"/>
      <c r="Q113" s="2"/>
      <c r="R113" s="2"/>
    </row>
    <row r="114" ht="15.75" customHeight="1">
      <c r="A114" s="40">
        <v>6.0</v>
      </c>
      <c r="B114" s="16">
        <f t="shared" si="84"/>
        <v>263.98</v>
      </c>
      <c r="C114" s="22">
        <f t="shared" ref="C114:K114" si="100">((C57-15)*1.4)+15</f>
        <v>527.96</v>
      </c>
      <c r="D114" s="38">
        <f t="shared" si="100"/>
        <v>781.08</v>
      </c>
      <c r="E114" s="38">
        <f t="shared" si="100"/>
        <v>1040.92</v>
      </c>
      <c r="F114" s="38">
        <f t="shared" si="100"/>
        <v>1297.4</v>
      </c>
      <c r="G114" s="38">
        <f t="shared" si="100"/>
        <v>1547.16</v>
      </c>
      <c r="H114" s="38">
        <f t="shared" si="100"/>
        <v>1810.36</v>
      </c>
      <c r="I114" s="38">
        <f t="shared" si="100"/>
        <v>2066.84</v>
      </c>
      <c r="J114" s="38">
        <f t="shared" si="100"/>
        <v>2323.32</v>
      </c>
      <c r="K114" s="39">
        <f t="shared" si="100"/>
        <v>2579.8</v>
      </c>
      <c r="L114" s="2"/>
      <c r="M114" s="2"/>
      <c r="N114" s="2"/>
      <c r="O114" s="2"/>
      <c r="P114" s="2"/>
      <c r="Q114" s="2"/>
      <c r="R114" s="2"/>
    </row>
    <row r="115" ht="15.75" customHeight="1">
      <c r="A115" s="40" t="s">
        <v>33</v>
      </c>
      <c r="B115" s="16">
        <f t="shared" si="84"/>
        <v>263.98</v>
      </c>
      <c r="C115" s="22">
        <f t="shared" ref="C115:K115" si="101">((C58-15)*1.4)+15</f>
        <v>527.96</v>
      </c>
      <c r="D115" s="38">
        <f t="shared" si="101"/>
        <v>781.08</v>
      </c>
      <c r="E115" s="38">
        <f t="shared" si="101"/>
        <v>1040.92</v>
      </c>
      <c r="F115" s="38">
        <f t="shared" si="101"/>
        <v>1297.4</v>
      </c>
      <c r="G115" s="38">
        <f t="shared" si="101"/>
        <v>1547.16</v>
      </c>
      <c r="H115" s="38">
        <f t="shared" si="101"/>
        <v>1810.36</v>
      </c>
      <c r="I115" s="38">
        <f t="shared" si="101"/>
        <v>2066.84</v>
      </c>
      <c r="J115" s="38">
        <f t="shared" si="101"/>
        <v>2323.32</v>
      </c>
      <c r="K115" s="39">
        <f t="shared" si="101"/>
        <v>2579.8</v>
      </c>
      <c r="L115" s="2"/>
      <c r="M115" s="2"/>
      <c r="N115" s="2"/>
      <c r="O115" s="2"/>
      <c r="P115" s="2"/>
      <c r="Q115" s="2"/>
      <c r="R115" s="2"/>
    </row>
    <row r="116" ht="15.75" customHeight="1">
      <c r="A116" s="40" t="s">
        <v>34</v>
      </c>
      <c r="B116" s="16">
        <f t="shared" si="84"/>
        <v>263.98</v>
      </c>
      <c r="C116" s="22">
        <f t="shared" ref="C116:K116" si="102">((C59-15)*1.4)+15</f>
        <v>527.96</v>
      </c>
      <c r="D116" s="38">
        <f t="shared" si="102"/>
        <v>781.08</v>
      </c>
      <c r="E116" s="38">
        <f t="shared" si="102"/>
        <v>1040.92</v>
      </c>
      <c r="F116" s="38">
        <f t="shared" si="102"/>
        <v>1297.4</v>
      </c>
      <c r="G116" s="38">
        <f t="shared" si="102"/>
        <v>1547.16</v>
      </c>
      <c r="H116" s="38">
        <f t="shared" si="102"/>
        <v>1810.36</v>
      </c>
      <c r="I116" s="38">
        <f t="shared" si="102"/>
        <v>2066.84</v>
      </c>
      <c r="J116" s="38">
        <f t="shared" si="102"/>
        <v>2323.32</v>
      </c>
      <c r="K116" s="39">
        <f t="shared" si="102"/>
        <v>2579.8</v>
      </c>
      <c r="L116" s="2"/>
      <c r="M116" s="2"/>
      <c r="N116" s="2"/>
      <c r="O116" s="2"/>
      <c r="P116" s="2"/>
      <c r="Q116" s="2"/>
      <c r="R116" s="2"/>
    </row>
    <row r="117" ht="15.75" customHeight="1">
      <c r="A117" s="40" t="s">
        <v>35</v>
      </c>
      <c r="B117" s="16">
        <f t="shared" si="84"/>
        <v>263.98</v>
      </c>
      <c r="C117" s="22">
        <f t="shared" ref="C117:K117" si="103">((C60-15)*1.4)+15</f>
        <v>527.96</v>
      </c>
      <c r="D117" s="38">
        <f t="shared" si="103"/>
        <v>781.08</v>
      </c>
      <c r="E117" s="38">
        <f t="shared" si="103"/>
        <v>1040.92</v>
      </c>
      <c r="F117" s="38">
        <f t="shared" si="103"/>
        <v>1297.4</v>
      </c>
      <c r="G117" s="38">
        <f t="shared" si="103"/>
        <v>1547.16</v>
      </c>
      <c r="H117" s="38">
        <f t="shared" si="103"/>
        <v>1810.36</v>
      </c>
      <c r="I117" s="38">
        <f t="shared" si="103"/>
        <v>2066.84</v>
      </c>
      <c r="J117" s="38">
        <f t="shared" si="103"/>
        <v>2323.32</v>
      </c>
      <c r="K117" s="39">
        <f t="shared" si="103"/>
        <v>2579.8</v>
      </c>
      <c r="L117" s="2"/>
      <c r="M117" s="2"/>
      <c r="N117" s="2"/>
      <c r="O117" s="2"/>
      <c r="P117" s="2"/>
      <c r="Q117" s="2"/>
      <c r="R117" s="2"/>
    </row>
    <row r="118" ht="15.75" customHeight="1">
      <c r="A118" s="40">
        <v>7.0</v>
      </c>
      <c r="B118" s="16">
        <f t="shared" si="84"/>
        <v>275.18</v>
      </c>
      <c r="C118" s="22">
        <f t="shared" ref="C118:K118" si="104">((C61-15)*1.4)+15</f>
        <v>550.36</v>
      </c>
      <c r="D118" s="38">
        <f t="shared" si="104"/>
        <v>814.68</v>
      </c>
      <c r="E118" s="38">
        <f t="shared" si="104"/>
        <v>1085.72</v>
      </c>
      <c r="F118" s="38">
        <f t="shared" si="104"/>
        <v>1353.4</v>
      </c>
      <c r="G118" s="38">
        <f t="shared" si="104"/>
        <v>1614.36</v>
      </c>
      <c r="H118" s="38">
        <f t="shared" si="104"/>
        <v>1888.76</v>
      </c>
      <c r="I118" s="38">
        <f t="shared" si="104"/>
        <v>2156.44</v>
      </c>
      <c r="J118" s="38">
        <f t="shared" si="104"/>
        <v>2424.12</v>
      </c>
      <c r="K118" s="39">
        <f t="shared" si="104"/>
        <v>2691.8</v>
      </c>
      <c r="L118" s="2"/>
      <c r="M118" s="2"/>
      <c r="N118" s="2"/>
      <c r="O118" s="2"/>
      <c r="P118" s="2"/>
      <c r="Q118" s="2"/>
      <c r="R118" s="2"/>
    </row>
    <row r="119" ht="15.75" customHeight="1">
      <c r="A119" s="40" t="s">
        <v>36</v>
      </c>
      <c r="B119" s="16">
        <f t="shared" si="84"/>
        <v>275.18</v>
      </c>
      <c r="C119" s="22">
        <f t="shared" ref="C119:K119" si="105">((C62-15)*1.4)+15</f>
        <v>550.36</v>
      </c>
      <c r="D119" s="38">
        <f t="shared" si="105"/>
        <v>814.68</v>
      </c>
      <c r="E119" s="38">
        <f t="shared" si="105"/>
        <v>1085.72</v>
      </c>
      <c r="F119" s="38">
        <f t="shared" si="105"/>
        <v>1353.4</v>
      </c>
      <c r="G119" s="38">
        <f t="shared" si="105"/>
        <v>1614.36</v>
      </c>
      <c r="H119" s="38">
        <f t="shared" si="105"/>
        <v>1888.76</v>
      </c>
      <c r="I119" s="38">
        <f t="shared" si="105"/>
        <v>2156.44</v>
      </c>
      <c r="J119" s="38">
        <f t="shared" si="105"/>
        <v>2424.12</v>
      </c>
      <c r="K119" s="39">
        <f t="shared" si="105"/>
        <v>2691.8</v>
      </c>
      <c r="L119" s="2"/>
      <c r="M119" s="2"/>
      <c r="N119" s="2"/>
      <c r="O119" s="2"/>
      <c r="P119" s="2"/>
      <c r="Q119" s="2"/>
      <c r="R119" s="2"/>
    </row>
    <row r="120" ht="15.75" customHeight="1">
      <c r="A120" s="40" t="s">
        <v>37</v>
      </c>
      <c r="B120" s="16">
        <f t="shared" si="84"/>
        <v>275.18</v>
      </c>
      <c r="C120" s="22">
        <f t="shared" ref="C120:K120" si="106">((C63-15)*1.4)+15</f>
        <v>550.36</v>
      </c>
      <c r="D120" s="38">
        <f t="shared" si="106"/>
        <v>814.68</v>
      </c>
      <c r="E120" s="38">
        <f t="shared" si="106"/>
        <v>1085.72</v>
      </c>
      <c r="F120" s="38">
        <f t="shared" si="106"/>
        <v>1353.4</v>
      </c>
      <c r="G120" s="38">
        <f t="shared" si="106"/>
        <v>1614.36</v>
      </c>
      <c r="H120" s="38">
        <f t="shared" si="106"/>
        <v>1888.76</v>
      </c>
      <c r="I120" s="38">
        <f t="shared" si="106"/>
        <v>2156.44</v>
      </c>
      <c r="J120" s="38">
        <f t="shared" si="106"/>
        <v>2424.12</v>
      </c>
      <c r="K120" s="39">
        <f t="shared" si="106"/>
        <v>2691.8</v>
      </c>
      <c r="L120" s="2"/>
      <c r="M120" s="2"/>
      <c r="N120" s="2"/>
      <c r="O120" s="2"/>
      <c r="P120" s="2"/>
      <c r="Q120" s="2"/>
      <c r="R120" s="2"/>
    </row>
    <row r="121" ht="15.75" customHeight="1">
      <c r="A121" s="40" t="s">
        <v>38</v>
      </c>
      <c r="B121" s="16">
        <f t="shared" si="84"/>
        <v>275.18</v>
      </c>
      <c r="C121" s="22">
        <f t="shared" ref="C121:K121" si="107">((C64-15)*1.4)+15</f>
        <v>550.36</v>
      </c>
      <c r="D121" s="38">
        <f t="shared" si="107"/>
        <v>814.68</v>
      </c>
      <c r="E121" s="38">
        <f t="shared" si="107"/>
        <v>1085.72</v>
      </c>
      <c r="F121" s="38">
        <f t="shared" si="107"/>
        <v>1353.4</v>
      </c>
      <c r="G121" s="38">
        <f t="shared" si="107"/>
        <v>1614.36</v>
      </c>
      <c r="H121" s="38">
        <f t="shared" si="107"/>
        <v>1888.76</v>
      </c>
      <c r="I121" s="38">
        <f t="shared" si="107"/>
        <v>2156.44</v>
      </c>
      <c r="J121" s="38">
        <f t="shared" si="107"/>
        <v>2424.12</v>
      </c>
      <c r="K121" s="39">
        <f t="shared" si="107"/>
        <v>2691.8</v>
      </c>
      <c r="L121" s="2"/>
      <c r="M121" s="2"/>
      <c r="N121" s="2"/>
      <c r="O121" s="2"/>
      <c r="P121" s="2"/>
      <c r="Q121" s="2"/>
      <c r="R121" s="2"/>
    </row>
    <row r="122" ht="15.75" customHeight="1">
      <c r="A122" s="40">
        <v>8.0</v>
      </c>
      <c r="B122" s="16">
        <f t="shared" si="84"/>
        <v>287.5</v>
      </c>
      <c r="C122" s="22">
        <f t="shared" ref="C122:K122" si="108">((C65-15)*1.4)+15</f>
        <v>575</v>
      </c>
      <c r="D122" s="38">
        <f t="shared" si="108"/>
        <v>850.52</v>
      </c>
      <c r="E122" s="38">
        <f t="shared" si="108"/>
        <v>1135</v>
      </c>
      <c r="F122" s="38">
        <f t="shared" si="108"/>
        <v>1415</v>
      </c>
      <c r="G122" s="38">
        <f t="shared" si="108"/>
        <v>1686.04</v>
      </c>
      <c r="H122" s="38">
        <f t="shared" si="108"/>
        <v>1975</v>
      </c>
      <c r="I122" s="38">
        <f t="shared" si="108"/>
        <v>2255</v>
      </c>
      <c r="J122" s="38">
        <f t="shared" si="108"/>
        <v>2535</v>
      </c>
      <c r="K122" s="39">
        <f t="shared" si="108"/>
        <v>2815</v>
      </c>
      <c r="L122" s="2"/>
      <c r="M122" s="2"/>
      <c r="N122" s="2"/>
      <c r="O122" s="2"/>
      <c r="P122" s="2"/>
      <c r="Q122" s="2"/>
      <c r="R122" s="2"/>
    </row>
    <row r="123" ht="15.75" customHeight="1">
      <c r="A123" s="40" t="s">
        <v>39</v>
      </c>
      <c r="B123" s="16">
        <f t="shared" si="84"/>
        <v>287.5</v>
      </c>
      <c r="C123" s="22">
        <f t="shared" ref="C123:K123" si="109">((C66-15)*1.4)+15</f>
        <v>575</v>
      </c>
      <c r="D123" s="38">
        <f t="shared" si="109"/>
        <v>850.52</v>
      </c>
      <c r="E123" s="38">
        <f t="shared" si="109"/>
        <v>1135</v>
      </c>
      <c r="F123" s="38">
        <f t="shared" si="109"/>
        <v>1415</v>
      </c>
      <c r="G123" s="38">
        <f t="shared" si="109"/>
        <v>1686.04</v>
      </c>
      <c r="H123" s="38">
        <f t="shared" si="109"/>
        <v>1975</v>
      </c>
      <c r="I123" s="38">
        <f t="shared" si="109"/>
        <v>2255</v>
      </c>
      <c r="J123" s="38">
        <f t="shared" si="109"/>
        <v>2535</v>
      </c>
      <c r="K123" s="39">
        <f t="shared" si="109"/>
        <v>2815</v>
      </c>
      <c r="L123" s="2"/>
      <c r="M123" s="2"/>
      <c r="N123" s="2"/>
      <c r="O123" s="2"/>
      <c r="P123" s="2"/>
      <c r="Q123" s="2"/>
      <c r="R123" s="2"/>
    </row>
    <row r="124" ht="15.75" customHeight="1">
      <c r="A124" s="40" t="s">
        <v>40</v>
      </c>
      <c r="B124" s="16">
        <f t="shared" si="84"/>
        <v>287.5</v>
      </c>
      <c r="C124" s="22">
        <f t="shared" ref="C124:K124" si="110">((C67-15)*1.4)+15</f>
        <v>575</v>
      </c>
      <c r="D124" s="38">
        <f t="shared" si="110"/>
        <v>850.52</v>
      </c>
      <c r="E124" s="38">
        <f t="shared" si="110"/>
        <v>1135</v>
      </c>
      <c r="F124" s="38">
        <f t="shared" si="110"/>
        <v>1415</v>
      </c>
      <c r="G124" s="38">
        <f t="shared" si="110"/>
        <v>1686.04</v>
      </c>
      <c r="H124" s="38">
        <f t="shared" si="110"/>
        <v>1975</v>
      </c>
      <c r="I124" s="38">
        <f t="shared" si="110"/>
        <v>2255</v>
      </c>
      <c r="J124" s="38">
        <f t="shared" si="110"/>
        <v>2535</v>
      </c>
      <c r="K124" s="39">
        <f t="shared" si="110"/>
        <v>2815</v>
      </c>
      <c r="L124" s="2"/>
      <c r="M124" s="2"/>
      <c r="N124" s="2"/>
      <c r="O124" s="2"/>
      <c r="P124" s="2"/>
      <c r="Q124" s="2"/>
      <c r="R124" s="2"/>
    </row>
    <row r="125" ht="15.75" customHeight="1">
      <c r="A125" s="40" t="s">
        <v>41</v>
      </c>
      <c r="B125" s="16">
        <f t="shared" si="84"/>
        <v>287.5</v>
      </c>
      <c r="C125" s="22">
        <f t="shared" ref="C125:K125" si="111">((C68-15)*1.4)+15</f>
        <v>575</v>
      </c>
      <c r="D125" s="38">
        <f t="shared" si="111"/>
        <v>850.52</v>
      </c>
      <c r="E125" s="38">
        <f t="shared" si="111"/>
        <v>1135</v>
      </c>
      <c r="F125" s="38">
        <f t="shared" si="111"/>
        <v>1415</v>
      </c>
      <c r="G125" s="38">
        <f t="shared" si="111"/>
        <v>1686.04</v>
      </c>
      <c r="H125" s="38">
        <f t="shared" si="111"/>
        <v>1975</v>
      </c>
      <c r="I125" s="38">
        <f t="shared" si="111"/>
        <v>2255</v>
      </c>
      <c r="J125" s="38">
        <f t="shared" si="111"/>
        <v>2535</v>
      </c>
      <c r="K125" s="39">
        <f t="shared" si="111"/>
        <v>2815</v>
      </c>
      <c r="L125" s="2"/>
      <c r="M125" s="2"/>
      <c r="N125" s="2"/>
      <c r="O125" s="2"/>
      <c r="P125" s="2"/>
      <c r="Q125" s="2"/>
      <c r="R125" s="2"/>
    </row>
    <row r="126" ht="15.75" customHeight="1">
      <c r="A126" s="40">
        <v>9.0</v>
      </c>
      <c r="B126" s="16">
        <f t="shared" si="84"/>
        <v>298.7</v>
      </c>
      <c r="C126" s="22">
        <f t="shared" ref="C126:K126" si="112">((C69-15)*1.4)+15</f>
        <v>597.4</v>
      </c>
      <c r="D126" s="38">
        <f t="shared" si="112"/>
        <v>884.12</v>
      </c>
      <c r="E126" s="38">
        <f t="shared" si="112"/>
        <v>1179.8</v>
      </c>
      <c r="F126" s="38">
        <f t="shared" si="112"/>
        <v>1471</v>
      </c>
      <c r="G126" s="38">
        <f t="shared" si="112"/>
        <v>1753.24</v>
      </c>
      <c r="H126" s="38">
        <f t="shared" si="112"/>
        <v>2053.4</v>
      </c>
      <c r="I126" s="38">
        <f t="shared" si="112"/>
        <v>2344.6</v>
      </c>
      <c r="J126" s="38">
        <f t="shared" si="112"/>
        <v>2635.8</v>
      </c>
      <c r="K126" s="39">
        <f t="shared" si="112"/>
        <v>2927</v>
      </c>
      <c r="L126" s="2"/>
      <c r="M126" s="2"/>
      <c r="N126" s="2"/>
      <c r="O126" s="2"/>
      <c r="P126" s="2"/>
      <c r="Q126" s="2"/>
      <c r="R126" s="2"/>
    </row>
    <row r="127" ht="15.75" customHeight="1">
      <c r="A127" s="40" t="s">
        <v>42</v>
      </c>
      <c r="B127" s="16">
        <f t="shared" si="84"/>
        <v>298.7</v>
      </c>
      <c r="C127" s="22">
        <f t="shared" ref="C127:K127" si="113">((C70-15)*1.4)+15</f>
        <v>597.4</v>
      </c>
      <c r="D127" s="38">
        <f t="shared" si="113"/>
        <v>884.12</v>
      </c>
      <c r="E127" s="38">
        <f t="shared" si="113"/>
        <v>1179.8</v>
      </c>
      <c r="F127" s="38">
        <f t="shared" si="113"/>
        <v>1471</v>
      </c>
      <c r="G127" s="38">
        <f t="shared" si="113"/>
        <v>1753.24</v>
      </c>
      <c r="H127" s="38">
        <f t="shared" si="113"/>
        <v>2053.4</v>
      </c>
      <c r="I127" s="38">
        <f t="shared" si="113"/>
        <v>2344.6</v>
      </c>
      <c r="J127" s="38">
        <f t="shared" si="113"/>
        <v>2635.8</v>
      </c>
      <c r="K127" s="39">
        <f t="shared" si="113"/>
        <v>2927</v>
      </c>
      <c r="L127" s="2"/>
      <c r="M127" s="2"/>
      <c r="N127" s="2"/>
      <c r="O127" s="2"/>
      <c r="P127" s="2"/>
      <c r="Q127" s="2"/>
      <c r="R127" s="2"/>
    </row>
    <row r="128" ht="15.75" customHeight="1">
      <c r="A128" s="40" t="s">
        <v>43</v>
      </c>
      <c r="B128" s="16">
        <f t="shared" si="84"/>
        <v>298.7</v>
      </c>
      <c r="C128" s="22">
        <f t="shared" ref="C128:K128" si="114">((C71-15)*1.4)+15</f>
        <v>597.4</v>
      </c>
      <c r="D128" s="38">
        <f t="shared" si="114"/>
        <v>884.12</v>
      </c>
      <c r="E128" s="38">
        <f t="shared" si="114"/>
        <v>1179.8</v>
      </c>
      <c r="F128" s="38">
        <f t="shared" si="114"/>
        <v>1471</v>
      </c>
      <c r="G128" s="38">
        <f t="shared" si="114"/>
        <v>1753.24</v>
      </c>
      <c r="H128" s="38">
        <f t="shared" si="114"/>
        <v>2053.4</v>
      </c>
      <c r="I128" s="38">
        <f t="shared" si="114"/>
        <v>2344.6</v>
      </c>
      <c r="J128" s="38">
        <f t="shared" si="114"/>
        <v>2635.8</v>
      </c>
      <c r="K128" s="39">
        <f t="shared" si="114"/>
        <v>2927</v>
      </c>
      <c r="L128" s="2"/>
      <c r="M128" s="2"/>
      <c r="N128" s="2"/>
      <c r="O128" s="2"/>
      <c r="P128" s="2"/>
      <c r="Q128" s="2"/>
      <c r="R128" s="2"/>
    </row>
    <row r="129" ht="15.75" customHeight="1">
      <c r="A129" s="40" t="s">
        <v>44</v>
      </c>
      <c r="B129" s="16">
        <f t="shared" si="84"/>
        <v>298.7</v>
      </c>
      <c r="C129" s="22">
        <f t="shared" ref="C129:K129" si="115">((C72-15)*1.4)+15</f>
        <v>597.4</v>
      </c>
      <c r="D129" s="38">
        <f t="shared" si="115"/>
        <v>884.12</v>
      </c>
      <c r="E129" s="38">
        <f t="shared" si="115"/>
        <v>1179.8</v>
      </c>
      <c r="F129" s="38">
        <f t="shared" si="115"/>
        <v>1471</v>
      </c>
      <c r="G129" s="38">
        <f t="shared" si="115"/>
        <v>1753.24</v>
      </c>
      <c r="H129" s="38">
        <f t="shared" si="115"/>
        <v>2053.4</v>
      </c>
      <c r="I129" s="38">
        <f t="shared" si="115"/>
        <v>2344.6</v>
      </c>
      <c r="J129" s="38">
        <f t="shared" si="115"/>
        <v>2635.8</v>
      </c>
      <c r="K129" s="39">
        <f t="shared" si="115"/>
        <v>2927</v>
      </c>
      <c r="L129" s="2"/>
      <c r="M129" s="2"/>
      <c r="N129" s="2"/>
      <c r="O129" s="2"/>
      <c r="P129" s="2"/>
      <c r="Q129" s="2"/>
      <c r="R129" s="2"/>
    </row>
    <row r="130" ht="15.75" customHeight="1">
      <c r="A130" s="40">
        <v>10.0</v>
      </c>
      <c r="B130" s="16">
        <f t="shared" si="84"/>
        <v>309.9</v>
      </c>
      <c r="C130" s="22">
        <f t="shared" ref="C130:K130" si="116">((C73-15)*1.4)+15</f>
        <v>619.8</v>
      </c>
      <c r="D130" s="38">
        <f t="shared" si="116"/>
        <v>919.96</v>
      </c>
      <c r="E130" s="38">
        <f t="shared" si="116"/>
        <v>1224.6</v>
      </c>
      <c r="F130" s="38">
        <f t="shared" si="116"/>
        <v>1527</v>
      </c>
      <c r="G130" s="38">
        <f t="shared" si="116"/>
        <v>1824.92</v>
      </c>
      <c r="H130" s="38">
        <f t="shared" si="116"/>
        <v>2131.8</v>
      </c>
      <c r="I130" s="38">
        <f t="shared" si="116"/>
        <v>2434.2</v>
      </c>
      <c r="J130" s="38">
        <f t="shared" si="116"/>
        <v>2736.6</v>
      </c>
      <c r="K130" s="39">
        <f t="shared" si="116"/>
        <v>3039</v>
      </c>
      <c r="L130" s="2"/>
      <c r="M130" s="2"/>
      <c r="N130" s="2"/>
      <c r="O130" s="2"/>
      <c r="P130" s="2"/>
      <c r="Q130" s="2"/>
      <c r="R130" s="2"/>
    </row>
    <row r="131" ht="15.75" customHeight="1">
      <c r="A131" s="40" t="s">
        <v>45</v>
      </c>
      <c r="B131" s="16">
        <f t="shared" si="84"/>
        <v>309.9</v>
      </c>
      <c r="C131" s="22">
        <f t="shared" ref="C131:K131" si="117">((C74-15)*1.4)+15</f>
        <v>619.8</v>
      </c>
      <c r="D131" s="38">
        <f t="shared" si="117"/>
        <v>919.96</v>
      </c>
      <c r="E131" s="38">
        <f t="shared" si="117"/>
        <v>1224.6</v>
      </c>
      <c r="F131" s="38">
        <f t="shared" si="117"/>
        <v>1527</v>
      </c>
      <c r="G131" s="38">
        <f t="shared" si="117"/>
        <v>1824.92</v>
      </c>
      <c r="H131" s="38">
        <f t="shared" si="117"/>
        <v>2131.8</v>
      </c>
      <c r="I131" s="38">
        <f t="shared" si="117"/>
        <v>2434.2</v>
      </c>
      <c r="J131" s="38">
        <f t="shared" si="117"/>
        <v>2736.6</v>
      </c>
      <c r="K131" s="39">
        <f t="shared" si="117"/>
        <v>3039</v>
      </c>
      <c r="L131" s="2"/>
      <c r="M131" s="2"/>
      <c r="N131" s="2"/>
      <c r="O131" s="2"/>
      <c r="P131" s="2"/>
      <c r="Q131" s="2"/>
      <c r="R131" s="2"/>
    </row>
    <row r="132" ht="15.75" customHeight="1">
      <c r="A132" s="40" t="s">
        <v>46</v>
      </c>
      <c r="B132" s="16">
        <f t="shared" si="84"/>
        <v>309.9</v>
      </c>
      <c r="C132" s="22">
        <f t="shared" ref="C132:K132" si="118">((C75-15)*1.4)+15</f>
        <v>619.8</v>
      </c>
      <c r="D132" s="38">
        <f t="shared" si="118"/>
        <v>919.96</v>
      </c>
      <c r="E132" s="38">
        <f t="shared" si="118"/>
        <v>1224.6</v>
      </c>
      <c r="F132" s="38">
        <f t="shared" si="118"/>
        <v>1527</v>
      </c>
      <c r="G132" s="38">
        <f t="shared" si="118"/>
        <v>1824.92</v>
      </c>
      <c r="H132" s="38">
        <f t="shared" si="118"/>
        <v>2131.8</v>
      </c>
      <c r="I132" s="38">
        <f t="shared" si="118"/>
        <v>2434.2</v>
      </c>
      <c r="J132" s="38">
        <f t="shared" si="118"/>
        <v>2736.6</v>
      </c>
      <c r="K132" s="39">
        <f t="shared" si="118"/>
        <v>3039</v>
      </c>
      <c r="L132" s="2"/>
      <c r="M132" s="2"/>
      <c r="N132" s="2"/>
      <c r="O132" s="2"/>
      <c r="P132" s="2"/>
      <c r="Q132" s="2"/>
      <c r="R132" s="2"/>
    </row>
    <row r="133" ht="15.75" customHeight="1">
      <c r="A133" s="40" t="s">
        <v>47</v>
      </c>
      <c r="B133" s="16">
        <f t="shared" si="84"/>
        <v>309.9</v>
      </c>
      <c r="C133" s="22">
        <f t="shared" ref="C133:K133" si="119">((C76-15)*1.4)+15</f>
        <v>619.8</v>
      </c>
      <c r="D133" s="38">
        <f t="shared" si="119"/>
        <v>919.96</v>
      </c>
      <c r="E133" s="38">
        <f t="shared" si="119"/>
        <v>1224.6</v>
      </c>
      <c r="F133" s="38">
        <f t="shared" si="119"/>
        <v>1527</v>
      </c>
      <c r="G133" s="38">
        <f t="shared" si="119"/>
        <v>1824.92</v>
      </c>
      <c r="H133" s="38">
        <f t="shared" si="119"/>
        <v>2131.8</v>
      </c>
      <c r="I133" s="38">
        <f t="shared" si="119"/>
        <v>2434.2</v>
      </c>
      <c r="J133" s="38">
        <f t="shared" si="119"/>
        <v>2736.6</v>
      </c>
      <c r="K133" s="39">
        <f t="shared" si="119"/>
        <v>3039</v>
      </c>
      <c r="L133" s="2"/>
      <c r="M133" s="2"/>
      <c r="N133" s="2"/>
      <c r="O133" s="2"/>
      <c r="P133" s="2"/>
      <c r="Q133" s="2"/>
      <c r="R133" s="2"/>
    </row>
    <row r="134" ht="15.75" customHeight="1">
      <c r="A134" s="40">
        <v>11.0</v>
      </c>
      <c r="B134" s="16">
        <f t="shared" si="84"/>
        <v>321.1</v>
      </c>
      <c r="C134" s="22">
        <f t="shared" ref="C134:K134" si="120">((C77-15)*1.4)+15</f>
        <v>642.2</v>
      </c>
      <c r="D134" s="38">
        <f t="shared" si="120"/>
        <v>953.56</v>
      </c>
      <c r="E134" s="38">
        <f t="shared" si="120"/>
        <v>1269.4</v>
      </c>
      <c r="F134" s="38">
        <f t="shared" si="120"/>
        <v>1583</v>
      </c>
      <c r="G134" s="38">
        <f t="shared" si="120"/>
        <v>1892.12</v>
      </c>
      <c r="H134" s="38">
        <f t="shared" si="120"/>
        <v>2210.2</v>
      </c>
      <c r="I134" s="38">
        <f t="shared" si="120"/>
        <v>2523.8</v>
      </c>
      <c r="J134" s="38">
        <f t="shared" si="120"/>
        <v>2837.4</v>
      </c>
      <c r="K134" s="39">
        <f t="shared" si="120"/>
        <v>3151</v>
      </c>
      <c r="L134" s="2"/>
      <c r="M134" s="2"/>
      <c r="N134" s="2"/>
      <c r="O134" s="2"/>
      <c r="P134" s="2"/>
      <c r="Q134" s="2"/>
      <c r="R134" s="2"/>
    </row>
    <row r="135" ht="15.75" customHeight="1">
      <c r="A135" s="40" t="s">
        <v>48</v>
      </c>
      <c r="B135" s="16">
        <f t="shared" si="84"/>
        <v>321.1</v>
      </c>
      <c r="C135" s="22">
        <f t="shared" ref="C135:K135" si="121">((C78-15)*1.4)+15</f>
        <v>642.2</v>
      </c>
      <c r="D135" s="38">
        <f t="shared" si="121"/>
        <v>953.56</v>
      </c>
      <c r="E135" s="38">
        <f t="shared" si="121"/>
        <v>1269.4</v>
      </c>
      <c r="F135" s="38">
        <f t="shared" si="121"/>
        <v>1583</v>
      </c>
      <c r="G135" s="38">
        <f t="shared" si="121"/>
        <v>1892.12</v>
      </c>
      <c r="H135" s="38">
        <f t="shared" si="121"/>
        <v>2210.2</v>
      </c>
      <c r="I135" s="38">
        <f t="shared" si="121"/>
        <v>2523.8</v>
      </c>
      <c r="J135" s="38">
        <f t="shared" si="121"/>
        <v>2837.4</v>
      </c>
      <c r="K135" s="39">
        <f t="shared" si="121"/>
        <v>3151</v>
      </c>
      <c r="L135" s="2"/>
      <c r="M135" s="2"/>
      <c r="N135" s="2"/>
      <c r="O135" s="2"/>
      <c r="P135" s="2"/>
      <c r="Q135" s="2"/>
      <c r="R135" s="2"/>
    </row>
    <row r="136" ht="15.75" customHeight="1">
      <c r="A136" s="40" t="s">
        <v>49</v>
      </c>
      <c r="B136" s="16">
        <f t="shared" si="84"/>
        <v>321.1</v>
      </c>
      <c r="C136" s="22">
        <f t="shared" ref="C136:K136" si="122">((C79-15)*1.4)+15</f>
        <v>642.2</v>
      </c>
      <c r="D136" s="38">
        <f t="shared" si="122"/>
        <v>953.56</v>
      </c>
      <c r="E136" s="38">
        <f t="shared" si="122"/>
        <v>1269.4</v>
      </c>
      <c r="F136" s="38">
        <f t="shared" si="122"/>
        <v>1583</v>
      </c>
      <c r="G136" s="38">
        <f t="shared" si="122"/>
        <v>1892.12</v>
      </c>
      <c r="H136" s="38">
        <f t="shared" si="122"/>
        <v>2210.2</v>
      </c>
      <c r="I136" s="38">
        <f t="shared" si="122"/>
        <v>2523.8</v>
      </c>
      <c r="J136" s="38">
        <f t="shared" si="122"/>
        <v>2837.4</v>
      </c>
      <c r="K136" s="39">
        <f t="shared" si="122"/>
        <v>3151</v>
      </c>
      <c r="L136" s="2"/>
      <c r="M136" s="2"/>
      <c r="N136" s="2"/>
      <c r="O136" s="2"/>
      <c r="P136" s="2"/>
      <c r="Q136" s="2"/>
      <c r="R136" s="2"/>
    </row>
    <row r="137" ht="15.75" customHeight="1">
      <c r="A137" s="40" t="s">
        <v>50</v>
      </c>
      <c r="B137" s="16">
        <f t="shared" si="84"/>
        <v>321.1</v>
      </c>
      <c r="C137" s="22">
        <f t="shared" ref="C137:K137" si="123">((C80-15)*1.4)+15</f>
        <v>642.2</v>
      </c>
      <c r="D137" s="38">
        <f t="shared" si="123"/>
        <v>953.56</v>
      </c>
      <c r="E137" s="38">
        <f t="shared" si="123"/>
        <v>1269.4</v>
      </c>
      <c r="F137" s="38">
        <f t="shared" si="123"/>
        <v>1583</v>
      </c>
      <c r="G137" s="38">
        <f t="shared" si="123"/>
        <v>1892.12</v>
      </c>
      <c r="H137" s="38">
        <f t="shared" si="123"/>
        <v>2210.2</v>
      </c>
      <c r="I137" s="38">
        <f t="shared" si="123"/>
        <v>2523.8</v>
      </c>
      <c r="J137" s="38">
        <f t="shared" si="123"/>
        <v>2837.4</v>
      </c>
      <c r="K137" s="39">
        <f t="shared" si="123"/>
        <v>3151</v>
      </c>
      <c r="L137" s="2"/>
      <c r="M137" s="2"/>
      <c r="N137" s="2"/>
      <c r="O137" s="2"/>
      <c r="P137" s="2"/>
      <c r="Q137" s="2"/>
      <c r="R137" s="2"/>
    </row>
    <row r="138" ht="15.75" customHeight="1">
      <c r="A138" s="40">
        <v>12.0</v>
      </c>
      <c r="B138" s="16">
        <f t="shared" si="84"/>
        <v>333.42</v>
      </c>
      <c r="C138" s="22">
        <f t="shared" ref="C138:K138" si="124">((C81-15)*1.4)+15</f>
        <v>666.84</v>
      </c>
      <c r="D138" s="38">
        <f t="shared" si="124"/>
        <v>987.16</v>
      </c>
      <c r="E138" s="38">
        <f t="shared" si="124"/>
        <v>1318.68</v>
      </c>
      <c r="F138" s="38">
        <f t="shared" si="124"/>
        <v>1644.6</v>
      </c>
      <c r="G138" s="38">
        <f t="shared" si="124"/>
        <v>1959.32</v>
      </c>
      <c r="H138" s="38">
        <f t="shared" si="124"/>
        <v>2296.44</v>
      </c>
      <c r="I138" s="38">
        <f t="shared" si="124"/>
        <v>2622.36</v>
      </c>
      <c r="J138" s="38">
        <f t="shared" si="124"/>
        <v>2948.28</v>
      </c>
      <c r="K138" s="39">
        <f t="shared" si="124"/>
        <v>3274.2</v>
      </c>
      <c r="L138" s="2"/>
      <c r="M138" s="2"/>
      <c r="N138" s="2"/>
      <c r="O138" s="2"/>
      <c r="P138" s="2"/>
      <c r="Q138" s="2"/>
      <c r="R138" s="2"/>
    </row>
    <row r="139" ht="15.75" customHeight="1">
      <c r="A139" s="40" t="s">
        <v>51</v>
      </c>
      <c r="B139" s="16">
        <f t="shared" si="84"/>
        <v>333.42</v>
      </c>
      <c r="C139" s="22">
        <f t="shared" ref="C139:K139" si="125">((C82-15)*1.4)+15</f>
        <v>666.84</v>
      </c>
      <c r="D139" s="38">
        <f t="shared" si="125"/>
        <v>987.16</v>
      </c>
      <c r="E139" s="38">
        <f t="shared" si="125"/>
        <v>1318.68</v>
      </c>
      <c r="F139" s="38">
        <f t="shared" si="125"/>
        <v>1644.6</v>
      </c>
      <c r="G139" s="38">
        <f t="shared" si="125"/>
        <v>1959.32</v>
      </c>
      <c r="H139" s="38">
        <f t="shared" si="125"/>
        <v>2296.44</v>
      </c>
      <c r="I139" s="38">
        <f t="shared" si="125"/>
        <v>2622.36</v>
      </c>
      <c r="J139" s="38">
        <f t="shared" si="125"/>
        <v>2948.28</v>
      </c>
      <c r="K139" s="39">
        <f t="shared" si="125"/>
        <v>3274.2</v>
      </c>
      <c r="L139" s="2"/>
      <c r="M139" s="2"/>
      <c r="N139" s="2"/>
      <c r="O139" s="2"/>
      <c r="P139" s="2"/>
      <c r="Q139" s="2"/>
      <c r="R139" s="2"/>
    </row>
    <row r="140" ht="15.75" customHeight="1">
      <c r="A140" s="40" t="s">
        <v>52</v>
      </c>
      <c r="B140" s="16">
        <f t="shared" si="84"/>
        <v>333.42</v>
      </c>
      <c r="C140" s="22">
        <f t="shared" ref="C140:K140" si="126">((C83-15)*1.4)+15</f>
        <v>666.84</v>
      </c>
      <c r="D140" s="38">
        <f t="shared" si="126"/>
        <v>987.16</v>
      </c>
      <c r="E140" s="38">
        <f t="shared" si="126"/>
        <v>1318.68</v>
      </c>
      <c r="F140" s="38">
        <f t="shared" si="126"/>
        <v>1644.6</v>
      </c>
      <c r="G140" s="38">
        <f t="shared" si="126"/>
        <v>1959.32</v>
      </c>
      <c r="H140" s="38">
        <f t="shared" si="126"/>
        <v>2296.44</v>
      </c>
      <c r="I140" s="38">
        <f t="shared" si="126"/>
        <v>2622.36</v>
      </c>
      <c r="J140" s="38">
        <f t="shared" si="126"/>
        <v>2948.28</v>
      </c>
      <c r="K140" s="39">
        <f t="shared" si="126"/>
        <v>3274.2</v>
      </c>
      <c r="L140" s="2"/>
      <c r="M140" s="2"/>
      <c r="N140" s="2"/>
      <c r="O140" s="2"/>
      <c r="P140" s="2"/>
      <c r="Q140" s="2"/>
      <c r="R140" s="2"/>
    </row>
    <row r="141" ht="15.75" customHeight="1">
      <c r="A141" s="40" t="s">
        <v>53</v>
      </c>
      <c r="B141" s="16">
        <f t="shared" si="84"/>
        <v>333.42</v>
      </c>
      <c r="C141" s="22">
        <f t="shared" ref="C141:K141" si="127">((C84-15)*1.4)+15</f>
        <v>666.84</v>
      </c>
      <c r="D141" s="38">
        <f t="shared" si="127"/>
        <v>987.16</v>
      </c>
      <c r="E141" s="38">
        <f t="shared" si="127"/>
        <v>1318.68</v>
      </c>
      <c r="F141" s="38">
        <f t="shared" si="127"/>
        <v>1644.6</v>
      </c>
      <c r="G141" s="38">
        <f t="shared" si="127"/>
        <v>1959.32</v>
      </c>
      <c r="H141" s="38">
        <f t="shared" si="127"/>
        <v>2296.44</v>
      </c>
      <c r="I141" s="38">
        <f t="shared" si="127"/>
        <v>2622.36</v>
      </c>
      <c r="J141" s="38">
        <f t="shared" si="127"/>
        <v>2948.28</v>
      </c>
      <c r="K141" s="39">
        <f t="shared" si="127"/>
        <v>3274.2</v>
      </c>
      <c r="L141" s="2"/>
      <c r="M141" s="2"/>
      <c r="N141" s="2"/>
      <c r="O141" s="2"/>
      <c r="P141" s="2"/>
      <c r="Q141" s="2"/>
      <c r="R141" s="2"/>
    </row>
    <row r="142" ht="15.75" customHeight="1">
      <c r="A142" s="40">
        <v>13.0</v>
      </c>
      <c r="B142" s="16">
        <f t="shared" si="84"/>
        <v>344.62</v>
      </c>
      <c r="C142" s="22">
        <f t="shared" ref="C142:K142" si="128">((C85-15)*1.4)+15</f>
        <v>689.24</v>
      </c>
      <c r="D142" s="38">
        <f t="shared" si="128"/>
        <v>1023</v>
      </c>
      <c r="E142" s="38">
        <f t="shared" si="128"/>
        <v>1363.48</v>
      </c>
      <c r="F142" s="38">
        <f t="shared" si="128"/>
        <v>1700.6</v>
      </c>
      <c r="G142" s="38">
        <f t="shared" si="128"/>
        <v>2031</v>
      </c>
      <c r="H142" s="38">
        <f t="shared" si="128"/>
        <v>2374.84</v>
      </c>
      <c r="I142" s="38">
        <f t="shared" si="128"/>
        <v>2711.96</v>
      </c>
      <c r="J142" s="38">
        <f t="shared" si="128"/>
        <v>3049.08</v>
      </c>
      <c r="K142" s="39">
        <f t="shared" si="128"/>
        <v>3386.2</v>
      </c>
      <c r="L142" s="2"/>
      <c r="M142" s="2"/>
      <c r="N142" s="2"/>
      <c r="O142" s="2"/>
      <c r="P142" s="2"/>
      <c r="Q142" s="2"/>
      <c r="R142" s="2"/>
    </row>
    <row r="143" ht="15.75" customHeight="1">
      <c r="A143" s="40" t="s">
        <v>54</v>
      </c>
      <c r="B143" s="16">
        <f t="shared" si="84"/>
        <v>344.62</v>
      </c>
      <c r="C143" s="22">
        <f t="shared" ref="C143:K143" si="129">((C86-15)*1.4)+15</f>
        <v>689.24</v>
      </c>
      <c r="D143" s="38">
        <f t="shared" si="129"/>
        <v>1023</v>
      </c>
      <c r="E143" s="38">
        <f t="shared" si="129"/>
        <v>1363.48</v>
      </c>
      <c r="F143" s="38">
        <f t="shared" si="129"/>
        <v>1700.6</v>
      </c>
      <c r="G143" s="38">
        <f t="shared" si="129"/>
        <v>2031</v>
      </c>
      <c r="H143" s="38">
        <f t="shared" si="129"/>
        <v>2374.84</v>
      </c>
      <c r="I143" s="38">
        <f t="shared" si="129"/>
        <v>2711.96</v>
      </c>
      <c r="J143" s="38">
        <f t="shared" si="129"/>
        <v>3049.08</v>
      </c>
      <c r="K143" s="39">
        <f t="shared" si="129"/>
        <v>3386.2</v>
      </c>
      <c r="L143" s="2"/>
      <c r="M143" s="2"/>
      <c r="N143" s="2"/>
      <c r="O143" s="2"/>
      <c r="P143" s="2"/>
      <c r="Q143" s="2"/>
      <c r="R143" s="2"/>
    </row>
    <row r="144" ht="15.75" customHeight="1">
      <c r="A144" s="40" t="s">
        <v>55</v>
      </c>
      <c r="B144" s="16">
        <f t="shared" si="84"/>
        <v>344.62</v>
      </c>
      <c r="C144" s="22">
        <f t="shared" ref="C144:K144" si="130">((C87-15)*1.4)+15</f>
        <v>689.24</v>
      </c>
      <c r="D144" s="38">
        <f t="shared" si="130"/>
        <v>1023</v>
      </c>
      <c r="E144" s="38">
        <f t="shared" si="130"/>
        <v>1363.48</v>
      </c>
      <c r="F144" s="38">
        <f t="shared" si="130"/>
        <v>1700.6</v>
      </c>
      <c r="G144" s="38">
        <f t="shared" si="130"/>
        <v>2031</v>
      </c>
      <c r="H144" s="38">
        <f t="shared" si="130"/>
        <v>2374.84</v>
      </c>
      <c r="I144" s="38">
        <f t="shared" si="130"/>
        <v>2711.96</v>
      </c>
      <c r="J144" s="38">
        <f t="shared" si="130"/>
        <v>3049.08</v>
      </c>
      <c r="K144" s="39">
        <f t="shared" si="130"/>
        <v>3386.2</v>
      </c>
      <c r="L144" s="2"/>
      <c r="M144" s="2"/>
      <c r="N144" s="2"/>
      <c r="O144" s="2"/>
      <c r="P144" s="2"/>
      <c r="Q144" s="2"/>
      <c r="R144" s="2"/>
    </row>
    <row r="145" ht="15.75" customHeight="1">
      <c r="A145" s="40" t="s">
        <v>56</v>
      </c>
      <c r="B145" s="16">
        <f t="shared" si="84"/>
        <v>344.62</v>
      </c>
      <c r="C145" s="22">
        <f t="shared" ref="C145:K145" si="131">((C88-15)*1.4)+15</f>
        <v>689.24</v>
      </c>
      <c r="D145" s="38">
        <f t="shared" si="131"/>
        <v>1023</v>
      </c>
      <c r="E145" s="38">
        <f t="shared" si="131"/>
        <v>1363.48</v>
      </c>
      <c r="F145" s="38">
        <f t="shared" si="131"/>
        <v>1700.6</v>
      </c>
      <c r="G145" s="38">
        <f t="shared" si="131"/>
        <v>2031</v>
      </c>
      <c r="H145" s="38">
        <f t="shared" si="131"/>
        <v>2374.84</v>
      </c>
      <c r="I145" s="38">
        <f t="shared" si="131"/>
        <v>2711.96</v>
      </c>
      <c r="J145" s="38">
        <f t="shared" si="131"/>
        <v>3049.08</v>
      </c>
      <c r="K145" s="39">
        <f t="shared" si="131"/>
        <v>3386.2</v>
      </c>
      <c r="L145" s="2"/>
      <c r="M145" s="2"/>
      <c r="N145" s="2"/>
      <c r="O145" s="2"/>
      <c r="P145" s="2"/>
      <c r="Q145" s="2"/>
      <c r="R145" s="2"/>
    </row>
    <row r="146" ht="15.75" customHeight="1">
      <c r="A146" s="40">
        <v>14.0</v>
      </c>
      <c r="B146" s="16">
        <f t="shared" si="84"/>
        <v>355.82</v>
      </c>
      <c r="C146" s="22">
        <f t="shared" ref="C146:K146" si="132">((C89-15)*1.4)+15</f>
        <v>711.64</v>
      </c>
      <c r="D146" s="38">
        <f t="shared" si="132"/>
        <v>1056.6</v>
      </c>
      <c r="E146" s="38">
        <f t="shared" si="132"/>
        <v>1408.28</v>
      </c>
      <c r="F146" s="38">
        <f t="shared" si="132"/>
        <v>1756.6</v>
      </c>
      <c r="G146" s="38">
        <f t="shared" si="132"/>
        <v>2098.2</v>
      </c>
      <c r="H146" s="38">
        <f t="shared" si="132"/>
        <v>2453.24</v>
      </c>
      <c r="I146" s="38">
        <f t="shared" si="132"/>
        <v>2801.56</v>
      </c>
      <c r="J146" s="38">
        <f t="shared" si="132"/>
        <v>3149.88</v>
      </c>
      <c r="K146" s="39">
        <f t="shared" si="132"/>
        <v>3498.2</v>
      </c>
      <c r="L146" s="2"/>
      <c r="M146" s="2"/>
      <c r="N146" s="2"/>
      <c r="O146" s="2"/>
      <c r="P146" s="2"/>
      <c r="Q146" s="2"/>
      <c r="R146" s="2"/>
    </row>
    <row r="147" ht="15.75" customHeight="1">
      <c r="A147" s="40" t="s">
        <v>57</v>
      </c>
      <c r="B147" s="16">
        <f t="shared" si="84"/>
        <v>355.82</v>
      </c>
      <c r="C147" s="22">
        <f t="shared" ref="C147:K147" si="133">((C90-15)*1.4)+15</f>
        <v>711.64</v>
      </c>
      <c r="D147" s="38">
        <f t="shared" si="133"/>
        <v>1056.6</v>
      </c>
      <c r="E147" s="38">
        <f t="shared" si="133"/>
        <v>1408.28</v>
      </c>
      <c r="F147" s="38">
        <f t="shared" si="133"/>
        <v>1756.6</v>
      </c>
      <c r="G147" s="38">
        <f t="shared" si="133"/>
        <v>2098.2</v>
      </c>
      <c r="H147" s="38">
        <f t="shared" si="133"/>
        <v>2453.24</v>
      </c>
      <c r="I147" s="38">
        <f t="shared" si="133"/>
        <v>2801.56</v>
      </c>
      <c r="J147" s="38">
        <f t="shared" si="133"/>
        <v>3149.88</v>
      </c>
      <c r="K147" s="39">
        <f t="shared" si="133"/>
        <v>3498.2</v>
      </c>
      <c r="L147" s="2"/>
      <c r="M147" s="2"/>
      <c r="N147" s="2"/>
      <c r="O147" s="2"/>
      <c r="P147" s="2"/>
      <c r="Q147" s="2"/>
      <c r="R147" s="2"/>
    </row>
    <row r="148" ht="15.75" customHeight="1">
      <c r="A148" s="40" t="s">
        <v>58</v>
      </c>
      <c r="B148" s="16">
        <f t="shared" si="84"/>
        <v>355.82</v>
      </c>
      <c r="C148" s="22">
        <f t="shared" ref="C148:K148" si="134">((C91-15)*1.4)+15</f>
        <v>711.64</v>
      </c>
      <c r="D148" s="38">
        <f t="shared" si="134"/>
        <v>1056.6</v>
      </c>
      <c r="E148" s="38">
        <f t="shared" si="134"/>
        <v>1408.28</v>
      </c>
      <c r="F148" s="38">
        <f t="shared" si="134"/>
        <v>1756.6</v>
      </c>
      <c r="G148" s="38">
        <f t="shared" si="134"/>
        <v>2098.2</v>
      </c>
      <c r="H148" s="38">
        <f t="shared" si="134"/>
        <v>2453.24</v>
      </c>
      <c r="I148" s="38">
        <f t="shared" si="134"/>
        <v>2801.56</v>
      </c>
      <c r="J148" s="38">
        <f t="shared" si="134"/>
        <v>3149.88</v>
      </c>
      <c r="K148" s="39">
        <f t="shared" si="134"/>
        <v>3498.2</v>
      </c>
      <c r="L148" s="2"/>
      <c r="M148" s="2"/>
      <c r="N148" s="2"/>
      <c r="O148" s="2"/>
      <c r="P148" s="2"/>
      <c r="Q148" s="2"/>
      <c r="R148" s="2"/>
    </row>
    <row r="149" ht="15.75" customHeight="1">
      <c r="A149" s="41" t="s">
        <v>59</v>
      </c>
      <c r="B149" s="16">
        <f t="shared" si="84"/>
        <v>355.82</v>
      </c>
      <c r="C149" s="22">
        <f t="shared" ref="C149:K149" si="135">((C92-15)*1.4)+15</f>
        <v>711.64</v>
      </c>
      <c r="D149" s="38">
        <f t="shared" si="135"/>
        <v>1056.6</v>
      </c>
      <c r="E149" s="38">
        <f t="shared" si="135"/>
        <v>1408.28</v>
      </c>
      <c r="F149" s="38">
        <f t="shared" si="135"/>
        <v>1756.6</v>
      </c>
      <c r="G149" s="38">
        <f t="shared" si="135"/>
        <v>2098.2</v>
      </c>
      <c r="H149" s="38">
        <f t="shared" si="135"/>
        <v>2453.24</v>
      </c>
      <c r="I149" s="38">
        <f t="shared" si="135"/>
        <v>2801.56</v>
      </c>
      <c r="J149" s="38">
        <f t="shared" si="135"/>
        <v>3149.88</v>
      </c>
      <c r="K149" s="39">
        <f t="shared" si="135"/>
        <v>3498.2</v>
      </c>
      <c r="L149" s="2"/>
      <c r="M149" s="2"/>
      <c r="N149" s="2"/>
      <c r="O149" s="2"/>
      <c r="P149" s="2"/>
      <c r="Q149" s="2"/>
      <c r="R149" s="2"/>
    </row>
    <row r="150" ht="15.75" customHeight="1">
      <c r="A150" s="42">
        <v>15.0</v>
      </c>
      <c r="B150" s="43"/>
      <c r="C150" s="44">
        <v>360.0</v>
      </c>
      <c r="D150" s="45">
        <v>535.0</v>
      </c>
      <c r="E150" s="45">
        <v>703.0</v>
      </c>
      <c r="F150" s="45">
        <v>876.0</v>
      </c>
      <c r="G150" s="45">
        <v>1050.0</v>
      </c>
      <c r="H150" s="45">
        <v>1225.0</v>
      </c>
      <c r="I150" s="45">
        <v>1390.0</v>
      </c>
      <c r="J150" s="46"/>
      <c r="K150" s="47"/>
      <c r="L150" s="2"/>
      <c r="M150" s="2"/>
      <c r="N150" s="2"/>
      <c r="O150" s="2"/>
      <c r="P150" s="2"/>
      <c r="Q150" s="2"/>
      <c r="R150" s="2"/>
    </row>
    <row r="151" ht="15.75" customHeight="1">
      <c r="A151" s="3"/>
      <c r="B151" s="3"/>
      <c r="C151" s="3"/>
      <c r="D151" s="3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9" t="s">
        <v>62</v>
      </c>
      <c r="L152" s="2"/>
      <c r="M152" s="2"/>
      <c r="N152" s="2"/>
      <c r="O152" s="2"/>
      <c r="P152" s="2"/>
      <c r="Q152" s="2"/>
      <c r="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10" t="s">
        <v>15</v>
      </c>
      <c r="B154" s="11" t="s">
        <v>2</v>
      </c>
      <c r="C154" s="11" t="s">
        <v>3</v>
      </c>
      <c r="D154" s="12" t="s">
        <v>4</v>
      </c>
      <c r="E154" s="12" t="s">
        <v>5</v>
      </c>
      <c r="F154" s="12" t="s">
        <v>6</v>
      </c>
      <c r="G154" s="12" t="s">
        <v>7</v>
      </c>
      <c r="H154" s="12" t="s">
        <v>8</v>
      </c>
      <c r="I154" s="12" t="s">
        <v>9</v>
      </c>
      <c r="J154" s="12" t="s">
        <v>16</v>
      </c>
      <c r="K154" s="12" t="s">
        <v>11</v>
      </c>
      <c r="L154" s="2"/>
      <c r="M154" s="2"/>
      <c r="N154" s="2"/>
      <c r="O154" s="2"/>
      <c r="P154" s="2"/>
      <c r="Q154" s="2"/>
      <c r="R154" s="2"/>
    </row>
    <row r="155" ht="15.75" customHeight="1">
      <c r="A155" s="16">
        <v>2.0</v>
      </c>
      <c r="B155" s="16">
        <f t="shared" ref="B155:B207" si="138">C155/2</f>
        <v>222.2712</v>
      </c>
      <c r="C155" s="17">
        <f t="shared" ref="C155:D155" si="136">((C98-15)*1.7)+15</f>
        <v>444.5424</v>
      </c>
      <c r="D155" s="35">
        <f t="shared" si="136"/>
        <v>654.744</v>
      </c>
      <c r="E155" s="48">
        <v>422.0</v>
      </c>
      <c r="F155" s="35">
        <f>((F98-15)*1.7)+15</f>
        <v>1097.9952</v>
      </c>
      <c r="G155" s="48">
        <v>632.0</v>
      </c>
      <c r="H155" s="35">
        <f t="shared" ref="H155:K155" si="137">((H98-15)*1.7)+15</f>
        <v>1509.2592</v>
      </c>
      <c r="I155" s="35">
        <f t="shared" si="137"/>
        <v>1733.1696</v>
      </c>
      <c r="J155" s="35">
        <f t="shared" si="137"/>
        <v>1947.9408</v>
      </c>
      <c r="K155" s="36">
        <f t="shared" si="137"/>
        <v>2153.5728</v>
      </c>
      <c r="L155" s="2"/>
      <c r="M155" s="2"/>
      <c r="N155" s="2"/>
      <c r="O155" s="2"/>
      <c r="P155" s="2"/>
      <c r="Q155" s="2"/>
      <c r="R155" s="2"/>
    </row>
    <row r="156" ht="15.75" customHeight="1">
      <c r="A156" s="37" t="s">
        <v>21</v>
      </c>
      <c r="B156" s="16">
        <f t="shared" si="138"/>
        <v>275.964</v>
      </c>
      <c r="C156" s="22">
        <f t="shared" ref="C156:K156" si="139">((C99-15)*1.7)+15</f>
        <v>551.928</v>
      </c>
      <c r="D156" s="38">
        <f t="shared" si="139"/>
        <v>814.68</v>
      </c>
      <c r="E156" s="38">
        <f t="shared" si="139"/>
        <v>1088.856</v>
      </c>
      <c r="F156" s="38">
        <f t="shared" si="139"/>
        <v>1368.744</v>
      </c>
      <c r="G156" s="38">
        <f t="shared" si="139"/>
        <v>1620.072</v>
      </c>
      <c r="H156" s="38">
        <f t="shared" si="139"/>
        <v>1882.824</v>
      </c>
      <c r="I156" s="38">
        <f t="shared" si="139"/>
        <v>2162.712</v>
      </c>
      <c r="J156" s="38">
        <f t="shared" si="139"/>
        <v>2431.176</v>
      </c>
      <c r="K156" s="39">
        <f t="shared" si="139"/>
        <v>2688.216</v>
      </c>
      <c r="L156" s="2"/>
      <c r="M156" s="2"/>
      <c r="N156" s="2"/>
      <c r="O156" s="2"/>
      <c r="P156" s="2"/>
      <c r="Q156" s="2"/>
      <c r="R156" s="2"/>
    </row>
    <row r="157" ht="15.75" customHeight="1">
      <c r="A157" s="37" t="s">
        <v>22</v>
      </c>
      <c r="B157" s="16">
        <f t="shared" si="138"/>
        <v>275.964</v>
      </c>
      <c r="C157" s="22">
        <f t="shared" ref="C157:K157" si="140">((C100-15)*1.7)+15</f>
        <v>551.928</v>
      </c>
      <c r="D157" s="38">
        <f t="shared" si="140"/>
        <v>814.68</v>
      </c>
      <c r="E157" s="38">
        <f t="shared" si="140"/>
        <v>1088.856</v>
      </c>
      <c r="F157" s="38">
        <f t="shared" si="140"/>
        <v>1368.744</v>
      </c>
      <c r="G157" s="38">
        <f t="shared" si="140"/>
        <v>1620.072</v>
      </c>
      <c r="H157" s="38">
        <f t="shared" si="140"/>
        <v>1882.824</v>
      </c>
      <c r="I157" s="38">
        <f t="shared" si="140"/>
        <v>2162.712</v>
      </c>
      <c r="J157" s="38">
        <f t="shared" si="140"/>
        <v>2431.176</v>
      </c>
      <c r="K157" s="39">
        <f t="shared" si="140"/>
        <v>2688.216</v>
      </c>
      <c r="L157" s="2"/>
      <c r="M157" s="2"/>
      <c r="N157" s="2"/>
      <c r="O157" s="2"/>
      <c r="P157" s="2"/>
      <c r="Q157" s="2"/>
      <c r="R157" s="2"/>
    </row>
    <row r="158" ht="15.75" customHeight="1">
      <c r="A158" s="37" t="s">
        <v>23</v>
      </c>
      <c r="B158" s="16">
        <f t="shared" si="138"/>
        <v>275.964</v>
      </c>
      <c r="C158" s="22">
        <f t="shared" ref="C158:K158" si="141">((C101-15)*1.7)+15</f>
        <v>551.928</v>
      </c>
      <c r="D158" s="38">
        <f t="shared" si="141"/>
        <v>814.68</v>
      </c>
      <c r="E158" s="38">
        <f t="shared" si="141"/>
        <v>1088.856</v>
      </c>
      <c r="F158" s="38">
        <f t="shared" si="141"/>
        <v>1368.744</v>
      </c>
      <c r="G158" s="38">
        <f t="shared" si="141"/>
        <v>1620.072</v>
      </c>
      <c r="H158" s="38">
        <f t="shared" si="141"/>
        <v>1882.824</v>
      </c>
      <c r="I158" s="38">
        <f t="shared" si="141"/>
        <v>2162.712</v>
      </c>
      <c r="J158" s="38">
        <f t="shared" si="141"/>
        <v>2431.176</v>
      </c>
      <c r="K158" s="39">
        <f t="shared" si="141"/>
        <v>2688.216</v>
      </c>
      <c r="L158" s="2"/>
      <c r="M158" s="2"/>
      <c r="N158" s="2"/>
      <c r="O158" s="2"/>
      <c r="P158" s="2"/>
      <c r="Q158" s="2"/>
      <c r="R158" s="2"/>
    </row>
    <row r="159" ht="15.75" customHeight="1">
      <c r="A159" s="40">
        <v>3.0</v>
      </c>
      <c r="B159" s="16">
        <f t="shared" si="138"/>
        <v>290.244</v>
      </c>
      <c r="C159" s="22">
        <f t="shared" ref="C159:K159" si="142">((C102-15)*1.7)+15</f>
        <v>580.488</v>
      </c>
      <c r="D159" s="38">
        <f t="shared" si="142"/>
        <v>860.376</v>
      </c>
      <c r="E159" s="38">
        <f t="shared" si="142"/>
        <v>1145.976</v>
      </c>
      <c r="F159" s="38">
        <f t="shared" si="142"/>
        <v>1428.72</v>
      </c>
      <c r="G159" s="38">
        <f t="shared" si="142"/>
        <v>1705.752</v>
      </c>
      <c r="H159" s="38">
        <f t="shared" si="142"/>
        <v>1994.208</v>
      </c>
      <c r="I159" s="38">
        <f t="shared" si="142"/>
        <v>2276.952</v>
      </c>
      <c r="J159" s="38">
        <f t="shared" si="142"/>
        <v>2559.696</v>
      </c>
      <c r="K159" s="39">
        <f t="shared" si="142"/>
        <v>2842.44</v>
      </c>
      <c r="L159" s="2"/>
      <c r="M159" s="2"/>
      <c r="N159" s="2"/>
      <c r="O159" s="2"/>
      <c r="P159" s="2"/>
      <c r="Q159" s="2"/>
      <c r="R159" s="2"/>
    </row>
    <row r="160" ht="15.75" customHeight="1">
      <c r="A160" s="40" t="s">
        <v>24</v>
      </c>
      <c r="B160" s="16">
        <f t="shared" si="138"/>
        <v>290.244</v>
      </c>
      <c r="C160" s="22">
        <f t="shared" ref="C160:K160" si="143">((C103-15)*1.7)+15</f>
        <v>580.488</v>
      </c>
      <c r="D160" s="38">
        <f t="shared" si="143"/>
        <v>860.376</v>
      </c>
      <c r="E160" s="38">
        <f t="shared" si="143"/>
        <v>1145.976</v>
      </c>
      <c r="F160" s="38">
        <f t="shared" si="143"/>
        <v>1428.72</v>
      </c>
      <c r="G160" s="38">
        <f t="shared" si="143"/>
        <v>1705.752</v>
      </c>
      <c r="H160" s="38">
        <f t="shared" si="143"/>
        <v>1994.208</v>
      </c>
      <c r="I160" s="38">
        <f t="shared" si="143"/>
        <v>2276.952</v>
      </c>
      <c r="J160" s="38">
        <f t="shared" si="143"/>
        <v>2559.696</v>
      </c>
      <c r="K160" s="39">
        <f t="shared" si="143"/>
        <v>2842.44</v>
      </c>
      <c r="L160" s="2"/>
      <c r="M160" s="2"/>
      <c r="N160" s="2"/>
      <c r="O160" s="2"/>
      <c r="P160" s="2"/>
      <c r="Q160" s="2"/>
      <c r="R160" s="2"/>
    </row>
    <row r="161" ht="15.75" customHeight="1">
      <c r="A161" s="40" t="s">
        <v>25</v>
      </c>
      <c r="B161" s="16">
        <f t="shared" si="138"/>
        <v>290.244</v>
      </c>
      <c r="C161" s="22">
        <f t="shared" ref="C161:K161" si="144">((C104-15)*1.7)+15</f>
        <v>580.488</v>
      </c>
      <c r="D161" s="38">
        <f t="shared" si="144"/>
        <v>860.376</v>
      </c>
      <c r="E161" s="38">
        <f t="shared" si="144"/>
        <v>1145.976</v>
      </c>
      <c r="F161" s="38">
        <f t="shared" si="144"/>
        <v>1428.72</v>
      </c>
      <c r="G161" s="38">
        <f t="shared" si="144"/>
        <v>1705.752</v>
      </c>
      <c r="H161" s="38">
        <f t="shared" si="144"/>
        <v>1994.208</v>
      </c>
      <c r="I161" s="38">
        <f t="shared" si="144"/>
        <v>2276.952</v>
      </c>
      <c r="J161" s="38">
        <f t="shared" si="144"/>
        <v>2559.696</v>
      </c>
      <c r="K161" s="39">
        <f t="shared" si="144"/>
        <v>2842.44</v>
      </c>
      <c r="L161" s="2"/>
      <c r="M161" s="2"/>
      <c r="N161" s="2"/>
      <c r="O161" s="2"/>
      <c r="P161" s="2"/>
      <c r="Q161" s="2"/>
      <c r="R161" s="2"/>
    </row>
    <row r="162" ht="15.75" customHeight="1">
      <c r="A162" s="40" t="s">
        <v>26</v>
      </c>
      <c r="B162" s="16">
        <f t="shared" si="138"/>
        <v>290.244</v>
      </c>
      <c r="C162" s="22">
        <f t="shared" ref="C162:K162" si="145">((C105-15)*1.7)+15</f>
        <v>580.488</v>
      </c>
      <c r="D162" s="38">
        <f t="shared" si="145"/>
        <v>860.376</v>
      </c>
      <c r="E162" s="38">
        <f t="shared" si="145"/>
        <v>1145.976</v>
      </c>
      <c r="F162" s="38">
        <f t="shared" si="145"/>
        <v>1428.72</v>
      </c>
      <c r="G162" s="38">
        <f t="shared" si="145"/>
        <v>1705.752</v>
      </c>
      <c r="H162" s="38">
        <f t="shared" si="145"/>
        <v>1994.208</v>
      </c>
      <c r="I162" s="38">
        <f t="shared" si="145"/>
        <v>2276.952</v>
      </c>
      <c r="J162" s="38">
        <f t="shared" si="145"/>
        <v>2559.696</v>
      </c>
      <c r="K162" s="39">
        <f t="shared" si="145"/>
        <v>2842.44</v>
      </c>
      <c r="L162" s="2"/>
      <c r="M162" s="2"/>
      <c r="N162" s="2"/>
      <c r="O162" s="2"/>
      <c r="P162" s="2"/>
      <c r="Q162" s="2"/>
      <c r="R162" s="2"/>
    </row>
    <row r="163" ht="15.75" customHeight="1">
      <c r="A163" s="40">
        <v>4.0</v>
      </c>
      <c r="B163" s="16">
        <f t="shared" si="138"/>
        <v>304.524</v>
      </c>
      <c r="C163" s="22">
        <f t="shared" ref="C163:K163" si="146">((C106-15)*1.7)+15</f>
        <v>609.048</v>
      </c>
      <c r="D163" s="38">
        <f t="shared" si="146"/>
        <v>903.216</v>
      </c>
      <c r="E163" s="38">
        <f t="shared" si="146"/>
        <v>1203.096</v>
      </c>
      <c r="F163" s="38">
        <f t="shared" si="146"/>
        <v>1500.12</v>
      </c>
      <c r="G163" s="38">
        <f t="shared" si="146"/>
        <v>1791.432</v>
      </c>
      <c r="H163" s="38">
        <f t="shared" si="146"/>
        <v>2094.168</v>
      </c>
      <c r="I163" s="38">
        <f t="shared" si="146"/>
        <v>2391.192</v>
      </c>
      <c r="J163" s="38">
        <f t="shared" si="146"/>
        <v>2688.216</v>
      </c>
      <c r="K163" s="39">
        <f t="shared" si="146"/>
        <v>2985.24</v>
      </c>
      <c r="L163" s="2"/>
      <c r="M163" s="2"/>
      <c r="N163" s="2"/>
      <c r="O163" s="2"/>
      <c r="P163" s="2"/>
      <c r="Q163" s="2"/>
      <c r="R163" s="2"/>
    </row>
    <row r="164" ht="15.75" customHeight="1">
      <c r="A164" s="40" t="s">
        <v>27</v>
      </c>
      <c r="B164" s="16">
        <f t="shared" si="138"/>
        <v>304.524</v>
      </c>
      <c r="C164" s="22">
        <f t="shared" ref="C164:K164" si="147">((C107-15)*1.7)+15</f>
        <v>609.048</v>
      </c>
      <c r="D164" s="38">
        <f t="shared" si="147"/>
        <v>903.216</v>
      </c>
      <c r="E164" s="38">
        <f t="shared" si="147"/>
        <v>1203.096</v>
      </c>
      <c r="F164" s="38">
        <f t="shared" si="147"/>
        <v>1500.12</v>
      </c>
      <c r="G164" s="38">
        <f t="shared" si="147"/>
        <v>1791.432</v>
      </c>
      <c r="H164" s="38">
        <f t="shared" si="147"/>
        <v>2094.168</v>
      </c>
      <c r="I164" s="38">
        <f t="shared" si="147"/>
        <v>2391.192</v>
      </c>
      <c r="J164" s="38">
        <f t="shared" si="147"/>
        <v>2688.216</v>
      </c>
      <c r="K164" s="39">
        <f t="shared" si="147"/>
        <v>2985.24</v>
      </c>
      <c r="L164" s="2"/>
      <c r="M164" s="2"/>
      <c r="N164" s="2"/>
      <c r="O164" s="2"/>
      <c r="P164" s="2"/>
      <c r="Q164" s="2"/>
      <c r="R164" s="2"/>
    </row>
    <row r="165" ht="15.75" customHeight="1">
      <c r="A165" s="40" t="s">
        <v>28</v>
      </c>
      <c r="B165" s="16">
        <f t="shared" si="138"/>
        <v>304.524</v>
      </c>
      <c r="C165" s="22">
        <f t="shared" ref="C165:K165" si="148">((C108-15)*1.7)+15</f>
        <v>609.048</v>
      </c>
      <c r="D165" s="38">
        <f t="shared" si="148"/>
        <v>903.216</v>
      </c>
      <c r="E165" s="38">
        <f t="shared" si="148"/>
        <v>1203.096</v>
      </c>
      <c r="F165" s="38">
        <f t="shared" si="148"/>
        <v>1500.12</v>
      </c>
      <c r="G165" s="38">
        <f t="shared" si="148"/>
        <v>1791.432</v>
      </c>
      <c r="H165" s="38">
        <f t="shared" si="148"/>
        <v>2094.168</v>
      </c>
      <c r="I165" s="38">
        <f t="shared" si="148"/>
        <v>2391.192</v>
      </c>
      <c r="J165" s="38">
        <f t="shared" si="148"/>
        <v>2688.216</v>
      </c>
      <c r="K165" s="39">
        <f t="shared" si="148"/>
        <v>2985.24</v>
      </c>
      <c r="L165" s="2"/>
      <c r="M165" s="2"/>
      <c r="N165" s="2"/>
      <c r="O165" s="2"/>
      <c r="P165" s="2"/>
      <c r="Q165" s="2"/>
      <c r="R165" s="2"/>
    </row>
    <row r="166" ht="15.75" customHeight="1">
      <c r="A166" s="40" t="s">
        <v>29</v>
      </c>
      <c r="B166" s="16">
        <f t="shared" si="138"/>
        <v>304.524</v>
      </c>
      <c r="C166" s="22">
        <f t="shared" ref="C166:K166" si="149">((C109-15)*1.7)+15</f>
        <v>609.048</v>
      </c>
      <c r="D166" s="38">
        <f t="shared" si="149"/>
        <v>903.216</v>
      </c>
      <c r="E166" s="38">
        <f t="shared" si="149"/>
        <v>1203.096</v>
      </c>
      <c r="F166" s="38">
        <f t="shared" si="149"/>
        <v>1500.12</v>
      </c>
      <c r="G166" s="38">
        <f t="shared" si="149"/>
        <v>1791.432</v>
      </c>
      <c r="H166" s="38">
        <f t="shared" si="149"/>
        <v>2094.168</v>
      </c>
      <c r="I166" s="38">
        <f t="shared" si="149"/>
        <v>2391.192</v>
      </c>
      <c r="J166" s="38">
        <f t="shared" si="149"/>
        <v>2688.216</v>
      </c>
      <c r="K166" s="39">
        <f t="shared" si="149"/>
        <v>2985.24</v>
      </c>
      <c r="L166" s="2"/>
      <c r="M166" s="2"/>
      <c r="N166" s="2"/>
      <c r="O166" s="2"/>
      <c r="P166" s="2"/>
      <c r="Q166" s="2"/>
      <c r="R166" s="2"/>
    </row>
    <row r="167" ht="15.75" customHeight="1">
      <c r="A167" s="40">
        <v>5.0</v>
      </c>
      <c r="B167" s="16">
        <f t="shared" si="138"/>
        <v>382.7784</v>
      </c>
      <c r="C167" s="22">
        <f t="shared" ref="C167:C206" si="151">((C110-15)*1.7)+15</f>
        <v>765.5568</v>
      </c>
      <c r="D167" s="49">
        <v>553.0</v>
      </c>
      <c r="E167" s="38">
        <f t="shared" ref="E167:K167" si="150">((E110-15)*1.7)+15</f>
        <v>1516.1136</v>
      </c>
      <c r="F167" s="38">
        <f t="shared" si="150"/>
        <v>1891.392</v>
      </c>
      <c r="G167" s="38">
        <f t="shared" si="150"/>
        <v>2256.3888</v>
      </c>
      <c r="H167" s="38">
        <f t="shared" si="150"/>
        <v>2641.9488</v>
      </c>
      <c r="I167" s="38">
        <f t="shared" si="150"/>
        <v>3017.2272</v>
      </c>
      <c r="J167" s="38">
        <f t="shared" si="150"/>
        <v>3392.5056</v>
      </c>
      <c r="K167" s="39">
        <f t="shared" si="150"/>
        <v>3767.784</v>
      </c>
      <c r="L167" s="2"/>
      <c r="M167" s="2"/>
      <c r="N167" s="2"/>
      <c r="O167" s="2"/>
      <c r="P167" s="2"/>
      <c r="Q167" s="2"/>
      <c r="R167" s="2"/>
    </row>
    <row r="168" ht="15.75" customHeight="1">
      <c r="A168" s="40" t="s">
        <v>30</v>
      </c>
      <c r="B168" s="16">
        <f t="shared" si="138"/>
        <v>382.7784</v>
      </c>
      <c r="C168" s="22">
        <f t="shared" si="151"/>
        <v>765.5568</v>
      </c>
      <c r="D168" s="38">
        <f t="shared" ref="D168:K168" si="152">((D111-15)*1.7)+15</f>
        <v>1135.6944</v>
      </c>
      <c r="E168" s="38">
        <f t="shared" si="152"/>
        <v>1516.1136</v>
      </c>
      <c r="F168" s="38">
        <f t="shared" si="152"/>
        <v>1891.392</v>
      </c>
      <c r="G168" s="38">
        <f t="shared" si="152"/>
        <v>2256.3888</v>
      </c>
      <c r="H168" s="38">
        <f t="shared" si="152"/>
        <v>2641.9488</v>
      </c>
      <c r="I168" s="38">
        <f t="shared" si="152"/>
        <v>3017.2272</v>
      </c>
      <c r="J168" s="38">
        <f t="shared" si="152"/>
        <v>3392.5056</v>
      </c>
      <c r="K168" s="39">
        <f t="shared" si="152"/>
        <v>3767.784</v>
      </c>
      <c r="L168" s="2"/>
      <c r="M168" s="2"/>
      <c r="N168" s="2"/>
      <c r="O168" s="2"/>
      <c r="P168" s="2"/>
      <c r="Q168" s="2"/>
      <c r="R168" s="2"/>
    </row>
    <row r="169" ht="15.75" customHeight="1">
      <c r="A169" s="40" t="s">
        <v>31</v>
      </c>
      <c r="B169" s="16">
        <f t="shared" si="138"/>
        <v>382.7784</v>
      </c>
      <c r="C169" s="22">
        <f t="shared" si="151"/>
        <v>765.5568</v>
      </c>
      <c r="D169" s="38">
        <f t="shared" ref="D169:K169" si="153">((D112-15)*1.7)+15</f>
        <v>1135.6944</v>
      </c>
      <c r="E169" s="38">
        <f t="shared" si="153"/>
        <v>1516.1136</v>
      </c>
      <c r="F169" s="38">
        <f t="shared" si="153"/>
        <v>1891.392</v>
      </c>
      <c r="G169" s="38">
        <f t="shared" si="153"/>
        <v>2256.3888</v>
      </c>
      <c r="H169" s="38">
        <f t="shared" si="153"/>
        <v>2641.9488</v>
      </c>
      <c r="I169" s="38">
        <f t="shared" si="153"/>
        <v>3017.2272</v>
      </c>
      <c r="J169" s="38">
        <f t="shared" si="153"/>
        <v>3392.5056</v>
      </c>
      <c r="K169" s="39">
        <f t="shared" si="153"/>
        <v>3767.784</v>
      </c>
      <c r="L169" s="2"/>
      <c r="M169" s="2"/>
      <c r="N169" s="2"/>
      <c r="O169" s="2"/>
      <c r="P169" s="2"/>
      <c r="Q169" s="2"/>
      <c r="R169" s="2"/>
    </row>
    <row r="170" ht="15.75" customHeight="1">
      <c r="A170" s="40" t="s">
        <v>32</v>
      </c>
      <c r="B170" s="16">
        <f t="shared" si="138"/>
        <v>382.7784</v>
      </c>
      <c r="C170" s="22">
        <f t="shared" si="151"/>
        <v>765.5568</v>
      </c>
      <c r="D170" s="38">
        <f t="shared" ref="D170:K170" si="154">((D113-15)*1.7)+15</f>
        <v>1135.6944</v>
      </c>
      <c r="E170" s="38">
        <f t="shared" si="154"/>
        <v>1516.1136</v>
      </c>
      <c r="F170" s="38">
        <f t="shared" si="154"/>
        <v>1891.392</v>
      </c>
      <c r="G170" s="38">
        <f t="shared" si="154"/>
        <v>2256.3888</v>
      </c>
      <c r="H170" s="38">
        <f t="shared" si="154"/>
        <v>2641.9488</v>
      </c>
      <c r="I170" s="38">
        <f t="shared" si="154"/>
        <v>3017.2272</v>
      </c>
      <c r="J170" s="38">
        <f t="shared" si="154"/>
        <v>3392.5056</v>
      </c>
      <c r="K170" s="39">
        <f t="shared" si="154"/>
        <v>3767.784</v>
      </c>
      <c r="L170" s="2"/>
      <c r="M170" s="2"/>
      <c r="N170" s="2"/>
      <c r="O170" s="2"/>
      <c r="P170" s="2"/>
      <c r="Q170" s="2"/>
      <c r="R170" s="2"/>
    </row>
    <row r="171" ht="15.75" customHeight="1">
      <c r="A171" s="40">
        <v>6.0</v>
      </c>
      <c r="B171" s="16">
        <f t="shared" si="138"/>
        <v>443.516</v>
      </c>
      <c r="C171" s="22">
        <f t="shared" si="151"/>
        <v>887.032</v>
      </c>
      <c r="D171" s="38">
        <f t="shared" ref="D171:K171" si="155">((D114-15)*1.7)+15</f>
        <v>1317.336</v>
      </c>
      <c r="E171" s="38">
        <f t="shared" si="155"/>
        <v>1759.064</v>
      </c>
      <c r="F171" s="38">
        <f t="shared" si="155"/>
        <v>2195.08</v>
      </c>
      <c r="G171" s="38">
        <f t="shared" si="155"/>
        <v>2619.672</v>
      </c>
      <c r="H171" s="38">
        <f t="shared" si="155"/>
        <v>3067.112</v>
      </c>
      <c r="I171" s="38">
        <f t="shared" si="155"/>
        <v>3503.128</v>
      </c>
      <c r="J171" s="38">
        <f t="shared" si="155"/>
        <v>3939.144</v>
      </c>
      <c r="K171" s="39">
        <f t="shared" si="155"/>
        <v>4375.16</v>
      </c>
      <c r="L171" s="2"/>
      <c r="M171" s="2"/>
      <c r="N171" s="2"/>
      <c r="O171" s="2"/>
      <c r="P171" s="2"/>
      <c r="Q171" s="2"/>
      <c r="R171" s="2"/>
    </row>
    <row r="172" ht="15.75" customHeight="1">
      <c r="A172" s="40" t="s">
        <v>33</v>
      </c>
      <c r="B172" s="16">
        <f t="shared" si="138"/>
        <v>443.516</v>
      </c>
      <c r="C172" s="22">
        <f t="shared" si="151"/>
        <v>887.032</v>
      </c>
      <c r="D172" s="38">
        <f t="shared" ref="D172:K172" si="156">((D115-15)*1.7)+15</f>
        <v>1317.336</v>
      </c>
      <c r="E172" s="38">
        <f t="shared" si="156"/>
        <v>1759.064</v>
      </c>
      <c r="F172" s="38">
        <f t="shared" si="156"/>
        <v>2195.08</v>
      </c>
      <c r="G172" s="38">
        <f t="shared" si="156"/>
        <v>2619.672</v>
      </c>
      <c r="H172" s="38">
        <f t="shared" si="156"/>
        <v>3067.112</v>
      </c>
      <c r="I172" s="38">
        <f t="shared" si="156"/>
        <v>3503.128</v>
      </c>
      <c r="J172" s="38">
        <f t="shared" si="156"/>
        <v>3939.144</v>
      </c>
      <c r="K172" s="39">
        <f t="shared" si="156"/>
        <v>4375.16</v>
      </c>
      <c r="L172" s="2"/>
      <c r="M172" s="2"/>
      <c r="N172" s="2"/>
      <c r="O172" s="2"/>
      <c r="P172" s="2"/>
      <c r="Q172" s="2"/>
      <c r="R172" s="2"/>
    </row>
    <row r="173" ht="15.75" customHeight="1">
      <c r="A173" s="40" t="s">
        <v>34</v>
      </c>
      <c r="B173" s="16">
        <f t="shared" si="138"/>
        <v>443.516</v>
      </c>
      <c r="C173" s="22">
        <f t="shared" si="151"/>
        <v>887.032</v>
      </c>
      <c r="D173" s="38">
        <f t="shared" ref="D173:K173" si="157">((D116-15)*1.7)+15</f>
        <v>1317.336</v>
      </c>
      <c r="E173" s="38">
        <f t="shared" si="157"/>
        <v>1759.064</v>
      </c>
      <c r="F173" s="38">
        <f t="shared" si="157"/>
        <v>2195.08</v>
      </c>
      <c r="G173" s="38">
        <f t="shared" si="157"/>
        <v>2619.672</v>
      </c>
      <c r="H173" s="38">
        <f t="shared" si="157"/>
        <v>3067.112</v>
      </c>
      <c r="I173" s="38">
        <f t="shared" si="157"/>
        <v>3503.128</v>
      </c>
      <c r="J173" s="38">
        <f t="shared" si="157"/>
        <v>3939.144</v>
      </c>
      <c r="K173" s="39">
        <f t="shared" si="157"/>
        <v>4375.16</v>
      </c>
      <c r="L173" s="2"/>
      <c r="M173" s="2"/>
      <c r="N173" s="2"/>
      <c r="O173" s="2"/>
      <c r="P173" s="2"/>
      <c r="Q173" s="2"/>
      <c r="R173" s="2"/>
    </row>
    <row r="174" ht="15.75" customHeight="1">
      <c r="A174" s="40" t="s">
        <v>35</v>
      </c>
      <c r="B174" s="16">
        <f t="shared" si="138"/>
        <v>443.516</v>
      </c>
      <c r="C174" s="22">
        <f t="shared" si="151"/>
        <v>887.032</v>
      </c>
      <c r="D174" s="38">
        <f t="shared" ref="D174:K174" si="158">((D117-15)*1.7)+15</f>
        <v>1317.336</v>
      </c>
      <c r="E174" s="38">
        <f t="shared" si="158"/>
        <v>1759.064</v>
      </c>
      <c r="F174" s="38">
        <f t="shared" si="158"/>
        <v>2195.08</v>
      </c>
      <c r="G174" s="38">
        <f t="shared" si="158"/>
        <v>2619.672</v>
      </c>
      <c r="H174" s="38">
        <f t="shared" si="158"/>
        <v>3067.112</v>
      </c>
      <c r="I174" s="38">
        <f t="shared" si="158"/>
        <v>3503.128</v>
      </c>
      <c r="J174" s="38">
        <f t="shared" si="158"/>
        <v>3939.144</v>
      </c>
      <c r="K174" s="39">
        <f t="shared" si="158"/>
        <v>4375.16</v>
      </c>
      <c r="L174" s="2"/>
      <c r="M174" s="2"/>
      <c r="N174" s="2"/>
      <c r="O174" s="2"/>
      <c r="P174" s="2"/>
      <c r="Q174" s="2"/>
      <c r="R174" s="2"/>
    </row>
    <row r="175" ht="15.75" customHeight="1">
      <c r="A175" s="40">
        <v>7.0</v>
      </c>
      <c r="B175" s="16">
        <f t="shared" si="138"/>
        <v>462.556</v>
      </c>
      <c r="C175" s="22">
        <f t="shared" si="151"/>
        <v>925.112</v>
      </c>
      <c r="D175" s="38">
        <f t="shared" ref="D175:K175" si="159">((D118-15)*1.7)+15</f>
        <v>1374.456</v>
      </c>
      <c r="E175" s="38">
        <f t="shared" si="159"/>
        <v>1835.224</v>
      </c>
      <c r="F175" s="38">
        <f t="shared" si="159"/>
        <v>2290.28</v>
      </c>
      <c r="G175" s="38">
        <f t="shared" si="159"/>
        <v>2733.912</v>
      </c>
      <c r="H175" s="38">
        <f t="shared" si="159"/>
        <v>3200.392</v>
      </c>
      <c r="I175" s="38">
        <f t="shared" si="159"/>
        <v>3655.448</v>
      </c>
      <c r="J175" s="38">
        <f t="shared" si="159"/>
        <v>4110.504</v>
      </c>
      <c r="K175" s="39">
        <f t="shared" si="159"/>
        <v>4565.56</v>
      </c>
      <c r="L175" s="2"/>
      <c r="M175" s="2"/>
      <c r="N175" s="2"/>
      <c r="O175" s="2"/>
      <c r="P175" s="2"/>
      <c r="Q175" s="2"/>
      <c r="R175" s="2"/>
    </row>
    <row r="176" ht="15.75" customHeight="1">
      <c r="A176" s="40" t="s">
        <v>36</v>
      </c>
      <c r="B176" s="16">
        <f t="shared" si="138"/>
        <v>462.556</v>
      </c>
      <c r="C176" s="22">
        <f t="shared" si="151"/>
        <v>925.112</v>
      </c>
      <c r="D176" s="38">
        <f t="shared" ref="D176:K176" si="160">((D119-15)*1.7)+15</f>
        <v>1374.456</v>
      </c>
      <c r="E176" s="38">
        <f t="shared" si="160"/>
        <v>1835.224</v>
      </c>
      <c r="F176" s="38">
        <f t="shared" si="160"/>
        <v>2290.28</v>
      </c>
      <c r="G176" s="38">
        <f t="shared" si="160"/>
        <v>2733.912</v>
      </c>
      <c r="H176" s="38">
        <f t="shared" si="160"/>
        <v>3200.392</v>
      </c>
      <c r="I176" s="38">
        <f t="shared" si="160"/>
        <v>3655.448</v>
      </c>
      <c r="J176" s="38">
        <f t="shared" si="160"/>
        <v>4110.504</v>
      </c>
      <c r="K176" s="39">
        <f t="shared" si="160"/>
        <v>4565.56</v>
      </c>
      <c r="L176" s="2"/>
      <c r="M176" s="2"/>
      <c r="N176" s="2"/>
      <c r="O176" s="2"/>
      <c r="P176" s="2"/>
      <c r="Q176" s="2"/>
      <c r="R176" s="2"/>
    </row>
    <row r="177" ht="15.75" customHeight="1">
      <c r="A177" s="40" t="s">
        <v>37</v>
      </c>
      <c r="B177" s="16">
        <f t="shared" si="138"/>
        <v>462.556</v>
      </c>
      <c r="C177" s="22">
        <f t="shared" si="151"/>
        <v>925.112</v>
      </c>
      <c r="D177" s="38">
        <f t="shared" ref="D177:K177" si="161">((D120-15)*1.7)+15</f>
        <v>1374.456</v>
      </c>
      <c r="E177" s="38">
        <f t="shared" si="161"/>
        <v>1835.224</v>
      </c>
      <c r="F177" s="38">
        <f t="shared" si="161"/>
        <v>2290.28</v>
      </c>
      <c r="G177" s="38">
        <f t="shared" si="161"/>
        <v>2733.912</v>
      </c>
      <c r="H177" s="38">
        <f t="shared" si="161"/>
        <v>3200.392</v>
      </c>
      <c r="I177" s="38">
        <f t="shared" si="161"/>
        <v>3655.448</v>
      </c>
      <c r="J177" s="38">
        <f t="shared" si="161"/>
        <v>4110.504</v>
      </c>
      <c r="K177" s="39">
        <f t="shared" si="161"/>
        <v>4565.56</v>
      </c>
      <c r="L177" s="2"/>
      <c r="M177" s="2"/>
      <c r="N177" s="2"/>
      <c r="O177" s="2"/>
      <c r="P177" s="2"/>
      <c r="Q177" s="2"/>
      <c r="R177" s="2"/>
    </row>
    <row r="178" ht="15.75" customHeight="1">
      <c r="A178" s="40" t="s">
        <v>38</v>
      </c>
      <c r="B178" s="16">
        <f t="shared" si="138"/>
        <v>462.556</v>
      </c>
      <c r="C178" s="22">
        <f t="shared" si="151"/>
        <v>925.112</v>
      </c>
      <c r="D178" s="38">
        <f t="shared" ref="D178:K178" si="162">((D121-15)*1.7)+15</f>
        <v>1374.456</v>
      </c>
      <c r="E178" s="38">
        <f t="shared" si="162"/>
        <v>1835.224</v>
      </c>
      <c r="F178" s="38">
        <f t="shared" si="162"/>
        <v>2290.28</v>
      </c>
      <c r="G178" s="38">
        <f t="shared" si="162"/>
        <v>2733.912</v>
      </c>
      <c r="H178" s="38">
        <f t="shared" si="162"/>
        <v>3200.392</v>
      </c>
      <c r="I178" s="38">
        <f t="shared" si="162"/>
        <v>3655.448</v>
      </c>
      <c r="J178" s="38">
        <f t="shared" si="162"/>
        <v>4110.504</v>
      </c>
      <c r="K178" s="39">
        <f t="shared" si="162"/>
        <v>4565.56</v>
      </c>
      <c r="L178" s="2"/>
      <c r="M178" s="2"/>
      <c r="N178" s="2"/>
      <c r="O178" s="2"/>
      <c r="P178" s="2"/>
      <c r="Q178" s="2"/>
      <c r="R178" s="2"/>
    </row>
    <row r="179" ht="15.75" customHeight="1">
      <c r="A179" s="40">
        <v>8.0</v>
      </c>
      <c r="B179" s="16">
        <f t="shared" si="138"/>
        <v>483.5</v>
      </c>
      <c r="C179" s="22">
        <f t="shared" si="151"/>
        <v>967</v>
      </c>
      <c r="D179" s="38">
        <f t="shared" ref="D179:F179" si="163">((D122-15)*1.7)+15</f>
        <v>1435.384</v>
      </c>
      <c r="E179" s="38">
        <f t="shared" si="163"/>
        <v>1919</v>
      </c>
      <c r="F179" s="38">
        <f t="shared" si="163"/>
        <v>2395</v>
      </c>
      <c r="G179" s="49">
        <v>1378.0</v>
      </c>
      <c r="H179" s="38">
        <f t="shared" ref="H179:K179" si="164">((H122-15)*1.7)+15</f>
        <v>3347</v>
      </c>
      <c r="I179" s="38">
        <f t="shared" si="164"/>
        <v>3823</v>
      </c>
      <c r="J179" s="38">
        <f t="shared" si="164"/>
        <v>4299</v>
      </c>
      <c r="K179" s="39">
        <f t="shared" si="164"/>
        <v>4775</v>
      </c>
      <c r="L179" s="2"/>
      <c r="M179" s="2"/>
      <c r="N179" s="2"/>
      <c r="O179" s="2"/>
      <c r="P179" s="2"/>
      <c r="Q179" s="2"/>
      <c r="R179" s="2"/>
    </row>
    <row r="180" ht="15.75" customHeight="1">
      <c r="A180" s="40" t="s">
        <v>39</v>
      </c>
      <c r="B180" s="16">
        <f t="shared" si="138"/>
        <v>483.5</v>
      </c>
      <c r="C180" s="22">
        <f t="shared" si="151"/>
        <v>967</v>
      </c>
      <c r="D180" s="38">
        <f t="shared" ref="D180:K180" si="165">((D123-15)*1.7)+15</f>
        <v>1435.384</v>
      </c>
      <c r="E180" s="38">
        <f t="shared" si="165"/>
        <v>1919</v>
      </c>
      <c r="F180" s="38">
        <f t="shared" si="165"/>
        <v>2395</v>
      </c>
      <c r="G180" s="38">
        <f t="shared" si="165"/>
        <v>2855.768</v>
      </c>
      <c r="H180" s="38">
        <f t="shared" si="165"/>
        <v>3347</v>
      </c>
      <c r="I180" s="38">
        <f t="shared" si="165"/>
        <v>3823</v>
      </c>
      <c r="J180" s="38">
        <f t="shared" si="165"/>
        <v>4299</v>
      </c>
      <c r="K180" s="39">
        <f t="shared" si="165"/>
        <v>4775</v>
      </c>
      <c r="L180" s="2"/>
      <c r="M180" s="2"/>
      <c r="N180" s="2"/>
      <c r="O180" s="2"/>
      <c r="P180" s="2"/>
      <c r="Q180" s="2"/>
      <c r="R180" s="2"/>
    </row>
    <row r="181" ht="15.75" customHeight="1">
      <c r="A181" s="40" t="s">
        <v>40</v>
      </c>
      <c r="B181" s="16">
        <f t="shared" si="138"/>
        <v>483.5</v>
      </c>
      <c r="C181" s="22">
        <f t="shared" si="151"/>
        <v>967</v>
      </c>
      <c r="D181" s="38">
        <f t="shared" ref="D181:K181" si="166">((D124-15)*1.7)+15</f>
        <v>1435.384</v>
      </c>
      <c r="E181" s="38">
        <f t="shared" si="166"/>
        <v>1919</v>
      </c>
      <c r="F181" s="38">
        <f t="shared" si="166"/>
        <v>2395</v>
      </c>
      <c r="G181" s="38">
        <f t="shared" si="166"/>
        <v>2855.768</v>
      </c>
      <c r="H181" s="38">
        <f t="shared" si="166"/>
        <v>3347</v>
      </c>
      <c r="I181" s="38">
        <f t="shared" si="166"/>
        <v>3823</v>
      </c>
      <c r="J181" s="38">
        <f t="shared" si="166"/>
        <v>4299</v>
      </c>
      <c r="K181" s="39">
        <f t="shared" si="166"/>
        <v>4775</v>
      </c>
      <c r="L181" s="2"/>
      <c r="M181" s="2"/>
      <c r="N181" s="2"/>
      <c r="O181" s="2"/>
      <c r="P181" s="2"/>
      <c r="Q181" s="2"/>
      <c r="R181" s="2"/>
    </row>
    <row r="182" ht="15.75" customHeight="1">
      <c r="A182" s="40" t="s">
        <v>41</v>
      </c>
      <c r="B182" s="16">
        <f t="shared" si="138"/>
        <v>483.5</v>
      </c>
      <c r="C182" s="22">
        <f t="shared" si="151"/>
        <v>967</v>
      </c>
      <c r="D182" s="38">
        <f t="shared" ref="D182:K182" si="167">((D125-15)*1.7)+15</f>
        <v>1435.384</v>
      </c>
      <c r="E182" s="38">
        <f t="shared" si="167"/>
        <v>1919</v>
      </c>
      <c r="F182" s="38">
        <f t="shared" si="167"/>
        <v>2395</v>
      </c>
      <c r="G182" s="38">
        <f t="shared" si="167"/>
        <v>2855.768</v>
      </c>
      <c r="H182" s="38">
        <f t="shared" si="167"/>
        <v>3347</v>
      </c>
      <c r="I182" s="38">
        <f t="shared" si="167"/>
        <v>3823</v>
      </c>
      <c r="J182" s="38">
        <f t="shared" si="167"/>
        <v>4299</v>
      </c>
      <c r="K182" s="39">
        <f t="shared" si="167"/>
        <v>4775</v>
      </c>
      <c r="L182" s="2"/>
      <c r="M182" s="2"/>
      <c r="N182" s="2"/>
      <c r="O182" s="2"/>
      <c r="P182" s="2"/>
      <c r="Q182" s="2"/>
      <c r="R182" s="2"/>
    </row>
    <row r="183" ht="15.75" customHeight="1">
      <c r="A183" s="40">
        <v>9.0</v>
      </c>
      <c r="B183" s="16">
        <f t="shared" si="138"/>
        <v>502.54</v>
      </c>
      <c r="C183" s="22">
        <f t="shared" si="151"/>
        <v>1005.08</v>
      </c>
      <c r="D183" s="38">
        <f t="shared" ref="D183:K183" si="168">((D126-15)*1.7)+15</f>
        <v>1492.504</v>
      </c>
      <c r="E183" s="38">
        <f t="shared" si="168"/>
        <v>1995.16</v>
      </c>
      <c r="F183" s="38">
        <f t="shared" si="168"/>
        <v>2490.2</v>
      </c>
      <c r="G183" s="38">
        <f t="shared" si="168"/>
        <v>2970.008</v>
      </c>
      <c r="H183" s="38">
        <f t="shared" si="168"/>
        <v>3480.28</v>
      </c>
      <c r="I183" s="38">
        <f t="shared" si="168"/>
        <v>3975.32</v>
      </c>
      <c r="J183" s="38">
        <f t="shared" si="168"/>
        <v>4470.36</v>
      </c>
      <c r="K183" s="39">
        <f t="shared" si="168"/>
        <v>4965.4</v>
      </c>
      <c r="L183" s="2"/>
      <c r="M183" s="2"/>
      <c r="N183" s="2"/>
      <c r="O183" s="2"/>
      <c r="P183" s="2"/>
      <c r="Q183" s="2"/>
      <c r="R183" s="2"/>
    </row>
    <row r="184" ht="15.75" customHeight="1">
      <c r="A184" s="40" t="s">
        <v>42</v>
      </c>
      <c r="B184" s="16">
        <f t="shared" si="138"/>
        <v>502.54</v>
      </c>
      <c r="C184" s="22">
        <f t="shared" si="151"/>
        <v>1005.08</v>
      </c>
      <c r="D184" s="38">
        <f t="shared" ref="D184:K184" si="169">((D127-15)*1.7)+15</f>
        <v>1492.504</v>
      </c>
      <c r="E184" s="38">
        <f t="shared" si="169"/>
        <v>1995.16</v>
      </c>
      <c r="F184" s="38">
        <f t="shared" si="169"/>
        <v>2490.2</v>
      </c>
      <c r="G184" s="38">
        <f t="shared" si="169"/>
        <v>2970.008</v>
      </c>
      <c r="H184" s="38">
        <f t="shared" si="169"/>
        <v>3480.28</v>
      </c>
      <c r="I184" s="38">
        <f t="shared" si="169"/>
        <v>3975.32</v>
      </c>
      <c r="J184" s="38">
        <f t="shared" si="169"/>
        <v>4470.36</v>
      </c>
      <c r="K184" s="39">
        <f t="shared" si="169"/>
        <v>4965.4</v>
      </c>
      <c r="L184" s="2"/>
      <c r="M184" s="2"/>
      <c r="N184" s="2"/>
      <c r="O184" s="2"/>
      <c r="P184" s="2"/>
      <c r="Q184" s="2"/>
      <c r="R184" s="2"/>
    </row>
    <row r="185" ht="15.75" customHeight="1">
      <c r="A185" s="40" t="s">
        <v>43</v>
      </c>
      <c r="B185" s="16">
        <f t="shared" si="138"/>
        <v>502.54</v>
      </c>
      <c r="C185" s="22">
        <f t="shared" si="151"/>
        <v>1005.08</v>
      </c>
      <c r="D185" s="38">
        <f t="shared" ref="D185:K185" si="170">((D128-15)*1.7)+15</f>
        <v>1492.504</v>
      </c>
      <c r="E185" s="38">
        <f t="shared" si="170"/>
        <v>1995.16</v>
      </c>
      <c r="F185" s="38">
        <f t="shared" si="170"/>
        <v>2490.2</v>
      </c>
      <c r="G185" s="38">
        <f t="shared" si="170"/>
        <v>2970.008</v>
      </c>
      <c r="H185" s="38">
        <f t="shared" si="170"/>
        <v>3480.28</v>
      </c>
      <c r="I185" s="38">
        <f t="shared" si="170"/>
        <v>3975.32</v>
      </c>
      <c r="J185" s="38">
        <f t="shared" si="170"/>
        <v>4470.36</v>
      </c>
      <c r="K185" s="39">
        <f t="shared" si="170"/>
        <v>4965.4</v>
      </c>
      <c r="L185" s="2"/>
      <c r="M185" s="2"/>
      <c r="N185" s="2"/>
      <c r="O185" s="2"/>
      <c r="P185" s="2"/>
      <c r="Q185" s="2"/>
      <c r="R185" s="2"/>
    </row>
    <row r="186" ht="15.75" customHeight="1">
      <c r="A186" s="40" t="s">
        <v>44</v>
      </c>
      <c r="B186" s="16">
        <f t="shared" si="138"/>
        <v>502.54</v>
      </c>
      <c r="C186" s="22">
        <f t="shared" si="151"/>
        <v>1005.08</v>
      </c>
      <c r="D186" s="38">
        <f t="shared" ref="D186:K186" si="171">((D129-15)*1.7)+15</f>
        <v>1492.504</v>
      </c>
      <c r="E186" s="38">
        <f t="shared" si="171"/>
        <v>1995.16</v>
      </c>
      <c r="F186" s="38">
        <f t="shared" si="171"/>
        <v>2490.2</v>
      </c>
      <c r="G186" s="38">
        <f t="shared" si="171"/>
        <v>2970.008</v>
      </c>
      <c r="H186" s="38">
        <f t="shared" si="171"/>
        <v>3480.28</v>
      </c>
      <c r="I186" s="38">
        <f t="shared" si="171"/>
        <v>3975.32</v>
      </c>
      <c r="J186" s="38">
        <f t="shared" si="171"/>
        <v>4470.36</v>
      </c>
      <c r="K186" s="39">
        <f t="shared" si="171"/>
        <v>4965.4</v>
      </c>
      <c r="L186" s="2"/>
      <c r="M186" s="2"/>
      <c r="N186" s="2"/>
      <c r="O186" s="2"/>
      <c r="P186" s="2"/>
      <c r="Q186" s="2"/>
      <c r="R186" s="2"/>
    </row>
    <row r="187" ht="15.75" customHeight="1">
      <c r="A187" s="40">
        <v>10.0</v>
      </c>
      <c r="B187" s="16">
        <f t="shared" si="138"/>
        <v>521.58</v>
      </c>
      <c r="C187" s="22">
        <f t="shared" si="151"/>
        <v>1043.16</v>
      </c>
      <c r="D187" s="38">
        <f t="shared" ref="D187:K187" si="172">((D130-15)*1.7)+15</f>
        <v>1553.432</v>
      </c>
      <c r="E187" s="38">
        <f t="shared" si="172"/>
        <v>2071.32</v>
      </c>
      <c r="F187" s="38">
        <f t="shared" si="172"/>
        <v>2585.4</v>
      </c>
      <c r="G187" s="38">
        <f t="shared" si="172"/>
        <v>3091.864</v>
      </c>
      <c r="H187" s="38">
        <f t="shared" si="172"/>
        <v>3613.56</v>
      </c>
      <c r="I187" s="38">
        <f t="shared" si="172"/>
        <v>4127.64</v>
      </c>
      <c r="J187" s="38">
        <f t="shared" si="172"/>
        <v>4641.72</v>
      </c>
      <c r="K187" s="39">
        <f t="shared" si="172"/>
        <v>5155.8</v>
      </c>
      <c r="L187" s="2"/>
      <c r="M187" s="2"/>
      <c r="N187" s="2"/>
      <c r="O187" s="2"/>
      <c r="P187" s="2"/>
      <c r="Q187" s="2"/>
      <c r="R187" s="2"/>
    </row>
    <row r="188" ht="15.75" customHeight="1">
      <c r="A188" s="40" t="s">
        <v>45</v>
      </c>
      <c r="B188" s="16">
        <f t="shared" si="138"/>
        <v>521.58</v>
      </c>
      <c r="C188" s="22">
        <f t="shared" si="151"/>
        <v>1043.16</v>
      </c>
      <c r="D188" s="38">
        <f t="shared" ref="D188:K188" si="173">((D131-15)*1.7)+15</f>
        <v>1553.432</v>
      </c>
      <c r="E188" s="38">
        <f t="shared" si="173"/>
        <v>2071.32</v>
      </c>
      <c r="F188" s="38">
        <f t="shared" si="173"/>
        <v>2585.4</v>
      </c>
      <c r="G188" s="38">
        <f t="shared" si="173"/>
        <v>3091.864</v>
      </c>
      <c r="H188" s="38">
        <f t="shared" si="173"/>
        <v>3613.56</v>
      </c>
      <c r="I188" s="38">
        <f t="shared" si="173"/>
        <v>4127.64</v>
      </c>
      <c r="J188" s="38">
        <f t="shared" si="173"/>
        <v>4641.72</v>
      </c>
      <c r="K188" s="39">
        <f t="shared" si="173"/>
        <v>5155.8</v>
      </c>
      <c r="L188" s="2"/>
      <c r="M188" s="2"/>
      <c r="N188" s="2"/>
      <c r="O188" s="2"/>
      <c r="P188" s="2"/>
      <c r="Q188" s="2"/>
      <c r="R188" s="2"/>
    </row>
    <row r="189" ht="15.75" customHeight="1">
      <c r="A189" s="40" t="s">
        <v>46</v>
      </c>
      <c r="B189" s="16">
        <f t="shared" si="138"/>
        <v>521.58</v>
      </c>
      <c r="C189" s="22">
        <f t="shared" si="151"/>
        <v>1043.16</v>
      </c>
      <c r="D189" s="38">
        <f t="shared" ref="D189:K189" si="174">((D132-15)*1.7)+15</f>
        <v>1553.432</v>
      </c>
      <c r="E189" s="38">
        <f t="shared" si="174"/>
        <v>2071.32</v>
      </c>
      <c r="F189" s="38">
        <f t="shared" si="174"/>
        <v>2585.4</v>
      </c>
      <c r="G189" s="38">
        <f t="shared" si="174"/>
        <v>3091.864</v>
      </c>
      <c r="H189" s="38">
        <f t="shared" si="174"/>
        <v>3613.56</v>
      </c>
      <c r="I189" s="38">
        <f t="shared" si="174"/>
        <v>4127.64</v>
      </c>
      <c r="J189" s="38">
        <f t="shared" si="174"/>
        <v>4641.72</v>
      </c>
      <c r="K189" s="39">
        <f t="shared" si="174"/>
        <v>5155.8</v>
      </c>
      <c r="L189" s="2"/>
      <c r="M189" s="2"/>
      <c r="N189" s="2"/>
      <c r="O189" s="2"/>
      <c r="P189" s="2"/>
      <c r="Q189" s="2"/>
      <c r="R189" s="2"/>
    </row>
    <row r="190" ht="15.75" customHeight="1">
      <c r="A190" s="40" t="s">
        <v>47</v>
      </c>
      <c r="B190" s="16">
        <f t="shared" si="138"/>
        <v>521.58</v>
      </c>
      <c r="C190" s="22">
        <f t="shared" si="151"/>
        <v>1043.16</v>
      </c>
      <c r="D190" s="38">
        <f t="shared" ref="D190:K190" si="175">((D133-15)*1.7)+15</f>
        <v>1553.432</v>
      </c>
      <c r="E190" s="38">
        <f t="shared" si="175"/>
        <v>2071.32</v>
      </c>
      <c r="F190" s="38">
        <f t="shared" si="175"/>
        <v>2585.4</v>
      </c>
      <c r="G190" s="38">
        <f t="shared" si="175"/>
        <v>3091.864</v>
      </c>
      <c r="H190" s="38">
        <f t="shared" si="175"/>
        <v>3613.56</v>
      </c>
      <c r="I190" s="38">
        <f t="shared" si="175"/>
        <v>4127.64</v>
      </c>
      <c r="J190" s="38">
        <f t="shared" si="175"/>
        <v>4641.72</v>
      </c>
      <c r="K190" s="39">
        <f t="shared" si="175"/>
        <v>5155.8</v>
      </c>
    </row>
    <row r="191" ht="15.75" customHeight="1">
      <c r="A191" s="40">
        <v>11.0</v>
      </c>
      <c r="B191" s="16">
        <f t="shared" si="138"/>
        <v>540.62</v>
      </c>
      <c r="C191" s="22">
        <f t="shared" si="151"/>
        <v>1081.24</v>
      </c>
      <c r="D191" s="38">
        <f t="shared" ref="D191:K191" si="176">((D134-15)*1.7)+15</f>
        <v>1610.552</v>
      </c>
      <c r="E191" s="38">
        <f t="shared" si="176"/>
        <v>2147.48</v>
      </c>
      <c r="F191" s="38">
        <f t="shared" si="176"/>
        <v>2680.6</v>
      </c>
      <c r="G191" s="38">
        <f t="shared" si="176"/>
        <v>3206.104</v>
      </c>
      <c r="H191" s="38">
        <f t="shared" si="176"/>
        <v>3746.84</v>
      </c>
      <c r="I191" s="38">
        <f t="shared" si="176"/>
        <v>4279.96</v>
      </c>
      <c r="J191" s="38">
        <f t="shared" si="176"/>
        <v>4813.08</v>
      </c>
      <c r="K191" s="39">
        <f t="shared" si="176"/>
        <v>5346.2</v>
      </c>
    </row>
    <row r="192" ht="15.75" customHeight="1">
      <c r="A192" s="40" t="s">
        <v>48</v>
      </c>
      <c r="B192" s="16">
        <f t="shared" si="138"/>
        <v>540.62</v>
      </c>
      <c r="C192" s="22">
        <f t="shared" si="151"/>
        <v>1081.24</v>
      </c>
      <c r="D192" s="38">
        <f t="shared" ref="D192:K192" si="177">((D135-15)*1.7)+15</f>
        <v>1610.552</v>
      </c>
      <c r="E192" s="38">
        <f t="shared" si="177"/>
        <v>2147.48</v>
      </c>
      <c r="F192" s="38">
        <f t="shared" si="177"/>
        <v>2680.6</v>
      </c>
      <c r="G192" s="38">
        <f t="shared" si="177"/>
        <v>3206.104</v>
      </c>
      <c r="H192" s="38">
        <f t="shared" si="177"/>
        <v>3746.84</v>
      </c>
      <c r="I192" s="38">
        <f t="shared" si="177"/>
        <v>4279.96</v>
      </c>
      <c r="J192" s="38">
        <f t="shared" si="177"/>
        <v>4813.08</v>
      </c>
      <c r="K192" s="39">
        <f t="shared" si="177"/>
        <v>5346.2</v>
      </c>
    </row>
    <row r="193" ht="15.75" customHeight="1">
      <c r="A193" s="40" t="s">
        <v>49</v>
      </c>
      <c r="B193" s="16">
        <f t="shared" si="138"/>
        <v>540.62</v>
      </c>
      <c r="C193" s="22">
        <f t="shared" si="151"/>
        <v>1081.24</v>
      </c>
      <c r="D193" s="38">
        <f t="shared" ref="D193:K193" si="178">((D136-15)*1.7)+15</f>
        <v>1610.552</v>
      </c>
      <c r="E193" s="38">
        <f t="shared" si="178"/>
        <v>2147.48</v>
      </c>
      <c r="F193" s="38">
        <f t="shared" si="178"/>
        <v>2680.6</v>
      </c>
      <c r="G193" s="38">
        <f t="shared" si="178"/>
        <v>3206.104</v>
      </c>
      <c r="H193" s="38">
        <f t="shared" si="178"/>
        <v>3746.84</v>
      </c>
      <c r="I193" s="38">
        <f t="shared" si="178"/>
        <v>4279.96</v>
      </c>
      <c r="J193" s="38">
        <f t="shared" si="178"/>
        <v>4813.08</v>
      </c>
      <c r="K193" s="39">
        <f t="shared" si="178"/>
        <v>5346.2</v>
      </c>
    </row>
    <row r="194" ht="15.75" customHeight="1">
      <c r="A194" s="40" t="s">
        <v>50</v>
      </c>
      <c r="B194" s="16">
        <f t="shared" si="138"/>
        <v>540.62</v>
      </c>
      <c r="C194" s="22">
        <f t="shared" si="151"/>
        <v>1081.24</v>
      </c>
      <c r="D194" s="38">
        <f t="shared" ref="D194:K194" si="179">((D137-15)*1.7)+15</f>
        <v>1610.552</v>
      </c>
      <c r="E194" s="38">
        <f t="shared" si="179"/>
        <v>2147.48</v>
      </c>
      <c r="F194" s="38">
        <f t="shared" si="179"/>
        <v>2680.6</v>
      </c>
      <c r="G194" s="38">
        <f t="shared" si="179"/>
        <v>3206.104</v>
      </c>
      <c r="H194" s="38">
        <f t="shared" si="179"/>
        <v>3746.84</v>
      </c>
      <c r="I194" s="38">
        <f t="shared" si="179"/>
        <v>4279.96</v>
      </c>
      <c r="J194" s="38">
        <f t="shared" si="179"/>
        <v>4813.08</v>
      </c>
      <c r="K194" s="39">
        <f t="shared" si="179"/>
        <v>5346.2</v>
      </c>
    </row>
    <row r="195" ht="15.75" customHeight="1">
      <c r="A195" s="40">
        <v>12.0</v>
      </c>
      <c r="B195" s="16">
        <f t="shared" si="138"/>
        <v>561.564</v>
      </c>
      <c r="C195" s="22">
        <f t="shared" si="151"/>
        <v>1123.128</v>
      </c>
      <c r="D195" s="38">
        <f t="shared" ref="D195:K195" si="180">((D138-15)*1.7)+15</f>
        <v>1667.672</v>
      </c>
      <c r="E195" s="38">
        <f t="shared" si="180"/>
        <v>2231.256</v>
      </c>
      <c r="F195" s="38">
        <f t="shared" si="180"/>
        <v>2785.32</v>
      </c>
      <c r="G195" s="38">
        <f t="shared" si="180"/>
        <v>3320.344</v>
      </c>
      <c r="H195" s="38">
        <f t="shared" si="180"/>
        <v>3893.448</v>
      </c>
      <c r="I195" s="38">
        <f t="shared" si="180"/>
        <v>4447.512</v>
      </c>
      <c r="J195" s="38">
        <f t="shared" si="180"/>
        <v>5001.576</v>
      </c>
      <c r="K195" s="39">
        <f t="shared" si="180"/>
        <v>5555.64</v>
      </c>
    </row>
    <row r="196" ht="15.75" customHeight="1">
      <c r="A196" s="40" t="s">
        <v>51</v>
      </c>
      <c r="B196" s="16">
        <f t="shared" si="138"/>
        <v>561.564</v>
      </c>
      <c r="C196" s="22">
        <f t="shared" si="151"/>
        <v>1123.128</v>
      </c>
      <c r="D196" s="38">
        <f t="shared" ref="D196:K196" si="181">((D139-15)*1.7)+15</f>
        <v>1667.672</v>
      </c>
      <c r="E196" s="38">
        <f t="shared" si="181"/>
        <v>2231.256</v>
      </c>
      <c r="F196" s="38">
        <f t="shared" si="181"/>
        <v>2785.32</v>
      </c>
      <c r="G196" s="38">
        <f t="shared" si="181"/>
        <v>3320.344</v>
      </c>
      <c r="H196" s="38">
        <f t="shared" si="181"/>
        <v>3893.448</v>
      </c>
      <c r="I196" s="38">
        <f t="shared" si="181"/>
        <v>4447.512</v>
      </c>
      <c r="J196" s="38">
        <f t="shared" si="181"/>
        <v>5001.576</v>
      </c>
      <c r="K196" s="39">
        <f t="shared" si="181"/>
        <v>5555.64</v>
      </c>
    </row>
    <row r="197" ht="15.75" customHeight="1">
      <c r="A197" s="40" t="s">
        <v>52</v>
      </c>
      <c r="B197" s="16">
        <f t="shared" si="138"/>
        <v>561.564</v>
      </c>
      <c r="C197" s="22">
        <f t="shared" si="151"/>
        <v>1123.128</v>
      </c>
      <c r="D197" s="38">
        <f t="shared" ref="D197:K197" si="182">((D140-15)*1.7)+15</f>
        <v>1667.672</v>
      </c>
      <c r="E197" s="38">
        <f t="shared" si="182"/>
        <v>2231.256</v>
      </c>
      <c r="F197" s="38">
        <f t="shared" si="182"/>
        <v>2785.32</v>
      </c>
      <c r="G197" s="38">
        <f t="shared" si="182"/>
        <v>3320.344</v>
      </c>
      <c r="H197" s="38">
        <f t="shared" si="182"/>
        <v>3893.448</v>
      </c>
      <c r="I197" s="38">
        <f t="shared" si="182"/>
        <v>4447.512</v>
      </c>
      <c r="J197" s="38">
        <f t="shared" si="182"/>
        <v>5001.576</v>
      </c>
      <c r="K197" s="39">
        <f t="shared" si="182"/>
        <v>5555.64</v>
      </c>
    </row>
    <row r="198" ht="15.75" customHeight="1">
      <c r="A198" s="40" t="s">
        <v>53</v>
      </c>
      <c r="B198" s="16">
        <f t="shared" si="138"/>
        <v>561.564</v>
      </c>
      <c r="C198" s="22">
        <f t="shared" si="151"/>
        <v>1123.128</v>
      </c>
      <c r="D198" s="38">
        <f t="shared" ref="D198:K198" si="183">((D141-15)*1.7)+15</f>
        <v>1667.672</v>
      </c>
      <c r="E198" s="38">
        <f t="shared" si="183"/>
        <v>2231.256</v>
      </c>
      <c r="F198" s="38">
        <f t="shared" si="183"/>
        <v>2785.32</v>
      </c>
      <c r="G198" s="38">
        <f t="shared" si="183"/>
        <v>3320.344</v>
      </c>
      <c r="H198" s="38">
        <f t="shared" si="183"/>
        <v>3893.448</v>
      </c>
      <c r="I198" s="38">
        <f t="shared" si="183"/>
        <v>4447.512</v>
      </c>
      <c r="J198" s="38">
        <f t="shared" si="183"/>
        <v>5001.576</v>
      </c>
      <c r="K198" s="39">
        <f t="shared" si="183"/>
        <v>5555.64</v>
      </c>
    </row>
    <row r="199" ht="15.75" customHeight="1">
      <c r="A199" s="40">
        <v>13.0</v>
      </c>
      <c r="B199" s="16">
        <f t="shared" si="138"/>
        <v>580.604</v>
      </c>
      <c r="C199" s="22">
        <f t="shared" si="151"/>
        <v>1161.208</v>
      </c>
      <c r="D199" s="38">
        <f t="shared" ref="D199:K199" si="184">((D142-15)*1.7)+15</f>
        <v>1728.6</v>
      </c>
      <c r="E199" s="38">
        <f t="shared" si="184"/>
        <v>2307.416</v>
      </c>
      <c r="F199" s="38">
        <f t="shared" si="184"/>
        <v>2880.52</v>
      </c>
      <c r="G199" s="38">
        <f t="shared" si="184"/>
        <v>3442.2</v>
      </c>
      <c r="H199" s="38">
        <f t="shared" si="184"/>
        <v>4026.728</v>
      </c>
      <c r="I199" s="38">
        <f t="shared" si="184"/>
        <v>4599.832</v>
      </c>
      <c r="J199" s="38">
        <f t="shared" si="184"/>
        <v>5172.936</v>
      </c>
      <c r="K199" s="39">
        <f t="shared" si="184"/>
        <v>5746.04</v>
      </c>
    </row>
    <row r="200" ht="15.75" customHeight="1">
      <c r="A200" s="40" t="s">
        <v>54</v>
      </c>
      <c r="B200" s="16">
        <f t="shared" si="138"/>
        <v>580.604</v>
      </c>
      <c r="C200" s="22">
        <f t="shared" si="151"/>
        <v>1161.208</v>
      </c>
      <c r="D200" s="38">
        <f t="shared" ref="D200:K200" si="185">((D143-15)*1.7)+15</f>
        <v>1728.6</v>
      </c>
      <c r="E200" s="38">
        <f t="shared" si="185"/>
        <v>2307.416</v>
      </c>
      <c r="F200" s="38">
        <f t="shared" si="185"/>
        <v>2880.52</v>
      </c>
      <c r="G200" s="38">
        <f t="shared" si="185"/>
        <v>3442.2</v>
      </c>
      <c r="H200" s="38">
        <f t="shared" si="185"/>
        <v>4026.728</v>
      </c>
      <c r="I200" s="38">
        <f t="shared" si="185"/>
        <v>4599.832</v>
      </c>
      <c r="J200" s="38">
        <f t="shared" si="185"/>
        <v>5172.936</v>
      </c>
      <c r="K200" s="39">
        <f t="shared" si="185"/>
        <v>5746.04</v>
      </c>
    </row>
    <row r="201" ht="15.75" customHeight="1">
      <c r="A201" s="40" t="s">
        <v>55</v>
      </c>
      <c r="B201" s="16">
        <f t="shared" si="138"/>
        <v>580.604</v>
      </c>
      <c r="C201" s="22">
        <f t="shared" si="151"/>
        <v>1161.208</v>
      </c>
      <c r="D201" s="38">
        <f t="shared" ref="D201:K201" si="186">((D144-15)*1.7)+15</f>
        <v>1728.6</v>
      </c>
      <c r="E201" s="38">
        <f t="shared" si="186"/>
        <v>2307.416</v>
      </c>
      <c r="F201" s="38">
        <f t="shared" si="186"/>
        <v>2880.52</v>
      </c>
      <c r="G201" s="38">
        <f t="shared" si="186"/>
        <v>3442.2</v>
      </c>
      <c r="H201" s="38">
        <f t="shared" si="186"/>
        <v>4026.728</v>
      </c>
      <c r="I201" s="38">
        <f t="shared" si="186"/>
        <v>4599.832</v>
      </c>
      <c r="J201" s="38">
        <f t="shared" si="186"/>
        <v>5172.936</v>
      </c>
      <c r="K201" s="39">
        <f t="shared" si="186"/>
        <v>5746.04</v>
      </c>
    </row>
    <row r="202" ht="15.75" customHeight="1">
      <c r="A202" s="40" t="s">
        <v>56</v>
      </c>
      <c r="B202" s="16">
        <f t="shared" si="138"/>
        <v>580.604</v>
      </c>
      <c r="C202" s="22">
        <f t="shared" si="151"/>
        <v>1161.208</v>
      </c>
      <c r="D202" s="38">
        <f t="shared" ref="D202:K202" si="187">((D145-15)*1.7)+15</f>
        <v>1728.6</v>
      </c>
      <c r="E202" s="38">
        <f t="shared" si="187"/>
        <v>2307.416</v>
      </c>
      <c r="F202" s="38">
        <f t="shared" si="187"/>
        <v>2880.52</v>
      </c>
      <c r="G202" s="38">
        <f t="shared" si="187"/>
        <v>3442.2</v>
      </c>
      <c r="H202" s="38">
        <f t="shared" si="187"/>
        <v>4026.728</v>
      </c>
      <c r="I202" s="38">
        <f t="shared" si="187"/>
        <v>4599.832</v>
      </c>
      <c r="J202" s="38">
        <f t="shared" si="187"/>
        <v>5172.936</v>
      </c>
      <c r="K202" s="39">
        <f t="shared" si="187"/>
        <v>5746.04</v>
      </c>
    </row>
    <row r="203" ht="15.75" customHeight="1">
      <c r="A203" s="40">
        <v>14.0</v>
      </c>
      <c r="B203" s="16">
        <f t="shared" si="138"/>
        <v>599.644</v>
      </c>
      <c r="C203" s="22">
        <f t="shared" si="151"/>
        <v>1199.288</v>
      </c>
      <c r="D203" s="38">
        <f t="shared" ref="D203:K203" si="188">((D146-15)*1.7)+15</f>
        <v>1785.72</v>
      </c>
      <c r="E203" s="38">
        <f t="shared" si="188"/>
        <v>2383.576</v>
      </c>
      <c r="F203" s="38">
        <f t="shared" si="188"/>
        <v>2975.72</v>
      </c>
      <c r="G203" s="38">
        <f t="shared" si="188"/>
        <v>3556.44</v>
      </c>
      <c r="H203" s="38">
        <f t="shared" si="188"/>
        <v>4160.008</v>
      </c>
      <c r="I203" s="38">
        <f t="shared" si="188"/>
        <v>4752.152</v>
      </c>
      <c r="J203" s="38">
        <f t="shared" si="188"/>
        <v>5344.296</v>
      </c>
      <c r="K203" s="39">
        <f t="shared" si="188"/>
        <v>5936.44</v>
      </c>
    </row>
    <row r="204" ht="15.75" customHeight="1">
      <c r="A204" s="40" t="s">
        <v>57</v>
      </c>
      <c r="B204" s="16">
        <f t="shared" si="138"/>
        <v>599.644</v>
      </c>
      <c r="C204" s="22">
        <f t="shared" si="151"/>
        <v>1199.288</v>
      </c>
      <c r="D204" s="38">
        <f t="shared" ref="D204:K204" si="189">((D147-15)*1.7)+15</f>
        <v>1785.72</v>
      </c>
      <c r="E204" s="38">
        <f t="shared" si="189"/>
        <v>2383.576</v>
      </c>
      <c r="F204" s="38">
        <f t="shared" si="189"/>
        <v>2975.72</v>
      </c>
      <c r="G204" s="38">
        <f t="shared" si="189"/>
        <v>3556.44</v>
      </c>
      <c r="H204" s="38">
        <f t="shared" si="189"/>
        <v>4160.008</v>
      </c>
      <c r="I204" s="38">
        <f t="shared" si="189"/>
        <v>4752.152</v>
      </c>
      <c r="J204" s="38">
        <f t="shared" si="189"/>
        <v>5344.296</v>
      </c>
      <c r="K204" s="39">
        <f t="shared" si="189"/>
        <v>5936.44</v>
      </c>
    </row>
    <row r="205" ht="15.75" customHeight="1">
      <c r="A205" s="40" t="s">
        <v>58</v>
      </c>
      <c r="B205" s="16">
        <f t="shared" si="138"/>
        <v>599.644</v>
      </c>
      <c r="C205" s="22">
        <f t="shared" si="151"/>
        <v>1199.288</v>
      </c>
      <c r="D205" s="38">
        <f t="shared" ref="D205:K205" si="190">((D148-15)*1.7)+15</f>
        <v>1785.72</v>
      </c>
      <c r="E205" s="38">
        <f t="shared" si="190"/>
        <v>2383.576</v>
      </c>
      <c r="F205" s="38">
        <f t="shared" si="190"/>
        <v>2975.72</v>
      </c>
      <c r="G205" s="38">
        <f t="shared" si="190"/>
        <v>3556.44</v>
      </c>
      <c r="H205" s="38">
        <f t="shared" si="190"/>
        <v>4160.008</v>
      </c>
      <c r="I205" s="38">
        <f t="shared" si="190"/>
        <v>4752.152</v>
      </c>
      <c r="J205" s="38">
        <f t="shared" si="190"/>
        <v>5344.296</v>
      </c>
      <c r="K205" s="39">
        <f t="shared" si="190"/>
        <v>5936.44</v>
      </c>
    </row>
    <row r="206" ht="15.75" customHeight="1">
      <c r="A206" s="40" t="s">
        <v>59</v>
      </c>
      <c r="B206" s="16">
        <f t="shared" si="138"/>
        <v>599.644</v>
      </c>
      <c r="C206" s="50">
        <f t="shared" si="151"/>
        <v>1199.288</v>
      </c>
      <c r="D206" s="51">
        <f t="shared" ref="D206:K206" si="191">((D149-15)*1.7)+15</f>
        <v>1785.72</v>
      </c>
      <c r="E206" s="51">
        <f t="shared" si="191"/>
        <v>2383.576</v>
      </c>
      <c r="F206" s="51">
        <f t="shared" si="191"/>
        <v>2975.72</v>
      </c>
      <c r="G206" s="51">
        <f t="shared" si="191"/>
        <v>3556.44</v>
      </c>
      <c r="H206" s="51">
        <f t="shared" si="191"/>
        <v>4160.008</v>
      </c>
      <c r="I206" s="51">
        <f t="shared" si="191"/>
        <v>4752.152</v>
      </c>
      <c r="J206" s="51">
        <f t="shared" si="191"/>
        <v>5344.296</v>
      </c>
      <c r="K206" s="52">
        <f t="shared" si="191"/>
        <v>5936.44</v>
      </c>
    </row>
    <row r="207" ht="15.75" customHeight="1">
      <c r="A207" s="26">
        <v>15.0</v>
      </c>
      <c r="B207" s="16">
        <f t="shared" si="138"/>
        <v>0</v>
      </c>
      <c r="C207" s="53"/>
      <c r="D207" s="54"/>
      <c r="E207" s="54"/>
      <c r="F207" s="54"/>
      <c r="G207" s="54"/>
      <c r="H207" s="54"/>
      <c r="I207" s="54"/>
      <c r="J207" s="55"/>
      <c r="K207" s="56"/>
    </row>
    <row r="208" ht="15.75" customHeight="1"/>
    <row r="209" ht="15.75" customHeight="1">
      <c r="A209" s="16">
        <v>2.0</v>
      </c>
      <c r="C209" s="20">
        <f t="shared" ref="C209:C230" si="192">C155*1.15</f>
        <v>511.22376</v>
      </c>
    </row>
    <row r="210" ht="15.75" customHeight="1">
      <c r="A210" s="37" t="s">
        <v>21</v>
      </c>
      <c r="C210" s="20">
        <f t="shared" si="192"/>
        <v>634.7172</v>
      </c>
    </row>
    <row r="211" ht="15.75" customHeight="1">
      <c r="A211" s="37" t="s">
        <v>22</v>
      </c>
      <c r="C211" s="20">
        <f t="shared" si="192"/>
        <v>634.7172</v>
      </c>
    </row>
    <row r="212" ht="15.75" customHeight="1">
      <c r="A212" s="37" t="s">
        <v>23</v>
      </c>
      <c r="C212" s="20">
        <f t="shared" si="192"/>
        <v>634.7172</v>
      </c>
    </row>
    <row r="213" ht="15.75" customHeight="1">
      <c r="A213" s="40">
        <v>3.0</v>
      </c>
      <c r="C213" s="20">
        <f t="shared" si="192"/>
        <v>667.5612</v>
      </c>
    </row>
    <row r="214" ht="15.75" customHeight="1">
      <c r="A214" s="40" t="s">
        <v>24</v>
      </c>
      <c r="C214" s="20">
        <f t="shared" si="192"/>
        <v>667.5612</v>
      </c>
    </row>
    <row r="215" ht="15.75" customHeight="1">
      <c r="A215" s="40" t="s">
        <v>25</v>
      </c>
      <c r="C215" s="20">
        <f t="shared" si="192"/>
        <v>667.5612</v>
      </c>
    </row>
    <row r="216" ht="15.75" customHeight="1">
      <c r="A216" s="40" t="s">
        <v>26</v>
      </c>
      <c r="C216" s="20">
        <f t="shared" si="192"/>
        <v>667.5612</v>
      </c>
    </row>
    <row r="217" ht="15.75" customHeight="1">
      <c r="A217" s="40">
        <v>4.0</v>
      </c>
      <c r="C217" s="20">
        <f t="shared" si="192"/>
        <v>700.4052</v>
      </c>
    </row>
    <row r="218" ht="15.75" customHeight="1">
      <c r="A218" s="40" t="s">
        <v>27</v>
      </c>
      <c r="C218" s="20">
        <f t="shared" si="192"/>
        <v>700.4052</v>
      </c>
    </row>
    <row r="219" ht="15.75" customHeight="1">
      <c r="A219" s="40" t="s">
        <v>28</v>
      </c>
      <c r="C219" s="20">
        <f t="shared" si="192"/>
        <v>700.4052</v>
      </c>
    </row>
    <row r="220" ht="15.75" customHeight="1">
      <c r="A220" s="40" t="s">
        <v>29</v>
      </c>
      <c r="C220" s="20">
        <f t="shared" si="192"/>
        <v>700.4052</v>
      </c>
    </row>
    <row r="221" ht="15.75" customHeight="1">
      <c r="A221" s="40">
        <v>5.0</v>
      </c>
      <c r="C221" s="20">
        <f t="shared" si="192"/>
        <v>880.39032</v>
      </c>
    </row>
    <row r="222" ht="15.75" customHeight="1">
      <c r="A222" s="40" t="s">
        <v>30</v>
      </c>
      <c r="C222" s="20">
        <f t="shared" si="192"/>
        <v>880.39032</v>
      </c>
    </row>
    <row r="223" ht="15.75" customHeight="1">
      <c r="A223" s="40" t="s">
        <v>31</v>
      </c>
      <c r="C223" s="20">
        <f t="shared" si="192"/>
        <v>880.39032</v>
      </c>
    </row>
    <row r="224" ht="15.75" customHeight="1">
      <c r="A224" s="40" t="s">
        <v>32</v>
      </c>
      <c r="C224" s="20">
        <f t="shared" si="192"/>
        <v>880.39032</v>
      </c>
    </row>
    <row r="225" ht="15.75" customHeight="1">
      <c r="A225" s="40">
        <v>6.0</v>
      </c>
      <c r="C225" s="20">
        <f t="shared" si="192"/>
        <v>1020.0868</v>
      </c>
    </row>
    <row r="226" ht="15.75" customHeight="1">
      <c r="A226" s="40" t="s">
        <v>33</v>
      </c>
      <c r="C226" s="20">
        <f t="shared" si="192"/>
        <v>1020.0868</v>
      </c>
    </row>
    <row r="227" ht="15.75" customHeight="1">
      <c r="A227" s="40" t="s">
        <v>34</v>
      </c>
      <c r="C227" s="20">
        <f t="shared" si="192"/>
        <v>1020.0868</v>
      </c>
    </row>
    <row r="228" ht="15.75" customHeight="1">
      <c r="A228" s="40" t="s">
        <v>35</v>
      </c>
      <c r="C228" s="20">
        <f t="shared" si="192"/>
        <v>1020.0868</v>
      </c>
    </row>
    <row r="229" ht="15.75" customHeight="1">
      <c r="A229" s="40">
        <v>7.0</v>
      </c>
      <c r="C229" s="20">
        <f t="shared" si="192"/>
        <v>1063.8788</v>
      </c>
    </row>
    <row r="230" ht="15.75" customHeight="1">
      <c r="A230" s="40" t="s">
        <v>36</v>
      </c>
      <c r="C230" s="20">
        <f t="shared" si="192"/>
        <v>1063.8788</v>
      </c>
    </row>
    <row r="231" ht="15.75" customHeight="1">
      <c r="A231" s="40" t="s">
        <v>37</v>
      </c>
    </row>
    <row r="232" ht="15.75" customHeight="1">
      <c r="A232" s="40" t="s">
        <v>38</v>
      </c>
    </row>
    <row r="233" ht="15.75" customHeight="1">
      <c r="A233" s="40">
        <v>8.0</v>
      </c>
    </row>
    <row r="234" ht="15.75" customHeight="1">
      <c r="A234" s="40" t="s">
        <v>39</v>
      </c>
    </row>
    <row r="235" ht="15.75" customHeight="1">
      <c r="A235" s="40" t="s">
        <v>40</v>
      </c>
    </row>
    <row r="236" ht="15.75" customHeight="1">
      <c r="A236" s="40" t="s">
        <v>41</v>
      </c>
    </row>
    <row r="237" ht="15.75" customHeight="1">
      <c r="A237" s="40">
        <v>9.0</v>
      </c>
    </row>
    <row r="238" ht="15.75" customHeight="1">
      <c r="A238" s="40" t="s">
        <v>42</v>
      </c>
    </row>
    <row r="239" ht="15.75" customHeight="1">
      <c r="A239" s="40" t="s">
        <v>43</v>
      </c>
    </row>
    <row r="240" ht="15.75" customHeight="1">
      <c r="A240" s="40" t="s">
        <v>44</v>
      </c>
    </row>
    <row r="241" ht="15.75" customHeight="1">
      <c r="A241" s="40">
        <v>10.0</v>
      </c>
    </row>
    <row r="242" ht="15.75" customHeight="1">
      <c r="A242" s="40" t="s">
        <v>45</v>
      </c>
    </row>
    <row r="243" ht="15.75" customHeight="1">
      <c r="A243" s="40" t="s">
        <v>46</v>
      </c>
    </row>
    <row r="244" ht="15.75" customHeight="1">
      <c r="A244" s="40" t="s">
        <v>47</v>
      </c>
    </row>
    <row r="245" ht="15.75" customHeight="1">
      <c r="A245" s="40">
        <v>11.0</v>
      </c>
    </row>
    <row r="246" ht="15.75" customHeight="1">
      <c r="A246" s="40" t="s">
        <v>48</v>
      </c>
    </row>
    <row r="247" ht="15.75" customHeight="1">
      <c r="A247" s="40" t="s">
        <v>49</v>
      </c>
    </row>
    <row r="248" ht="15.75" customHeight="1">
      <c r="A248" s="40" t="s">
        <v>50</v>
      </c>
    </row>
    <row r="249" ht="15.75" customHeight="1">
      <c r="A249" s="40">
        <v>12.0</v>
      </c>
    </row>
    <row r="250" ht="15.75" customHeight="1">
      <c r="A250" s="40" t="s">
        <v>51</v>
      </c>
    </row>
    <row r="251" ht="15.75" customHeight="1">
      <c r="A251" s="40" t="s">
        <v>52</v>
      </c>
    </row>
    <row r="252" ht="15.75" customHeight="1">
      <c r="A252" s="40" t="s">
        <v>53</v>
      </c>
    </row>
    <row r="253" ht="15.75" customHeight="1">
      <c r="A253" s="40">
        <v>13.0</v>
      </c>
    </row>
    <row r="254" ht="15.75" customHeight="1">
      <c r="A254" s="40" t="s">
        <v>54</v>
      </c>
    </row>
    <row r="255" ht="15.75" customHeight="1">
      <c r="A255" s="40" t="s">
        <v>55</v>
      </c>
    </row>
    <row r="256" ht="15.75" customHeight="1">
      <c r="A256" s="40" t="s">
        <v>56</v>
      </c>
    </row>
    <row r="257" ht="15.75" customHeight="1">
      <c r="A257" s="40">
        <v>14.0</v>
      </c>
    </row>
    <row r="258" ht="15.75" customHeight="1">
      <c r="A258" s="40" t="s">
        <v>57</v>
      </c>
    </row>
    <row r="259" ht="15.75" customHeight="1">
      <c r="A259" s="40" t="s">
        <v>58</v>
      </c>
    </row>
    <row r="260" ht="15.75" customHeight="1">
      <c r="A260" s="40" t="s">
        <v>59</v>
      </c>
    </row>
    <row r="261" ht="15.75" customHeight="1">
      <c r="A261" s="26">
        <v>15.0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5">
    <mergeCell ref="A1:K1"/>
    <mergeCell ref="A20:K20"/>
    <mergeCell ref="A38:K38"/>
    <mergeCell ref="A95:K95"/>
    <mergeCell ref="A152:K152"/>
  </mergeCells>
  <drawing r:id="rId1"/>
</worksheet>
</file>