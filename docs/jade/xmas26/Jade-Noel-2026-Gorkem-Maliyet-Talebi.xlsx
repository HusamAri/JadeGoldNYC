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yet Talebi" sheetId="1" state="visible" r:id="rId1"/>
    <sheet name="Varsayımlar" sheetId="2" state="visible" r:id="rId2"/>
    <sheet name="Nasıl Doldurulur" sheetId="3" state="visible" r:id="rId3"/>
  </sheets>
  <definedNames>
    <definedName name="_xlnm._FilterDatabase" localSheetId="0" hidden="1">'Maliyet Talebi'!$A$1:$S$41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sz val="9"/>
    </font>
    <font>
      <name val="Arial"/>
      <b val="1"/>
      <color rgb="00C00000"/>
      <sz val="10"/>
    </font>
    <font>
      <name val="Arial"/>
      <i val="1"/>
      <sz val="9"/>
    </font>
    <font>
      <name val="Arial"/>
      <b val="1"/>
      <sz val="13"/>
    </font>
    <font>
      <name val="Arial"/>
      <b val="1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2" fontId="2" fillId="4" borderId="1" applyAlignment="1" pivotButton="0" quotePrefix="0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center" wrapText="1"/>
    </xf>
    <xf numFmtId="0" fontId="2" fillId="0" borderId="0" pivotButton="0" quotePrefix="0" xfId="0"/>
    <xf numFmtId="164" fontId="7" fillId="5" borderId="0" pivotButton="0" quotePrefix="0" xfId="0"/>
    <xf numFmtId="0" fontId="7" fillId="5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2286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22860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2286000" cy="1714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2286000" cy="1714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2286000" cy="1714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2286000" cy="1714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2286000" cy="1714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286000" cy="1714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2286000" cy="1714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2286000" cy="1714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2286000" cy="1714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2286000" cy="1714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2286000" cy="1714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2286000" cy="1714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2286000" cy="1714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2286000" cy="1714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2286000" cy="1714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2286000" cy="1714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2286000" cy="1714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2286000" cy="1714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2286000" cy="1714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2286000" cy="1714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2286000" cy="1714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2286000" cy="1714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2286000" cy="1714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2286000" cy="1714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2286000" cy="1714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2286000" cy="1714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2286000" cy="1714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2286000" cy="1714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2286000" cy="1714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2286000" cy="1714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2286000" cy="1714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2286000" cy="1714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2286000" cy="1714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2286000" cy="1714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2286000" cy="1714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2286000" cy="1714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2286000" cy="1714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2286000" cy="1714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34" customWidth="1" min="3" max="3"/>
    <col width="10" customWidth="1" min="4" max="4"/>
    <col width="26" customWidth="1" min="5" max="5"/>
    <col width="7" customWidth="1" min="6" max="6"/>
    <col width="58" customWidth="1" min="7" max="7"/>
    <col width="22" customWidth="1" min="8" max="8"/>
    <col width="22" customWidth="1" min="9" max="9"/>
    <col width="9" customWidth="1" min="10" max="10"/>
    <col width="12" customWidth="1" min="11" max="11"/>
    <col width="11" customWidth="1" min="12" max="12"/>
    <col width="12" customWidth="1" min="13" max="13"/>
    <col width="12" customWidth="1" min="14" max="14"/>
    <col width="10" customWidth="1" min="15" max="15"/>
    <col width="13" customWidth="1" min="16" max="16"/>
    <col width="12" customWidth="1" min="17" max="17"/>
    <col width="32" customWidth="1" min="18" max="18"/>
    <col width="15" customWidth="1" min="19" max="19"/>
  </cols>
  <sheetData>
    <row r="1" ht="42" customHeight="1">
      <c r="A1" s="1" t="inlineStr">
        <is>
          <t>#</t>
        </is>
      </c>
      <c r="B1" s="1" t="inlineStr">
        <is>
          <t>Kod</t>
        </is>
      </c>
      <c r="C1" s="1" t="inlineStr">
        <is>
          <t>Görsel</t>
        </is>
      </c>
      <c r="D1" s="1" t="inlineStr">
        <is>
          <t>Ürün tipi</t>
        </is>
      </c>
      <c r="E1" s="1" t="inlineStr">
        <is>
          <t>Ürün adı</t>
        </is>
      </c>
      <c r="F1" s="1" t="inlineStr">
        <is>
          <t>Kime</t>
        </is>
      </c>
      <c r="G1" s="1" t="inlineStr">
        <is>
          <t>Ölçüler (atölye kartı)</t>
        </is>
      </c>
      <c r="H1" s="1" t="inlineStr">
        <is>
          <t>Mine</t>
        </is>
      </c>
      <c r="I1" s="1" t="inlineStr">
        <is>
          <t>Taş</t>
        </is>
      </c>
      <c r="J1" s="1" t="inlineStr">
        <is>
          <t>En büyük ölçü mm</t>
        </is>
      </c>
      <c r="K1" s="1" t="inlineStr">
        <is>
          <t>Bizim altın gram
tahminimiz (14K)</t>
        </is>
      </c>
      <c r="L1" s="2" t="inlineStr">
        <is>
          <t>GRAM 14K
(net, parça)</t>
        </is>
      </c>
      <c r="M1" s="2" t="inlineStr">
        <is>
          <t>14K $/g
(her şey dahil ise)</t>
        </is>
      </c>
      <c r="N1" s="2" t="inlineStr">
        <is>
          <t>İŞÇİLİK USD
(parça başı)</t>
        </is>
      </c>
      <c r="O1" s="2" t="inlineStr">
        <is>
          <t>MİNE USD</t>
        </is>
      </c>
      <c r="P1" s="2" t="inlineStr">
        <is>
          <t>TAŞ + MIHLAMA
USD</t>
        </is>
      </c>
      <c r="Q1" s="2" t="inlineStr">
        <is>
          <t>DİĞER USD
(döküm, cila…)</t>
        </is>
      </c>
      <c r="R1" s="2" t="inlineStr">
        <is>
          <t>ÜRETİCİ NOTU</t>
        </is>
      </c>
      <c r="S1" s="1" t="inlineStr">
        <is>
          <t>TOPLAM MALİYET
USD (otomatik)</t>
        </is>
      </c>
    </row>
    <row r="2" ht="140" customHeight="1">
      <c r="A2" s="3" t="n">
        <v>1</v>
      </c>
      <c r="B2" s="3" t="inlineStr">
        <is>
          <t>B1</t>
        </is>
      </c>
      <c r="C2" s="4" t="n"/>
      <c r="D2" s="3" t="inlineStr">
        <is>
          <t>Bileklik</t>
        </is>
      </c>
      <c r="E2" s="5" t="inlineStr">
        <is>
          <t>North Star Bracelet</t>
        </is>
      </c>
      <c r="F2" s="3" t="inlineStr">
        <is>
          <t>kadın</t>
        </is>
      </c>
      <c r="G2" s="6" t="inlineStr">
        <is>
          <t>Kapali 16.5 cm + 2.0 cm uzatma (17.5 / 18.5 cm halkalari). Yildiz 11.0 mm uc-uca, cekirdek sekizgen r 2.4 (vadi kirisi 1.84), 8 kol esit; kol ucu 1.0 mm R0.5 (tum kollar). Plaka: cekirdek 1.1 mm duz; kollarda orta sirt 1.1 mm, iki faset, faset kenari bitmis 0.75 mm (&gt;=0.7); zincir eksenindeki 2 tasiyici kolun son 1.0 mm'si fasetsiz 1.1 mm. Model +0.2 bitirme +0.1 elmas tiras. Gobek O3.4 x 1.5 mm, alttan O0.8 delik. C-halkalar 1.0 kesit, ID1.2, bosluk 0.9 mm. Istasyon eksen boyu C-halkalarla 16.2 mm. Franco 1.5 mm x 13.48 cm.</t>
        </is>
      </c>
      <c r="H2" s="5" t="inlineStr">
        <is>
          <t>yok</t>
        </is>
      </c>
      <c r="I2" s="5" t="inlineStr">
        <is>
          <t>1 x 1,5 mm lab beyaz safir</t>
        </is>
      </c>
      <c r="J2" s="3" t="n">
        <v>11</v>
      </c>
      <c r="K2" s="7" t="n">
        <v>3.45</v>
      </c>
      <c r="L2" s="8" t="n"/>
      <c r="M2" s="9" t="n"/>
      <c r="N2" s="10" t="n"/>
      <c r="O2" s="10" t="n"/>
      <c r="P2" s="10" t="n"/>
      <c r="Q2" s="10" t="n"/>
      <c r="R2" s="11" t="n"/>
      <c r="S2" s="12">
        <f>IF($L2="","",$L2*N($M2)+N($N2)+N($O2)+N($P2)+N($Q2))</f>
        <v/>
      </c>
    </row>
    <row r="3" ht="140" customHeight="1">
      <c r="A3" s="3" t="n">
        <v>2</v>
      </c>
      <c r="B3" s="3" t="inlineStr">
        <is>
          <t>B2</t>
        </is>
      </c>
      <c r="C3" s="4" t="n"/>
      <c r="D3" s="3" t="inlineStr">
        <is>
          <t>Bileklik</t>
        </is>
      </c>
      <c r="E3" s="5" t="inlineStr">
        <is>
          <t>Icicle Fringe Bracelet</t>
        </is>
      </c>
      <c r="F3" s="3" t="inlineStr">
        <is>
          <t>kadın</t>
        </is>
      </c>
      <c r="G3" s="6" t="inlineStr">
        <is>
          <t>Kapali 16.5 cm + 2.0 cm uzatma. 7 sarkit: 8-9-10-12-10-9-8 mm, taban O2.2, uc O0.8 R0.4; spiral oluk &lt;=0.10 mm derin, ~0.3 mm genis, adim 1.5 mm, uca 2.0 mm kala biter (ucta O0.8 tam kesit korunur). Merkez-merkez 3.0 mm (komsu arasi 0.8 mm), sacak genisligi ~20.2 mm. Aralik cable baklasi adimina baglidir: hedef bakla adimi 1.5 mm, her 2. bakla = 3.0 mm; tedarikci adimi farkliysa (or. 1.2 mm) her 3. bakla = 3.6 mm kullanilir (sacak ~24 mm). C-kulp 1.0 kesit, ID1.2, bosluk 0.8. Cable 1.2 mm x 15.10 cm.</t>
        </is>
      </c>
      <c r="H3" s="5" t="inlineStr">
        <is>
          <t>yok</t>
        </is>
      </c>
      <c r="I3" s="5" t="inlineStr">
        <is>
          <t>yok</t>
        </is>
      </c>
      <c r="J3" s="3" t="n">
        <v>20.2</v>
      </c>
      <c r="K3" s="7" t="n">
        <v>3.37</v>
      </c>
      <c r="L3" s="8" t="n"/>
      <c r="M3" s="9" t="n"/>
      <c r="N3" s="10" t="n"/>
      <c r="O3" s="10" t="n"/>
      <c r="P3" s="10" t="n"/>
      <c r="Q3" s="10" t="n"/>
      <c r="R3" s="11" t="n"/>
      <c r="S3" s="12">
        <f>IF($L3="","",$L3*N($M3)+N($N3)+N($O3)+N($P3)+N($Q3))</f>
        <v/>
      </c>
    </row>
    <row r="4" ht="140" customHeight="1">
      <c r="A4" s="3" t="n">
        <v>3</v>
      </c>
      <c r="B4" s="3" t="inlineStr">
        <is>
          <t>B3</t>
        </is>
      </c>
      <c r="C4" s="4" t="n"/>
      <c r="D4" s="3" t="inlineStr">
        <is>
          <t>Bileklik</t>
        </is>
      </c>
      <c r="E4" s="5" t="inlineStr">
        <is>
          <t>Comet Trail Bracelet</t>
        </is>
      </c>
      <c r="F4" s="3" t="inlineStr">
        <is>
          <t>kadın</t>
        </is>
      </c>
      <c r="G4" s="6" t="inlineStr">
        <is>
          <t>Kapali 16.5 + 2.0 cm. Istasyon 19.0 mm (bas O5.0 + kuyruk 14.0 mm); C-halkalarla eksen boyu 24.2 mm; R29 mm'ye on-egrili. Bas: on yarisi 1.6 mm DUZ tas platformu, arka yarisi kuyruga dogru 1.6 -&gt; 1.4 mm egim (kubbe yok). Kuyruk 0-11 mm: genislik 3.0-&gt;2.3, kalinlik SABIT 1.4. Kuyruk 11-14 mm: genislik 2.3-&gt;1.2, kalinlik 1.4-&gt;1.0, uc R0.6. Kanal 11 mm, 1.2-&gt;0.9 genis, 0.55 derin. Taslar platformda +/-60 derece, merkezden 1.3 mm, aralarinda 0.75 mm. C-halka bosluk 1.1. Cuban 2.0 x 12.68 cm.</t>
        </is>
      </c>
      <c r="H4" s="5" t="inlineStr">
        <is>
          <t>buz mavisi</t>
        </is>
      </c>
      <c r="I4" s="5" t="inlineStr">
        <is>
          <t>2 x 1,5 mm lab beyaz safir</t>
        </is>
      </c>
      <c r="J4" s="3" t="n">
        <v>19</v>
      </c>
      <c r="K4" s="7" t="n">
        <v>3.29</v>
      </c>
      <c r="L4" s="8" t="n"/>
      <c r="M4" s="9" t="n"/>
      <c r="N4" s="10" t="n"/>
      <c r="O4" s="10" t="n"/>
      <c r="P4" s="10" t="n"/>
      <c r="Q4" s="10" t="n"/>
      <c r="R4" s="11" t="n"/>
      <c r="S4" s="12">
        <f>IF($L4="","",$L4*N($M4)+N($N4)+N($O4)+N($P4)+N($Q4))</f>
        <v/>
      </c>
    </row>
    <row r="5" ht="140" customHeight="1">
      <c r="A5" s="3" t="n">
        <v>4</v>
      </c>
      <c r="B5" s="3" t="inlineStr">
        <is>
          <t>B4</t>
        </is>
      </c>
      <c r="C5" s="4" t="n"/>
      <c r="D5" s="3" t="inlineStr">
        <is>
          <t>Bileklik</t>
        </is>
      </c>
      <c r="E5" s="5" t="inlineStr">
        <is>
          <t>Nazar Sunburst Bracelet</t>
        </is>
      </c>
      <c r="F5" s="3" t="inlineStr">
        <is>
          <t>kadın</t>
        </is>
      </c>
      <c r="G5" s="6" t="inlineStr">
        <is>
          <t>Kapali 16.5 + 2.0 cm. Disk O11.8 x 1.4 mm; 8 isin 2.4-&gt;1.0 mm genis, 1.6 mm boy, uc R0.5, 1.0 mm kalin; toplam O15.0; C-halkalarla eksen boyu 20.2 mm. Hucreler (GELENEKSEL nazar sirasi, distan iceri): dis bordur 0.70 (r5.2-5.9) | lacivert halka 0.7 (r4.5-5.2) | duvar 0.70 | beyaz halka 0.8 (r3.0-3.8) | duvar 0.70 | buz mavisi halka 0.7 (r1.6-2.3) | duvar 0.70 | lacivert gozbebegi O1.8 (r0-0.9). Hepsi 0.55 derin, taban 0.85. Arka DUZ. C-halkalar 3 ve 9 yonundeki isin uclarinda, bosluk 0.9. Box 1.0 x 13.08 cm.</t>
        </is>
      </c>
      <c r="H5" s="5" t="inlineStr">
        <is>
          <t>lacivert, beyaz, buz mavisi (nazar sirasi: distan iceri lacivert-beyaz-buz mavisi-lacivert)</t>
        </is>
      </c>
      <c r="I5" s="5" t="inlineStr">
        <is>
          <t>yok</t>
        </is>
      </c>
      <c r="J5" s="3" t="n">
        <v>15</v>
      </c>
      <c r="K5" s="7" t="n">
        <v>3.68</v>
      </c>
      <c r="L5" s="8" t="n"/>
      <c r="M5" s="9" t="n"/>
      <c r="N5" s="10" t="n"/>
      <c r="O5" s="10" t="n"/>
      <c r="P5" s="10" t="n"/>
      <c r="Q5" s="10" t="n"/>
      <c r="R5" s="11" t="n"/>
      <c r="S5" s="12">
        <f>IF($L5="","",$L5*N($M5)+N($N5)+N($O5)+N($P5)+N($Q5))</f>
        <v/>
      </c>
    </row>
    <row r="6" ht="140" customHeight="1">
      <c r="A6" s="3" t="n">
        <v>5</v>
      </c>
      <c r="B6" s="3" t="inlineStr">
        <is>
          <t>B5</t>
        </is>
      </c>
      <c r="C6" s="4" t="n"/>
      <c r="D6" s="3" t="inlineStr">
        <is>
          <t>Bileklik</t>
        </is>
      </c>
      <c r="E6" s="5" t="inlineStr">
        <is>
          <t>Hamsa Eye Bracelet</t>
        </is>
      </c>
      <c r="F6" s="3" t="inlineStr">
        <is>
          <t>kadın</t>
        </is>
      </c>
      <c r="G6" s="6" t="inlineStr">
        <is>
          <t>Kapali 16.5 + 2.0 cm. Hamsa 10.0 x 12.0 x 1.0 mm (avuc 8.0 x 6.0; parmaklar 1.8 mm genis, aralarinda 1.3 mm tam boy acik yarik). Goz kabartmasi O3.4 x 1.8 mm. Badem cerceve merkez hatti 6.5 x 4.8 mm (cevre ~18 mm), kabartma 0.6 genis x 0.4 yuksek; ic acikligi ~5.9 x 4.2 -&gt; kabartmayla bosluk &gt;=0.4 mm (&gt;=0.3). Avucta kenar payi ~0.6 mm. C-halkalar iki basparmak ucunda, bosluk 0.9; eksen boyu 15.2 mm. Franco 1.3 x 13.58 cm.</t>
        </is>
      </c>
      <c r="H6" s="5" t="inlineStr">
        <is>
          <t>yok</t>
        </is>
      </c>
      <c r="I6" s="5" t="inlineStr">
        <is>
          <t>1 x 2,0 mm lab buz mavisi safir</t>
        </is>
      </c>
      <c r="J6" s="3" t="n">
        <v>12</v>
      </c>
      <c r="K6" s="7" t="n">
        <v>3.53</v>
      </c>
      <c r="L6" s="8" t="n"/>
      <c r="M6" s="9" t="n"/>
      <c r="N6" s="10" t="n"/>
      <c r="O6" s="10" t="n"/>
      <c r="P6" s="10" t="n"/>
      <c r="Q6" s="10" t="n"/>
      <c r="R6" s="11" t="n"/>
      <c r="S6" s="12">
        <f>IF($L6="","",$L6*N($M6)+N($N6)+N($O6)+N($P6)+N($Q6))</f>
        <v/>
      </c>
    </row>
    <row r="7" ht="140" customHeight="1">
      <c r="A7" s="3" t="n">
        <v>6</v>
      </c>
      <c r="B7" s="3" t="inlineStr">
        <is>
          <t>B6</t>
        </is>
      </c>
      <c r="C7" s="4" t="n"/>
      <c r="D7" s="3" t="inlineStr">
        <is>
          <t>Bileklik</t>
        </is>
      </c>
      <c r="E7" s="5" t="inlineStr">
        <is>
          <t>Snaffle Bit Bracelet</t>
        </is>
      </c>
      <c r="F7" s="3" t="inlineStr">
        <is>
          <t>unisex</t>
        </is>
      </c>
      <c r="G7" s="6" t="inlineStr">
        <is>
          <t>Kapali 16.5 + 2.0 cm. Istasyon 22.2 mm = D 5.0 + bar 3.0 + gecme halkalar (OD4.6 + ID1.6 = 6.2) + bar 3.0 + D 5.0; C-halkalarla eksen boyu 27.4 mm. D plaka 7.5 yuksek x 5.0 derin x 1.4 (dikdortgen 7.5 x 1.25 + yarim daire r3.75); ic delik O1.8, merkezi duz kenardan 1.9 mm -&gt; duz bar 1.0 mm, egri bant tepe noktada 2.2 mm (kanal 0.75 + 2 x 0.70 = 2.15 sigar). Egri kanal ~7.5 mm yay x 0.75 x 0.55, yalniz D tepesinin iki yaninda; dis C-halka D'nin egri tepesinde dis duvara kokludur. Agizlik yarilari O1.5 x 3.0; gecme halkalar 1.5 kesit, ID1.6; sag halka 1.6 mm bosluklu (gecen tel 1.5 + 0.1). Dis C-halka bosluk 1.1. Cuban 1.8 x 12.36 cm.</t>
        </is>
      </c>
      <c r="H7" s="5" t="inlineStr">
        <is>
          <t>derin yesim yesili</t>
        </is>
      </c>
      <c r="I7" s="5" t="inlineStr">
        <is>
          <t>yok</t>
        </is>
      </c>
      <c r="J7" s="3" t="n">
        <v>22.2</v>
      </c>
      <c r="K7" s="7" t="n">
        <v>3.69</v>
      </c>
      <c r="L7" s="8" t="n"/>
      <c r="M7" s="9" t="n"/>
      <c r="N7" s="10" t="n"/>
      <c r="O7" s="10" t="n"/>
      <c r="P7" s="10" t="n"/>
      <c r="Q7" s="10" t="n"/>
      <c r="R7" s="11" t="n"/>
      <c r="S7" s="12">
        <f>IF($L7="","",$L7*N($M7)+N($N7)+N($O7)+N($P7)+N($Q7))</f>
        <v/>
      </c>
    </row>
    <row r="8" ht="140" customHeight="1">
      <c r="A8" s="3" t="n">
        <v>7</v>
      </c>
      <c r="B8" s="3" t="inlineStr">
        <is>
          <t>B7</t>
        </is>
      </c>
      <c r="C8" s="4" t="n"/>
      <c r="D8" s="3" t="inlineStr">
        <is>
          <t>Bileklik</t>
        </is>
      </c>
      <c r="E8" s="5" t="inlineStr">
        <is>
          <t>Stirrup Link Bracelet</t>
        </is>
      </c>
      <c r="F8" s="3" t="inlineStr">
        <is>
          <t>kadın</t>
        </is>
      </c>
      <c r="G8" s="6" t="inlineStr">
        <is>
          <t>Kapali 16.5 + 2.0 cm. Merkez uzengi: 8.5 yuksek, ic genislik 4.2, tread 7.5 x 1.8 x 1.0, kemer merkez hatti 16.9 mm. Yanlar: 6.5 yuksek, ic genislik 3.2, tread 5.5 x 1.6 x 1.0, kemer merkez hatti 12.3 mm. Kemer bitmis 1.3 x 1.1 (model 1.6 x 1.4; kucuk resim okunurlugu icin 1.2 x 1.0'dan buyutuldu). Tas boss 2.4 x 2.4 x 1.5. Eksen boylari 12.7 / 10.7 / 10.7 mm. Franco 1.3 toplam 11.69 cm, 4 segment: 4.52 + 1.33 + 1.33 + 4.52 cm; istasyonlar arasi 13.3 mm. C-halka bosluk 0.9.</t>
        </is>
      </c>
      <c r="H8" s="5" t="inlineStr">
        <is>
          <t>yok</t>
        </is>
      </c>
      <c r="I8" s="5" t="inlineStr">
        <is>
          <t>3 x 1,5 mm lab beyaz safir</t>
        </is>
      </c>
      <c r="J8" s="3" t="n">
        <v>8.5</v>
      </c>
      <c r="K8" s="7" t="n">
        <v>3.64</v>
      </c>
      <c r="L8" s="8" t="n"/>
      <c r="M8" s="9" t="n"/>
      <c r="N8" s="10" t="n"/>
      <c r="O8" s="10" t="n"/>
      <c r="P8" s="10" t="n"/>
      <c r="Q8" s="10" t="n"/>
      <c r="R8" s="11" t="n"/>
      <c r="S8" s="12">
        <f>IF($L8="","",$L8*N($M8)+N($N8)+N($O8)+N($P8)+N($Q8))</f>
        <v/>
      </c>
    </row>
    <row r="9" ht="140" customHeight="1">
      <c r="A9" s="3" t="n">
        <v>8</v>
      </c>
      <c r="B9" s="3" t="inlineStr">
        <is>
          <t>B8</t>
        </is>
      </c>
      <c r="C9" s="4" t="n"/>
      <c r="D9" s="3" t="inlineStr">
        <is>
          <t>Bileklik</t>
        </is>
      </c>
      <c r="E9" s="5" t="inlineStr">
        <is>
          <t>Cardinal Perch Bracelet</t>
        </is>
      </c>
      <c r="F9" s="3" t="inlineStr">
        <is>
          <t>kadın</t>
        </is>
      </c>
      <c r="G9" s="6" t="inlineStr">
        <is>
          <t>Kapali 16.5 + 2.0 cm. Kus 10.5 x 8.5 x 1.4 mm (goz yerinde 1.5); govde ve kanat duz, parlak, dokusuz altin (kanatta kazima/tuy yok); 2 openwork (kanat arkasi 1.3, kuyruk alti 1.1 mm); gogus hucresi ~14.5 mm2, en dar 1.6 mm, 0.55 derin; cevre duvar 0.70. Tas mineden 1.2 mm. C-halkalar kuyruk ucu ve gogus onunde 1.5 mm ciplak pedde, bosluk 0.9; eksen boyu 15.7 mm. Franco 1.5 x 13.53 cm.</t>
        </is>
      </c>
      <c r="H9" s="5" t="inlineStr">
        <is>
          <t>derin bogurtlen</t>
        </is>
      </c>
      <c r="I9" s="5" t="inlineStr">
        <is>
          <t>1 x 1,5 mm lab beyaz safir</t>
        </is>
      </c>
      <c r="J9" s="3" t="n">
        <v>10.5</v>
      </c>
      <c r="K9" s="7" t="n">
        <v>3.52</v>
      </c>
      <c r="L9" s="8" t="n"/>
      <c r="M9" s="9" t="n"/>
      <c r="N9" s="10" t="n"/>
      <c r="O9" s="10" t="n"/>
      <c r="P9" s="10" t="n"/>
      <c r="Q9" s="10" t="n"/>
      <c r="R9" s="11" t="n"/>
      <c r="S9" s="12">
        <f>IF($L9="","",$L9*N($M9)+N($N9)+N($O9)+N($P9)+N($Q9))</f>
        <v/>
      </c>
    </row>
    <row r="10" ht="140" customHeight="1">
      <c r="A10" s="3" t="n">
        <v>9</v>
      </c>
      <c r="B10" s="3" t="inlineStr">
        <is>
          <t>B9</t>
        </is>
      </c>
      <c r="C10" s="4" t="n"/>
      <c r="D10" s="3" t="inlineStr">
        <is>
          <t>Bileklik</t>
        </is>
      </c>
      <c r="E10" s="5" t="inlineStr">
        <is>
          <t>Ice Crystal Hexagon Bracelet</t>
        </is>
      </c>
      <c r="F10" s="3" t="inlineStr">
        <is>
          <t>kadın</t>
        </is>
      </c>
      <c r="G10" s="6" t="inlineStr">
        <is>
          <t>Kapali 16.5 + 2.0 cm. Altigen kose-kose 11.0 / kenar-kenar 9.53 x 1.4 mm (gobekte 1.5); koseler R0.5; bordur 0.80. TEK altigen halka hucre: dis kenar-kenar 7.93, ic sinir = gobek altigeni kenar-kenar 3.1; radyal genislik 2.41 mm (kenar-kenar yonunde), 0.55 derin, taban 0.85, alan ~46.1 mm2. Sirt yok (6 sirtli sektorlu levha kar tanesi okumasi riski nedeniyle kaldirildi). Tas gobekte, mineye 0.8 mm. C-halkalar iki karsi kenarin ortasinda, bosluk 0.9; C-halkalarla eksen boyu 14.7 mm. Franco 1.3 x 13.63 cm.</t>
        </is>
      </c>
      <c r="H10" s="5" t="inlineStr">
        <is>
          <t>buz mavisi</t>
        </is>
      </c>
      <c r="I10" s="5" t="inlineStr">
        <is>
          <t>1 x 1,5 mm lab beyaz safir</t>
        </is>
      </c>
      <c r="J10" s="3" t="n">
        <v>11</v>
      </c>
      <c r="K10" s="7" t="n">
        <v>3.4</v>
      </c>
      <c r="L10" s="8" t="n"/>
      <c r="M10" s="9" t="n"/>
      <c r="N10" s="10" t="n"/>
      <c r="O10" s="10" t="n"/>
      <c r="P10" s="10" t="n"/>
      <c r="Q10" s="10" t="n"/>
      <c r="R10" s="11" t="n"/>
      <c r="S10" s="12">
        <f>IF($L10="","",$L10*N($M10)+N($N10)+N($O10)+N($P10)+N($Q10))</f>
        <v/>
      </c>
    </row>
    <row r="11" ht="140" customHeight="1">
      <c r="A11" s="3" t="n">
        <v>10</v>
      </c>
      <c r="B11" s="3" t="inlineStr">
        <is>
          <t>B10</t>
        </is>
      </c>
      <c r="C11" s="4" t="n"/>
      <c r="D11" s="3" t="inlineStr">
        <is>
          <t>Bileklik</t>
        </is>
      </c>
      <c r="E11" s="5" t="inlineStr">
        <is>
          <t>Scarab Amulet Bracelet</t>
        </is>
      </c>
      <c r="F11" s="3" t="inlineStr">
        <is>
          <t>unisex</t>
        </is>
      </c>
      <c r="G11" s="6" t="inlineStr">
        <is>
          <t>Kapali 16.5 + 2.0 cm. Zarf bacaklar dahil 8.0 x 11.0 mm; govde 6.4 x 9.5 mm; kalinlik kenarda 1.45, kubbe tepesinde 1.6; on kalkan (pronotum) yerel 1.4. Elytra hucreleri 2 x ~10 mm2, genislik ~2.15 (= (6.4 - 2 x 0.70 - 0.70) / 2), 0.55 derin, taban 0.9; omurga 0.70; dis duvar 0.70. On kalkanda 5 yelpaze yarik (0.8 genis) ve 6 nokta (O0.6 x 0.4). 6 bacak 0.8 genis, uc R0.4, bacak araliklari 0.8. C-halkalar bas ve kuyruk ucunda 1.2 mm ciplak pedde, bosluk 1.1; eksen boyu 16.2 mm. Cuban 2.0 x 13.48 cm.</t>
        </is>
      </c>
      <c r="H11" s="5" t="inlineStr">
        <is>
          <t>derin yesim yesili</t>
        </is>
      </c>
      <c r="I11" s="5" t="inlineStr">
        <is>
          <t>yok</t>
        </is>
      </c>
      <c r="J11" s="3" t="n">
        <v>11</v>
      </c>
      <c r="K11" s="7" t="n">
        <v>3.41</v>
      </c>
      <c r="L11" s="8" t="n"/>
      <c r="M11" s="9" t="n"/>
      <c r="N11" s="10" t="n"/>
      <c r="O11" s="10" t="n"/>
      <c r="P11" s="10" t="n"/>
      <c r="Q11" s="10" t="n"/>
      <c r="R11" s="11" t="n"/>
      <c r="S11" s="12">
        <f>IF($L11="","",$L11*N($M11)+N($N11)+N($O11)+N($P11)+N($Q11))</f>
        <v/>
      </c>
    </row>
    <row r="12" ht="140" customHeight="1">
      <c r="A12" s="3" t="n">
        <v>11</v>
      </c>
      <c r="B12" s="3" t="inlineStr">
        <is>
          <t>N1</t>
        </is>
      </c>
      <c r="C12" s="4" t="n"/>
      <c r="D12" s="3" t="inlineStr">
        <is>
          <t>Kolye</t>
        </is>
      </c>
      <c r="E12" s="5" t="inlineStr">
        <is>
          <t>Guiding Star Openwork Pendant</t>
        </is>
      </c>
      <c r="F12" s="3" t="inlineStr">
        <is>
          <t>kadın</t>
        </is>
      </c>
      <c r="G12" s="6" t="inlineStr">
        <is>
          <t>Yildiz 18.0 x 23.0 mm (7 kol R9.0, alt kol R14.0, vadi r4.2) + kulp D4.0 -&gt; toplam boy ~27 mm. Ray bitmis 1.0 gen x 0.9 kal (model 1.2 x 1.2: +0.2 bitirme, on yuz elmas tiras +0.1). Merkez gobek D4.5 x 1.1, ortada D2.0 yuvarlak delik. 8 vadi kirisi 1.95 x 0.8 x 0.9; alt kol orta kaburgasi 11.25 x 0.8 x 0.9. Kulp kesit 1.0 x 1.6, ic cap 2.0.</t>
        </is>
      </c>
      <c r="H12" s="5" t="inlineStr">
        <is>
          <t>yok</t>
        </is>
      </c>
      <c r="I12" s="5" t="inlineStr">
        <is>
          <t>yok</t>
        </is>
      </c>
      <c r="J12" s="3" t="n">
        <v>23</v>
      </c>
      <c r="K12" s="7" t="n">
        <v>4.07</v>
      </c>
      <c r="L12" s="8" t="n"/>
      <c r="M12" s="9" t="n"/>
      <c r="N12" s="10" t="n"/>
      <c r="O12" s="10" t="n"/>
      <c r="P12" s="10" t="n"/>
      <c r="Q12" s="10" t="n"/>
      <c r="R12" s="11" t="n"/>
      <c r="S12" s="12">
        <f>IF($L12="","",$L12*N($M12)+N($N12)+N($O12)+N($P12)+N($Q12))</f>
        <v/>
      </c>
    </row>
    <row r="13" ht="140" customHeight="1">
      <c r="A13" s="3" t="n">
        <v>12</v>
      </c>
      <c r="B13" s="3" t="inlineStr">
        <is>
          <t>N2</t>
        </is>
      </c>
      <c r="C13" s="4" t="n"/>
      <c r="D13" s="3" t="inlineStr">
        <is>
          <t>Kolye</t>
        </is>
      </c>
      <c r="E13" s="5" t="inlineStr">
        <is>
          <t>Comet Pendant</t>
        </is>
      </c>
      <c r="F13" s="3" t="inlineStr">
        <is>
          <t>kadın</t>
        </is>
      </c>
      <c r="G13" s="6" t="inlineStr">
        <is>
          <t>Toplam ~31 mm capraz (bas D6.0 + kuyruk 26 mm). Bas: D6.0, kenar 1.0, merkez 1.8 (kure kapak). Ana kuyruk rayi 26 mm, genislik 1.6-&gt;1.0, kalinlik 1.0. Ikinci ray 18 x 1.0 x 1.0. 3 capraz baglanti 0.8 gen x 1.0, raylar arasi 1.8. Tas pedleri: 1.8 mm tas icin D2.8 x 1.7; 1.5 mm taslar icin D2.4 x 1.5. Kuyruk ucu r0.5. Kulp kesit 1.0 x 1.6 (bas arkasi ust-yan).</t>
        </is>
      </c>
      <c r="H13" s="5" t="inlineStr">
        <is>
          <t>yok</t>
        </is>
      </c>
      <c r="I13" s="5" t="inlineStr">
        <is>
          <t>1 x 2,0 + 1 x 1,8 + 2 x 1,5 mm lab beyaz safir</t>
        </is>
      </c>
      <c r="J13" s="3" t="n">
        <v>31</v>
      </c>
      <c r="K13" s="7" t="n">
        <v>4.1</v>
      </c>
      <c r="L13" s="8" t="n"/>
      <c r="M13" s="9" t="n"/>
      <c r="N13" s="10" t="n"/>
      <c r="O13" s="10" t="n"/>
      <c r="P13" s="10" t="n"/>
      <c r="Q13" s="10" t="n"/>
      <c r="R13" s="11" t="n"/>
      <c r="S13" s="12">
        <f>IF($L13="","",$L13*N($M13)+N($N13)+N($O13)+N($P13)+N($Q13))</f>
        <v/>
      </c>
    </row>
    <row r="14" ht="140" customHeight="1">
      <c r="A14" s="3" t="n">
        <v>13</v>
      </c>
      <c r="B14" s="3" t="inlineStr">
        <is>
          <t>N3</t>
        </is>
      </c>
      <c r="C14" s="4" t="n"/>
      <c r="D14" s="3" t="inlineStr">
        <is>
          <t>Kolye</t>
        </is>
      </c>
      <c r="E14" s="5" t="inlineStr">
        <is>
          <t>Crescent Evil Eye Pendant</t>
        </is>
      </c>
      <c r="F14" s="3" t="inlineStr">
        <is>
          <t>kadın</t>
        </is>
      </c>
      <c r="G14" s="6" t="inlineStr">
        <is>
          <t>Disk D9.2 x 1.35 (hucre 0.55 + taban 0.80). Hucreler: gozbebegi D1.8; beyaz halka r1.6-2.4 (0.8 gen); lacivert halka r3.1-3.9 (0.8 gen); hucre arasi ve cevre altin duvar 0.7. Hilal: dis daire R6.0 (merkez y=-1.0), ic daire R5.6 (merkez y=+1.8), t=1.0; diskle alt 130 derecelik yay boyunca kaynasik (0.8 bindirme); hilal-disk araligi uclarda &gt;=0.6, daha darsa kati dolgu. Boynuz uclari D2.4 x 1.5 ped (merkez +/-6.45, 0.4). Boyun min kesit 1.0 x 1.0. Toplam 15.3 x 11.6 mm + arka kulp.</t>
        </is>
      </c>
      <c r="H14" s="5" t="inlineStr">
        <is>
          <t>lacivert + beyaz (nazar)</t>
        </is>
      </c>
      <c r="I14" s="5" t="inlineStr">
        <is>
          <t>2 x 1,5 mm açık buz mavisi lab safir</t>
        </is>
      </c>
      <c r="J14" s="3" t="n">
        <v>15.3</v>
      </c>
      <c r="K14" s="7" t="n">
        <v>4.01</v>
      </c>
      <c r="L14" s="8" t="n"/>
      <c r="M14" s="9" t="n"/>
      <c r="N14" s="10" t="n"/>
      <c r="O14" s="10" t="n"/>
      <c r="P14" s="10" t="n"/>
      <c r="Q14" s="10" t="n"/>
      <c r="R14" s="11" t="n"/>
      <c r="S14" s="12">
        <f>IF($L14="","",$L14*N($M14)+N($N14)+N($O14)+N($P14)+N($Q14))</f>
        <v/>
      </c>
    </row>
    <row r="15" ht="140" customHeight="1">
      <c r="A15" s="3" t="n">
        <v>14</v>
      </c>
      <c r="B15" s="3" t="inlineStr">
        <is>
          <t>N4</t>
        </is>
      </c>
      <c r="C15" s="4" t="n"/>
      <c r="D15" s="3" t="inlineStr">
        <is>
          <t>Kolye</t>
        </is>
      </c>
      <c r="E15" s="5" t="inlineStr">
        <is>
          <t>Hamsa Openwork Pendant</t>
        </is>
      </c>
      <c r="F15" s="3" t="inlineStr">
        <is>
          <t>kadın</t>
        </is>
      </c>
      <c r="G15" s="6" t="inlineStr">
        <is>
          <t>El 14.0 x 18.0 mm; dis hat rayi 1.0 gen x 0.9 kal (model 1.2 x 1.2), cevre ~72 mm. Avuc plakasi elips 9.4 x 7.6 x 1.0. Badem goz acikligi 8.0 x 4.4; goz cizgisi kopru 0.7 gen x 1.0; gozbebegi gobegi D2.4 x 1.5. Badem acikligi kopru ve gobekle 4 parcaya bolunur; her biri 0.6 mm genislige indigi yerde r0.3 ile kapanir (acik uzunluk ~2.0, max yukseklik 1.7). Basparmak uc pedleri D2.4 x 1.5. Parmak ici bosluklar &gt;=0.8. Kulp 1.0 x 1.6.</t>
        </is>
      </c>
      <c r="H15" s="5" t="inlineStr">
        <is>
          <t>yok</t>
        </is>
      </c>
      <c r="I15" s="5" t="inlineStr">
        <is>
          <t>1 x 1,5 mm buz mavisi + 2 x 1,5 mm beyaz lab safir</t>
        </is>
      </c>
      <c r="J15" s="3" t="n">
        <v>18</v>
      </c>
      <c r="K15" s="7" t="n">
        <v>3.98</v>
      </c>
      <c r="L15" s="8" t="n"/>
      <c r="M15" s="9" t="n"/>
      <c r="N15" s="10" t="n"/>
      <c r="O15" s="10" t="n"/>
      <c r="P15" s="10" t="n"/>
      <c r="Q15" s="10" t="n"/>
      <c r="R15" s="11" t="n"/>
      <c r="S15" s="12">
        <f>IF($L15="","",$L15*N($M15)+N($N15)+N($O15)+N($P15)+N($Q15))</f>
        <v/>
      </c>
    </row>
    <row r="16" ht="140" customHeight="1">
      <c r="A16" s="3" t="n">
        <v>15</v>
      </c>
      <c r="B16" s="3" t="inlineStr">
        <is>
          <t>N5</t>
        </is>
      </c>
      <c r="C16" s="4" t="n"/>
      <c r="D16" s="3" t="inlineStr">
        <is>
          <t>Kolye</t>
        </is>
      </c>
      <c r="E16" s="5" t="inlineStr">
        <is>
          <t>Icicle Pendant</t>
        </is>
      </c>
      <c r="F16" s="3" t="inlineStr">
        <is>
          <t>kadın</t>
        </is>
      </c>
      <c r="G16" s="6" t="inlineStr">
        <is>
          <t>Boy 23 mm (yaka ustu - uc), govde ust D4.2 -&gt; uc D0.8 (r0.4 yarim kure). Yaka D4.6 x 1.8 kati, fasetli. Bosluk z=1.8..15.0, duvar 0.80 sabit (ic koni dis yuzeyle AYNI yari-aci); alttaki 8 mm kati. 2 tahliye deligi D1.6 arka yuzde (z=3 kulp altinda, z=12 kaburga ucunda). 4 kaburga 0.6 gen x 0.4 yuk x 12 mm. On tas pedi D2.4, 0.7 cikinti, z=0.6-3.0 (ust yarisi kati yakaya basar). Kulp 1.0 x 1.6. Toplam boy kulpla ~27 mm.</t>
        </is>
      </c>
      <c r="H16" s="5" t="inlineStr">
        <is>
          <t>yok</t>
        </is>
      </c>
      <c r="I16" s="5" t="inlineStr">
        <is>
          <t>1 x 1,5 mm açık buz mavisi lab safir</t>
        </is>
      </c>
      <c r="J16" s="3" t="n">
        <v>23</v>
      </c>
      <c r="K16" s="7" t="n">
        <v>4.15</v>
      </c>
      <c r="L16" s="8" t="n"/>
      <c r="M16" s="9" t="n"/>
      <c r="N16" s="10" t="n"/>
      <c r="O16" s="10" t="n"/>
      <c r="P16" s="10" t="n"/>
      <c r="Q16" s="10" t="n"/>
      <c r="R16" s="11" t="n"/>
      <c r="S16" s="12">
        <f>IF($L16="","",$L16*N($M16)+N($N16)+N($O16)+N($P16)+N($Q16))</f>
        <v/>
      </c>
    </row>
    <row r="17" ht="140" customHeight="1">
      <c r="A17" s="3" t="n">
        <v>16</v>
      </c>
      <c r="B17" s="3" t="inlineStr">
        <is>
          <t>N6</t>
        </is>
      </c>
      <c r="C17" s="4" t="n"/>
      <c r="D17" s="3" t="inlineStr">
        <is>
          <t>Kolye</t>
        </is>
      </c>
      <c r="E17" s="5" t="inlineStr">
        <is>
          <t>Window Frost Enamel Bar</t>
        </is>
      </c>
      <c r="F17" s="3" t="inlineStr">
        <is>
          <t>kadın</t>
        </is>
      </c>
      <c r="G17" s="6" t="inlineStr">
        <is>
          <t>Plaka 6.5 x 17.0 x 1.40 (kose r1.5); cevre altin cerceve 0.7; ic alan 79.0 mm2. Dendrit: cekirdek sol-alt kosede, 3 ana eksen yalniz 3 altigen yonde (0, 60, 120 derece; ortak eksen yok, simetri yok), ana eksenlerin 3'u de cerceveye ulasir; 4 ikincil dal 1.5 mm, 60 derece, tek tarafli, uclari r0.35 serbest (tam yukseklikte duvar, kabartma degil). Toplam dendrit merkez-hatti ~30 mm, duvar 0.7. 5 hucre, en dar hucre genisligi 0.9. Mine 58 mm2 x 0.55 derin; taban 0.85.</t>
        </is>
      </c>
      <c r="H17" s="5" t="inlineStr">
        <is>
          <t>buz mavisi</t>
        </is>
      </c>
      <c r="I17" s="5" t="inlineStr">
        <is>
          <t>yok</t>
        </is>
      </c>
      <c r="J17" s="3" t="n">
        <v>17</v>
      </c>
      <c r="K17" s="7" t="n">
        <v>4</v>
      </c>
      <c r="L17" s="8" t="n"/>
      <c r="M17" s="9" t="n"/>
      <c r="N17" s="10" t="n"/>
      <c r="O17" s="10" t="n"/>
      <c r="P17" s="10" t="n"/>
      <c r="Q17" s="10" t="n"/>
      <c r="R17" s="11" t="n"/>
      <c r="S17" s="12">
        <f>IF($L17="","",$L17*N($M17)+N($N17)+N($O17)+N($P17)+N($Q17))</f>
        <v/>
      </c>
    </row>
    <row r="18" ht="140" customHeight="1">
      <c r="A18" s="3" t="n">
        <v>17</v>
      </c>
      <c r="B18" s="3" t="inlineStr">
        <is>
          <t>N7</t>
        </is>
      </c>
      <c r="C18" s="4" t="n"/>
      <c r="D18" s="3" t="inlineStr">
        <is>
          <t>Kolye</t>
        </is>
      </c>
      <c r="E18" s="5" t="inlineStr">
        <is>
          <t>Angel Wing Pendant</t>
        </is>
      </c>
      <c r="F18" s="3" t="inlineStr">
        <is>
          <t>kadın</t>
        </is>
      </c>
      <c r="G18" s="6" t="inlineStr">
        <is>
          <t>Kanat 9.0 x 16.0 x 0.9 (model 1.2: +0.2 bitirme +0.1 elmas tiras). Ortu tuyu bandi 9 x 5 (3 yuvarlak tarak). 6 birincil tuy 1.0 gen (6 x 1.0 + 5 x 0.6 = 9.0), boylar 9.5/9.0/8.5/8.0/7.5/6.5 icten disa, aralarinda 0.6 yarik; yariklar alt kenara kadar ACIK, uclar serbest konsol (gorsele esitlendi 2026-10-18). Gram: tuy hacmi 47.97 -&gt; 44.3 mm3 ve kapama metali 3.24 mm3 kalkti = -0.09 g; uc 1.29 -&gt; 1.20 g, toplam altin 4.14 -&gt; 4.05 g. Uc r0.5 (1.0 mm tuyun tam yuvarlak ucu). Omuz tas pedi D2.4 x 1.5. Kulp 1.0 x 1.6.</t>
        </is>
      </c>
      <c r="H18" s="5" t="inlineStr">
        <is>
          <t>yok</t>
        </is>
      </c>
      <c r="I18" s="5" t="inlineStr">
        <is>
          <t>1 x 1,5 mm lab beyaz safir</t>
        </is>
      </c>
      <c r="J18" s="3" t="n">
        <v>14.5</v>
      </c>
      <c r="K18" s="7" t="n">
        <v>4.05</v>
      </c>
      <c r="L18" s="8" t="n"/>
      <c r="M18" s="9" t="n"/>
      <c r="N18" s="10" t="n"/>
      <c r="O18" s="10" t="n"/>
      <c r="P18" s="10" t="n"/>
      <c r="Q18" s="10" t="n"/>
      <c r="R18" s="11" t="n"/>
      <c r="S18" s="12">
        <f>IF($L18="","",$L18*N($M18)+N($N18)+N($O18)+N($P18)+N($Q18))</f>
        <v/>
      </c>
    </row>
    <row r="19" ht="140" customHeight="1">
      <c r="A19" s="3" t="n">
        <v>18</v>
      </c>
      <c r="B19" s="3" t="inlineStr">
        <is>
          <t>N8</t>
        </is>
      </c>
      <c r="C19" s="4" t="n"/>
      <c r="D19" s="3" t="inlineStr">
        <is>
          <t>Kolye</t>
        </is>
      </c>
      <c r="E19" s="5" t="inlineStr">
        <is>
          <t>Snaffle Bit Necklace</t>
        </is>
      </c>
      <c r="F19" s="3" t="inlineStr">
        <is>
          <t>kadın</t>
        </is>
      </c>
      <c r="G19" s="6" t="inlineStr">
        <is>
          <t>Yanak halkasi dis D9.0, tel D1.3 (ic D6.4). Agizlik yarisi 6.5 mm (goz merkezleri arasi), D1.3-&gt;1.0. Orta gozler R1.45 tel D1.1 (ic D1.8; gecen tel 1.1 -&gt; bosluk 0.7). Dis gozler R1.6 tel D1.1 (ic D2.1; halka teli 1.3 -&gt; bosluk 0.8). Toplam genislik ~33 mm, yukseklik 9 mm. Tas pedleri halka 12 yonu on yuz D2.4 x 1.5. Kaynaklar 6 yonu (alt).</t>
        </is>
      </c>
      <c r="H19" s="5" t="inlineStr">
        <is>
          <t>yok</t>
        </is>
      </c>
      <c r="I19" s="5" t="inlineStr">
        <is>
          <t>2 x 1,5 mm lab beyaz safir</t>
        </is>
      </c>
      <c r="J19" s="3" t="n">
        <v>33</v>
      </c>
      <c r="K19" s="7" t="n">
        <v>3.7</v>
      </c>
      <c r="L19" s="8" t="n"/>
      <c r="M19" s="9" t="n"/>
      <c r="N19" s="10" t="n"/>
      <c r="O19" s="10" t="n"/>
      <c r="P19" s="10" t="n"/>
      <c r="Q19" s="10" t="n"/>
      <c r="R19" s="11" t="n"/>
      <c r="S19" s="12">
        <f>IF($L19="","",$L19*N($M19)+N($N19)+N($O19)+N($P19)+N($Q19))</f>
        <v/>
      </c>
    </row>
    <row r="20" ht="140" customHeight="1">
      <c r="A20" s="3" t="n">
        <v>19</v>
      </c>
      <c r="B20" s="3" t="inlineStr">
        <is>
          <t>N9</t>
        </is>
      </c>
      <c r="C20" s="4" t="n"/>
      <c r="D20" s="3" t="inlineStr">
        <is>
          <t>Kolye</t>
        </is>
      </c>
      <c r="E20" s="5" t="inlineStr">
        <is>
          <t>Stirrup Slider Pendant</t>
        </is>
      </c>
      <c r="F20" s="3" t="inlineStr">
        <is>
          <t>kadın</t>
        </is>
      </c>
      <c r="G20" s="6" t="inlineStr">
        <is>
          <t>Dis 13 x 16 mm. Kemer rayi 1.6 gen x 1.2 kal, merkez-hat yari elips a=5.7 b=12.5, uzunluk 29.6 mm (Ramanujan). Ust cubuk 6.0 x 3.6 x 1.4, yarik 4.0 x 1.6 (yarik cevresinde her yonde 1.0 duvar), yarik kenarlari r0.4. Basamak 12.0 x 2.6 x 1.5: kenar raylari 0.7, uc duvarlar 0.7, mine paneli 10.6 x 1.2 raylardan 0.1 asagida; 4 hucre 2.12 x 1.2 x 0.55, 3 kaburga 0.7 (gorsele esitlendi 2026-10-18: bir kaburga eksik, altin -0.006 g, gram degismedi); taban 0.85.</t>
        </is>
      </c>
      <c r="H20" s="5" t="inlineStr">
        <is>
          <t>derin yeşil (jade)</t>
        </is>
      </c>
      <c r="I20" s="5" t="inlineStr">
        <is>
          <t>yok</t>
        </is>
      </c>
      <c r="J20" s="3" t="n">
        <v>16</v>
      </c>
      <c r="K20" s="7" t="n">
        <v>3.89</v>
      </c>
      <c r="L20" s="8" t="n"/>
      <c r="M20" s="9" t="n"/>
      <c r="N20" s="10" t="n"/>
      <c r="O20" s="10" t="n"/>
      <c r="P20" s="10" t="n"/>
      <c r="Q20" s="10" t="n"/>
      <c r="R20" s="11" t="n"/>
      <c r="S20" s="12">
        <f>IF($L20="","",$L20*N($M20)+N($N20)+N($O20)+N($P20)+N($Q20))</f>
        <v/>
      </c>
    </row>
    <row r="21" ht="140" customHeight="1">
      <c r="A21" s="3" t="n">
        <v>20</v>
      </c>
      <c r="B21" s="3" t="inlineStr">
        <is>
          <t>N10</t>
        </is>
      </c>
      <c r="C21" s="4" t="n"/>
      <c r="D21" s="3" t="inlineStr">
        <is>
          <t>Kolye</t>
        </is>
      </c>
      <c r="E21" s="5" t="inlineStr">
        <is>
          <t>Cardinal Pendant</t>
        </is>
      </c>
      <c r="F21" s="3" t="inlineStr">
        <is>
          <t>kadın</t>
        </is>
      </c>
      <c r="G21" s="6" t="inlineStr">
        <is>
          <t>Siluet 11 x 15 x 1.35 (doluluk 0.58 -&gt; 95.7 mm2). 3 hucre: gogus/govde 22 mm2, kanat 15 mm2, kuyruk 11 mm2; derinlik 0.55, en dar yer 1.2, duvar ve cevre 0.7, taban 0.80. Yuz maskesi/gaga/tepe kenari ciplak altin; goz D0.8 delik (1.35/0.8 = 1.69). Tepe ucu r0.5. Kulp 1.0 x 1.6 sirt arkasi.</t>
        </is>
      </c>
      <c r="H21" s="5" t="inlineStr">
        <is>
          <t>derin böğürtlen</t>
        </is>
      </c>
      <c r="I21" s="5" t="inlineStr">
        <is>
          <t>yok</t>
        </is>
      </c>
      <c r="J21" s="3" t="n">
        <v>15</v>
      </c>
      <c r="K21" s="7" t="n">
        <v>3.82</v>
      </c>
      <c r="L21" s="8" t="n"/>
      <c r="M21" s="9" t="n"/>
      <c r="N21" s="10" t="n"/>
      <c r="O21" s="10" t="n"/>
      <c r="P21" s="10" t="n"/>
      <c r="Q21" s="10" t="n"/>
      <c r="R21" s="11" t="n"/>
      <c r="S21" s="12">
        <f>IF($L21="","",$L21*N($M21)+N($N21)+N($O21)+N($P21)+N($Q21))</f>
        <v/>
      </c>
    </row>
    <row r="22" ht="140" customHeight="1">
      <c r="A22" s="3" t="n">
        <v>21</v>
      </c>
      <c r="B22" s="3" t="inlineStr">
        <is>
          <t>E1</t>
        </is>
      </c>
      <c r="C22" s="4" t="n"/>
      <c r="D22" s="3" t="inlineStr">
        <is>
          <t>Küpe</t>
        </is>
      </c>
      <c r="E22" s="5" t="inlineStr">
        <is>
          <t>North Star Stud</t>
        </is>
      </c>
      <c r="F22" s="3" t="inlineStr">
        <is>
          <t>kadın</t>
        </is>
      </c>
      <c r="G22" s="6" t="inlineStr">
        <is>
          <t>Uzun uc-uca 11.4 mm, kisa uc-uca 7.6 mm (stud &lt;=12). Gobek Ø3.4 x 1.8 mm bitmis (eski Ø3.2). Isin kesiti: yan duvar (flank) bitmis 0.6 mm SABIT (model 0.8) + ustte iki fasetli alcak sirt; kesit alani A = gen. x (sirt + 0.6)/2. Uzun isin L4.0, gen. 1.5 -&gt; 0.8, sirt tepesi 1.5 -&gt; 0.6 (ucta sirt yan duvara iner); kisa isin L2.1, gen. 1.1 -&gt; 0.8, sirt 1.2 -&gt; 0.6. Uclar 0.8 mm gen., r0.4. Isin kokleri toplami 10.4 mm &lt; gobek cevresi 10.68 mm (bindirme yok). Civi soketi Ø0.8 x 0.5, gobek merkezinin 1.25 mm ustu (soket 0.85-1.65 mm, gobek r1.7 icinde; tas deligine 0.40 mm). Civi 0.76 x 11.1 mm. Model +0.2 (sirtta +0.3).</t>
        </is>
      </c>
      <c r="H22" s="5" t="inlineStr">
        <is>
          <t>yok</t>
        </is>
      </c>
      <c r="I22" s="5" t="inlineStr">
        <is>
          <t>2 x 2,0 mm lab beyaz safir</t>
        </is>
      </c>
      <c r="J22" s="3" t="n">
        <v>11.4</v>
      </c>
      <c r="K22" s="7" t="n">
        <v>1.55</v>
      </c>
      <c r="L22" s="8" t="n"/>
      <c r="M22" s="9" t="n"/>
      <c r="N22" s="10" t="n"/>
      <c r="O22" s="10" t="n"/>
      <c r="P22" s="10" t="n"/>
      <c r="Q22" s="10" t="n"/>
      <c r="R22" s="11" t="n"/>
      <c r="S22" s="12">
        <f>IF($L22="","",$L22*N($M22)+N($N22)+N($O22)+N($P22)+N($Q22))</f>
        <v/>
      </c>
    </row>
    <row r="23" ht="140" customHeight="1">
      <c r="A23" s="3" t="n">
        <v>22</v>
      </c>
      <c r="B23" s="3" t="inlineStr">
        <is>
          <t>E2</t>
        </is>
      </c>
      <c r="C23" s="4" t="n"/>
      <c r="D23" s="3" t="inlineStr">
        <is>
          <t>Küpe</t>
        </is>
      </c>
      <c r="E23" s="5" t="inlineStr">
        <is>
          <t>Hex Icicle Drop</t>
        </is>
      </c>
      <c r="F23" s="3" t="inlineStr">
        <is>
          <t>kadın</t>
        </is>
      </c>
      <c r="G23" s="6" t="inlineStr">
        <is>
          <t>Ust plaka altigen AF3.4 x 0.9 mm, bir duz kenar altta, dar kenar pahi; arka civi pedi Ø1.6 x 0.3 (yerel 1.2; 0.5 soket sonrasi onde 0.7). Plakanin alt kenar ortasinda dokum C-halka: 1.0 kesit, ic Ø1.2, bosluk 1.1 mm (gecen tel 1.0 + 0.1). Sarkit: kati altigen kesik piramit L10.5, AF 2.2 -&gt; 0.8, uc r0.4 kubbe; tepede dokum KAPALI goz 1.0 kesit, ic Ø1.2. Capraz delik yok. Toplam boy ~17 mm (plaka ustunden uca), cividen uca ~15.3 mm (&lt;=30).</t>
        </is>
      </c>
      <c r="H23" s="5" t="inlineStr">
        <is>
          <t>yok</t>
        </is>
      </c>
      <c r="I23" s="5" t="inlineStr">
        <is>
          <t>yok</t>
        </is>
      </c>
      <c r="J23" s="3" t="n">
        <v>17</v>
      </c>
      <c r="K23" s="7" t="n">
        <v>1.68</v>
      </c>
      <c r="L23" s="8" t="n"/>
      <c r="M23" s="9" t="n"/>
      <c r="N23" s="10" t="n"/>
      <c r="O23" s="10" t="n"/>
      <c r="P23" s="10" t="n"/>
      <c r="Q23" s="10" t="n"/>
      <c r="R23" s="11" t="n"/>
      <c r="S23" s="12">
        <f>IF($L23="","",$L23*N($M23)+N($N23)+N($O23)+N($P23)+N($Q23))</f>
        <v/>
      </c>
    </row>
    <row r="24" ht="140" customHeight="1">
      <c r="A24" s="3" t="n">
        <v>23</v>
      </c>
      <c r="B24" s="3" t="inlineStr">
        <is>
          <t>E3</t>
        </is>
      </c>
      <c r="C24" s="4" t="n"/>
      <c r="D24" s="3" t="inlineStr">
        <is>
          <t>Küpe</t>
        </is>
      </c>
      <c r="E24" s="5" t="inlineStr">
        <is>
          <t>Crescent Nazar Drop</t>
        </is>
      </c>
      <c r="F24" s="3" t="inlineStr">
        <is>
          <t>kadın</t>
        </is>
      </c>
      <c r="G24" s="6" t="inlineStr">
        <is>
          <t>A hilal: dis Ø4.8, ic Ø3.6 (1.2 yukari kacik), alt bant 1.8, uclar 0.8 r0.4, kalinlik 1.0, genislik 4.8, yukseklik 3.2 mm; arka civi pedi Ø1.6 x 0.3 (yerel 1.3); alt bantta dokum C-halka 1.0 kesit, ic Ø1.2, bosluk 1.1. B disk Ø5.4 x 1.4; ustte dokum KAPALI goz 1.0 kesit, ic Ø1.2. Tek yuvarlak hucre Ø4.0, 0.6 derin, taban 0.8, jant 0.70 (arka pah 0.7 x 0.5, dis kenar 0.9). Hucre ici renk bantlari distan iceri: lacivert r1.5-2.0 (0.5), beyaz r1.0-1.5 (0.5), buz mavisi r0.5-1.0 (0.5), lacivert gozbebegi Ø1.0. Toplam ~12 mm.</t>
        </is>
      </c>
      <c r="H24" s="5" t="inlineStr">
        <is>
          <t>lacivert, beyaz, buz mavisi (nazar sirasi: distan iceri lacivert-beyaz-buz mavisi-lacivert gozbebegi)</t>
        </is>
      </c>
      <c r="I24" s="5" t="inlineStr">
        <is>
          <t>yok</t>
        </is>
      </c>
      <c r="J24" s="3" t="n">
        <v>12</v>
      </c>
      <c r="K24" s="7" t="n">
        <v>1.69</v>
      </c>
      <c r="L24" s="8" t="n"/>
      <c r="M24" s="9" t="n"/>
      <c r="N24" s="10" t="n"/>
      <c r="O24" s="10" t="n"/>
      <c r="P24" s="10" t="n"/>
      <c r="Q24" s="10" t="n"/>
      <c r="R24" s="11" t="n"/>
      <c r="S24" s="12">
        <f>IF($L24="","",$L24*N($M24)+N($N24)+N($O24)+N($P24)+N($Q24))</f>
        <v/>
      </c>
    </row>
    <row r="25" ht="140" customHeight="1">
      <c r="A25" s="3" t="n">
        <v>24</v>
      </c>
      <c r="B25" s="3" t="inlineStr">
        <is>
          <t>E4</t>
        </is>
      </c>
      <c r="C25" s="4" t="n"/>
      <c r="D25" s="3" t="inlineStr">
        <is>
          <t>Küpe</t>
        </is>
      </c>
      <c r="E25" s="5" t="inlineStr">
        <is>
          <t>Comet Tail Climber</t>
        </is>
      </c>
      <c r="F25" s="3" t="inlineStr">
        <is>
          <t>kadın</t>
        </is>
      </c>
      <c r="G25" s="6" t="inlineStr">
        <is>
          <t>Toplam 16.6 mm (bas Ø3.2 x 1.8; tas cubugu 5.6 mm, 2.4 -&gt; 2.1 gen., 1.5 kalin; kuyruk 7.8 mm, 2.1 -&gt; 0.8 gen., 1.2 -&gt; 0.7 kalin, uc r0.4; model ucu 1.0 x 0.9 -&gt; bitmis 0.8 x 0.7). Yuva kenarlari arasi 0.5 mm. Civi bas merkezinden 1.17 mm kuyruk yonunde. Egri modelde (heliks), dokumden sonra bukulmez.</t>
        </is>
      </c>
      <c r="H25" s="5" t="inlineStr">
        <is>
          <t>yok</t>
        </is>
      </c>
      <c r="I25" s="5" t="inlineStr">
        <is>
          <t>2 x 2,0 mm lab buz mavisi safir + 2 x 1,5 + 2 x 1,4 + 2 x 1,3 mm lab beyaz safir</t>
        </is>
      </c>
      <c r="J25" s="3" t="n">
        <v>16.6</v>
      </c>
      <c r="K25" s="7" t="n">
        <v>1.6</v>
      </c>
      <c r="L25" s="8" t="n"/>
      <c r="M25" s="9" t="n"/>
      <c r="N25" s="10" t="n"/>
      <c r="O25" s="10" t="n"/>
      <c r="P25" s="10" t="n"/>
      <c r="Q25" s="10" t="n"/>
      <c r="R25" s="11" t="n"/>
      <c r="S25" s="12">
        <f>IF($L25="","",$L25*N($M25)+N($N25)+N($O25)+N($P25)+N($Q25))</f>
        <v/>
      </c>
    </row>
    <row r="26" ht="140" customHeight="1">
      <c r="A26" s="3" t="n">
        <v>25</v>
      </c>
      <c r="B26" s="3" t="inlineStr">
        <is>
          <t>E5</t>
        </is>
      </c>
      <c r="C26" s="4" t="n"/>
      <c r="D26" s="3" t="inlineStr">
        <is>
          <t>Küpe</t>
        </is>
      </c>
      <c r="E26" s="5" t="inlineStr">
        <is>
          <t>Stirrup Hoop</t>
        </is>
      </c>
      <c r="F26" s="3" t="inlineStr">
        <is>
          <t>unisex</t>
        </is>
      </c>
      <c r="G26" s="6" t="inlineStr">
        <is>
          <t>Dis 11.3 x 10.1 mm, ic aciklik 8.7 x 7.3 mm. Kemer 180 derece, merkez hat R5.0, YUVARLAK Ø1.0 tel (kulaktan gecen bolum, 18G; eski 1.3 x 1.1). Bacaklar 2.8 mm, kesit 1.3 x 1.1 (kemere gecis 1.0 mm'ye yumusak). Taban 11.3 x 1.8 x 1.1, 3 V-oluk 0.5 x 0.4. Mentese topuzu Ø2.8 x 2.2 (2 x 1.1; on/arka yuzden 0.55 mm tasar), pim Ø0.8. Kilit blogu 1.6 mm kup (sag bacak tepesi): kemer ucu icin Ø1.05 x 1.0 yuva + 0.4 x 1.0 x 1.6 yay dili yarigi.</t>
        </is>
      </c>
      <c r="H26" s="5" t="inlineStr">
        <is>
          <t>yok</t>
        </is>
      </c>
      <c r="I26" s="5" t="inlineStr">
        <is>
          <t>yok</t>
        </is>
      </c>
      <c r="J26" s="3" t="n">
        <v>11.3</v>
      </c>
      <c r="K26" s="7" t="n">
        <v>1.43</v>
      </c>
      <c r="L26" s="8" t="n"/>
      <c r="M26" s="9" t="n"/>
      <c r="N26" s="10" t="n"/>
      <c r="O26" s="10" t="n"/>
      <c r="P26" s="10" t="n"/>
      <c r="Q26" s="10" t="n"/>
      <c r="R26" s="11" t="n"/>
      <c r="S26" s="12">
        <f>IF($L26="","",$L26*N($M26)+N($N26)+N($O26)+N($P26)+N($Q26))</f>
        <v/>
      </c>
    </row>
    <row r="27" ht="140" customHeight="1">
      <c r="A27" s="3" t="n">
        <v>26</v>
      </c>
      <c r="B27" s="3" t="inlineStr">
        <is>
          <t>E6</t>
        </is>
      </c>
      <c r="C27" s="4" t="n"/>
      <c r="D27" s="3" t="inlineStr">
        <is>
          <t>Küpe</t>
        </is>
      </c>
      <c r="E27" s="5" t="inlineStr">
        <is>
          <t>Ice Blue Teardrop Drop</t>
        </is>
      </c>
      <c r="F27" s="3" t="inlineStr">
        <is>
          <t>kadın</t>
        </is>
      </c>
      <c r="G27" s="6" t="inlineStr">
        <is>
          <t>A: Ø3.4 x 0.9 + 0.3 kubbe (merkez 1.2; soket sonrasi 0.7); altta dokum C-halka 1.0 kesit, ic Ø1.2, bosluk 1.1. B: damla (Ø4.6 alt daire + Ø1.2 ust daire zarfi) 7.2 x 4.6 x 1.4 mm, ucu yukari; ucta dokum KAPALI goz 1.0 kesit, ic Ø1.2. Hucre (Ø3.2 + Ø0.7 zarf) 0.6 derin, taban 0.8, jant 0.70, jant arka pahi 0.7 x 0.5. Mine DUZ, jant kotunda (0-0.05 mm alti). Toplam ~12.5 mm.</t>
        </is>
      </c>
      <c r="H27" s="5" t="inlineStr">
        <is>
          <t>buz mavisi</t>
        </is>
      </c>
      <c r="I27" s="5" t="inlineStr">
        <is>
          <t>yok</t>
        </is>
      </c>
      <c r="J27" s="3" t="n">
        <v>12.5</v>
      </c>
      <c r="K27" s="7" t="n">
        <v>1.69</v>
      </c>
      <c r="L27" s="8" t="n"/>
      <c r="M27" s="9" t="n"/>
      <c r="N27" s="10" t="n"/>
      <c r="O27" s="10" t="n"/>
      <c r="P27" s="10" t="n"/>
      <c r="Q27" s="10" t="n"/>
      <c r="R27" s="11" t="n"/>
      <c r="S27" s="12">
        <f>IF($L27="","",$L27*N($M27)+N($N27)+N($O27)+N($P27)+N($Q27))</f>
        <v/>
      </c>
    </row>
    <row r="28" ht="140" customHeight="1">
      <c r="A28" s="3" t="n">
        <v>27</v>
      </c>
      <c r="B28" s="3" t="inlineStr">
        <is>
          <t>E7</t>
        </is>
      </c>
      <c r="C28" s="4" t="n"/>
      <c r="D28" s="3" t="inlineStr">
        <is>
          <t>Küpe</t>
        </is>
      </c>
      <c r="E28" s="5" t="inlineStr">
        <is>
          <t>Hamsa Sapphire Stud</t>
        </is>
      </c>
      <c r="F28" s="3" t="inlineStr">
        <is>
          <t>kadın</t>
        </is>
      </c>
      <c r="G28" s="6" t="inlineStr">
        <is>
          <t>6.8 x 8.9 mm. Avuc Ø5.3 x 1.4; ada Ø2.5 (+0.1 on kabartma, yerel 1.5); hucre halkasi r1.25-1.95 (0.70), 0.6 derin, taban 0.8, jant 0.70; jant arka pahi 0.7 x 0.5 YALNIZ serbest avuc kenarinda (parmaklara bagli ust ~%40 pahsiz). Parmaklar tek plaka 0.8 kalin, oluklar 0.4 x 0.2. Civi pedi Ø2.2 arka kabartma (yerel 1.2), avuc merkezinin 4.6 mm ustu; ped-hucre plan 1.55 mm.</t>
        </is>
      </c>
      <c r="H28" s="5" t="inlineStr">
        <is>
          <t>derin yesim yesili</t>
        </is>
      </c>
      <c r="I28" s="5" t="inlineStr">
        <is>
          <t>2 x 1,3 mm lab beyaz safir</t>
        </is>
      </c>
      <c r="J28" s="3" t="n">
        <v>8.9</v>
      </c>
      <c r="K28" s="7" t="n">
        <v>1.68</v>
      </c>
      <c r="L28" s="8" t="n"/>
      <c r="M28" s="9" t="n"/>
      <c r="N28" s="10" t="n"/>
      <c r="O28" s="10" t="n"/>
      <c r="P28" s="10" t="n"/>
      <c r="Q28" s="10" t="n"/>
      <c r="R28" s="11" t="n"/>
      <c r="S28" s="12">
        <f>IF($L28="","",$L28*N($M28)+N($N28)+N($O28)+N($P28)+N($Q28))</f>
        <v/>
      </c>
    </row>
    <row r="29" ht="140" customHeight="1">
      <c r="A29" s="3" t="n">
        <v>28</v>
      </c>
      <c r="B29" s="3" t="inlineStr">
        <is>
          <t>E8</t>
        </is>
      </c>
      <c r="C29" s="4" t="n"/>
      <c r="D29" s="3" t="inlineStr">
        <is>
          <t>Küpe</t>
        </is>
      </c>
      <c r="E29" s="5" t="inlineStr">
        <is>
          <t>Berry Lantern Stud</t>
        </is>
      </c>
      <c r="F29" s="3" t="inlineStr">
        <is>
          <t>kadın</t>
        </is>
      </c>
      <c r="G29" s="6" t="inlineStr">
        <is>
          <t>Fener stud 5.4 x 9.9 mm, duz plaka 0.85 mm (model 1.05), cevre pahi 0.25 x 0.25. Alttan uste: ayak 5.0 x 0.8 (alt koseler r0.4); govde 4.6 x 4.6; cati yamuk 5.4 -&gt; 2.4 gen., 2.0 yuks., sacak koseleri r0.4; tepe kapali halka dis Ø2.6, ic Ø1.0 (tel 0.8), cati ustune 0.1 mm gomulu. Govde arkasi yerel 1.4 (+0.55 arka yuzde). 2 kemerli pencere hucresi: her biri 1.25 gen. x 3.1 yuks. (ust kemer r0.625), 0.6 derin, taban 0.8; yan cerceve 0.7, orta kayit 0.7, alt cerceve 0.7, ust cerceve 0.8. Civi pedi Ø2.0 x 0.35 arka yuzde (yerel 1.2), ayak altindan 7.0 mm yukarida (cati); ped-hucre plan 1.55 mm; ped ust kenari ile halka deligi arasi 0.1 mm.</t>
        </is>
      </c>
      <c r="H29" s="5" t="inlineStr">
        <is>
          <t>bogurtlen (koyu ahududu-mor)</t>
        </is>
      </c>
      <c r="I29" s="5" t="inlineStr">
        <is>
          <t>yok</t>
        </is>
      </c>
      <c r="J29" s="3" t="n">
        <v>9.9</v>
      </c>
      <c r="K29" s="7" t="n">
        <v>1.65</v>
      </c>
      <c r="L29" s="8" t="n"/>
      <c r="M29" s="9" t="n"/>
      <c r="N29" s="10" t="n"/>
      <c r="O29" s="10" t="n"/>
      <c r="P29" s="10" t="n"/>
      <c r="Q29" s="10" t="n"/>
      <c r="R29" s="11" t="n"/>
      <c r="S29" s="12">
        <f>IF($L29="","",$L29*N($M29)+N($N29)+N($O29)+N($P29)+N($Q29))</f>
        <v/>
      </c>
    </row>
    <row r="30" ht="140" customHeight="1">
      <c r="A30" s="3" t="n">
        <v>29</v>
      </c>
      <c r="B30" s="3" t="inlineStr">
        <is>
          <t>E9</t>
        </is>
      </c>
      <c r="C30" s="4" t="n"/>
      <c r="D30" s="3" t="inlineStr">
        <is>
          <t>Küpe</t>
        </is>
      </c>
      <c r="E30" s="5" t="inlineStr">
        <is>
          <t>Cardinal Stud</t>
        </is>
      </c>
      <c r="F30" s="3" t="inlineStr">
        <is>
          <t>kadın</t>
        </is>
      </c>
      <c r="G30" s="6" t="inlineStr">
        <is>
          <t>11.45 x 5.8 mm (yatay durus, tunek/dal yok; gorsele esitlendi 2026-10-18; siluet alani ve gram degismedi). Plaka 0.9 (model 1.1); govde hucre bolgesi ARKA yuzde +0.5 (yerel 1.4), on yuz duz; hucre oval 3.2 x 3.7, 0.6 derin, taban 0.8, jant min 0.73. Goz kor cukur Ø0.9 x 0.3. Kuyruk 3 oluk 0.5 x 0.25. Tepelik, gaga ve kuyruk uclari r0.4. Civi pedi Ø2.2 (yerel 1.2) boyun arkasinda (bas-govde birlesimi); ped-hucre plan 1.62 mm.</t>
        </is>
      </c>
      <c r="H30" s="5" t="inlineStr">
        <is>
          <t>bogurtlen (koyu ahududu-mor)</t>
        </is>
      </c>
      <c r="I30" s="5" t="inlineStr">
        <is>
          <t>yok</t>
        </is>
      </c>
      <c r="J30" s="3" t="n">
        <v>11.5</v>
      </c>
      <c r="K30" s="7" t="n">
        <v>1.59</v>
      </c>
      <c r="L30" s="8" t="n"/>
      <c r="M30" s="9" t="n"/>
      <c r="N30" s="10" t="n"/>
      <c r="O30" s="10" t="n"/>
      <c r="P30" s="10" t="n"/>
      <c r="Q30" s="10" t="n"/>
      <c r="R30" s="11" t="n"/>
      <c r="S30" s="12">
        <f>IF($L30="","",$L30*N($M30)+N($N30)+N($O30)+N($P30)+N($Q30))</f>
        <v/>
      </c>
    </row>
    <row r="31" ht="140" customHeight="1">
      <c r="A31" s="3" t="n">
        <v>30</v>
      </c>
      <c r="B31" s="3" t="inlineStr">
        <is>
          <t>E10</t>
        </is>
      </c>
      <c r="C31" s="4" t="n"/>
      <c r="D31" s="3" t="inlineStr">
        <is>
          <t>Küpe</t>
        </is>
      </c>
      <c r="E31" s="5" t="inlineStr">
        <is>
          <t>Scarab Stud</t>
        </is>
      </c>
      <c r="F31" s="3" t="inlineStr">
        <is>
          <t>unisex</t>
        </is>
      </c>
      <c r="G31" s="6" t="inlineStr">
        <is>
          <t>5.2 x 9.25 mm; enine tek egrilik, yukselti 0.5 mm / 5.2 mm kiris (gelisim faktoru 1.024). Kabuk 0.9 mm (model 1.1); elytra hucre bolgesi ARKA yuzde +0.5 (yerel 1.4), on yuz kabuk egrisini izler. 2 hucre DIKDORTGEN 1.55 x 3.75 mm, koseler r0.35 (5.71 mm2/adet), 0.6 derin, taban 0.8; omurga 0.70, jant 0.70, ust bant 1.35. Pronotum 2 boyuna oluk 0.5 x 0.25. Civi pedi Ø2.2 (yerel 1.2), ped-hucre plan 1.63 mm.</t>
        </is>
      </c>
      <c r="H31" s="5" t="inlineStr">
        <is>
          <t>derin yesim yesili</t>
        </is>
      </c>
      <c r="I31" s="5" t="inlineStr">
        <is>
          <t>yok</t>
        </is>
      </c>
      <c r="J31" s="3" t="n">
        <v>9.300000000000001</v>
      </c>
      <c r="K31" s="7" t="n">
        <v>1.66</v>
      </c>
      <c r="L31" s="8" t="n"/>
      <c r="M31" s="9" t="n"/>
      <c r="N31" s="10" t="n"/>
      <c r="O31" s="10" t="n"/>
      <c r="P31" s="10" t="n"/>
      <c r="Q31" s="10" t="n"/>
      <c r="R31" s="11" t="n"/>
      <c r="S31" s="12">
        <f>IF($L31="","",$L31*N($M31)+N($N31)+N($O31)+N($P31)+N($Q31))</f>
        <v/>
      </c>
    </row>
    <row r="32" ht="140" customHeight="1">
      <c r="A32" s="3" t="n">
        <v>31</v>
      </c>
      <c r="B32" s="3" t="inlineStr">
        <is>
          <t>P1</t>
        </is>
      </c>
      <c r="C32" s="4" t="n"/>
      <c r="D32" s="3" t="inlineStr">
        <is>
          <t>Broş</t>
        </is>
      </c>
      <c r="E32" s="5" t="inlineStr">
        <is>
          <t>North Star Lapel Pin</t>
        </is>
      </c>
      <c r="F32" s="3" t="inlineStr">
        <is>
          <t>erkek</t>
        </is>
      </c>
      <c r="G32" s="6" t="inlineStr">
        <is>
          <t>26.0 x 30.0 mm. Gobek D8.0 x 1.4 (deliksiz), merkez kubbe D2.6 h0.3. Kardinal isinlar (ust/sol/sag) gobek kenarindan 9.0 (R13), alt isin 13.0 (R17); plan 3.4 -&gt; 0.8, uc r0.4, DIKDORTGEN kesit 1.3 sabit. Diyagonal isinlar 5.5 (R9.5), 2.6 -&gt; 0.8, 1.2. On yuz V: 90 derece, 0.4 derin, 0.8 genis; isin 1.4 mm'ye daralinca (kardinal 6.9, alt 10.0, diyagonal 3.7 mm) 1.1 mm'de sifira sonumlenir; V altinda kalan ag 0.9. Model: bitmis + 0.2, elmas tirasli on yuzde +0.1 (isin modeli 1.6 kalin). Igne hatti yatay isinlar ekseninde (y=0), mafsal x=-6, kilit x=+6, igne 14.5 mm.</t>
        </is>
      </c>
      <c r="H32" s="5" t="inlineStr">
        <is>
          <t>yok</t>
        </is>
      </c>
      <c r="I32" s="5" t="inlineStr">
        <is>
          <t>yok</t>
        </is>
      </c>
      <c r="J32" s="3" t="n">
        <v>30</v>
      </c>
      <c r="K32" s="7" t="n">
        <v>3.33</v>
      </c>
      <c r="L32" s="8" t="n"/>
      <c r="M32" s="9" t="n"/>
      <c r="N32" s="10" t="n"/>
      <c r="O32" s="10" t="n"/>
      <c r="P32" s="10" t="n"/>
      <c r="Q32" s="10" t="n"/>
      <c r="R32" s="11" t="n"/>
      <c r="S32" s="12">
        <f>IF($L32="","",$L32*N($M32)+N($N32)+N($O32)+N($P32)+N($Q32))</f>
        <v/>
      </c>
    </row>
    <row r="33" ht="140" customHeight="1">
      <c r="A33" s="3" t="n">
        <v>32</v>
      </c>
      <c r="B33" s="3" t="inlineStr">
        <is>
          <t>P2</t>
        </is>
      </c>
      <c r="C33" s="4" t="n"/>
      <c r="D33" s="3" t="inlineStr">
        <is>
          <t>Broş</t>
        </is>
      </c>
      <c r="E33" s="5" t="inlineStr">
        <is>
          <t>Comet Brooch</t>
        </is>
      </c>
      <c r="F33" s="3" t="inlineStr">
        <is>
          <t>kadın</t>
        </is>
      </c>
      <c r="G33" s="6" t="inlineStr">
        <is>
          <t>42 x 14 mm. Bas halkasi OD11.0 / ID8.4, 1.8 kalin; 3 parmak 2.7 x 1.0 x 1.5; merkez kolet OD2.8 x 1.8. Seritler 31 / 25 / 19 boy, plan 2.4 -&gt; 0.8 (uc r0.4), kalinlik 1.1 / 1.0 / 0.9; dis iki seritte sirtta 0.25 derinlikte elmas tiras kare desen, orta serit satin (gorsele esitlendi 2026-10-18). Dugum 1: bastan 9 mm, uc seridi baglar (31'in 0.29'u, 19'un 0.47'si). Dugum 2: bastan 17 mm, 31 ve 25 seritlerini baglar (0.55 / 0.68). Dugum 2.8 x 2.8 x 1.8. Iki igne, her biri 14.5 mm, araliklari 18 mm, ust kenar seridinin arkasinda (ust ucte). Model +0.2, elmas tiras yuzu +0.1.</t>
        </is>
      </c>
      <c r="H33" s="5" t="inlineStr">
        <is>
          <t>yok</t>
        </is>
      </c>
      <c r="I33" s="5" t="inlineStr">
        <is>
          <t>3 x 1,8 mm lab beyaz safir</t>
        </is>
      </c>
      <c r="J33" s="3" t="n">
        <v>42</v>
      </c>
      <c r="K33" s="7" t="n">
        <v>3.92</v>
      </c>
      <c r="L33" s="8" t="n"/>
      <c r="M33" s="9" t="n"/>
      <c r="N33" s="10" t="n"/>
      <c r="O33" s="10" t="n"/>
      <c r="P33" s="10" t="n"/>
      <c r="Q33" s="10" t="n"/>
      <c r="R33" s="11" t="n"/>
      <c r="S33" s="12">
        <f>IF($L33="","",$L33*N($M33)+N($N33)+N($O33)+N($P33)+N($Q33))</f>
        <v/>
      </c>
    </row>
    <row r="34" ht="140" customHeight="1">
      <c r="A34" s="3" t="n">
        <v>33</v>
      </c>
      <c r="B34" s="3" t="inlineStr">
        <is>
          <t>P3</t>
        </is>
      </c>
      <c r="C34" s="4" t="n"/>
      <c r="D34" s="3" t="inlineStr">
        <is>
          <t>Broş</t>
        </is>
      </c>
      <c r="E34" s="5" t="inlineStr">
        <is>
          <t>Icicle Bar Brooch</t>
        </is>
      </c>
      <c r="F34" s="3" t="inlineStr">
        <is>
          <t>kadın</t>
        </is>
      </c>
      <c r="G34" s="6" t="inlineStr">
        <is>
          <t>28.0 x 25.9 mm. Bar 28.0 x 3.9 x 1.5. Hucreler 4 x (4.3 x 2.5 x 0.55); uc duvar 0.75, yan duvar 0.70, ayirici 3.1 (tas yuvasi). Sarkitlar x = -9 / 0 / +8 konumunda; 22 / 17 / 15 boy, plan 3.4 -&gt; 0.8 (uc r0.4), kalinlik 1.1 / 1.0 / 1.0. Yarik 0.6 genis, bar altindan 3.6 mm'de baslar, sarkit 1.8 mm'ye daralinca biter (22: 3.6-&gt;13.5, 17: 3.6-&gt;10.5, 15: 3.6-&gt;9.2), uclari r0.3. Igne hatti bar altindan 2.1 mm (sarkit koklerinde), mafsal sol sarkit, kilit sag sarkit; igne 19.5 mm.</t>
        </is>
      </c>
      <c r="H34" s="5" t="inlineStr">
        <is>
          <t>buz mavisi</t>
        </is>
      </c>
      <c r="I34" s="5" t="inlineStr">
        <is>
          <t>3 x 1,5 mm lab beyaz safir</t>
        </is>
      </c>
      <c r="J34" s="3" t="n">
        <v>28</v>
      </c>
      <c r="K34" s="7" t="n">
        <v>3.71</v>
      </c>
      <c r="L34" s="8" t="n"/>
      <c r="M34" s="9" t="n"/>
      <c r="N34" s="10" t="n"/>
      <c r="O34" s="10" t="n"/>
      <c r="P34" s="10" t="n"/>
      <c r="Q34" s="10" t="n"/>
      <c r="R34" s="11" t="n"/>
      <c r="S34" s="12">
        <f>IF($L34="","",$L34*N($M34)+N($N34)+N($O34)+N($P34)+N($Q34))</f>
        <v/>
      </c>
    </row>
    <row r="35" ht="140" customHeight="1">
      <c r="A35" s="3" t="n">
        <v>34</v>
      </c>
      <c r="B35" s="3" t="inlineStr">
        <is>
          <t>P4</t>
        </is>
      </c>
      <c r="C35" s="4" t="n"/>
      <c r="D35" s="3" t="inlineStr">
        <is>
          <t>Broş</t>
        </is>
      </c>
      <c r="E35" s="5" t="inlineStr">
        <is>
          <t>Ice Crystal Lapel Pin</t>
        </is>
      </c>
      <c r="F35" s="3" t="inlineStr">
        <is>
          <t>erkek</t>
        </is>
      </c>
      <c r="G35" s="6" t="inlineStr">
        <is>
          <t>Altigen R9.0 (kose-kose 18.0, kenar-kenar 15.6), plaka 1.45; cevre altin cerceve 1.0; 6 kaburga 0.8 genis, gobek D3.4 (arkadan +0.15 -&gt; 1.6). 6 ucgen hucre, toplam 120.6 mm2 x 0.55 derin; hucre koseleri r0.4 (60 derece kose min 0.7 genislik). Kose r0.5. Igne hatti y=+2.0, mafsal x=-5.5, kilit kaidesi x=+5.5; igne 13.5 mm. Model +0.2.</t>
        </is>
      </c>
      <c r="H35" s="5" t="inlineStr">
        <is>
          <t>buz mavisi</t>
        </is>
      </c>
      <c r="I35" s="5" t="inlineStr">
        <is>
          <t>1 x 1,5 mm açık buz mavisi lab safir</t>
        </is>
      </c>
      <c r="J35" s="3" t="n">
        <v>18</v>
      </c>
      <c r="K35" s="7" t="n">
        <v>3.7</v>
      </c>
      <c r="L35" s="8" t="n"/>
      <c r="M35" s="9" t="n"/>
      <c r="N35" s="10" t="n"/>
      <c r="O35" s="10" t="n"/>
      <c r="P35" s="10" t="n"/>
      <c r="Q35" s="10" t="n"/>
      <c r="R35" s="11" t="n"/>
      <c r="S35" s="12">
        <f>IF($L35="","",$L35*N($M35)+N($N35)+N($O35)+N($P35)+N($Q35))</f>
        <v/>
      </c>
    </row>
    <row r="36" ht="140" customHeight="1">
      <c r="A36" s="3" t="n">
        <v>35</v>
      </c>
      <c r="B36" s="3" t="inlineStr">
        <is>
          <t>P5</t>
        </is>
      </c>
      <c r="C36" s="4" t="n"/>
      <c r="D36" s="3" t="inlineStr">
        <is>
          <t>Broş</t>
        </is>
      </c>
      <c r="E36" s="5" t="inlineStr">
        <is>
          <t>Snaffle Bit Lapel Pin</t>
        </is>
      </c>
      <c r="F36" s="3" t="inlineStr">
        <is>
          <t>erkek</t>
        </is>
      </c>
      <c r="G36" s="6" t="inlineStr">
        <is>
          <t>30.0 x 13.0 mm. D-halka: yay orta yaricap 5.75, kesit 1.5 x 1.4; duz kenar 11.5 x 2.2 x 1.6. Bar 14.8 x 3.0 x 1.6, yarik 7.0 x 0.8. Yakalar D4.0 x 1.6. Fasetler 6/halka, V 0.4 x 2.0. Igne hatti y=+2.5; mafsal sol duz kenar (x=-8.5), kilit sag duz kenar (x=+8.5); igne 19.5 mm. Model +0.2, faset yuzu +0.1.</t>
        </is>
      </c>
      <c r="H36" s="5" t="inlineStr">
        <is>
          <t>yok</t>
        </is>
      </c>
      <c r="I36" s="5" t="inlineStr">
        <is>
          <t>yok</t>
        </is>
      </c>
      <c r="J36" s="3" t="n">
        <v>30</v>
      </c>
      <c r="K36" s="7" t="n">
        <v>4.1</v>
      </c>
      <c r="L36" s="8" t="n"/>
      <c r="M36" s="9" t="n"/>
      <c r="N36" s="10" t="n"/>
      <c r="O36" s="10" t="n"/>
      <c r="P36" s="10" t="n"/>
      <c r="Q36" s="10" t="n"/>
      <c r="R36" s="11" t="n"/>
      <c r="S36" s="12">
        <f>IF($L36="","",$L36*N($M36)+N($N36)+N($O36)+N($P36)+N($Q36))</f>
        <v/>
      </c>
    </row>
    <row r="37" ht="140" customHeight="1">
      <c r="A37" s="3" t="n">
        <v>36</v>
      </c>
      <c r="B37" s="3" t="inlineStr">
        <is>
          <t>P6</t>
        </is>
      </c>
      <c r="C37" s="4" t="n"/>
      <c r="D37" s="3" t="inlineStr">
        <is>
          <t>Broş</t>
        </is>
      </c>
      <c r="E37" s="5" t="inlineStr">
        <is>
          <t>Stirrup Brooch</t>
        </is>
      </c>
      <c r="F37" s="3" t="inlineStr">
        <is>
          <t>kadın</t>
        </is>
      </c>
      <c r="G37" s="6" t="inlineStr">
        <is>
          <t>26 x 22 mm. Kemer OD22 / ID18 x 1.4, dairenin %60'i. Tepe bossu 3.4 x 3.0 x 2.0 (tas ev sahibi 2.0). Basamak 18.0 x 4.4 x 1.5; olugun 14.0 x 2.8 x 0.55; yan duvar 0.8, uc duvar 2.0; taban 0.95. Kayis gozu OD5.5 / ID3.1 x 1.2. Igne hatti ust ucte, mafsal sol kemer kolu, kilit sag kemer kolu; igne 18.5 mm. Model +0.2.</t>
        </is>
      </c>
      <c r="H37" s="5" t="inlineStr">
        <is>
          <t>derin yeşil (jade)</t>
        </is>
      </c>
      <c r="I37" s="5" t="inlineStr">
        <is>
          <t>1 x 2,0 mm lab beyaz safir</t>
        </is>
      </c>
      <c r="J37" s="3" t="n">
        <v>26</v>
      </c>
      <c r="K37" s="7" t="n">
        <v>3.74</v>
      </c>
      <c r="L37" s="8" t="n"/>
      <c r="M37" s="9" t="n"/>
      <c r="N37" s="10" t="n"/>
      <c r="O37" s="10" t="n"/>
      <c r="P37" s="10" t="n"/>
      <c r="Q37" s="10" t="n"/>
      <c r="R37" s="11" t="n"/>
      <c r="S37" s="12">
        <f>IF($L37="","",$L37*N($M37)+N($N37)+N($O37)+N($P37)+N($Q37))</f>
        <v/>
      </c>
    </row>
    <row r="38" ht="140" customHeight="1">
      <c r="A38" s="3" t="n">
        <v>37</v>
      </c>
      <c r="B38" s="3" t="inlineStr">
        <is>
          <t>P7</t>
        </is>
      </c>
      <c r="C38" s="4" t="n"/>
      <c r="D38" s="3" t="inlineStr">
        <is>
          <t>Broş</t>
        </is>
      </c>
      <c r="E38" s="5" t="inlineStr">
        <is>
          <t>Evil Eye Sunburst Brooch</t>
        </is>
      </c>
      <c r="F38" s="3" t="inlineStr">
        <is>
          <t>kadın</t>
        </is>
      </c>
      <c r="G38" s="6" t="inlineStr">
        <is>
          <t>OD23. Disk D12.0 x 1.4. Halkalar: cevre altin r5.3-6.0 (0.7), buz mavisi r4.3-5.3 (1.0), altin r3.6-4.3 (0.7), beyaz r2.6-3.6 (1.0), altin r1.9-2.6 (0.7), lacivert bebek D3.8. Hucre 0.55, taban 0.85. 8 isin 5.5 boy, 2.8 -&gt; 0.8 (uc r0.4), 1.2 kalin; 4 diyagonal isin kokunde 2.6 x 2.2 yerel boss (1.6). Tas merkezi r6.85. Igne hatti y=+1.5, mafsal x=-4.0, kilit kaidesi x=+4.0 (ikisi de disk arkasinda r&lt;=6.0); igne 10.5 mm. Model +0.2, isin yuzu +0.1.</t>
        </is>
      </c>
      <c r="H38" s="5" t="inlineStr">
        <is>
          <t>buz mavisi + beyaz + lacivert (nazar)</t>
        </is>
      </c>
      <c r="I38" s="5" t="inlineStr">
        <is>
          <t>4 x 1,5 mm lab beyaz safir</t>
        </is>
      </c>
      <c r="J38" s="3" t="n">
        <v>23</v>
      </c>
      <c r="K38" s="7" t="n">
        <v>3.63</v>
      </c>
      <c r="L38" s="8" t="n"/>
      <c r="M38" s="9" t="n"/>
      <c r="N38" s="10" t="n"/>
      <c r="O38" s="10" t="n"/>
      <c r="P38" s="10" t="n"/>
      <c r="Q38" s="10" t="n"/>
      <c r="R38" s="11" t="n"/>
      <c r="S38" s="12">
        <f>IF($L38="","",$L38*N($M38)+N($N38)+N($O38)+N($P38)+N($Q38))</f>
        <v/>
      </c>
    </row>
    <row r="39" ht="140" customHeight="1">
      <c r="A39" s="3" t="n">
        <v>38</v>
      </c>
      <c r="B39" s="3" t="inlineStr">
        <is>
          <t>P8</t>
        </is>
      </c>
      <c r="C39" s="4" t="n"/>
      <c r="D39" s="3" t="inlineStr">
        <is>
          <t>Broş</t>
        </is>
      </c>
      <c r="E39" s="5" t="inlineStr">
        <is>
          <t>Robin Lapel Pin</t>
        </is>
      </c>
      <c r="F39" s="3" t="inlineStr">
        <is>
          <t>erkek</t>
        </is>
      </c>
      <c r="G39" s="6" t="inlineStr">
        <is>
          <t>24 x 18 mm. Govde elips 12.0 x 9.5 x 1.4; gogus hucresi elips 8.0 x 5.0 x 0.55 (taban 0.85, cevre duvar &gt;=0.8). Bas D7.0 x 1.4, goz bossu D3.0 (1.5). Gaga 3.0 x 1.6 x 1.2 r0.4. Kuyruk 10.0 boy, 4.8 -&gt; 3.6, 1.0; ust kenar omurgasi 1.2 x 1.2; 2 yarik 0.6 x 6.0. Tunek 16.0 x 1.4 x 1.4 (uc r0.7), ayaklar 2 x 2.5 x 1.0 x 1.0. Igne hatti ust ucte: mafsal bas arkasi, kilit govde ust-arka (gogus hucresine duzlemde 2.0); igne 14.5 mm. Model +0.2.</t>
        </is>
      </c>
      <c r="H39" s="5" t="inlineStr">
        <is>
          <t>derin böğürtlen</t>
        </is>
      </c>
      <c r="I39" s="5" t="inlineStr">
        <is>
          <t>1 x 1,5 mm lab beyaz safir</t>
        </is>
      </c>
      <c r="J39" s="3" t="n">
        <v>24</v>
      </c>
      <c r="K39" s="7" t="n">
        <v>3.53</v>
      </c>
      <c r="L39" s="8" t="n"/>
      <c r="M39" s="9" t="n"/>
      <c r="N39" s="10" t="n"/>
      <c r="O39" s="10" t="n"/>
      <c r="P39" s="10" t="n"/>
      <c r="Q39" s="10" t="n"/>
      <c r="R39" s="11" t="n"/>
      <c r="S39" s="12">
        <f>IF($L39="","",$L39*N($M39)+N($N39)+N($O39)+N($P39)+N($Q39))</f>
        <v/>
      </c>
    </row>
    <row r="40" ht="140" customHeight="1">
      <c r="A40" s="3" t="n">
        <v>39</v>
      </c>
      <c r="B40" s="3" t="inlineStr">
        <is>
          <t>P9</t>
        </is>
      </c>
      <c r="C40" s="4" t="n"/>
      <c r="D40" s="3" t="inlineStr">
        <is>
          <t>Broş</t>
        </is>
      </c>
      <c r="E40" s="5" t="inlineStr">
        <is>
          <t>Lantern Brooch</t>
        </is>
      </c>
      <c r="F40" s="3" t="inlineStr">
        <is>
          <t>kadın</t>
        </is>
      </c>
      <c r="G40" s="6" t="inlineStr">
        <is>
          <t>25.6 x 15.0 mm. Halka orta cap 3.0, kesit 1.0 x 1.0. Cati ucgeni 14.0 x 5.5 x 1.45; ucgen hucre 10.0 x 3.4 x 0.55 (taban 0.90, cevre duvar &gt;=0.9). Sacak 15.0 x 1.4 x 1.4. Direkler 2 x 12.0 x 1.4 x 1.4; pencere 11.2 x 12.0 acik; alt ray 12.0 x 1.2 x 1.4; kaide 13.0 x 2.0 x 1.4. Alev cubugu 4.5 x 1.0 x 1.0; kolet tup OD2.8 x 1.7, arkasi D1.0 acik. Igne hatti sacak arkasinda (ust ucte); igne 13.0 mm. Model +0.2.</t>
        </is>
      </c>
      <c r="H40" s="5" t="inlineStr">
        <is>
          <t>buz mavisi</t>
        </is>
      </c>
      <c r="I40" s="5" t="inlineStr">
        <is>
          <t>1 x 1,8 mm lab beyaz safir</t>
        </is>
      </c>
      <c r="J40" s="3" t="n">
        <v>25.6</v>
      </c>
      <c r="K40" s="7" t="n">
        <v>3.36</v>
      </c>
      <c r="L40" s="8" t="n"/>
      <c r="M40" s="9" t="n"/>
      <c r="N40" s="10" t="n"/>
      <c r="O40" s="10" t="n"/>
      <c r="P40" s="10" t="n"/>
      <c r="Q40" s="10" t="n"/>
      <c r="R40" s="11" t="n"/>
      <c r="S40" s="12">
        <f>IF($L40="","",$L40*N($M40)+N($N40)+N($O40)+N($P40)+N($Q40))</f>
        <v/>
      </c>
    </row>
    <row r="41" ht="140" customHeight="1">
      <c r="A41" s="3" t="n">
        <v>40</v>
      </c>
      <c r="B41" s="3" t="inlineStr">
        <is>
          <t>P10</t>
        </is>
      </c>
      <c r="C41" s="4" t="n"/>
      <c r="D41" s="3" t="inlineStr">
        <is>
          <t>Broş</t>
        </is>
      </c>
      <c r="E41" s="5" t="inlineStr">
        <is>
          <t>Scarab Lapel Pin</t>
        </is>
      </c>
      <c r="F41" s="3" t="inlineStr">
        <is>
          <t>erkek</t>
        </is>
      </c>
      <c r="G41" s="6" t="inlineStr">
        <is>
          <t>22 x 21 mm (bacaklar dahil; govde 11 genis). Pronotum 10.0 x 5.0 x 1.4 (r2.0), yesil hucre 7.0 x 3.0 x 0.55. Elytra 2 x 12.0 x 5.0 x 1.4, mavi hucre 9.0 x 2.6 x 0.55 (yan duvar 1.2). Omurga 12.0 x 1.0 x 1.4. 6 bacak 7.0 x 1.0 x 1.0, yana ~45 derece, uc r0.5. Bas 4.0 x 2.5 x 1.2. Taban 0.85. Igne hatti pronotum-elytra sinirinda, mafsal x=-4.5, kilit kaidesi x=+4.5; igne 11.5 mm. Model +0.2.</t>
        </is>
      </c>
      <c r="H41" s="5" t="inlineStr">
        <is>
          <t>derin yeşil + buz mavisi</t>
        </is>
      </c>
      <c r="I41" s="5" t="inlineStr">
        <is>
          <t>yok</t>
        </is>
      </c>
      <c r="J41" s="3" t="n">
        <v>22</v>
      </c>
      <c r="K41" s="7" t="n">
        <v>3.91</v>
      </c>
      <c r="L41" s="8" t="n"/>
      <c r="M41" s="9" t="n"/>
      <c r="N41" s="10" t="n"/>
      <c r="O41" s="10" t="n"/>
      <c r="P41" s="10" t="n"/>
      <c r="Q41" s="10" t="n"/>
      <c r="R41" s="11" t="n"/>
      <c r="S41" s="12">
        <f>IF($L41="","",$L41*N($M41)+N($N41)+N($O41)+N($P41)+N($Q41))</f>
        <v/>
      </c>
    </row>
    <row r="43">
      <c r="C43" s="13" t="inlineStr">
        <is>
          <t>SARI hücreler Görkem tarafından doldurulacak. Gram ve fiyat 14K SARI altın, parça başı net.</t>
        </is>
      </c>
    </row>
    <row r="44">
      <c r="C44" s="14" t="inlineStr">
        <is>
          <t>Her ölçü ve tezgâh sırası üretici kitabında (Jade-Noel-2026-Uretici-Kitabi.pdf); bu tablo yalnız maliyet içindir.</t>
        </is>
      </c>
    </row>
    <row r="45">
      <c r="C45" s="14" t="inlineStr">
        <is>
          <t>Bizim gram tahminimiz yalnız büyüklük fikri içindir; tartılmış değildir, referans alınmasın.</t>
        </is>
      </c>
    </row>
  </sheetData>
  <autoFilter ref="A1:S4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0" customWidth="1" min="3" max="3"/>
  </cols>
  <sheetData>
    <row r="1">
      <c r="A1" s="15" t="inlineStr">
        <is>
          <t>Varsayımlar / referanslar</t>
        </is>
      </c>
    </row>
    <row r="3">
      <c r="A3" s="16" t="inlineStr">
        <is>
          <t>Girdi</t>
        </is>
      </c>
      <c r="B3" s="16" t="inlineStr">
        <is>
          <t>Değer</t>
        </is>
      </c>
      <c r="C3" s="17" t="inlineStr">
        <is>
          <t>Kaynak / not</t>
        </is>
      </c>
    </row>
    <row r="4">
      <c r="A4" s="18" t="inlineStr">
        <is>
          <t>14K $/g, önceki fatura (her şey dahil)</t>
        </is>
      </c>
      <c r="B4" s="19" t="n">
        <v>106</v>
      </c>
      <c r="C4" s="17" t="inlineStr">
        <is>
          <t>Önceki siparişlerde kullanılan oran: ham altın + işçilik + taş/boncuk dahil. Bu seri için GÜNCEL oranı SARI hücreye yazın.</t>
        </is>
      </c>
    </row>
    <row r="5">
      <c r="A5" s="18" t="inlineStr">
        <is>
          <t>10K $/g (sizin oranınız)</t>
        </is>
      </c>
      <c r="B5" s="20" t="n"/>
      <c r="C5" s="17" t="inlineStr">
        <is>
          <t>SARI: panel 10K/18K varyantları da satıyor; gerçek oranınız yoksa boş bırakın, türetimle devam ederiz.</t>
        </is>
      </c>
    </row>
    <row r="6">
      <c r="A6" s="18" t="inlineStr">
        <is>
          <t>18K $/g (sizin oranınız)</t>
        </is>
      </c>
      <c r="B6" s="20" t="n"/>
      <c r="C6" s="17" t="inlineStr">
        <is>
          <t>SARI: aynı.</t>
        </is>
      </c>
    </row>
    <row r="7">
      <c r="A7" s="18" t="inlineStr">
        <is>
          <t>Altın spot, referans (USD/ozt)</t>
        </is>
      </c>
      <c r="B7" s="21" t="n">
        <v>4166.1</v>
      </c>
      <c r="C7" s="17" t="inlineStr">
        <is>
          <t>gold-api.com, 2026-10-18 18:58 UTC. Sadece bilgi; fiyat sizin $/g'nizden kurulur.</t>
        </is>
      </c>
    </row>
    <row r="8">
      <c r="A8" s="18" t="inlineStr">
        <is>
          <t>Gram oranı 10K / 14K (aynı kalıp)</t>
        </is>
      </c>
      <c r="B8" s="16" t="n">
        <v>0.892</v>
      </c>
      <c r="C8" s="17" t="inlineStr">
        <is>
          <t>Alaşım yoğunluğu; 14K gramından panelde ölçeklenir.</t>
        </is>
      </c>
    </row>
    <row r="9">
      <c r="A9" s="18" t="inlineStr">
        <is>
          <t>Gram oranı 18K / 14K (aynı kalıp)</t>
        </is>
      </c>
      <c r="B9" s="16" t="n">
        <v>1.137</v>
      </c>
      <c r="C9" s="17" t="inlineStr">
        <is>
          <t>Alaşım yoğunluğu; 14K gramından panelde ölçeklenir.</t>
        </is>
      </c>
    </row>
    <row r="10">
      <c r="A10" s="18" t="inlineStr">
        <is>
          <t>Mine</t>
        </is>
      </c>
      <c r="B10" s="16" t="inlineStr">
        <is>
          <t>fırınlı tercih</t>
        </is>
      </c>
      <c r="C10" s="17" t="inlineStr">
        <is>
          <t>Çinko içermeyen 14K, ≤790 °C; olmazsa soğuk mine (epoksi), notta belirtin.</t>
        </is>
      </c>
    </row>
    <row r="11">
      <c r="A11" s="18" t="inlineStr">
        <is>
          <t>Taşlar</t>
        </is>
      </c>
      <c r="B11" s="16" t="inlineStr">
        <is>
          <t>lab-grown</t>
        </is>
      </c>
      <c r="C11" s="17" t="inlineStr">
        <is>
          <t>Küçük lab beyaz safir / renkli taşlar; taş + mıhlama ayrı sütunda.</t>
        </is>
      </c>
    </row>
    <row r="13">
      <c r="A13" s="22" t="inlineStr">
        <is>
          <t>TOPLAM MALİYET = gram × 14K $/g + işçilik + mine + taş/mıhlama + diğer. $/g her şey dahilse işçilik sütununu boş bırakın.</t>
        </is>
      </c>
    </row>
    <row r="14">
      <c r="A14" s="13" t="inlineStr">
        <is>
          <t>Bu dosyada SATIŞ fiyatı YOK; önce gerçek maliyet toplanır, fiyat sonra panelde kurulur.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5" t="inlineStr">
        <is>
          <t>Nasıl doldurulur</t>
        </is>
      </c>
    </row>
    <row r="3" ht="30" customHeight="1">
      <c r="A3" s="16" t="inlineStr">
        <is>
          <t>Amaç</t>
        </is>
      </c>
      <c r="B3" s="23" t="inlineStr">
        <is>
          <t>Noel 2026 serisinin 40 parçası (10 bileklik, 10 kolye, 10 küpe, 10 broş) için gerçek üretim maliyetini almak.</t>
        </is>
      </c>
    </row>
    <row r="4" ht="30" customHeight="1">
      <c r="A4" s="16" t="inlineStr">
        <is>
          <t>Doldurulacak</t>
        </is>
      </c>
      <c r="B4" s="23" t="inlineStr">
        <is>
          <t>Yalnız SARI hücreler: GRAM 14K, 14K $/g, İŞÇİLİK, MİNE, TAŞ + MIHLAMA, DİĞER, NOT. 'Varsayımlar' sayfasındaki üç sarı hücre (14K/10K/18K $/g) de sizin.</t>
        </is>
      </c>
    </row>
    <row r="5" ht="30" customHeight="1">
      <c r="A5" s="16" t="inlineStr">
        <is>
          <t>Gram</t>
        </is>
      </c>
      <c r="B5" s="23" t="inlineStr">
        <is>
          <t>14 ayar sarı altın, parça başı NET gram (zincir, kopça, küpe arkalığı, broş iğnesi dahil). Mine ve taş grama girmez.</t>
        </is>
      </c>
    </row>
    <row r="6" ht="30" customHeight="1">
      <c r="A6" s="16" t="inlineStr">
        <is>
          <t>$/g ya da işçilik</t>
        </is>
      </c>
      <c r="B6" s="23" t="inlineStr">
        <is>
          <t>Alışkanlığınız her şey dahil $/g ise onu yazın ve işçiliği boş bırakın. Parça başı işçilik veriyorsanız $/g'ye yalnız metali yazın.</t>
        </is>
      </c>
    </row>
    <row r="7" ht="30" customHeight="1">
      <c r="A7" s="16" t="inlineStr">
        <is>
          <t>Mine</t>
        </is>
      </c>
      <c r="B7" s="23" t="inlineStr">
        <is>
          <t>Fırınlı mine için parça başı bedel. Fırınlı olmuyorsa soğuk mine bedelini yazın ve NOT'a 'soğuk' deyin.</t>
        </is>
      </c>
    </row>
    <row r="8" ht="30" customHeight="1">
      <c r="A8" s="16" t="inlineStr">
        <is>
          <t>Taş + mıhlama</t>
        </is>
      </c>
      <c r="B8" s="23" t="inlineStr">
        <is>
          <t>Taş bedeli + mıhlama işçiliği toplamı. Taş yoksa 0.</t>
        </is>
      </c>
    </row>
    <row r="9" ht="30" customHeight="1">
      <c r="A9" s="16" t="inlineStr">
        <is>
          <t>Diğer</t>
        </is>
      </c>
      <c r="B9" s="23" t="inlineStr">
        <is>
          <t>Döküm, cila, rodaj, kaplama vb. varsa; yoksa 0.</t>
        </is>
      </c>
    </row>
    <row r="10" ht="30" customHeight="1">
      <c r="A10" s="16" t="inlineStr">
        <is>
          <t>Not</t>
        </is>
      </c>
      <c r="B10" s="23" t="inlineStr">
        <is>
          <t>Yapılamayan, değişmesi gereken ya da farklı ölçü öneren her şey buraya: ölçü, kalınlık, mine rengi, taş boyu.</t>
        </is>
      </c>
    </row>
    <row r="11" ht="30" customHeight="1">
      <c r="A11" s="16" t="inlineStr">
        <is>
          <t>Toplam</t>
        </is>
      </c>
      <c r="B11" s="23" t="inlineStr">
        <is>
          <t>Otomatik hesaplanır; elle yazmayın.</t>
        </is>
      </c>
    </row>
    <row r="12" ht="30" customHeight="1">
      <c r="A12" s="16" t="inlineStr">
        <is>
          <t>Görseller</t>
        </is>
      </c>
      <c r="B12" s="23" t="inlineStr">
        <is>
          <t>Her satırın görseli tasarım görselleştirmesidir (üretim fotoğrafı değil). Ölçü ve kesit için üretici kitabına bakın.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2026-10-18T19:12:57Z</dcterms:created>
  <dcterms:modified xsi:type="dcterms:W3CDTF">2026-10-18T19:12:57Z</dcterms:modified>
</cp:coreProperties>
</file>