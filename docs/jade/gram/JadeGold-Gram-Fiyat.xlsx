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arlar" sheetId="1" state="visible" r:id="rId1"/>
    <sheet name="Eksik Gramlar" sheetId="2" state="visible" r:id="rId2"/>
    <sheet name="Tüm Varyantlar" sheetId="3" state="visible" r:id="rId3"/>
    <sheet name="Listing Özeti" sheetId="4" state="visible" r:id="rId4"/>
  </sheets>
  <definedNames>
    <definedName name="_xlnm._FilterDatabase" localSheetId="1" hidden="1">'Eksik Gramlar'!$A$1:$L$122</definedName>
    <definedName name="_xlnm._FilterDatabase" localSheetId="2" hidden="1">'Tüm Varyantlar'!$A$1:$M$1945</definedName>
    <definedName name="_xlnm._FilterDatabase" localSheetId="3" hidden="1">'Listing Özeti'!$A$1:$I$114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7C5F25"/>
      <sz val="10"/>
    </font>
    <font>
      <color rgb="001C1A16"/>
      <sz val="10"/>
    </font>
    <font>
      <i val="1"/>
      <color rgb="00A39F94"/>
      <sz val="9"/>
    </font>
    <font>
      <i val="1"/>
      <color rgb="007C5F25"/>
      <sz val="10"/>
    </font>
    <font>
      <b val="1"/>
      <color rgb="00FFFFFF"/>
      <sz val="11"/>
    </font>
    <font>
      <color rgb="000563C1"/>
      <sz val="9"/>
      <u val="single"/>
    </font>
    <font>
      <b val="1"/>
      <color rgb="00B00020"/>
      <sz val="10"/>
    </font>
  </fonts>
  <fills count="6">
    <fill>
      <patternFill/>
    </fill>
    <fill>
      <patternFill patternType="gray125"/>
    </fill>
    <fill>
      <patternFill patternType="solid">
        <fgColor rgb="009A7A33"/>
      </patternFill>
    </fill>
    <fill>
      <patternFill patternType="solid">
        <fgColor rgb="00F2EFE6"/>
      </patternFill>
    </fill>
    <fill>
      <patternFill patternType="solid">
        <fgColor rgb="00FCEFC7"/>
      </patternFill>
    </fill>
    <fill>
      <patternFill patternType="solid">
        <fgColor rgb="00FBF9F4"/>
      </patternFill>
    </fill>
  </fills>
  <borders count="2">
    <border>
      <left/>
      <right/>
      <top/>
      <bottom/>
      <diagonal/>
    </border>
    <border>
      <bottom style="thin">
        <color rgb="00A39F9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0" borderId="1" pivotButton="0" quotePrefix="0" xfId="0"/>
    <xf numFmtId="165" fontId="2" fillId="4" borderId="1" applyAlignment="1" pivotButton="0" quotePrefix="0" xfId="0">
      <alignment horizontal="center"/>
    </xf>
    <xf numFmtId="0" fontId="4" fillId="0" borderId="1" pivotButton="0" quotePrefix="0" xfId="0"/>
    <xf numFmtId="164" fontId="2" fillId="4" borderId="1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3" fillId="5" borderId="1" pivotButton="0" quotePrefix="0" xfId="0"/>
    <xf numFmtId="165" fontId="3" fillId="5" borderId="1" pivotButton="0" quotePrefix="0" xfId="0"/>
    <xf numFmtId="0" fontId="2" fillId="4" borderId="1" applyAlignment="1" pivotButton="0" quotePrefix="0" xfId="0">
      <alignment horizontal="center"/>
    </xf>
    <xf numFmtId="164" fontId="3" fillId="5" borderId="1" pivotButton="0" quotePrefix="0" xfId="0"/>
    <xf numFmtId="0" fontId="7" fillId="5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7" fillId="0" borderId="1" pivotButton="0" quotePrefix="0" xfId="0"/>
    <xf numFmtId="0" fontId="3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B00020"/>
        <sz val="10"/>
      </font>
      <fill>
        <patternFill patternType="solid">
          <fgColor rgb="00F7DCE0"/>
        </patternFill>
      </fill>
    </dxf>
    <dxf>
      <font>
        <b val="1"/>
        <color rgb="007C5F25"/>
        <sz val="10"/>
      </font>
      <fill>
        <patternFill patternType="solid">
          <fgColor rgb="00FBEFD5"/>
        </patternFill>
      </fill>
    </dxf>
    <dxf>
      <font>
        <b val="1"/>
        <color rgb="003F4A44"/>
        <sz val="10"/>
      </font>
      <fill>
        <patternFill patternType="solid">
          <fgColor rgb="00E4EBE7"/>
        </patternFill>
      </fill>
    </dxf>
    <dxf>
      <font>
        <i val="1"/>
        <color rgb="00A39F94"/>
        <sz val="10"/>
      </font>
      <fill>
        <patternFill patternType="solid">
          <fgColor rgb="00EDEB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7A33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4" customWidth="1" min="3" max="3"/>
  </cols>
  <sheetData>
    <row r="1" ht="26" customHeight="1">
      <c r="A1" s="1" t="inlineStr">
        <is>
          <t>JADE GOLD NYC — FİYAT AYARLARI</t>
        </is>
      </c>
    </row>
    <row r="2">
      <c r="A2" s="2" t="inlineStr">
        <is>
          <t>AYAR</t>
        </is>
      </c>
      <c r="B2" s="2" t="inlineStr">
        <is>
          <t>DEĞER</t>
        </is>
      </c>
      <c r="C2" s="2" t="inlineStr">
        <is>
          <t>AÇIKLAMA</t>
        </is>
      </c>
    </row>
    <row r="3">
      <c r="A3" s="3" t="inlineStr">
        <is>
          <t>Altın maliyeti ($/gram)</t>
        </is>
      </c>
      <c r="B3" s="4" t="n">
        <v>106</v>
      </c>
      <c r="C3" s="5" t="inlineStr">
        <is>
          <t>Her şey dahil tedarikçi faturası: ham altın + işçilik + taş</t>
        </is>
      </c>
    </row>
    <row r="4">
      <c r="A4" s="3" t="inlineStr">
        <is>
          <t>Kargo ($)</t>
        </is>
      </c>
      <c r="B4" s="4" t="n">
        <v>5</v>
      </c>
      <c r="C4" s="5" t="inlineStr">
        <is>
          <t>Ücretsiz kargo — bedeli satıcıda</t>
        </is>
      </c>
    </row>
    <row r="5">
      <c r="A5" s="3" t="inlineStr">
        <is>
          <t>Ambalaj ($)</t>
        </is>
      </c>
      <c r="B5" s="4" t="n">
        <v>1.5</v>
      </c>
      <c r="C5" s="5" t="inlineStr"/>
    </row>
    <row r="6">
      <c r="A6" s="3" t="inlineStr">
        <is>
          <t>Etsy indirimi</t>
        </is>
      </c>
      <c r="B6" s="6" t="n">
        <v>0.15</v>
      </c>
      <c r="C6" s="5" t="inlineStr">
        <is>
          <t>Kalıcı mağaza indirimi — tahsilat = liste × 0,85</t>
        </is>
      </c>
    </row>
    <row r="7">
      <c r="A7" s="3" t="inlineStr">
        <is>
          <t>Etsy oransal kesinti</t>
        </is>
      </c>
      <c r="B7" s="6" t="n">
        <v>0.095</v>
      </c>
      <c r="C7" s="5" t="inlineStr">
        <is>
          <t>%6,5 işlem + %3 ödeme</t>
        </is>
      </c>
    </row>
    <row r="8">
      <c r="A8" s="3" t="inlineStr">
        <is>
          <t>Etsy sabit kesinti ($)</t>
        </is>
      </c>
      <c r="B8" s="4" t="n">
        <v>0.25</v>
      </c>
      <c r="C8" s="5" t="inlineStr"/>
    </row>
    <row r="9">
      <c r="A9" s="3" t="inlineStr">
        <is>
          <t>Hedef net marj</t>
        </is>
      </c>
      <c r="B9" s="6" t="n">
        <v>0.2</v>
      </c>
      <c r="C9" s="5" t="inlineStr">
        <is>
          <t>Fiyat önerisi bu marja göre hesaplanır</t>
        </is>
      </c>
    </row>
    <row r="11">
      <c r="A11" s="7" t="inlineStr">
        <is>
          <t>Sarı hücreler düzenlenebilir. Değiştirince tüm sekmeler yeniden hesaplanır.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A7A33"/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  <col width="11" customWidth="1" min="5" max="5"/>
    <col width="9" customWidth="1" min="6" max="6"/>
    <col width="11" customWidth="1" min="7" max="7"/>
    <col width="12" customWidth="1" min="8" max="8"/>
    <col width="13" customWidth="1" min="9" max="9"/>
    <col width="9" customWidth="1" min="10" max="10"/>
    <col width="15" customWidth="1" min="11" max="11"/>
    <col width="42" customWidth="1" min="12" max="12"/>
  </cols>
  <sheetData>
    <row r="1" ht="30" customHeight="1">
      <c r="A1" s="8" t="inlineStr">
        <is>
          <t>Bölüm</t>
        </is>
      </c>
      <c r="B1" s="8" t="inlineStr">
        <is>
          <t>Listing</t>
        </is>
      </c>
      <c r="C1" s="8" t="inlineStr">
        <is>
          <t>Etsy ID</t>
        </is>
      </c>
      <c r="D1" s="8" t="inlineStr">
        <is>
          <t>SKU</t>
        </is>
      </c>
      <c r="E1" s="8" t="inlineStr">
        <is>
          <t>Fiyat $</t>
        </is>
      </c>
      <c r="F1" s="8" t="inlineStr">
        <is>
          <t>GRAM</t>
        </is>
      </c>
      <c r="G1" s="8" t="inlineStr">
        <is>
          <t>Maliyet $</t>
        </is>
      </c>
      <c r="H1" s="8" t="inlineStr">
        <is>
          <t>Breakeven $</t>
        </is>
      </c>
      <c r="I1" s="8" t="inlineStr">
        <is>
          <t>Hedef Fiyat $</t>
        </is>
      </c>
      <c r="J1" s="8" t="inlineStr">
        <is>
          <t>Marj</t>
        </is>
      </c>
      <c r="K1" s="8" t="inlineStr">
        <is>
          <t>Durum</t>
        </is>
      </c>
      <c r="L1" s="8" t="inlineStr">
        <is>
          <t>Etsy Linki</t>
        </is>
      </c>
    </row>
    <row r="2">
      <c r="A2" s="9" t="inlineStr">
        <is>
          <t>chains</t>
        </is>
      </c>
      <c r="B2" s="9" t="inlineStr">
        <is>
          <t>10K Gold Rope Chain Necklace – Twisted Diamond Cut</t>
        </is>
      </c>
      <c r="C2" s="9" t="n">
        <v>1862428966</v>
      </c>
      <c r="D2" s="9" t="inlineStr">
        <is>
          <t>C1862428966</t>
        </is>
      </c>
      <c r="E2" s="10" t="n">
        <v>226.39</v>
      </c>
      <c r="F2" s="11" t="n"/>
      <c r="G2" s="10">
        <f>IF(F2="","",F2*Ayarlar!$B$3+Ayarlar!$B$4+Ayarlar!$B$5)</f>
        <v/>
      </c>
      <c r="H2" s="10">
        <f>IF(F2="","",ROUNDUP(((F2*Ayarlar!$B$3+Ayarlar!$B$4+Ayarlar!$B$5)+Ayarlar!$B$8)/((1-Ayarlar!$B$6)*(1-Ayarlar!$B$7)),0))</f>
        <v/>
      </c>
      <c r="I2" s="10">
        <f>IF(F2="","",ROUNDUP(((F2*Ayarlar!$B$3+Ayarlar!$B$4+Ayarlar!$B$5)+Ayarlar!$B$8)/((1-Ayarlar!$B$6)*(1-Ayarlar!$B$7-Ayarlar!$B$9)),0))</f>
        <v/>
      </c>
      <c r="J2" s="12">
        <f>IF(OR(F2="",E2=""),"",(E2*(1-Ayarlar!$B$6)-(E2*(1-Ayarlar!$B$6)*Ayarlar!$B$7+Ayarlar!$B$8)-(F2*Ayarlar!$B$3+Ayarlar!$B$4+Ayarlar!$B$5))/(E2*(1-Ayarlar!$B$6)))</f>
        <v/>
      </c>
      <c r="K2" s="9">
        <f>IF(F2="","GRAM EKSİK",IF(E2&gt;30000,"FİYAT ŞÜPHELİ",IF(J2&lt;0,"ZARARDA",IF(E2&lt;H2,"RİSKLİ","ok"))))</f>
        <v/>
      </c>
      <c r="L2" s="13" t="inlineStr">
        <is>
          <t>https://www.etsy.com/listing/1862428966</t>
        </is>
      </c>
    </row>
    <row r="3">
      <c r="A3" s="3" t="inlineStr">
        <is>
          <t>chains</t>
        </is>
      </c>
      <c r="B3" s="3" t="inlineStr">
        <is>
          <t>10K Solid Gold Herringbone Necklace, High Polish Snake Chain</t>
        </is>
      </c>
      <c r="C3" s="3" t="n">
        <v>1294201622</v>
      </c>
      <c r="D3" s="3" t="inlineStr">
        <is>
          <t>R1294201622</t>
        </is>
      </c>
      <c r="E3" s="14" t="n">
        <v>86.27</v>
      </c>
      <c r="F3" s="11" t="n"/>
      <c r="G3" s="14">
        <f>IF(F3="","",F3*Ayarlar!$B$3+Ayarlar!$B$4+Ayarlar!$B$5)</f>
        <v/>
      </c>
      <c r="H3" s="14">
        <f>IF(F3="","",ROUNDUP(((F3*Ayarlar!$B$3+Ayarlar!$B$4+Ayarlar!$B$5)+Ayarlar!$B$8)/((1-Ayarlar!$B$6)*(1-Ayarlar!$B$7)),0))</f>
        <v/>
      </c>
      <c r="I3" s="14">
        <f>IF(F3="","",ROUNDUP(((F3*Ayarlar!$B$3+Ayarlar!$B$4+Ayarlar!$B$5)+Ayarlar!$B$8)/((1-Ayarlar!$B$6)*(1-Ayarlar!$B$7-Ayarlar!$B$9)),0))</f>
        <v/>
      </c>
      <c r="J3" s="15">
        <f>IF(OR(F3="",E3=""),"",(E3*(1-Ayarlar!$B$6)-(E3*(1-Ayarlar!$B$6)*Ayarlar!$B$7+Ayarlar!$B$8)-(F3*Ayarlar!$B$3+Ayarlar!$B$4+Ayarlar!$B$5))/(E3*(1-Ayarlar!$B$6)))</f>
        <v/>
      </c>
      <c r="K3" s="3">
        <f>IF(F3="","GRAM EKSİK",IF(E3&gt;30000,"FİYAT ŞÜPHELİ",IF(J3&lt;0,"ZARARDA",IF(E3&lt;H3,"RİSKLİ","ok"))))</f>
        <v/>
      </c>
      <c r="L3" s="16" t="inlineStr">
        <is>
          <t>https://www.etsy.com/listing/1294201622</t>
        </is>
      </c>
    </row>
    <row r="4">
      <c r="A4" s="9" t="inlineStr">
        <is>
          <t>chains</t>
        </is>
      </c>
      <c r="B4" s="9" t="inlineStr">
        <is>
          <t>14K Gold Necklace, Solid White Bead Ball Chain Design</t>
        </is>
      </c>
      <c r="C4" s="9" t="n">
        <v>4546907749</v>
      </c>
      <c r="D4" s="9" t="inlineStr">
        <is>
          <t>CWM42F-16</t>
        </is>
      </c>
      <c r="E4" s="10" t="n">
        <v>812.7</v>
      </c>
      <c r="F4" s="11" t="n"/>
      <c r="G4" s="10">
        <f>IF(F4="","",F4*Ayarlar!$B$3+Ayarlar!$B$4+Ayarlar!$B$5)</f>
        <v/>
      </c>
      <c r="H4" s="10">
        <f>IF(F4="","",ROUNDUP(((F4*Ayarlar!$B$3+Ayarlar!$B$4+Ayarlar!$B$5)+Ayarlar!$B$8)/((1-Ayarlar!$B$6)*(1-Ayarlar!$B$7)),0))</f>
        <v/>
      </c>
      <c r="I4" s="10">
        <f>IF(F4="","",ROUNDUP(((F4*Ayarlar!$B$3+Ayarlar!$B$4+Ayarlar!$B$5)+Ayarlar!$B$8)/((1-Ayarlar!$B$6)*(1-Ayarlar!$B$7-Ayarlar!$B$9)),0))</f>
        <v/>
      </c>
      <c r="J4" s="12">
        <f>IF(OR(F4="",E4=""),"",(E4*(1-Ayarlar!$B$6)-(E4*(1-Ayarlar!$B$6)*Ayarlar!$B$7+Ayarlar!$B$8)-(F4*Ayarlar!$B$3+Ayarlar!$B$4+Ayarlar!$B$5))/(E4*(1-Ayarlar!$B$6)))</f>
        <v/>
      </c>
      <c r="K4" s="9">
        <f>IF(F4="","GRAM EKSİK",IF(E4&gt;30000,"FİYAT ŞÜPHELİ",IF(J4&lt;0,"ZARARDA",IF(E4&lt;H4,"RİSKLİ","ok"))))</f>
        <v/>
      </c>
      <c r="L4" s="13" t="inlineStr">
        <is>
          <t>https://www.etsy.com/listing/4546907749</t>
        </is>
      </c>
    </row>
    <row r="5">
      <c r="A5" s="3" t="inlineStr">
        <is>
          <t>chains</t>
        </is>
      </c>
      <c r="B5" s="3" t="inlineStr">
        <is>
          <t>14K Gold Necklace, Solid White Bead Ball Chain Design</t>
        </is>
      </c>
      <c r="C5" s="3" t="n">
        <v>4546907749</v>
      </c>
      <c r="D5" s="3" t="inlineStr">
        <is>
          <t>CWM42F-18</t>
        </is>
      </c>
      <c r="E5" s="14" t="n">
        <v>914.28</v>
      </c>
      <c r="F5" s="11" t="n"/>
      <c r="G5" s="14">
        <f>IF(F5="","",F5*Ayarlar!$B$3+Ayarlar!$B$4+Ayarlar!$B$5)</f>
        <v/>
      </c>
      <c r="H5" s="14">
        <f>IF(F5="","",ROUNDUP(((F5*Ayarlar!$B$3+Ayarlar!$B$4+Ayarlar!$B$5)+Ayarlar!$B$8)/((1-Ayarlar!$B$6)*(1-Ayarlar!$B$7)),0))</f>
        <v/>
      </c>
      <c r="I5" s="14">
        <f>IF(F5="","",ROUNDUP(((F5*Ayarlar!$B$3+Ayarlar!$B$4+Ayarlar!$B$5)+Ayarlar!$B$8)/((1-Ayarlar!$B$6)*(1-Ayarlar!$B$7-Ayarlar!$B$9)),0))</f>
        <v/>
      </c>
      <c r="J5" s="15">
        <f>IF(OR(F5="",E5=""),"",(E5*(1-Ayarlar!$B$6)-(E5*(1-Ayarlar!$B$6)*Ayarlar!$B$7+Ayarlar!$B$8)-(F5*Ayarlar!$B$3+Ayarlar!$B$4+Ayarlar!$B$5))/(E5*(1-Ayarlar!$B$6)))</f>
        <v/>
      </c>
      <c r="K5" s="3">
        <f>IF(F5="","GRAM EKSİK",IF(E5&gt;30000,"FİYAT ŞÜPHELİ",IF(J5&lt;0,"ZARARDA",IF(E5&lt;H5,"RİSKLİ","ok"))))</f>
        <v/>
      </c>
      <c r="L5" s="16" t="inlineStr">
        <is>
          <t>https://www.etsy.com/listing/4546907749</t>
        </is>
      </c>
    </row>
    <row r="6">
      <c r="A6" s="9" t="inlineStr">
        <is>
          <t>chains</t>
        </is>
      </c>
      <c r="B6" s="9" t="inlineStr">
        <is>
          <t>14K Gold Necklace, Solid White Bead Ball Chain Design</t>
        </is>
      </c>
      <c r="C6" s="9" t="n">
        <v>4546907749</v>
      </c>
      <c r="D6" s="9" t="inlineStr">
        <is>
          <t>CWM42F-20</t>
        </is>
      </c>
      <c r="E6" s="10" t="n">
        <v>1015.87</v>
      </c>
      <c r="F6" s="11" t="n"/>
      <c r="G6" s="10">
        <f>IF(F6="","",F6*Ayarlar!$B$3+Ayarlar!$B$4+Ayarlar!$B$5)</f>
        <v/>
      </c>
      <c r="H6" s="10">
        <f>IF(F6="","",ROUNDUP(((F6*Ayarlar!$B$3+Ayarlar!$B$4+Ayarlar!$B$5)+Ayarlar!$B$8)/((1-Ayarlar!$B$6)*(1-Ayarlar!$B$7)),0))</f>
        <v/>
      </c>
      <c r="I6" s="10">
        <f>IF(F6="","",ROUNDUP(((F6*Ayarlar!$B$3+Ayarlar!$B$4+Ayarlar!$B$5)+Ayarlar!$B$8)/((1-Ayarlar!$B$6)*(1-Ayarlar!$B$7-Ayarlar!$B$9)),0))</f>
        <v/>
      </c>
      <c r="J6" s="12">
        <f>IF(OR(F6="",E6=""),"",(E6*(1-Ayarlar!$B$6)-(E6*(1-Ayarlar!$B$6)*Ayarlar!$B$7+Ayarlar!$B$8)-(F6*Ayarlar!$B$3+Ayarlar!$B$4+Ayarlar!$B$5))/(E6*(1-Ayarlar!$B$6)))</f>
        <v/>
      </c>
      <c r="K6" s="9">
        <f>IF(F6="","GRAM EKSİK",IF(E6&gt;30000,"FİYAT ŞÜPHELİ",IF(J6&lt;0,"ZARARDA",IF(E6&lt;H6,"RİSKLİ","ok"))))</f>
        <v/>
      </c>
      <c r="L6" s="13" t="inlineStr">
        <is>
          <t>https://www.etsy.com/listing/4546907749</t>
        </is>
      </c>
    </row>
    <row r="7">
      <c r="A7" s="3" t="inlineStr">
        <is>
          <t>chains</t>
        </is>
      </c>
      <c r="B7" s="3" t="inlineStr">
        <is>
          <t>14K Gold Necklace, Solid White Bead Ball Chain Design</t>
        </is>
      </c>
      <c r="C7" s="3" t="n">
        <v>4546907749</v>
      </c>
      <c r="D7" s="3" t="inlineStr">
        <is>
          <t>CWM42F-22</t>
        </is>
      </c>
      <c r="E7" s="14" t="n">
        <v>1117.46</v>
      </c>
      <c r="F7" s="11" t="n"/>
      <c r="G7" s="14">
        <f>IF(F7="","",F7*Ayarlar!$B$3+Ayarlar!$B$4+Ayarlar!$B$5)</f>
        <v/>
      </c>
      <c r="H7" s="14">
        <f>IF(F7="","",ROUNDUP(((F7*Ayarlar!$B$3+Ayarlar!$B$4+Ayarlar!$B$5)+Ayarlar!$B$8)/((1-Ayarlar!$B$6)*(1-Ayarlar!$B$7)),0))</f>
        <v/>
      </c>
      <c r="I7" s="14">
        <f>IF(F7="","",ROUNDUP(((F7*Ayarlar!$B$3+Ayarlar!$B$4+Ayarlar!$B$5)+Ayarlar!$B$8)/((1-Ayarlar!$B$6)*(1-Ayarlar!$B$7-Ayarlar!$B$9)),0))</f>
        <v/>
      </c>
      <c r="J7" s="15">
        <f>IF(OR(F7="",E7=""),"",(E7*(1-Ayarlar!$B$6)-(E7*(1-Ayarlar!$B$6)*Ayarlar!$B$7+Ayarlar!$B$8)-(F7*Ayarlar!$B$3+Ayarlar!$B$4+Ayarlar!$B$5))/(E7*(1-Ayarlar!$B$6)))</f>
        <v/>
      </c>
      <c r="K7" s="3">
        <f>IF(F7="","GRAM EKSİK",IF(E7&gt;30000,"FİYAT ŞÜPHELİ",IF(J7&lt;0,"ZARARDA",IF(E7&lt;H7,"RİSKLİ","ok"))))</f>
        <v/>
      </c>
      <c r="L7" s="16" t="inlineStr">
        <is>
          <t>https://www.etsy.com/listing/4546907749</t>
        </is>
      </c>
    </row>
    <row r="8">
      <c r="A8" s="9" t="inlineStr">
        <is>
          <t>chains</t>
        </is>
      </c>
      <c r="B8" s="9" t="inlineStr">
        <is>
          <t>14K Gold Necklace, Solid White Bead Ball Chain Design</t>
        </is>
      </c>
      <c r="C8" s="9" t="n">
        <v>4546907749</v>
      </c>
      <c r="D8" s="9" t="inlineStr">
        <is>
          <t>CWM42F-24</t>
        </is>
      </c>
      <c r="E8" s="10" t="n">
        <v>1219.05</v>
      </c>
      <c r="F8" s="11" t="n"/>
      <c r="G8" s="10">
        <f>IF(F8="","",F8*Ayarlar!$B$3+Ayarlar!$B$4+Ayarlar!$B$5)</f>
        <v/>
      </c>
      <c r="H8" s="10">
        <f>IF(F8="","",ROUNDUP(((F8*Ayarlar!$B$3+Ayarlar!$B$4+Ayarlar!$B$5)+Ayarlar!$B$8)/((1-Ayarlar!$B$6)*(1-Ayarlar!$B$7)),0))</f>
        <v/>
      </c>
      <c r="I8" s="10">
        <f>IF(F8="","",ROUNDUP(((F8*Ayarlar!$B$3+Ayarlar!$B$4+Ayarlar!$B$5)+Ayarlar!$B$8)/((1-Ayarlar!$B$6)*(1-Ayarlar!$B$7-Ayarlar!$B$9)),0))</f>
        <v/>
      </c>
      <c r="J8" s="12">
        <f>IF(OR(F8="",E8=""),"",(E8*(1-Ayarlar!$B$6)-(E8*(1-Ayarlar!$B$6)*Ayarlar!$B$7+Ayarlar!$B$8)-(F8*Ayarlar!$B$3+Ayarlar!$B$4+Ayarlar!$B$5))/(E8*(1-Ayarlar!$B$6)))</f>
        <v/>
      </c>
      <c r="K8" s="9">
        <f>IF(F8="","GRAM EKSİK",IF(E8&gt;30000,"FİYAT ŞÜPHELİ",IF(J8&lt;0,"ZARARDA",IF(E8&lt;H8,"RİSKLİ","ok"))))</f>
        <v/>
      </c>
      <c r="L8" s="13" t="inlineStr">
        <is>
          <t>https://www.etsy.com/listing/4546907749</t>
        </is>
      </c>
    </row>
    <row r="9">
      <c r="A9" s="3" t="inlineStr">
        <is>
          <t>chains</t>
        </is>
      </c>
      <c r="B9" s="3" t="inlineStr">
        <is>
          <t>14K Gold Necklace, Solid White Bead Ball Chain Design</t>
        </is>
      </c>
      <c r="C9" s="3" t="n">
        <v>4546907749</v>
      </c>
      <c r="D9" s="3" t="inlineStr">
        <is>
          <t>CWM43F-16</t>
        </is>
      </c>
      <c r="E9" s="14" t="n">
        <v>1741.5</v>
      </c>
      <c r="F9" s="11" t="n"/>
      <c r="G9" s="14">
        <f>IF(F9="","",F9*Ayarlar!$B$3+Ayarlar!$B$4+Ayarlar!$B$5)</f>
        <v/>
      </c>
      <c r="H9" s="14">
        <f>IF(F9="","",ROUNDUP(((F9*Ayarlar!$B$3+Ayarlar!$B$4+Ayarlar!$B$5)+Ayarlar!$B$8)/((1-Ayarlar!$B$6)*(1-Ayarlar!$B$7)),0))</f>
        <v/>
      </c>
      <c r="I9" s="14">
        <f>IF(F9="","",ROUNDUP(((F9*Ayarlar!$B$3+Ayarlar!$B$4+Ayarlar!$B$5)+Ayarlar!$B$8)/((1-Ayarlar!$B$6)*(1-Ayarlar!$B$7-Ayarlar!$B$9)),0))</f>
        <v/>
      </c>
      <c r="J9" s="15">
        <f>IF(OR(F9="",E9=""),"",(E9*(1-Ayarlar!$B$6)-(E9*(1-Ayarlar!$B$6)*Ayarlar!$B$7+Ayarlar!$B$8)-(F9*Ayarlar!$B$3+Ayarlar!$B$4+Ayarlar!$B$5))/(E9*(1-Ayarlar!$B$6)))</f>
        <v/>
      </c>
      <c r="K9" s="3">
        <f>IF(F9="","GRAM EKSİK",IF(E9&gt;30000,"FİYAT ŞÜPHELİ",IF(J9&lt;0,"ZARARDA",IF(E9&lt;H9,"RİSKLİ","ok"))))</f>
        <v/>
      </c>
      <c r="L9" s="16" t="inlineStr">
        <is>
          <t>https://www.etsy.com/listing/4546907749</t>
        </is>
      </c>
    </row>
    <row r="10">
      <c r="A10" s="9" t="inlineStr">
        <is>
          <t>chains</t>
        </is>
      </c>
      <c r="B10" s="9" t="inlineStr">
        <is>
          <t>14K Gold Necklace, Solid White Bead Ball Chain Design</t>
        </is>
      </c>
      <c r="C10" s="9" t="n">
        <v>4546907749</v>
      </c>
      <c r="D10" s="9" t="inlineStr">
        <is>
          <t>CWM43F-18</t>
        </is>
      </c>
      <c r="E10" s="10" t="n">
        <v>1950.48</v>
      </c>
      <c r="F10" s="11" t="n"/>
      <c r="G10" s="10">
        <f>IF(F10="","",F10*Ayarlar!$B$3+Ayarlar!$B$4+Ayarlar!$B$5)</f>
        <v/>
      </c>
      <c r="H10" s="10">
        <f>IF(F10="","",ROUNDUP(((F10*Ayarlar!$B$3+Ayarlar!$B$4+Ayarlar!$B$5)+Ayarlar!$B$8)/((1-Ayarlar!$B$6)*(1-Ayarlar!$B$7)),0))</f>
        <v/>
      </c>
      <c r="I10" s="10">
        <f>IF(F10="","",ROUNDUP(((F10*Ayarlar!$B$3+Ayarlar!$B$4+Ayarlar!$B$5)+Ayarlar!$B$8)/((1-Ayarlar!$B$6)*(1-Ayarlar!$B$7-Ayarlar!$B$9)),0))</f>
        <v/>
      </c>
      <c r="J10" s="12">
        <f>IF(OR(F10="",E10=""),"",(E10*(1-Ayarlar!$B$6)-(E10*(1-Ayarlar!$B$6)*Ayarlar!$B$7+Ayarlar!$B$8)-(F10*Ayarlar!$B$3+Ayarlar!$B$4+Ayarlar!$B$5))/(E10*(1-Ayarlar!$B$6)))</f>
        <v/>
      </c>
      <c r="K10" s="9">
        <f>IF(F10="","GRAM EKSİK",IF(E10&gt;30000,"FİYAT ŞÜPHELİ",IF(J10&lt;0,"ZARARDA",IF(E10&lt;H10,"RİSKLİ","ok"))))</f>
        <v/>
      </c>
      <c r="L10" s="13" t="inlineStr">
        <is>
          <t>https://www.etsy.com/listing/4546907749</t>
        </is>
      </c>
    </row>
    <row r="11">
      <c r="A11" s="3" t="inlineStr">
        <is>
          <t>chains</t>
        </is>
      </c>
      <c r="B11" s="3" t="inlineStr">
        <is>
          <t>14K Gold Necklace, Solid White Bead Ball Chain Design</t>
        </is>
      </c>
      <c r="C11" s="3" t="n">
        <v>4546907749</v>
      </c>
      <c r="D11" s="3" t="inlineStr">
        <is>
          <t>CWM43F-20</t>
        </is>
      </c>
      <c r="E11" s="14" t="n">
        <v>2147.85</v>
      </c>
      <c r="F11" s="11" t="n"/>
      <c r="G11" s="14">
        <f>IF(F11="","",F11*Ayarlar!$B$3+Ayarlar!$B$4+Ayarlar!$B$5)</f>
        <v/>
      </c>
      <c r="H11" s="14">
        <f>IF(F11="","",ROUNDUP(((F11*Ayarlar!$B$3+Ayarlar!$B$4+Ayarlar!$B$5)+Ayarlar!$B$8)/((1-Ayarlar!$B$6)*(1-Ayarlar!$B$7)),0))</f>
        <v/>
      </c>
      <c r="I11" s="14">
        <f>IF(F11="","",ROUNDUP(((F11*Ayarlar!$B$3+Ayarlar!$B$4+Ayarlar!$B$5)+Ayarlar!$B$8)/((1-Ayarlar!$B$6)*(1-Ayarlar!$B$7-Ayarlar!$B$9)),0))</f>
        <v/>
      </c>
      <c r="J11" s="15">
        <f>IF(OR(F11="",E11=""),"",(E11*(1-Ayarlar!$B$6)-(E11*(1-Ayarlar!$B$6)*Ayarlar!$B$7+Ayarlar!$B$8)-(F11*Ayarlar!$B$3+Ayarlar!$B$4+Ayarlar!$B$5))/(E11*(1-Ayarlar!$B$6)))</f>
        <v/>
      </c>
      <c r="K11" s="3">
        <f>IF(F11="","GRAM EKSİK",IF(E11&gt;30000,"FİYAT ŞÜPHELİ",IF(J11&lt;0,"ZARARDA",IF(E11&lt;H11,"RİSKLİ","ok"))))</f>
        <v/>
      </c>
      <c r="L11" s="16" t="inlineStr">
        <is>
          <t>https://www.etsy.com/listing/4546907749</t>
        </is>
      </c>
    </row>
    <row r="12">
      <c r="A12" s="9" t="inlineStr">
        <is>
          <t>chains</t>
        </is>
      </c>
      <c r="B12" s="9" t="inlineStr">
        <is>
          <t>14K Gold Necklace, Solid White Bead Ball Chain Design</t>
        </is>
      </c>
      <c r="C12" s="9" t="n">
        <v>4546907749</v>
      </c>
      <c r="D12" s="9" t="inlineStr">
        <is>
          <t>CWM43F-22</t>
        </is>
      </c>
      <c r="E12" s="10" t="n">
        <v>2322</v>
      </c>
      <c r="F12" s="11" t="n"/>
      <c r="G12" s="10">
        <f>IF(F12="","",F12*Ayarlar!$B$3+Ayarlar!$B$4+Ayarlar!$B$5)</f>
        <v/>
      </c>
      <c r="H12" s="10">
        <f>IF(F12="","",ROUNDUP(((F12*Ayarlar!$B$3+Ayarlar!$B$4+Ayarlar!$B$5)+Ayarlar!$B$8)/((1-Ayarlar!$B$6)*(1-Ayarlar!$B$7)),0))</f>
        <v/>
      </c>
      <c r="I12" s="10">
        <f>IF(F12="","",ROUNDUP(((F12*Ayarlar!$B$3+Ayarlar!$B$4+Ayarlar!$B$5)+Ayarlar!$B$8)/((1-Ayarlar!$B$6)*(1-Ayarlar!$B$7-Ayarlar!$B$9)),0))</f>
        <v/>
      </c>
      <c r="J12" s="12">
        <f>IF(OR(F12="",E12=""),"",(E12*(1-Ayarlar!$B$6)-(E12*(1-Ayarlar!$B$6)*Ayarlar!$B$7+Ayarlar!$B$8)-(F12*Ayarlar!$B$3+Ayarlar!$B$4+Ayarlar!$B$5))/(E12*(1-Ayarlar!$B$6)))</f>
        <v/>
      </c>
      <c r="K12" s="9">
        <f>IF(F12="","GRAM EKSİK",IF(E12&gt;30000,"FİYAT ŞÜPHELİ",IF(J12&lt;0,"ZARARDA",IF(E12&lt;H12,"RİSKLİ","ok"))))</f>
        <v/>
      </c>
      <c r="L12" s="13" t="inlineStr">
        <is>
          <t>https://www.etsy.com/listing/4546907749</t>
        </is>
      </c>
    </row>
    <row r="13">
      <c r="A13" s="3" t="inlineStr">
        <is>
          <t>chains</t>
        </is>
      </c>
      <c r="B13" s="3" t="inlineStr">
        <is>
          <t>14K Gold Necklace, Solid White Bead Ball Chain Design</t>
        </is>
      </c>
      <c r="C13" s="3" t="n">
        <v>4546907749</v>
      </c>
      <c r="D13" s="3" t="inlineStr">
        <is>
          <t>CWM43F-24</t>
        </is>
      </c>
      <c r="E13" s="14" t="n">
        <v>2554.2</v>
      </c>
      <c r="F13" s="11" t="n"/>
      <c r="G13" s="14">
        <f>IF(F13="","",F13*Ayarlar!$B$3+Ayarlar!$B$4+Ayarlar!$B$5)</f>
        <v/>
      </c>
      <c r="H13" s="14">
        <f>IF(F13="","",ROUNDUP(((F13*Ayarlar!$B$3+Ayarlar!$B$4+Ayarlar!$B$5)+Ayarlar!$B$8)/((1-Ayarlar!$B$6)*(1-Ayarlar!$B$7)),0))</f>
        <v/>
      </c>
      <c r="I13" s="14">
        <f>IF(F13="","",ROUNDUP(((F13*Ayarlar!$B$3+Ayarlar!$B$4+Ayarlar!$B$5)+Ayarlar!$B$8)/((1-Ayarlar!$B$6)*(1-Ayarlar!$B$7-Ayarlar!$B$9)),0))</f>
        <v/>
      </c>
      <c r="J13" s="15">
        <f>IF(OR(F13="",E13=""),"",(E13*(1-Ayarlar!$B$6)-(E13*(1-Ayarlar!$B$6)*Ayarlar!$B$7+Ayarlar!$B$8)-(F13*Ayarlar!$B$3+Ayarlar!$B$4+Ayarlar!$B$5))/(E13*(1-Ayarlar!$B$6)))</f>
        <v/>
      </c>
      <c r="K13" s="3">
        <f>IF(F13="","GRAM EKSİK",IF(E13&gt;30000,"FİYAT ŞÜPHELİ",IF(J13&lt;0,"ZARARDA",IF(E13&lt;H13,"RİSKLİ","ok"))))</f>
        <v/>
      </c>
      <c r="L13" s="16" t="inlineStr">
        <is>
          <t>https://www.etsy.com/listing/4546907749</t>
        </is>
      </c>
    </row>
    <row r="14">
      <c r="A14" s="9" t="inlineStr">
        <is>
          <t>chains</t>
        </is>
      </c>
      <c r="B14" s="9" t="inlineStr">
        <is>
          <t>14K Gold Necklace, Solid White Bead Ball Chain Design</t>
        </is>
      </c>
      <c r="C14" s="9" t="n">
        <v>4546907749</v>
      </c>
      <c r="D14" s="9" t="inlineStr">
        <is>
          <t>CWM44F-16</t>
        </is>
      </c>
      <c r="E14" s="10" t="n">
        <v>2902.5</v>
      </c>
      <c r="F14" s="11" t="n"/>
      <c r="G14" s="10">
        <f>IF(F14="","",F14*Ayarlar!$B$3+Ayarlar!$B$4+Ayarlar!$B$5)</f>
        <v/>
      </c>
      <c r="H14" s="10">
        <f>IF(F14="","",ROUNDUP(((F14*Ayarlar!$B$3+Ayarlar!$B$4+Ayarlar!$B$5)+Ayarlar!$B$8)/((1-Ayarlar!$B$6)*(1-Ayarlar!$B$7)),0))</f>
        <v/>
      </c>
      <c r="I14" s="10">
        <f>IF(F14="","",ROUNDUP(((F14*Ayarlar!$B$3+Ayarlar!$B$4+Ayarlar!$B$5)+Ayarlar!$B$8)/((1-Ayarlar!$B$6)*(1-Ayarlar!$B$7-Ayarlar!$B$9)),0))</f>
        <v/>
      </c>
      <c r="J14" s="12">
        <f>IF(OR(F14="",E14=""),"",(E14*(1-Ayarlar!$B$6)-(E14*(1-Ayarlar!$B$6)*Ayarlar!$B$7+Ayarlar!$B$8)-(F14*Ayarlar!$B$3+Ayarlar!$B$4+Ayarlar!$B$5))/(E14*(1-Ayarlar!$B$6)))</f>
        <v/>
      </c>
      <c r="K14" s="9">
        <f>IF(F14="","GRAM EKSİK",IF(E14&gt;30000,"FİYAT ŞÜPHELİ",IF(J14&lt;0,"ZARARDA",IF(E14&lt;H14,"RİSKLİ","ok"))))</f>
        <v/>
      </c>
      <c r="L14" s="13" t="inlineStr">
        <is>
          <t>https://www.etsy.com/listing/4546907749</t>
        </is>
      </c>
    </row>
    <row r="15">
      <c r="A15" s="3" t="inlineStr">
        <is>
          <t>chains</t>
        </is>
      </c>
      <c r="B15" s="3" t="inlineStr">
        <is>
          <t>14K Gold Necklace, Solid White Bead Ball Chain Design</t>
        </is>
      </c>
      <c r="C15" s="3" t="n">
        <v>4546907749</v>
      </c>
      <c r="D15" s="3" t="inlineStr">
        <is>
          <t>CWM44F-18</t>
        </is>
      </c>
      <c r="E15" s="14" t="n">
        <v>3250.8</v>
      </c>
      <c r="F15" s="11" t="n"/>
      <c r="G15" s="14">
        <f>IF(F15="","",F15*Ayarlar!$B$3+Ayarlar!$B$4+Ayarlar!$B$5)</f>
        <v/>
      </c>
      <c r="H15" s="14">
        <f>IF(F15="","",ROUNDUP(((F15*Ayarlar!$B$3+Ayarlar!$B$4+Ayarlar!$B$5)+Ayarlar!$B$8)/((1-Ayarlar!$B$6)*(1-Ayarlar!$B$7)),0))</f>
        <v/>
      </c>
      <c r="I15" s="14">
        <f>IF(F15="","",ROUNDUP(((F15*Ayarlar!$B$3+Ayarlar!$B$4+Ayarlar!$B$5)+Ayarlar!$B$8)/((1-Ayarlar!$B$6)*(1-Ayarlar!$B$7-Ayarlar!$B$9)),0))</f>
        <v/>
      </c>
      <c r="J15" s="15">
        <f>IF(OR(F15="",E15=""),"",(E15*(1-Ayarlar!$B$6)-(E15*(1-Ayarlar!$B$6)*Ayarlar!$B$7+Ayarlar!$B$8)-(F15*Ayarlar!$B$3+Ayarlar!$B$4+Ayarlar!$B$5))/(E15*(1-Ayarlar!$B$6)))</f>
        <v/>
      </c>
      <c r="K15" s="3">
        <f>IF(F15="","GRAM EKSİK",IF(E15&gt;30000,"FİYAT ŞÜPHELİ",IF(J15&lt;0,"ZARARDA",IF(E15&lt;H15,"RİSKLİ","ok"))))</f>
        <v/>
      </c>
      <c r="L15" s="16" t="inlineStr">
        <is>
          <t>https://www.etsy.com/listing/4546907749</t>
        </is>
      </c>
    </row>
    <row r="16">
      <c r="A16" s="9" t="inlineStr">
        <is>
          <t>chains</t>
        </is>
      </c>
      <c r="B16" s="9" t="inlineStr">
        <is>
          <t>14K Gold Necklace, Solid White Bead Ball Chain Design</t>
        </is>
      </c>
      <c r="C16" s="9" t="n">
        <v>4546907749</v>
      </c>
      <c r="D16" s="9" t="inlineStr">
        <is>
          <t>CWM44F-20</t>
        </is>
      </c>
      <c r="E16" s="10" t="n">
        <v>3599.1</v>
      </c>
      <c r="F16" s="11" t="n"/>
      <c r="G16" s="10">
        <f>IF(F16="","",F16*Ayarlar!$B$3+Ayarlar!$B$4+Ayarlar!$B$5)</f>
        <v/>
      </c>
      <c r="H16" s="10">
        <f>IF(F16="","",ROUNDUP(((F16*Ayarlar!$B$3+Ayarlar!$B$4+Ayarlar!$B$5)+Ayarlar!$B$8)/((1-Ayarlar!$B$6)*(1-Ayarlar!$B$7)),0))</f>
        <v/>
      </c>
      <c r="I16" s="10">
        <f>IF(F16="","",ROUNDUP(((F16*Ayarlar!$B$3+Ayarlar!$B$4+Ayarlar!$B$5)+Ayarlar!$B$8)/((1-Ayarlar!$B$6)*(1-Ayarlar!$B$7-Ayarlar!$B$9)),0))</f>
        <v/>
      </c>
      <c r="J16" s="12">
        <f>IF(OR(F16="",E16=""),"",(E16*(1-Ayarlar!$B$6)-(E16*(1-Ayarlar!$B$6)*Ayarlar!$B$7+Ayarlar!$B$8)-(F16*Ayarlar!$B$3+Ayarlar!$B$4+Ayarlar!$B$5))/(E16*(1-Ayarlar!$B$6)))</f>
        <v/>
      </c>
      <c r="K16" s="9">
        <f>IF(F16="","GRAM EKSİK",IF(E16&gt;30000,"FİYAT ŞÜPHELİ",IF(J16&lt;0,"ZARARDA",IF(E16&lt;H16,"RİSKLİ","ok"))))</f>
        <v/>
      </c>
      <c r="L16" s="13" t="inlineStr">
        <is>
          <t>https://www.etsy.com/listing/4546907749</t>
        </is>
      </c>
    </row>
    <row r="17">
      <c r="A17" s="3" t="inlineStr">
        <is>
          <t>chains</t>
        </is>
      </c>
      <c r="B17" s="3" t="inlineStr">
        <is>
          <t>14K Gold Necklace, Solid White Bead Ball Chain Design</t>
        </is>
      </c>
      <c r="C17" s="3" t="n">
        <v>4546907749</v>
      </c>
      <c r="D17" s="3" t="inlineStr">
        <is>
          <t>CWM44F-22</t>
        </is>
      </c>
      <c r="E17" s="14" t="n">
        <v>3947.4</v>
      </c>
      <c r="F17" s="11" t="n"/>
      <c r="G17" s="14">
        <f>IF(F17="","",F17*Ayarlar!$B$3+Ayarlar!$B$4+Ayarlar!$B$5)</f>
        <v/>
      </c>
      <c r="H17" s="14">
        <f>IF(F17="","",ROUNDUP(((F17*Ayarlar!$B$3+Ayarlar!$B$4+Ayarlar!$B$5)+Ayarlar!$B$8)/((1-Ayarlar!$B$6)*(1-Ayarlar!$B$7)),0))</f>
        <v/>
      </c>
      <c r="I17" s="14">
        <f>IF(F17="","",ROUNDUP(((F17*Ayarlar!$B$3+Ayarlar!$B$4+Ayarlar!$B$5)+Ayarlar!$B$8)/((1-Ayarlar!$B$6)*(1-Ayarlar!$B$7-Ayarlar!$B$9)),0))</f>
        <v/>
      </c>
      <c r="J17" s="15">
        <f>IF(OR(F17="",E17=""),"",(E17*(1-Ayarlar!$B$6)-(E17*(1-Ayarlar!$B$6)*Ayarlar!$B$7+Ayarlar!$B$8)-(F17*Ayarlar!$B$3+Ayarlar!$B$4+Ayarlar!$B$5))/(E17*(1-Ayarlar!$B$6)))</f>
        <v/>
      </c>
      <c r="K17" s="3">
        <f>IF(F17="","GRAM EKSİK",IF(E17&gt;30000,"FİYAT ŞÜPHELİ",IF(J17&lt;0,"ZARARDA",IF(E17&lt;H17,"RİSKLİ","ok"))))</f>
        <v/>
      </c>
      <c r="L17" s="16" t="inlineStr">
        <is>
          <t>https://www.etsy.com/listing/4546907749</t>
        </is>
      </c>
    </row>
    <row r="18">
      <c r="A18" s="9" t="inlineStr">
        <is>
          <t>chains</t>
        </is>
      </c>
      <c r="B18" s="9" t="inlineStr">
        <is>
          <t>14K Gold Necklace, Solid White Bead Ball Chain Design</t>
        </is>
      </c>
      <c r="C18" s="9" t="n">
        <v>4546907749</v>
      </c>
      <c r="D18" s="9" t="inlineStr">
        <is>
          <t>CWM44F-24</t>
        </is>
      </c>
      <c r="E18" s="10" t="n">
        <v>4295.7</v>
      </c>
      <c r="F18" s="11" t="n"/>
      <c r="G18" s="10">
        <f>IF(F18="","",F18*Ayarlar!$B$3+Ayarlar!$B$4+Ayarlar!$B$5)</f>
        <v/>
      </c>
      <c r="H18" s="10">
        <f>IF(F18="","",ROUNDUP(((F18*Ayarlar!$B$3+Ayarlar!$B$4+Ayarlar!$B$5)+Ayarlar!$B$8)/((1-Ayarlar!$B$6)*(1-Ayarlar!$B$7)),0))</f>
        <v/>
      </c>
      <c r="I18" s="10">
        <f>IF(F18="","",ROUNDUP(((F18*Ayarlar!$B$3+Ayarlar!$B$4+Ayarlar!$B$5)+Ayarlar!$B$8)/((1-Ayarlar!$B$6)*(1-Ayarlar!$B$7-Ayarlar!$B$9)),0))</f>
        <v/>
      </c>
      <c r="J18" s="12">
        <f>IF(OR(F18="",E18=""),"",(E18*(1-Ayarlar!$B$6)-(E18*(1-Ayarlar!$B$6)*Ayarlar!$B$7+Ayarlar!$B$8)-(F18*Ayarlar!$B$3+Ayarlar!$B$4+Ayarlar!$B$5))/(E18*(1-Ayarlar!$B$6)))</f>
        <v/>
      </c>
      <c r="K18" s="9">
        <f>IF(F18="","GRAM EKSİK",IF(E18&gt;30000,"FİYAT ŞÜPHELİ",IF(J18&lt;0,"ZARARDA",IF(E18&lt;H18,"RİSKLİ","ok"))))</f>
        <v/>
      </c>
      <c r="L18" s="13" t="inlineStr">
        <is>
          <t>https://www.etsy.com/listing/4546907749</t>
        </is>
      </c>
    </row>
    <row r="19">
      <c r="A19" s="3" t="inlineStr">
        <is>
          <t>chains</t>
        </is>
      </c>
      <c r="B19" s="3" t="inlineStr">
        <is>
          <t>14K Yellow Gold Box Chain Bracelet / Unisex Design</t>
        </is>
      </c>
      <c r="C19" s="3" t="n">
        <v>1523519158</v>
      </c>
      <c r="D19" s="3" t="inlineStr">
        <is>
          <t>B1523519158</t>
        </is>
      </c>
      <c r="E19" s="14" t="n">
        <v>238.15</v>
      </c>
      <c r="F19" s="11" t="n"/>
      <c r="G19" s="14">
        <f>IF(F19="","",F19*Ayarlar!$B$3+Ayarlar!$B$4+Ayarlar!$B$5)</f>
        <v/>
      </c>
      <c r="H19" s="14">
        <f>IF(F19="","",ROUNDUP(((F19*Ayarlar!$B$3+Ayarlar!$B$4+Ayarlar!$B$5)+Ayarlar!$B$8)/((1-Ayarlar!$B$6)*(1-Ayarlar!$B$7)),0))</f>
        <v/>
      </c>
      <c r="I19" s="14">
        <f>IF(F19="","",ROUNDUP(((F19*Ayarlar!$B$3+Ayarlar!$B$4+Ayarlar!$B$5)+Ayarlar!$B$8)/((1-Ayarlar!$B$6)*(1-Ayarlar!$B$7-Ayarlar!$B$9)),0))</f>
        <v/>
      </c>
      <c r="J19" s="15">
        <f>IF(OR(F19="",E19=""),"",(E19*(1-Ayarlar!$B$6)-(E19*(1-Ayarlar!$B$6)*Ayarlar!$B$7+Ayarlar!$B$8)-(F19*Ayarlar!$B$3+Ayarlar!$B$4+Ayarlar!$B$5))/(E19*(1-Ayarlar!$B$6)))</f>
        <v/>
      </c>
      <c r="K19" s="3">
        <f>IF(F19="","GRAM EKSİK",IF(E19&gt;30000,"FİYAT ŞÜPHELİ",IF(J19&lt;0,"ZARARDA",IF(E19&lt;H19,"RİSKLİ","ok"))))</f>
        <v/>
      </c>
      <c r="L19" s="16" t="inlineStr">
        <is>
          <t>https://www.etsy.com/listing/1523519158</t>
        </is>
      </c>
    </row>
    <row r="20">
      <c r="A20" s="9" t="inlineStr">
        <is>
          <t>chains</t>
        </is>
      </c>
      <c r="B20" s="9" t="inlineStr">
        <is>
          <t>Chunky 14K Yellow Gold Rope Bracelet / Unisex Statement Jewe</t>
        </is>
      </c>
      <c r="C20" s="9" t="n">
        <v>4296776011</v>
      </c>
      <c r="D20" s="9" t="inlineStr">
        <is>
          <t>BRO8-8</t>
        </is>
      </c>
      <c r="E20" s="10" t="n">
        <v>1857.6</v>
      </c>
      <c r="F20" s="11" t="n"/>
      <c r="G20" s="10">
        <f>IF(F20="","",F20*Ayarlar!$B$3+Ayarlar!$B$4+Ayarlar!$B$5)</f>
        <v/>
      </c>
      <c r="H20" s="10">
        <f>IF(F20="","",ROUNDUP(((F20*Ayarlar!$B$3+Ayarlar!$B$4+Ayarlar!$B$5)+Ayarlar!$B$8)/((1-Ayarlar!$B$6)*(1-Ayarlar!$B$7)),0))</f>
        <v/>
      </c>
      <c r="I20" s="10">
        <f>IF(F20="","",ROUNDUP(((F20*Ayarlar!$B$3+Ayarlar!$B$4+Ayarlar!$B$5)+Ayarlar!$B$8)/((1-Ayarlar!$B$6)*(1-Ayarlar!$B$7-Ayarlar!$B$9)),0))</f>
        <v/>
      </c>
      <c r="J20" s="12">
        <f>IF(OR(F20="",E20=""),"",(E20*(1-Ayarlar!$B$6)-(E20*(1-Ayarlar!$B$6)*Ayarlar!$B$7+Ayarlar!$B$8)-(F20*Ayarlar!$B$3+Ayarlar!$B$4+Ayarlar!$B$5))/(E20*(1-Ayarlar!$B$6)))</f>
        <v/>
      </c>
      <c r="K20" s="9">
        <f>IF(F20="","GRAM EKSİK",IF(E20&gt;30000,"FİYAT ŞÜPHELİ",IF(J20&lt;0,"ZARARDA",IF(E20&lt;H20,"RİSKLİ","ok"))))</f>
        <v/>
      </c>
      <c r="L20" s="13" t="inlineStr">
        <is>
          <t>https://www.etsy.com/listing/4296776011</t>
        </is>
      </c>
    </row>
    <row r="21">
      <c r="A21" s="3" t="inlineStr">
        <is>
          <t>chains</t>
        </is>
      </c>
      <c r="B21" s="3" t="inlineStr">
        <is>
          <t>Chunky 14K Yellow Gold Rope Bracelet / Unisex Statement Jewe</t>
        </is>
      </c>
      <c r="C21" s="3" t="n">
        <v>4296776011</v>
      </c>
      <c r="D21" s="3" t="inlineStr">
        <is>
          <t>BRO85-8.5</t>
        </is>
      </c>
      <c r="E21" s="14" t="n">
        <v>2031.75</v>
      </c>
      <c r="F21" s="11" t="n"/>
      <c r="G21" s="14">
        <f>IF(F21="","",F21*Ayarlar!$B$3+Ayarlar!$B$4+Ayarlar!$B$5)</f>
        <v/>
      </c>
      <c r="H21" s="14">
        <f>IF(F21="","",ROUNDUP(((F21*Ayarlar!$B$3+Ayarlar!$B$4+Ayarlar!$B$5)+Ayarlar!$B$8)/((1-Ayarlar!$B$6)*(1-Ayarlar!$B$7)),0))</f>
        <v/>
      </c>
      <c r="I21" s="14">
        <f>IF(F21="","",ROUNDUP(((F21*Ayarlar!$B$3+Ayarlar!$B$4+Ayarlar!$B$5)+Ayarlar!$B$8)/((1-Ayarlar!$B$6)*(1-Ayarlar!$B$7-Ayarlar!$B$9)),0))</f>
        <v/>
      </c>
      <c r="J21" s="15">
        <f>IF(OR(F21="",E21=""),"",(E21*(1-Ayarlar!$B$6)-(E21*(1-Ayarlar!$B$6)*Ayarlar!$B$7+Ayarlar!$B$8)-(F21*Ayarlar!$B$3+Ayarlar!$B$4+Ayarlar!$B$5))/(E21*(1-Ayarlar!$B$6)))</f>
        <v/>
      </c>
      <c r="K21" s="3">
        <f>IF(F21="","GRAM EKSİK",IF(E21&gt;30000,"FİYAT ŞÜPHELİ",IF(J21&lt;0,"ZARARDA",IF(E21&lt;H21,"RİSKLİ","ok"))))</f>
        <v/>
      </c>
      <c r="L21" s="16" t="inlineStr">
        <is>
          <t>https://www.etsy.com/listing/4296776011</t>
        </is>
      </c>
    </row>
    <row r="22">
      <c r="A22" s="9" t="inlineStr">
        <is>
          <t>earrings</t>
        </is>
      </c>
      <c r="B22" s="9" t="inlineStr">
        <is>
          <t>10K Gold Small Hoop Earrings / Shiny Polished Finish</t>
        </is>
      </c>
      <c r="C22" s="9" t="n">
        <v>1205110402</v>
      </c>
      <c r="D22" s="9" t="inlineStr">
        <is>
          <t>EH1-15</t>
        </is>
      </c>
      <c r="E22" s="10" t="n">
        <v>75.23999999999999</v>
      </c>
      <c r="F22" s="11" t="n"/>
      <c r="G22" s="10">
        <f>IF(F22="","",F22*Ayarlar!$B$3+Ayarlar!$B$4+Ayarlar!$B$5)</f>
        <v/>
      </c>
      <c r="H22" s="10">
        <f>IF(F22="","",ROUNDUP(((F22*Ayarlar!$B$3+Ayarlar!$B$4+Ayarlar!$B$5)+Ayarlar!$B$8)/((1-Ayarlar!$B$6)*(1-Ayarlar!$B$7)),0))</f>
        <v/>
      </c>
      <c r="I22" s="10">
        <f>IF(F22="","",ROUNDUP(((F22*Ayarlar!$B$3+Ayarlar!$B$4+Ayarlar!$B$5)+Ayarlar!$B$8)/((1-Ayarlar!$B$6)*(1-Ayarlar!$B$7-Ayarlar!$B$9)),0))</f>
        <v/>
      </c>
      <c r="J22" s="12">
        <f>IF(OR(F22="",E22=""),"",(E22*(1-Ayarlar!$B$6)-(E22*(1-Ayarlar!$B$6)*Ayarlar!$B$7+Ayarlar!$B$8)-(F22*Ayarlar!$B$3+Ayarlar!$B$4+Ayarlar!$B$5))/(E22*(1-Ayarlar!$B$6)))</f>
        <v/>
      </c>
      <c r="K22" s="9">
        <f>IF(F22="","GRAM EKSİK",IF(E22&gt;30000,"FİYAT ŞÜPHELİ",IF(J22&lt;0,"ZARARDA",IF(E22&lt;H22,"RİSKLİ","ok"))))</f>
        <v/>
      </c>
      <c r="L22" s="13" t="inlineStr">
        <is>
          <t>https://www.etsy.com/listing/1205110402</t>
        </is>
      </c>
    </row>
    <row r="23">
      <c r="A23" s="3" t="inlineStr">
        <is>
          <t>earrings</t>
        </is>
      </c>
      <c r="B23" s="3" t="inlineStr">
        <is>
          <t>10K Solid Gold Nugget Stud Earrings, Diamond Cut</t>
        </is>
      </c>
      <c r="C23" s="3" t="n">
        <v>1475151914</v>
      </c>
      <c r="D23" s="3" t="inlineStr">
        <is>
          <t>ENUG-2</t>
        </is>
      </c>
      <c r="E23" s="14" t="n">
        <v>161.25</v>
      </c>
      <c r="F23" s="11" t="n"/>
      <c r="G23" s="14">
        <f>IF(F23="","",F23*Ayarlar!$B$3+Ayarlar!$B$4+Ayarlar!$B$5)</f>
        <v/>
      </c>
      <c r="H23" s="14">
        <f>IF(F23="","",ROUNDUP(((F23*Ayarlar!$B$3+Ayarlar!$B$4+Ayarlar!$B$5)+Ayarlar!$B$8)/((1-Ayarlar!$B$6)*(1-Ayarlar!$B$7)),0))</f>
        <v/>
      </c>
      <c r="I23" s="14">
        <f>IF(F23="","",ROUNDUP(((F23*Ayarlar!$B$3+Ayarlar!$B$4+Ayarlar!$B$5)+Ayarlar!$B$8)/((1-Ayarlar!$B$6)*(1-Ayarlar!$B$7-Ayarlar!$B$9)),0))</f>
        <v/>
      </c>
      <c r="J23" s="15">
        <f>IF(OR(F23="",E23=""),"",(E23*(1-Ayarlar!$B$6)-(E23*(1-Ayarlar!$B$6)*Ayarlar!$B$7+Ayarlar!$B$8)-(F23*Ayarlar!$B$3+Ayarlar!$B$4+Ayarlar!$B$5))/(E23*(1-Ayarlar!$B$6)))</f>
        <v/>
      </c>
      <c r="K23" s="3">
        <f>IF(F23="","GRAM EKSİK",IF(E23&gt;30000,"FİYAT ŞÜPHELİ",IF(J23&lt;0,"ZARARDA",IF(E23&lt;H23,"RİSKLİ","ok"))))</f>
        <v/>
      </c>
      <c r="L23" s="16" t="inlineStr">
        <is>
          <t>https://www.etsy.com/listing/1475151914</t>
        </is>
      </c>
    </row>
    <row r="24">
      <c r="A24" s="9" t="inlineStr">
        <is>
          <t>earrings</t>
        </is>
      </c>
      <c r="B24" s="9" t="inlineStr">
        <is>
          <t>10K Solid Gold Nugget Stud Earrings, Diamond Cut</t>
        </is>
      </c>
      <c r="C24" s="9" t="n">
        <v>1475151914</v>
      </c>
      <c r="D24" s="9" t="inlineStr">
        <is>
          <t>ENUG-3</t>
        </is>
      </c>
      <c r="E24" s="10" t="n">
        <v>258</v>
      </c>
      <c r="F24" s="11" t="n"/>
      <c r="G24" s="10">
        <f>IF(F24="","",F24*Ayarlar!$B$3+Ayarlar!$B$4+Ayarlar!$B$5)</f>
        <v/>
      </c>
      <c r="H24" s="10">
        <f>IF(F24="","",ROUNDUP(((F24*Ayarlar!$B$3+Ayarlar!$B$4+Ayarlar!$B$5)+Ayarlar!$B$8)/((1-Ayarlar!$B$6)*(1-Ayarlar!$B$7)),0))</f>
        <v/>
      </c>
      <c r="I24" s="10">
        <f>IF(F24="","",ROUNDUP(((F24*Ayarlar!$B$3+Ayarlar!$B$4+Ayarlar!$B$5)+Ayarlar!$B$8)/((1-Ayarlar!$B$6)*(1-Ayarlar!$B$7-Ayarlar!$B$9)),0))</f>
        <v/>
      </c>
      <c r="J24" s="12">
        <f>IF(OR(F24="",E24=""),"",(E24*(1-Ayarlar!$B$6)-(E24*(1-Ayarlar!$B$6)*Ayarlar!$B$7+Ayarlar!$B$8)-(F24*Ayarlar!$B$3+Ayarlar!$B$4+Ayarlar!$B$5))/(E24*(1-Ayarlar!$B$6)))</f>
        <v/>
      </c>
      <c r="K24" s="9">
        <f>IF(F24="","GRAM EKSİK",IF(E24&gt;30000,"FİYAT ŞÜPHELİ",IF(J24&lt;0,"ZARARDA",IF(E24&lt;H24,"RİSKLİ","ok"))))</f>
        <v/>
      </c>
      <c r="L24" s="13" t="inlineStr">
        <is>
          <t>https://www.etsy.com/listing/1475151914</t>
        </is>
      </c>
    </row>
    <row r="25">
      <c r="A25" s="3" t="inlineStr">
        <is>
          <t>earrings</t>
        </is>
      </c>
      <c r="B25" s="3" t="inlineStr">
        <is>
          <t>10K Yellow Gold Hoop Earrings, Diamond Cut, All Sizes</t>
        </is>
      </c>
      <c r="C25" s="3" t="n">
        <v>1225508465</v>
      </c>
      <c r="D25" s="3" t="inlineStr">
        <is>
          <t>EH2-20</t>
        </is>
      </c>
      <c r="E25" s="14" t="n">
        <v>155.87</v>
      </c>
      <c r="F25" s="11" t="n"/>
      <c r="G25" s="14">
        <f>IF(F25="","",F25*Ayarlar!$B$3+Ayarlar!$B$4+Ayarlar!$B$5)</f>
        <v/>
      </c>
      <c r="H25" s="14">
        <f>IF(F25="","",ROUNDUP(((F25*Ayarlar!$B$3+Ayarlar!$B$4+Ayarlar!$B$5)+Ayarlar!$B$8)/((1-Ayarlar!$B$6)*(1-Ayarlar!$B$7)),0))</f>
        <v/>
      </c>
      <c r="I25" s="14">
        <f>IF(F25="","",ROUNDUP(((F25*Ayarlar!$B$3+Ayarlar!$B$4+Ayarlar!$B$5)+Ayarlar!$B$8)/((1-Ayarlar!$B$6)*(1-Ayarlar!$B$7-Ayarlar!$B$9)),0))</f>
        <v/>
      </c>
      <c r="J25" s="15">
        <f>IF(OR(F25="",E25=""),"",(E25*(1-Ayarlar!$B$6)-(E25*(1-Ayarlar!$B$6)*Ayarlar!$B$7+Ayarlar!$B$8)-(F25*Ayarlar!$B$3+Ayarlar!$B$4+Ayarlar!$B$5))/(E25*(1-Ayarlar!$B$6)))</f>
        <v/>
      </c>
      <c r="K25" s="3">
        <f>IF(F25="","GRAM EKSİK",IF(E25&gt;30000,"FİYAT ŞÜPHELİ",IF(J25&lt;0,"ZARARDA",IF(E25&lt;H25,"RİSKLİ","ok"))))</f>
        <v/>
      </c>
      <c r="L25" s="16" t="inlineStr">
        <is>
          <t>https://www.etsy.com/listing/1225508465</t>
        </is>
      </c>
    </row>
    <row r="26">
      <c r="A26" s="9" t="inlineStr">
        <is>
          <t>earrings</t>
        </is>
      </c>
      <c r="B26" s="9" t="inlineStr">
        <is>
          <t>10K Yellow Gold Hoop Earrings, Diamond Cut, All Sizes</t>
        </is>
      </c>
      <c r="C26" s="9" t="n">
        <v>1225508465</v>
      </c>
      <c r="D26" s="9" t="inlineStr">
        <is>
          <t>EH2-50</t>
        </is>
      </c>
      <c r="E26" s="10" t="n">
        <v>403.12</v>
      </c>
      <c r="F26" s="11" t="n"/>
      <c r="G26" s="10">
        <f>IF(F26="","",F26*Ayarlar!$B$3+Ayarlar!$B$4+Ayarlar!$B$5)</f>
        <v/>
      </c>
      <c r="H26" s="10">
        <f>IF(F26="","",ROUNDUP(((F26*Ayarlar!$B$3+Ayarlar!$B$4+Ayarlar!$B$5)+Ayarlar!$B$8)/((1-Ayarlar!$B$6)*(1-Ayarlar!$B$7)),0))</f>
        <v/>
      </c>
      <c r="I26" s="10">
        <f>IF(F26="","",ROUNDUP(((F26*Ayarlar!$B$3+Ayarlar!$B$4+Ayarlar!$B$5)+Ayarlar!$B$8)/((1-Ayarlar!$B$6)*(1-Ayarlar!$B$7-Ayarlar!$B$9)),0))</f>
        <v/>
      </c>
      <c r="J26" s="12">
        <f>IF(OR(F26="",E26=""),"",(E26*(1-Ayarlar!$B$6)-(E26*(1-Ayarlar!$B$6)*Ayarlar!$B$7+Ayarlar!$B$8)-(F26*Ayarlar!$B$3+Ayarlar!$B$4+Ayarlar!$B$5))/(E26*(1-Ayarlar!$B$6)))</f>
        <v/>
      </c>
      <c r="K26" s="9">
        <f>IF(F26="","GRAM EKSİK",IF(E26&gt;30000,"FİYAT ŞÜPHELİ",IF(J26&lt;0,"ZARARDA",IF(E26&lt;H26,"RİSKLİ","ok"))))</f>
        <v/>
      </c>
      <c r="L26" s="13" t="inlineStr">
        <is>
          <t>https://www.etsy.com/listing/1225508465</t>
        </is>
      </c>
    </row>
    <row r="27">
      <c r="A27" s="3" t="inlineStr">
        <is>
          <t>earrings</t>
        </is>
      </c>
      <c r="B27" s="3" t="inlineStr">
        <is>
          <t>10K Yellow Gold Hoop Earrings, Diamond Cut, All Sizes</t>
        </is>
      </c>
      <c r="C27" s="3" t="n">
        <v>1225508465</v>
      </c>
      <c r="D27" s="3" t="inlineStr">
        <is>
          <t>EH2-64</t>
        </is>
      </c>
      <c r="E27" s="14" t="n">
        <v>505.25</v>
      </c>
      <c r="F27" s="11" t="n"/>
      <c r="G27" s="14">
        <f>IF(F27="","",F27*Ayarlar!$B$3+Ayarlar!$B$4+Ayarlar!$B$5)</f>
        <v/>
      </c>
      <c r="H27" s="14">
        <f>IF(F27="","",ROUNDUP(((F27*Ayarlar!$B$3+Ayarlar!$B$4+Ayarlar!$B$5)+Ayarlar!$B$8)/((1-Ayarlar!$B$6)*(1-Ayarlar!$B$7)),0))</f>
        <v/>
      </c>
      <c r="I27" s="14">
        <f>IF(F27="","",ROUNDUP(((F27*Ayarlar!$B$3+Ayarlar!$B$4+Ayarlar!$B$5)+Ayarlar!$B$8)/((1-Ayarlar!$B$6)*(1-Ayarlar!$B$7-Ayarlar!$B$9)),0))</f>
        <v/>
      </c>
      <c r="J27" s="15">
        <f>IF(OR(F27="",E27=""),"",(E27*(1-Ayarlar!$B$6)-(E27*(1-Ayarlar!$B$6)*Ayarlar!$B$7+Ayarlar!$B$8)-(F27*Ayarlar!$B$3+Ayarlar!$B$4+Ayarlar!$B$5))/(E27*(1-Ayarlar!$B$6)))</f>
        <v/>
      </c>
      <c r="K27" s="3">
        <f>IF(F27="","GRAM EKSİK",IF(E27&gt;30000,"FİYAT ŞÜPHELİ",IF(J27&lt;0,"ZARARDA",IF(E27&lt;H27,"RİSKLİ","ok"))))</f>
        <v/>
      </c>
      <c r="L27" s="16" t="inlineStr">
        <is>
          <t>https://www.etsy.com/listing/1225508465</t>
        </is>
      </c>
    </row>
    <row r="28">
      <c r="A28" s="9" t="inlineStr">
        <is>
          <t>faith</t>
        </is>
      </c>
      <c r="B28" s="9" t="inlineStr">
        <is>
          <t>10K Solid Gold Jesus Head Pendant / Two-Tone Men's Necklace</t>
        </is>
      </c>
      <c r="C28" s="9" t="n">
        <v>1753363056</v>
      </c>
      <c r="D28" s="9" t="inlineStr">
        <is>
          <t>C1753363056</t>
        </is>
      </c>
      <c r="E28" s="10" t="n">
        <v>626.9400000000001</v>
      </c>
      <c r="F28" s="11" t="n"/>
      <c r="G28" s="10">
        <f>IF(F28="","",F28*Ayarlar!$B$3+Ayarlar!$B$4+Ayarlar!$B$5)</f>
        <v/>
      </c>
      <c r="H28" s="10">
        <f>IF(F28="","",ROUNDUP(((F28*Ayarlar!$B$3+Ayarlar!$B$4+Ayarlar!$B$5)+Ayarlar!$B$8)/((1-Ayarlar!$B$6)*(1-Ayarlar!$B$7)),0))</f>
        <v/>
      </c>
      <c r="I28" s="10">
        <f>IF(F28="","",ROUNDUP(((F28*Ayarlar!$B$3+Ayarlar!$B$4+Ayarlar!$B$5)+Ayarlar!$B$8)/((1-Ayarlar!$B$6)*(1-Ayarlar!$B$7-Ayarlar!$B$9)),0))</f>
        <v/>
      </c>
      <c r="J28" s="12">
        <f>IF(OR(F28="",E28=""),"",(E28*(1-Ayarlar!$B$6)-(E28*(1-Ayarlar!$B$6)*Ayarlar!$B$7+Ayarlar!$B$8)-(F28*Ayarlar!$B$3+Ayarlar!$B$4+Ayarlar!$B$5))/(E28*(1-Ayarlar!$B$6)))</f>
        <v/>
      </c>
      <c r="K28" s="9">
        <f>IF(F28="","GRAM EKSİK",IF(E28&gt;30000,"FİYAT ŞÜPHELİ",IF(J28&lt;0,"ZARARDA",IF(E28&lt;H28,"RİSKLİ","ok"))))</f>
        <v/>
      </c>
      <c r="L28" s="13" t="inlineStr">
        <is>
          <t>https://www.etsy.com/listing/1753363056</t>
        </is>
      </c>
    </row>
    <row r="29">
      <c r="A29" s="3" t="inlineStr">
        <is>
          <t>legacy</t>
        </is>
      </c>
      <c r="B29" s="3" t="inlineStr">
        <is>
          <t>10K Gold Cuban Curb Link Bracelet - Yellow Gold Chain</t>
        </is>
      </c>
      <c r="C29" s="3" t="n">
        <v>1820404194</v>
      </c>
      <c r="D29" s="3" t="inlineStr">
        <is>
          <t>B1820404194</t>
        </is>
      </c>
      <c r="E29" s="14" t="n">
        <v>174.15</v>
      </c>
      <c r="F29" s="11" t="n"/>
      <c r="G29" s="14">
        <f>IF(F29="","",F29*Ayarlar!$B$3+Ayarlar!$B$4+Ayarlar!$B$5)</f>
        <v/>
      </c>
      <c r="H29" s="14">
        <f>IF(F29="","",ROUNDUP(((F29*Ayarlar!$B$3+Ayarlar!$B$4+Ayarlar!$B$5)+Ayarlar!$B$8)/((1-Ayarlar!$B$6)*(1-Ayarlar!$B$7)),0))</f>
        <v/>
      </c>
      <c r="I29" s="14">
        <f>IF(F29="","",ROUNDUP(((F29*Ayarlar!$B$3+Ayarlar!$B$4+Ayarlar!$B$5)+Ayarlar!$B$8)/((1-Ayarlar!$B$6)*(1-Ayarlar!$B$7-Ayarlar!$B$9)),0))</f>
        <v/>
      </c>
      <c r="J29" s="15">
        <f>IF(OR(F29="",E29=""),"",(E29*(1-Ayarlar!$B$6)-(E29*(1-Ayarlar!$B$6)*Ayarlar!$B$7+Ayarlar!$B$8)-(F29*Ayarlar!$B$3+Ayarlar!$B$4+Ayarlar!$B$5))/(E29*(1-Ayarlar!$B$6)))</f>
        <v/>
      </c>
      <c r="K29" s="3">
        <f>IF(F29="","GRAM EKSİK",IF(E29&gt;30000,"FİYAT ŞÜPHELİ",IF(J29&lt;0,"ZARARDA",IF(E29&lt;H29,"RİSKLİ","ok"))))</f>
        <v/>
      </c>
      <c r="L29" s="16" t="inlineStr">
        <is>
          <t>https://www.etsy.com/listing/1820404194</t>
        </is>
      </c>
    </row>
    <row r="30">
      <c r="A30" s="9" t="inlineStr">
        <is>
          <t>legacy</t>
        </is>
      </c>
      <c r="B30" s="9" t="inlineStr">
        <is>
          <t>10K Gold Puffed Mariner Anchor Chain Necklace – Real Texture</t>
        </is>
      </c>
      <c r="C30" s="9" t="n">
        <v>1320317404</v>
      </c>
      <c r="D30" s="9" t="inlineStr">
        <is>
          <t>C1320317404</t>
        </is>
      </c>
      <c r="E30" s="10" t="n">
        <v>1857.6</v>
      </c>
      <c r="F30" s="11" t="n"/>
      <c r="G30" s="10">
        <f>IF(F30="","",F30*Ayarlar!$B$3+Ayarlar!$B$4+Ayarlar!$B$5)</f>
        <v/>
      </c>
      <c r="H30" s="10">
        <f>IF(F30="","",ROUNDUP(((F30*Ayarlar!$B$3+Ayarlar!$B$4+Ayarlar!$B$5)+Ayarlar!$B$8)/((1-Ayarlar!$B$6)*(1-Ayarlar!$B$7)),0))</f>
        <v/>
      </c>
      <c r="I30" s="10">
        <f>IF(F30="","",ROUNDUP(((F30*Ayarlar!$B$3+Ayarlar!$B$4+Ayarlar!$B$5)+Ayarlar!$B$8)/((1-Ayarlar!$B$6)*(1-Ayarlar!$B$7-Ayarlar!$B$9)),0))</f>
        <v/>
      </c>
      <c r="J30" s="12">
        <f>IF(OR(F30="",E30=""),"",(E30*(1-Ayarlar!$B$6)-(E30*(1-Ayarlar!$B$6)*Ayarlar!$B$7+Ayarlar!$B$8)-(F30*Ayarlar!$B$3+Ayarlar!$B$4+Ayarlar!$B$5))/(E30*(1-Ayarlar!$B$6)))</f>
        <v/>
      </c>
      <c r="K30" s="9">
        <f>IF(F30="","GRAM EKSİK",IF(E30&gt;30000,"FİYAT ŞÜPHELİ",IF(J30&lt;0,"ZARARDA",IF(E30&lt;H30,"RİSKLİ","ok"))))</f>
        <v/>
      </c>
      <c r="L30" s="13" t="inlineStr">
        <is>
          <t>https://www.etsy.com/listing/1320317404</t>
        </is>
      </c>
    </row>
    <row r="31">
      <c r="A31" s="3" t="inlineStr">
        <is>
          <t>legacy</t>
        </is>
      </c>
      <c r="B31" s="3" t="inlineStr">
        <is>
          <t>10K Real Yellow Gold Miami Cuban Link Bracelet - Unisex</t>
        </is>
      </c>
      <c r="C31" s="3" t="n">
        <v>1195581074</v>
      </c>
      <c r="D31" s="3" t="inlineStr">
        <is>
          <t>BMC66-7</t>
        </is>
      </c>
      <c r="E31" s="14" t="n">
        <v>1434.05</v>
      </c>
      <c r="F31" s="11" t="n"/>
      <c r="G31" s="14">
        <f>IF(F31="","",F31*Ayarlar!$B$3+Ayarlar!$B$4+Ayarlar!$B$5)</f>
        <v/>
      </c>
      <c r="H31" s="14">
        <f>IF(F31="","",ROUNDUP(((F31*Ayarlar!$B$3+Ayarlar!$B$4+Ayarlar!$B$5)+Ayarlar!$B$8)/((1-Ayarlar!$B$6)*(1-Ayarlar!$B$7)),0))</f>
        <v/>
      </c>
      <c r="I31" s="14">
        <f>IF(F31="","",ROUNDUP(((F31*Ayarlar!$B$3+Ayarlar!$B$4+Ayarlar!$B$5)+Ayarlar!$B$8)/((1-Ayarlar!$B$6)*(1-Ayarlar!$B$7-Ayarlar!$B$9)),0))</f>
        <v/>
      </c>
      <c r="J31" s="15">
        <f>IF(OR(F31="",E31=""),"",(E31*(1-Ayarlar!$B$6)-(E31*(1-Ayarlar!$B$6)*Ayarlar!$B$7+Ayarlar!$B$8)-(F31*Ayarlar!$B$3+Ayarlar!$B$4+Ayarlar!$B$5))/(E31*(1-Ayarlar!$B$6)))</f>
        <v/>
      </c>
      <c r="K31" s="3">
        <f>IF(F31="","GRAM EKSİK",IF(E31&gt;30000,"FİYAT ŞÜPHELİ",IF(J31&lt;0,"ZARARDA",IF(E31&lt;H31,"RİSKLİ","ok"))))</f>
        <v/>
      </c>
      <c r="L31" s="16" t="inlineStr">
        <is>
          <t>https://www.etsy.com/listing/1195581074</t>
        </is>
      </c>
    </row>
    <row r="32">
      <c r="A32" s="9" t="inlineStr">
        <is>
          <t>legacy</t>
        </is>
      </c>
      <c r="B32" s="9" t="inlineStr">
        <is>
          <t>10K Real Yellow Gold Miami Cuban Link Bracelet - Unisex</t>
        </is>
      </c>
      <c r="C32" s="9" t="n">
        <v>1195581074</v>
      </c>
      <c r="D32" s="9" t="inlineStr">
        <is>
          <t>BMC7-7.5</t>
        </is>
      </c>
      <c r="E32" s="10" t="n">
        <v>1879.1</v>
      </c>
      <c r="F32" s="11" t="n"/>
      <c r="G32" s="10">
        <f>IF(F32="","",F32*Ayarlar!$B$3+Ayarlar!$B$4+Ayarlar!$B$5)</f>
        <v/>
      </c>
      <c r="H32" s="10">
        <f>IF(F32="","",ROUNDUP(((F32*Ayarlar!$B$3+Ayarlar!$B$4+Ayarlar!$B$5)+Ayarlar!$B$8)/((1-Ayarlar!$B$6)*(1-Ayarlar!$B$7)),0))</f>
        <v/>
      </c>
      <c r="I32" s="10">
        <f>IF(F32="","",ROUNDUP(((F32*Ayarlar!$B$3+Ayarlar!$B$4+Ayarlar!$B$5)+Ayarlar!$B$8)/((1-Ayarlar!$B$6)*(1-Ayarlar!$B$7-Ayarlar!$B$9)),0))</f>
        <v/>
      </c>
      <c r="J32" s="12">
        <f>IF(OR(F32="",E32=""),"",(E32*(1-Ayarlar!$B$6)-(E32*(1-Ayarlar!$B$6)*Ayarlar!$B$7+Ayarlar!$B$8)-(F32*Ayarlar!$B$3+Ayarlar!$B$4+Ayarlar!$B$5))/(E32*(1-Ayarlar!$B$6)))</f>
        <v/>
      </c>
      <c r="K32" s="9">
        <f>IF(F32="","GRAM EKSİK",IF(E32&gt;30000,"FİYAT ŞÜPHELİ",IF(J32&lt;0,"ZARARDA",IF(E32&lt;H32,"RİSKLİ","ok"))))</f>
        <v/>
      </c>
      <c r="L32" s="13" t="inlineStr">
        <is>
          <t>https://www.etsy.com/listing/1195581074</t>
        </is>
      </c>
    </row>
    <row r="33">
      <c r="A33" s="3" t="inlineStr">
        <is>
          <t>legacy</t>
        </is>
      </c>
      <c r="B33" s="3" t="inlineStr">
        <is>
          <t>14k Gold Miami Cuban Link Chain / Italian Curb Necklace</t>
        </is>
      </c>
      <c r="C33" s="3" t="n">
        <v>1430538853</v>
      </c>
      <c r="D33" s="3" t="inlineStr">
        <is>
          <t>C1430538853</t>
        </is>
      </c>
      <c r="E33" s="14" t="n">
        <v>168.34</v>
      </c>
      <c r="F33" s="11" t="n"/>
      <c r="G33" s="14">
        <f>IF(F33="","",F33*Ayarlar!$B$3+Ayarlar!$B$4+Ayarlar!$B$5)</f>
        <v/>
      </c>
      <c r="H33" s="14">
        <f>IF(F33="","",ROUNDUP(((F33*Ayarlar!$B$3+Ayarlar!$B$4+Ayarlar!$B$5)+Ayarlar!$B$8)/((1-Ayarlar!$B$6)*(1-Ayarlar!$B$7)),0))</f>
        <v/>
      </c>
      <c r="I33" s="14">
        <f>IF(F33="","",ROUNDUP(((F33*Ayarlar!$B$3+Ayarlar!$B$4+Ayarlar!$B$5)+Ayarlar!$B$8)/((1-Ayarlar!$B$6)*(1-Ayarlar!$B$7-Ayarlar!$B$9)),0))</f>
        <v/>
      </c>
      <c r="J33" s="15">
        <f>IF(OR(F33="",E33=""),"",(E33*(1-Ayarlar!$B$6)-(E33*(1-Ayarlar!$B$6)*Ayarlar!$B$7+Ayarlar!$B$8)-(F33*Ayarlar!$B$3+Ayarlar!$B$4+Ayarlar!$B$5))/(E33*(1-Ayarlar!$B$6)))</f>
        <v/>
      </c>
      <c r="K33" s="3">
        <f>IF(F33="","GRAM EKSİK",IF(E33&gt;30000,"FİYAT ŞÜPHELİ",IF(J33&lt;0,"ZARARDA",IF(E33&lt;H33,"RİSKLİ","ok"))))</f>
        <v/>
      </c>
      <c r="L33" s="16" t="inlineStr">
        <is>
          <t>https://www.etsy.com/listing/1430538853</t>
        </is>
      </c>
    </row>
    <row r="34">
      <c r="A34" s="9" t="inlineStr">
        <is>
          <t>legacy</t>
        </is>
      </c>
      <c r="B34" s="9" t="inlineStr">
        <is>
          <t>14K Gold Two-Tone Pave Curb Cuban Bracelet</t>
        </is>
      </c>
      <c r="C34" s="9" t="n">
        <v>1877707029</v>
      </c>
      <c r="D34" s="9" t="inlineStr">
        <is>
          <t>BPVCR3-7</t>
        </is>
      </c>
      <c r="E34" s="10" t="n">
        <v>1059.41</v>
      </c>
      <c r="F34" s="11" t="n"/>
      <c r="G34" s="10">
        <f>IF(F34="","",F34*Ayarlar!$B$3+Ayarlar!$B$4+Ayarlar!$B$5)</f>
        <v/>
      </c>
      <c r="H34" s="10">
        <f>IF(F34="","",ROUNDUP(((F34*Ayarlar!$B$3+Ayarlar!$B$4+Ayarlar!$B$5)+Ayarlar!$B$8)/((1-Ayarlar!$B$6)*(1-Ayarlar!$B$7)),0))</f>
        <v/>
      </c>
      <c r="I34" s="10">
        <f>IF(F34="","",ROUNDUP(((F34*Ayarlar!$B$3+Ayarlar!$B$4+Ayarlar!$B$5)+Ayarlar!$B$8)/((1-Ayarlar!$B$6)*(1-Ayarlar!$B$7-Ayarlar!$B$9)),0))</f>
        <v/>
      </c>
      <c r="J34" s="12">
        <f>IF(OR(F34="",E34=""),"",(E34*(1-Ayarlar!$B$6)-(E34*(1-Ayarlar!$B$6)*Ayarlar!$B$7+Ayarlar!$B$8)-(F34*Ayarlar!$B$3+Ayarlar!$B$4+Ayarlar!$B$5))/(E34*(1-Ayarlar!$B$6)))</f>
        <v/>
      </c>
      <c r="K34" s="9">
        <f>IF(F34="","GRAM EKSİK",IF(E34&gt;30000,"FİYAT ŞÜPHELİ",IF(J34&lt;0,"ZARARDA",IF(E34&lt;H34,"RİSKLİ","ok"))))</f>
        <v/>
      </c>
      <c r="L34" s="13" t="inlineStr">
        <is>
          <t>https://www.etsy.com/listing/1877707029</t>
        </is>
      </c>
    </row>
    <row r="35">
      <c r="A35" s="3" t="inlineStr">
        <is>
          <t>legacy</t>
        </is>
      </c>
      <c r="B35" s="3" t="inlineStr">
        <is>
          <t>14K Gold Two-Tone Pave Curb Cuban Bracelet</t>
        </is>
      </c>
      <c r="C35" s="3" t="n">
        <v>1877707029</v>
      </c>
      <c r="D35" s="3" t="inlineStr">
        <is>
          <t>BPVCR3-7.5</t>
        </is>
      </c>
      <c r="E35" s="14" t="n">
        <v>1108.75</v>
      </c>
      <c r="F35" s="11" t="n"/>
      <c r="G35" s="14">
        <f>IF(F35="","",F35*Ayarlar!$B$3+Ayarlar!$B$4+Ayarlar!$B$5)</f>
        <v/>
      </c>
      <c r="H35" s="14">
        <f>IF(F35="","",ROUNDUP(((F35*Ayarlar!$B$3+Ayarlar!$B$4+Ayarlar!$B$5)+Ayarlar!$B$8)/((1-Ayarlar!$B$6)*(1-Ayarlar!$B$7)),0))</f>
        <v/>
      </c>
      <c r="I35" s="14">
        <f>IF(F35="","",ROUNDUP(((F35*Ayarlar!$B$3+Ayarlar!$B$4+Ayarlar!$B$5)+Ayarlar!$B$8)/((1-Ayarlar!$B$6)*(1-Ayarlar!$B$7-Ayarlar!$B$9)),0))</f>
        <v/>
      </c>
      <c r="J35" s="15">
        <f>IF(OR(F35="",E35=""),"",(E35*(1-Ayarlar!$B$6)-(E35*(1-Ayarlar!$B$6)*Ayarlar!$B$7+Ayarlar!$B$8)-(F35*Ayarlar!$B$3+Ayarlar!$B$4+Ayarlar!$B$5))/(E35*(1-Ayarlar!$B$6)))</f>
        <v/>
      </c>
      <c r="K35" s="3">
        <f>IF(F35="","GRAM EKSİK",IF(E35&gt;30000,"FİYAT ŞÜPHELİ",IF(J35&lt;0,"ZARARDA",IF(E35&lt;H35,"RİSKLİ","ok"))))</f>
        <v/>
      </c>
      <c r="L35" s="16" t="inlineStr">
        <is>
          <t>https://www.etsy.com/listing/1877707029</t>
        </is>
      </c>
    </row>
    <row r="36">
      <c r="A36" s="9" t="inlineStr">
        <is>
          <t>legacy</t>
        </is>
      </c>
      <c r="B36" s="9" t="inlineStr">
        <is>
          <t>14K Gold Two-Tone Pave Curb Cuban Bracelet</t>
        </is>
      </c>
      <c r="C36" s="9" t="n">
        <v>1877707029</v>
      </c>
      <c r="D36" s="9" t="inlineStr">
        <is>
          <t>BPVCR3-8.5</t>
        </is>
      </c>
      <c r="E36" s="10" t="n">
        <v>1207.44</v>
      </c>
      <c r="F36" s="11" t="n"/>
      <c r="G36" s="10">
        <f>IF(F36="","",F36*Ayarlar!$B$3+Ayarlar!$B$4+Ayarlar!$B$5)</f>
        <v/>
      </c>
      <c r="H36" s="10">
        <f>IF(F36="","",ROUNDUP(((F36*Ayarlar!$B$3+Ayarlar!$B$4+Ayarlar!$B$5)+Ayarlar!$B$8)/((1-Ayarlar!$B$6)*(1-Ayarlar!$B$7)),0))</f>
        <v/>
      </c>
      <c r="I36" s="10">
        <f>IF(F36="","",ROUNDUP(((F36*Ayarlar!$B$3+Ayarlar!$B$4+Ayarlar!$B$5)+Ayarlar!$B$8)/((1-Ayarlar!$B$6)*(1-Ayarlar!$B$7-Ayarlar!$B$9)),0))</f>
        <v/>
      </c>
      <c r="J36" s="12">
        <f>IF(OR(F36="",E36=""),"",(E36*(1-Ayarlar!$B$6)-(E36*(1-Ayarlar!$B$6)*Ayarlar!$B$7+Ayarlar!$B$8)-(F36*Ayarlar!$B$3+Ayarlar!$B$4+Ayarlar!$B$5))/(E36*(1-Ayarlar!$B$6)))</f>
        <v/>
      </c>
      <c r="K36" s="9">
        <f>IF(F36="","GRAM EKSİK",IF(E36&gt;30000,"FİYAT ŞÜPHELİ",IF(J36&lt;0,"ZARARDA",IF(E36&lt;H36,"RİSKLİ","ok"))))</f>
        <v/>
      </c>
      <c r="L36" s="13" t="inlineStr">
        <is>
          <t>https://www.etsy.com/listing/1877707029</t>
        </is>
      </c>
    </row>
    <row r="37">
      <c r="A37" s="3" t="inlineStr">
        <is>
          <t>legacy</t>
        </is>
      </c>
      <c r="B37" s="3" t="inlineStr">
        <is>
          <t>14K Gold Two-Tone Pave Curb Cuban Bracelet</t>
        </is>
      </c>
      <c r="C37" s="3" t="n">
        <v>1877707029</v>
      </c>
      <c r="D37" s="3" t="inlineStr">
        <is>
          <t>BPVCR3-9</t>
        </is>
      </c>
      <c r="E37" s="14" t="n">
        <v>1259.68</v>
      </c>
      <c r="F37" s="11" t="n"/>
      <c r="G37" s="14">
        <f>IF(F37="","",F37*Ayarlar!$B$3+Ayarlar!$B$4+Ayarlar!$B$5)</f>
        <v/>
      </c>
      <c r="H37" s="14">
        <f>IF(F37="","",ROUNDUP(((F37*Ayarlar!$B$3+Ayarlar!$B$4+Ayarlar!$B$5)+Ayarlar!$B$8)/((1-Ayarlar!$B$6)*(1-Ayarlar!$B$7)),0))</f>
        <v/>
      </c>
      <c r="I37" s="14">
        <f>IF(F37="","",ROUNDUP(((F37*Ayarlar!$B$3+Ayarlar!$B$4+Ayarlar!$B$5)+Ayarlar!$B$8)/((1-Ayarlar!$B$6)*(1-Ayarlar!$B$7-Ayarlar!$B$9)),0))</f>
        <v/>
      </c>
      <c r="J37" s="15">
        <f>IF(OR(F37="",E37=""),"",(E37*(1-Ayarlar!$B$6)-(E37*(1-Ayarlar!$B$6)*Ayarlar!$B$7+Ayarlar!$B$8)-(F37*Ayarlar!$B$3+Ayarlar!$B$4+Ayarlar!$B$5))/(E37*(1-Ayarlar!$B$6)))</f>
        <v/>
      </c>
      <c r="K37" s="3">
        <f>IF(F37="","GRAM EKSİK",IF(E37&gt;30000,"FİYAT ŞÜPHELİ",IF(J37&lt;0,"ZARARDA",IF(E37&lt;H37,"RİSKLİ","ok"))))</f>
        <v/>
      </c>
      <c r="L37" s="16" t="inlineStr">
        <is>
          <t>https://www.etsy.com/listing/1877707029</t>
        </is>
      </c>
    </row>
    <row r="38">
      <c r="A38" s="9" t="inlineStr">
        <is>
          <t>legacy</t>
        </is>
      </c>
      <c r="B38" s="9" t="inlineStr">
        <is>
          <t>14K Gold Two-Tone Pave Curb Cuban Bracelet</t>
        </is>
      </c>
      <c r="C38" s="9" t="n">
        <v>1877707029</v>
      </c>
      <c r="D38" s="9" t="inlineStr">
        <is>
          <t>BPVCR4-7</t>
        </is>
      </c>
      <c r="E38" s="10" t="n">
        <v>1509.3</v>
      </c>
      <c r="F38" s="11" t="n"/>
      <c r="G38" s="10">
        <f>IF(F38="","",F38*Ayarlar!$B$3+Ayarlar!$B$4+Ayarlar!$B$5)</f>
        <v/>
      </c>
      <c r="H38" s="10">
        <f>IF(F38="","",ROUNDUP(((F38*Ayarlar!$B$3+Ayarlar!$B$4+Ayarlar!$B$5)+Ayarlar!$B$8)/((1-Ayarlar!$B$6)*(1-Ayarlar!$B$7)),0))</f>
        <v/>
      </c>
      <c r="I38" s="10">
        <f>IF(F38="","",ROUNDUP(((F38*Ayarlar!$B$3+Ayarlar!$B$4+Ayarlar!$B$5)+Ayarlar!$B$8)/((1-Ayarlar!$B$6)*(1-Ayarlar!$B$7-Ayarlar!$B$9)),0))</f>
        <v/>
      </c>
      <c r="J38" s="12">
        <f>IF(OR(F38="",E38=""),"",(E38*(1-Ayarlar!$B$6)-(E38*(1-Ayarlar!$B$6)*Ayarlar!$B$7+Ayarlar!$B$8)-(F38*Ayarlar!$B$3+Ayarlar!$B$4+Ayarlar!$B$5))/(E38*(1-Ayarlar!$B$6)))</f>
        <v/>
      </c>
      <c r="K38" s="9">
        <f>IF(F38="","GRAM EKSİK",IF(E38&gt;30000,"FİYAT ŞÜPHELİ",IF(J38&lt;0,"ZARARDA",IF(E38&lt;H38,"RİSKLİ","ok"))))</f>
        <v/>
      </c>
      <c r="L38" s="13" t="inlineStr">
        <is>
          <t>https://www.etsy.com/listing/1877707029</t>
        </is>
      </c>
    </row>
    <row r="39">
      <c r="A39" s="3" t="inlineStr">
        <is>
          <t>legacy</t>
        </is>
      </c>
      <c r="B39" s="3" t="inlineStr">
        <is>
          <t>14K Gold Two-Tone Pave Curb Cuban Bracelet</t>
        </is>
      </c>
      <c r="C39" s="3" t="n">
        <v>1877707029</v>
      </c>
      <c r="D39" s="3" t="inlineStr">
        <is>
          <t>BPVCR4-7.5</t>
        </is>
      </c>
      <c r="E39" s="14" t="n">
        <v>1613.79</v>
      </c>
      <c r="F39" s="11" t="n"/>
      <c r="G39" s="14">
        <f>IF(F39="","",F39*Ayarlar!$B$3+Ayarlar!$B$4+Ayarlar!$B$5)</f>
        <v/>
      </c>
      <c r="H39" s="14">
        <f>IF(F39="","",ROUNDUP(((F39*Ayarlar!$B$3+Ayarlar!$B$4+Ayarlar!$B$5)+Ayarlar!$B$8)/((1-Ayarlar!$B$6)*(1-Ayarlar!$B$7)),0))</f>
        <v/>
      </c>
      <c r="I39" s="14">
        <f>IF(F39="","",ROUNDUP(((F39*Ayarlar!$B$3+Ayarlar!$B$4+Ayarlar!$B$5)+Ayarlar!$B$8)/((1-Ayarlar!$B$6)*(1-Ayarlar!$B$7-Ayarlar!$B$9)),0))</f>
        <v/>
      </c>
      <c r="J39" s="15">
        <f>IF(OR(F39="",E39=""),"",(E39*(1-Ayarlar!$B$6)-(E39*(1-Ayarlar!$B$6)*Ayarlar!$B$7+Ayarlar!$B$8)-(F39*Ayarlar!$B$3+Ayarlar!$B$4+Ayarlar!$B$5))/(E39*(1-Ayarlar!$B$6)))</f>
        <v/>
      </c>
      <c r="K39" s="3">
        <f>IF(F39="","GRAM EKSİK",IF(E39&gt;30000,"FİYAT ŞÜPHELİ",IF(J39&lt;0,"ZARARDA",IF(E39&lt;H39,"RİSKLİ","ok"))))</f>
        <v/>
      </c>
      <c r="L39" s="16" t="inlineStr">
        <is>
          <t>https://www.etsy.com/listing/1877707029</t>
        </is>
      </c>
    </row>
    <row r="40">
      <c r="A40" s="9" t="inlineStr">
        <is>
          <t>legacy</t>
        </is>
      </c>
      <c r="B40" s="9" t="inlineStr">
        <is>
          <t>14K Gold Two-Tone Pave Curb Cuban Bracelet</t>
        </is>
      </c>
      <c r="C40" s="9" t="n">
        <v>1877707029</v>
      </c>
      <c r="D40" s="9" t="inlineStr">
        <is>
          <t>BPVCR4-8</t>
        </is>
      </c>
      <c r="E40" s="10" t="n">
        <v>1718.28</v>
      </c>
      <c r="F40" s="11" t="n"/>
      <c r="G40" s="10">
        <f>IF(F40="","",F40*Ayarlar!$B$3+Ayarlar!$B$4+Ayarlar!$B$5)</f>
        <v/>
      </c>
      <c r="H40" s="10">
        <f>IF(F40="","",ROUNDUP(((F40*Ayarlar!$B$3+Ayarlar!$B$4+Ayarlar!$B$5)+Ayarlar!$B$8)/((1-Ayarlar!$B$6)*(1-Ayarlar!$B$7)),0))</f>
        <v/>
      </c>
      <c r="I40" s="10">
        <f>IF(F40="","",ROUNDUP(((F40*Ayarlar!$B$3+Ayarlar!$B$4+Ayarlar!$B$5)+Ayarlar!$B$8)/((1-Ayarlar!$B$6)*(1-Ayarlar!$B$7-Ayarlar!$B$9)),0))</f>
        <v/>
      </c>
      <c r="J40" s="12">
        <f>IF(OR(F40="",E40=""),"",(E40*(1-Ayarlar!$B$6)-(E40*(1-Ayarlar!$B$6)*Ayarlar!$B$7+Ayarlar!$B$8)-(F40*Ayarlar!$B$3+Ayarlar!$B$4+Ayarlar!$B$5))/(E40*(1-Ayarlar!$B$6)))</f>
        <v/>
      </c>
      <c r="K40" s="9">
        <f>IF(F40="","GRAM EKSİK",IF(E40&gt;30000,"FİYAT ŞÜPHELİ",IF(J40&lt;0,"ZARARDA",IF(E40&lt;H40,"RİSKLİ","ok"))))</f>
        <v/>
      </c>
      <c r="L40" s="13" t="inlineStr">
        <is>
          <t>https://www.etsy.com/listing/1877707029</t>
        </is>
      </c>
    </row>
    <row r="41">
      <c r="A41" s="3" t="inlineStr">
        <is>
          <t>legacy</t>
        </is>
      </c>
      <c r="B41" s="3" t="inlineStr">
        <is>
          <t>14K Gold Two-Tone Pave Curb Cuban Bracelet</t>
        </is>
      </c>
      <c r="C41" s="3" t="n">
        <v>1877707029</v>
      </c>
      <c r="D41" s="3" t="inlineStr">
        <is>
          <t>BPVCR4-8.5</t>
        </is>
      </c>
      <c r="E41" s="14" t="n">
        <v>1880.82</v>
      </c>
      <c r="F41" s="11" t="n"/>
      <c r="G41" s="14">
        <f>IF(F41="","",F41*Ayarlar!$B$3+Ayarlar!$B$4+Ayarlar!$B$5)</f>
        <v/>
      </c>
      <c r="H41" s="14">
        <f>IF(F41="","",ROUNDUP(((F41*Ayarlar!$B$3+Ayarlar!$B$4+Ayarlar!$B$5)+Ayarlar!$B$8)/((1-Ayarlar!$B$6)*(1-Ayarlar!$B$7)),0))</f>
        <v/>
      </c>
      <c r="I41" s="14">
        <f>IF(F41="","",ROUNDUP(((F41*Ayarlar!$B$3+Ayarlar!$B$4+Ayarlar!$B$5)+Ayarlar!$B$8)/((1-Ayarlar!$B$6)*(1-Ayarlar!$B$7-Ayarlar!$B$9)),0))</f>
        <v/>
      </c>
      <c r="J41" s="15">
        <f>IF(OR(F41="",E41=""),"",(E41*(1-Ayarlar!$B$6)-(E41*(1-Ayarlar!$B$6)*Ayarlar!$B$7+Ayarlar!$B$8)-(F41*Ayarlar!$B$3+Ayarlar!$B$4+Ayarlar!$B$5))/(E41*(1-Ayarlar!$B$6)))</f>
        <v/>
      </c>
      <c r="K41" s="3">
        <f>IF(F41="","GRAM EKSİK",IF(E41&gt;30000,"FİYAT ŞÜPHELİ",IF(J41&lt;0,"ZARARDA",IF(E41&lt;H41,"RİSKLİ","ok"))))</f>
        <v/>
      </c>
      <c r="L41" s="16" t="inlineStr">
        <is>
          <t>https://www.etsy.com/listing/1877707029</t>
        </is>
      </c>
    </row>
    <row r="42">
      <c r="A42" s="9" t="inlineStr">
        <is>
          <t>legacy</t>
        </is>
      </c>
      <c r="B42" s="9" t="inlineStr">
        <is>
          <t>14K Gold Two-Tone Pave Curb Cuban Bracelet</t>
        </is>
      </c>
      <c r="C42" s="9" t="n">
        <v>1877707029</v>
      </c>
      <c r="D42" s="9" t="inlineStr">
        <is>
          <t>BPVCR4-9</t>
        </is>
      </c>
      <c r="E42" s="10" t="n">
        <v>2043.36</v>
      </c>
      <c r="F42" s="11" t="n"/>
      <c r="G42" s="10">
        <f>IF(F42="","",F42*Ayarlar!$B$3+Ayarlar!$B$4+Ayarlar!$B$5)</f>
        <v/>
      </c>
      <c r="H42" s="10">
        <f>IF(F42="","",ROUNDUP(((F42*Ayarlar!$B$3+Ayarlar!$B$4+Ayarlar!$B$5)+Ayarlar!$B$8)/((1-Ayarlar!$B$6)*(1-Ayarlar!$B$7)),0))</f>
        <v/>
      </c>
      <c r="I42" s="10">
        <f>IF(F42="","",ROUNDUP(((F42*Ayarlar!$B$3+Ayarlar!$B$4+Ayarlar!$B$5)+Ayarlar!$B$8)/((1-Ayarlar!$B$6)*(1-Ayarlar!$B$7-Ayarlar!$B$9)),0))</f>
        <v/>
      </c>
      <c r="J42" s="12">
        <f>IF(OR(F42="",E42=""),"",(E42*(1-Ayarlar!$B$6)-(E42*(1-Ayarlar!$B$6)*Ayarlar!$B$7+Ayarlar!$B$8)-(F42*Ayarlar!$B$3+Ayarlar!$B$4+Ayarlar!$B$5))/(E42*(1-Ayarlar!$B$6)))</f>
        <v/>
      </c>
      <c r="K42" s="9">
        <f>IF(F42="","GRAM EKSİK",IF(E42&gt;30000,"FİYAT ŞÜPHELİ",IF(J42&lt;0,"ZARARDA",IF(E42&lt;H42,"RİSKLİ","ok"))))</f>
        <v/>
      </c>
      <c r="L42" s="13" t="inlineStr">
        <is>
          <t>https://www.etsy.com/listing/1877707029</t>
        </is>
      </c>
    </row>
    <row r="43">
      <c r="A43" s="3" t="inlineStr">
        <is>
          <t>legacy</t>
        </is>
      </c>
      <c r="B43" s="3" t="inlineStr">
        <is>
          <t>14K Gold Two-Tone Pave Curb Cuban Bracelet</t>
        </is>
      </c>
      <c r="C43" s="3" t="n">
        <v>1877707029</v>
      </c>
      <c r="D43" s="3" t="inlineStr">
        <is>
          <t>BPVCR5-7</t>
        </is>
      </c>
      <c r="E43" s="14" t="n">
        <v>1845.99</v>
      </c>
      <c r="F43" s="11" t="n"/>
      <c r="G43" s="14">
        <f>IF(F43="","",F43*Ayarlar!$B$3+Ayarlar!$B$4+Ayarlar!$B$5)</f>
        <v/>
      </c>
      <c r="H43" s="14">
        <f>IF(F43="","",ROUNDUP(((F43*Ayarlar!$B$3+Ayarlar!$B$4+Ayarlar!$B$5)+Ayarlar!$B$8)/((1-Ayarlar!$B$6)*(1-Ayarlar!$B$7)),0))</f>
        <v/>
      </c>
      <c r="I43" s="14">
        <f>IF(F43="","",ROUNDUP(((F43*Ayarlar!$B$3+Ayarlar!$B$4+Ayarlar!$B$5)+Ayarlar!$B$8)/((1-Ayarlar!$B$6)*(1-Ayarlar!$B$7-Ayarlar!$B$9)),0))</f>
        <v/>
      </c>
      <c r="J43" s="15">
        <f>IF(OR(F43="",E43=""),"",(E43*(1-Ayarlar!$B$6)-(E43*(1-Ayarlar!$B$6)*Ayarlar!$B$7+Ayarlar!$B$8)-(F43*Ayarlar!$B$3+Ayarlar!$B$4+Ayarlar!$B$5))/(E43*(1-Ayarlar!$B$6)))</f>
        <v/>
      </c>
      <c r="K43" s="3">
        <f>IF(F43="","GRAM EKSİK",IF(E43&gt;30000,"FİYAT ŞÜPHELİ",IF(J43&lt;0,"ZARARDA",IF(E43&lt;H43,"RİSKLİ","ok"))))</f>
        <v/>
      </c>
      <c r="L43" s="16" t="inlineStr">
        <is>
          <t>https://www.etsy.com/listing/1877707029</t>
        </is>
      </c>
    </row>
    <row r="44">
      <c r="A44" s="9" t="inlineStr">
        <is>
          <t>legacy</t>
        </is>
      </c>
      <c r="B44" s="9" t="inlineStr">
        <is>
          <t>14K Gold Two-Tone Pave Curb Cuban Bracelet</t>
        </is>
      </c>
      <c r="C44" s="9" t="n">
        <v>1877707029</v>
      </c>
      <c r="D44" s="9" t="inlineStr">
        <is>
          <t>BPVCR5-7.5</t>
        </is>
      </c>
      <c r="E44" s="10" t="n">
        <v>1880.82</v>
      </c>
      <c r="F44" s="11" t="n"/>
      <c r="G44" s="10">
        <f>IF(F44="","",F44*Ayarlar!$B$3+Ayarlar!$B$4+Ayarlar!$B$5)</f>
        <v/>
      </c>
      <c r="H44" s="10">
        <f>IF(F44="","",ROUNDUP(((F44*Ayarlar!$B$3+Ayarlar!$B$4+Ayarlar!$B$5)+Ayarlar!$B$8)/((1-Ayarlar!$B$6)*(1-Ayarlar!$B$7)),0))</f>
        <v/>
      </c>
      <c r="I44" s="10">
        <f>IF(F44="","",ROUNDUP(((F44*Ayarlar!$B$3+Ayarlar!$B$4+Ayarlar!$B$5)+Ayarlar!$B$8)/((1-Ayarlar!$B$6)*(1-Ayarlar!$B$7-Ayarlar!$B$9)),0))</f>
        <v/>
      </c>
      <c r="J44" s="12">
        <f>IF(OR(F44="",E44=""),"",(E44*(1-Ayarlar!$B$6)-(E44*(1-Ayarlar!$B$6)*Ayarlar!$B$7+Ayarlar!$B$8)-(F44*Ayarlar!$B$3+Ayarlar!$B$4+Ayarlar!$B$5))/(E44*(1-Ayarlar!$B$6)))</f>
        <v/>
      </c>
      <c r="K44" s="9">
        <f>IF(F44="","GRAM EKSİK",IF(E44&gt;30000,"FİYAT ŞÜPHELİ",IF(J44&lt;0,"ZARARDA",IF(E44&lt;H44,"RİSKLİ","ok"))))</f>
        <v/>
      </c>
      <c r="L44" s="13" t="inlineStr">
        <is>
          <t>https://www.etsy.com/listing/1877707029</t>
        </is>
      </c>
    </row>
    <row r="45">
      <c r="A45" s="3" t="inlineStr">
        <is>
          <t>legacy</t>
        </is>
      </c>
      <c r="B45" s="3" t="inlineStr">
        <is>
          <t>14K Gold Two-Tone Pave Curb Cuban Bracelet</t>
        </is>
      </c>
      <c r="C45" s="3" t="n">
        <v>1877707029</v>
      </c>
      <c r="D45" s="3" t="inlineStr">
        <is>
          <t>BPVCR5-8.5</t>
        </is>
      </c>
      <c r="E45" s="14" t="n">
        <v>2124.63</v>
      </c>
      <c r="F45" s="11" t="n"/>
      <c r="G45" s="14">
        <f>IF(F45="","",F45*Ayarlar!$B$3+Ayarlar!$B$4+Ayarlar!$B$5)</f>
        <v/>
      </c>
      <c r="H45" s="14">
        <f>IF(F45="","",ROUNDUP(((F45*Ayarlar!$B$3+Ayarlar!$B$4+Ayarlar!$B$5)+Ayarlar!$B$8)/((1-Ayarlar!$B$6)*(1-Ayarlar!$B$7)),0))</f>
        <v/>
      </c>
      <c r="I45" s="14">
        <f>IF(F45="","",ROUNDUP(((F45*Ayarlar!$B$3+Ayarlar!$B$4+Ayarlar!$B$5)+Ayarlar!$B$8)/((1-Ayarlar!$B$6)*(1-Ayarlar!$B$7-Ayarlar!$B$9)),0))</f>
        <v/>
      </c>
      <c r="J45" s="15">
        <f>IF(OR(F45="",E45=""),"",(E45*(1-Ayarlar!$B$6)-(E45*(1-Ayarlar!$B$6)*Ayarlar!$B$7+Ayarlar!$B$8)-(F45*Ayarlar!$B$3+Ayarlar!$B$4+Ayarlar!$B$5))/(E45*(1-Ayarlar!$B$6)))</f>
        <v/>
      </c>
      <c r="K45" s="3">
        <f>IF(F45="","GRAM EKSİK",IF(E45&gt;30000,"FİYAT ŞÜPHELİ",IF(J45&lt;0,"ZARARDA",IF(E45&lt;H45,"RİSKLİ","ok"))))</f>
        <v/>
      </c>
      <c r="L45" s="16" t="inlineStr">
        <is>
          <t>https://www.etsy.com/listing/1877707029</t>
        </is>
      </c>
    </row>
    <row r="46">
      <c r="A46" s="9" t="inlineStr">
        <is>
          <t>legacy</t>
        </is>
      </c>
      <c r="B46" s="9" t="inlineStr">
        <is>
          <t>14K Gold Two-Tone Pave Curb Cuban Bracelet</t>
        </is>
      </c>
      <c r="C46" s="9" t="n">
        <v>1877707029</v>
      </c>
      <c r="D46" s="9" t="inlineStr">
        <is>
          <t>BPVCR5-9</t>
        </is>
      </c>
      <c r="E46" s="10" t="n">
        <v>2159.46</v>
      </c>
      <c r="F46" s="11" t="n"/>
      <c r="G46" s="10">
        <f>IF(F46="","",F46*Ayarlar!$B$3+Ayarlar!$B$4+Ayarlar!$B$5)</f>
        <v/>
      </c>
      <c r="H46" s="10">
        <f>IF(F46="","",ROUNDUP(((F46*Ayarlar!$B$3+Ayarlar!$B$4+Ayarlar!$B$5)+Ayarlar!$B$8)/((1-Ayarlar!$B$6)*(1-Ayarlar!$B$7)),0))</f>
        <v/>
      </c>
      <c r="I46" s="10">
        <f>IF(F46="","",ROUNDUP(((F46*Ayarlar!$B$3+Ayarlar!$B$4+Ayarlar!$B$5)+Ayarlar!$B$8)/((1-Ayarlar!$B$6)*(1-Ayarlar!$B$7-Ayarlar!$B$9)),0))</f>
        <v/>
      </c>
      <c r="J46" s="12">
        <f>IF(OR(F46="",E46=""),"",(E46*(1-Ayarlar!$B$6)-(E46*(1-Ayarlar!$B$6)*Ayarlar!$B$7+Ayarlar!$B$8)-(F46*Ayarlar!$B$3+Ayarlar!$B$4+Ayarlar!$B$5))/(E46*(1-Ayarlar!$B$6)))</f>
        <v/>
      </c>
      <c r="K46" s="9">
        <f>IF(F46="","GRAM EKSİK",IF(E46&gt;30000,"FİYAT ŞÜPHELİ",IF(J46&lt;0,"ZARARDA",IF(E46&lt;H46,"RİSKLİ","ok"))))</f>
        <v/>
      </c>
      <c r="L46" s="13" t="inlineStr">
        <is>
          <t>https://www.etsy.com/listing/1877707029</t>
        </is>
      </c>
    </row>
    <row r="47">
      <c r="A47" s="3" t="inlineStr">
        <is>
          <t>legacy</t>
        </is>
      </c>
      <c r="B47" s="3" t="inlineStr">
        <is>
          <t>14K Gold Two-Tone Pave Curb Cuban Bracelet</t>
        </is>
      </c>
      <c r="C47" s="3" t="n">
        <v>1877707029</v>
      </c>
      <c r="D47" s="3" t="inlineStr">
        <is>
          <t>BPVCR6-7</t>
        </is>
      </c>
      <c r="E47" s="14" t="n">
        <v>2322</v>
      </c>
      <c r="F47" s="11" t="n"/>
      <c r="G47" s="14">
        <f>IF(F47="","",F47*Ayarlar!$B$3+Ayarlar!$B$4+Ayarlar!$B$5)</f>
        <v/>
      </c>
      <c r="H47" s="14">
        <f>IF(F47="","",ROUNDUP(((F47*Ayarlar!$B$3+Ayarlar!$B$4+Ayarlar!$B$5)+Ayarlar!$B$8)/((1-Ayarlar!$B$6)*(1-Ayarlar!$B$7)),0))</f>
        <v/>
      </c>
      <c r="I47" s="14">
        <f>IF(F47="","",ROUNDUP(((F47*Ayarlar!$B$3+Ayarlar!$B$4+Ayarlar!$B$5)+Ayarlar!$B$8)/((1-Ayarlar!$B$6)*(1-Ayarlar!$B$7-Ayarlar!$B$9)),0))</f>
        <v/>
      </c>
      <c r="J47" s="15">
        <f>IF(OR(F47="",E47=""),"",(E47*(1-Ayarlar!$B$6)-(E47*(1-Ayarlar!$B$6)*Ayarlar!$B$7+Ayarlar!$B$8)-(F47*Ayarlar!$B$3+Ayarlar!$B$4+Ayarlar!$B$5))/(E47*(1-Ayarlar!$B$6)))</f>
        <v/>
      </c>
      <c r="K47" s="3">
        <f>IF(F47="","GRAM EKSİK",IF(E47&gt;30000,"FİYAT ŞÜPHELİ",IF(J47&lt;0,"ZARARDA",IF(E47&lt;H47,"RİSKLİ","ok"))))</f>
        <v/>
      </c>
      <c r="L47" s="16" t="inlineStr">
        <is>
          <t>https://www.etsy.com/listing/1877707029</t>
        </is>
      </c>
    </row>
    <row r="48">
      <c r="A48" s="9" t="inlineStr">
        <is>
          <t>legacy</t>
        </is>
      </c>
      <c r="B48" s="9" t="inlineStr">
        <is>
          <t>14K Gold Two-Tone Pave Curb Cuban Bracelet</t>
        </is>
      </c>
      <c r="C48" s="9" t="n">
        <v>1877707029</v>
      </c>
      <c r="D48" s="9" t="inlineStr">
        <is>
          <t>BPVCR6-7.5</t>
        </is>
      </c>
      <c r="E48" s="10" t="n">
        <v>2554.2</v>
      </c>
      <c r="F48" s="11" t="n"/>
      <c r="G48" s="10">
        <f>IF(F48="","",F48*Ayarlar!$B$3+Ayarlar!$B$4+Ayarlar!$B$5)</f>
        <v/>
      </c>
      <c r="H48" s="10">
        <f>IF(F48="","",ROUNDUP(((F48*Ayarlar!$B$3+Ayarlar!$B$4+Ayarlar!$B$5)+Ayarlar!$B$8)/((1-Ayarlar!$B$6)*(1-Ayarlar!$B$7)),0))</f>
        <v/>
      </c>
      <c r="I48" s="10">
        <f>IF(F48="","",ROUNDUP(((F48*Ayarlar!$B$3+Ayarlar!$B$4+Ayarlar!$B$5)+Ayarlar!$B$8)/((1-Ayarlar!$B$6)*(1-Ayarlar!$B$7-Ayarlar!$B$9)),0))</f>
        <v/>
      </c>
      <c r="J48" s="12">
        <f>IF(OR(F48="",E48=""),"",(E48*(1-Ayarlar!$B$6)-(E48*(1-Ayarlar!$B$6)*Ayarlar!$B$7+Ayarlar!$B$8)-(F48*Ayarlar!$B$3+Ayarlar!$B$4+Ayarlar!$B$5))/(E48*(1-Ayarlar!$B$6)))</f>
        <v/>
      </c>
      <c r="K48" s="9">
        <f>IF(F48="","GRAM EKSİK",IF(E48&gt;30000,"FİYAT ŞÜPHELİ",IF(J48&lt;0,"ZARARDA",IF(E48&lt;H48,"RİSKLİ","ok"))))</f>
        <v/>
      </c>
      <c r="L48" s="13" t="inlineStr">
        <is>
          <t>https://www.etsy.com/listing/1877707029</t>
        </is>
      </c>
    </row>
    <row r="49">
      <c r="A49" s="3" t="inlineStr">
        <is>
          <t>legacy</t>
        </is>
      </c>
      <c r="B49" s="3" t="inlineStr">
        <is>
          <t>14K Gold Two-Tone Pave Curb Cuban Bracelet</t>
        </is>
      </c>
      <c r="C49" s="3" t="n">
        <v>1877707029</v>
      </c>
      <c r="D49" s="3" t="inlineStr">
        <is>
          <t>BPVCR6-8</t>
        </is>
      </c>
      <c r="E49" s="14" t="n">
        <v>2670.3</v>
      </c>
      <c r="F49" s="11" t="n"/>
      <c r="G49" s="14">
        <f>IF(F49="","",F49*Ayarlar!$B$3+Ayarlar!$B$4+Ayarlar!$B$5)</f>
        <v/>
      </c>
      <c r="H49" s="14">
        <f>IF(F49="","",ROUNDUP(((F49*Ayarlar!$B$3+Ayarlar!$B$4+Ayarlar!$B$5)+Ayarlar!$B$8)/((1-Ayarlar!$B$6)*(1-Ayarlar!$B$7)),0))</f>
        <v/>
      </c>
      <c r="I49" s="14">
        <f>IF(F49="","",ROUNDUP(((F49*Ayarlar!$B$3+Ayarlar!$B$4+Ayarlar!$B$5)+Ayarlar!$B$8)/((1-Ayarlar!$B$6)*(1-Ayarlar!$B$7-Ayarlar!$B$9)),0))</f>
        <v/>
      </c>
      <c r="J49" s="15">
        <f>IF(OR(F49="",E49=""),"",(E49*(1-Ayarlar!$B$6)-(E49*(1-Ayarlar!$B$6)*Ayarlar!$B$7+Ayarlar!$B$8)-(F49*Ayarlar!$B$3+Ayarlar!$B$4+Ayarlar!$B$5))/(E49*(1-Ayarlar!$B$6)))</f>
        <v/>
      </c>
      <c r="K49" s="3">
        <f>IF(F49="","GRAM EKSİK",IF(E49&gt;30000,"FİYAT ŞÜPHELİ",IF(J49&lt;0,"ZARARDA",IF(E49&lt;H49,"RİSKLİ","ok"))))</f>
        <v/>
      </c>
      <c r="L49" s="16" t="inlineStr">
        <is>
          <t>https://www.etsy.com/listing/1877707029</t>
        </is>
      </c>
    </row>
    <row r="50">
      <c r="A50" s="9" t="inlineStr">
        <is>
          <t>legacy</t>
        </is>
      </c>
      <c r="B50" s="9" t="inlineStr">
        <is>
          <t>14K Gold Two-Tone Pave Curb Cuban Bracelet</t>
        </is>
      </c>
      <c r="C50" s="9" t="n">
        <v>1877707029</v>
      </c>
      <c r="D50" s="9" t="inlineStr">
        <is>
          <t>BPVCR6-8.5</t>
        </is>
      </c>
      <c r="E50" s="10" t="n">
        <v>2786.4</v>
      </c>
      <c r="F50" s="11" t="n"/>
      <c r="G50" s="10">
        <f>IF(F50="","",F50*Ayarlar!$B$3+Ayarlar!$B$4+Ayarlar!$B$5)</f>
        <v/>
      </c>
      <c r="H50" s="10">
        <f>IF(F50="","",ROUNDUP(((F50*Ayarlar!$B$3+Ayarlar!$B$4+Ayarlar!$B$5)+Ayarlar!$B$8)/((1-Ayarlar!$B$6)*(1-Ayarlar!$B$7)),0))</f>
        <v/>
      </c>
      <c r="I50" s="10">
        <f>IF(F50="","",ROUNDUP(((F50*Ayarlar!$B$3+Ayarlar!$B$4+Ayarlar!$B$5)+Ayarlar!$B$8)/((1-Ayarlar!$B$6)*(1-Ayarlar!$B$7-Ayarlar!$B$9)),0))</f>
        <v/>
      </c>
      <c r="J50" s="12">
        <f>IF(OR(F50="",E50=""),"",(E50*(1-Ayarlar!$B$6)-(E50*(1-Ayarlar!$B$6)*Ayarlar!$B$7+Ayarlar!$B$8)-(F50*Ayarlar!$B$3+Ayarlar!$B$4+Ayarlar!$B$5))/(E50*(1-Ayarlar!$B$6)))</f>
        <v/>
      </c>
      <c r="K50" s="9">
        <f>IF(F50="","GRAM EKSİK",IF(E50&gt;30000,"FİYAT ŞÜPHELİ",IF(J50&lt;0,"ZARARDA",IF(E50&lt;H50,"RİSKLİ","ok"))))</f>
        <v/>
      </c>
      <c r="L50" s="13" t="inlineStr">
        <is>
          <t>https://www.etsy.com/listing/1877707029</t>
        </is>
      </c>
    </row>
    <row r="51">
      <c r="A51" s="3" t="inlineStr">
        <is>
          <t>legacy</t>
        </is>
      </c>
      <c r="B51" s="3" t="inlineStr">
        <is>
          <t>14K Real Gold Mariner Link Chain / Puffed Anchor Necklace</t>
        </is>
      </c>
      <c r="C51" s="3" t="n">
        <v>1390701590</v>
      </c>
      <c r="D51" s="3" t="inlineStr">
        <is>
          <t>CPUG2F-16</t>
        </is>
      </c>
      <c r="E51" s="14" t="n">
        <v>1941.5</v>
      </c>
      <c r="F51" s="11" t="n"/>
      <c r="G51" s="14">
        <f>IF(F51="","",F51*Ayarlar!$B$3+Ayarlar!$B$4+Ayarlar!$B$5)</f>
        <v/>
      </c>
      <c r="H51" s="14">
        <f>IF(F51="","",ROUNDUP(((F51*Ayarlar!$B$3+Ayarlar!$B$4+Ayarlar!$B$5)+Ayarlar!$B$8)/((1-Ayarlar!$B$6)*(1-Ayarlar!$B$7)),0))</f>
        <v/>
      </c>
      <c r="I51" s="14">
        <f>IF(F51="","",ROUNDUP(((F51*Ayarlar!$B$3+Ayarlar!$B$4+Ayarlar!$B$5)+Ayarlar!$B$8)/((1-Ayarlar!$B$6)*(1-Ayarlar!$B$7-Ayarlar!$B$9)),0))</f>
        <v/>
      </c>
      <c r="J51" s="15">
        <f>IF(OR(F51="",E51=""),"",(E51*(1-Ayarlar!$B$6)-(E51*(1-Ayarlar!$B$6)*Ayarlar!$B$7+Ayarlar!$B$8)-(F51*Ayarlar!$B$3+Ayarlar!$B$4+Ayarlar!$B$5))/(E51*(1-Ayarlar!$B$6)))</f>
        <v/>
      </c>
      <c r="K51" s="3">
        <f>IF(F51="","GRAM EKSİK",IF(E51&gt;30000,"FİYAT ŞÜPHELİ",IF(J51&lt;0,"ZARARDA",IF(E51&lt;H51,"RİSKLİ","ok"))))</f>
        <v/>
      </c>
      <c r="L51" s="16" t="inlineStr">
        <is>
          <t>https://www.etsy.com/listing/1390701590</t>
        </is>
      </c>
    </row>
    <row r="52">
      <c r="A52" s="9" t="inlineStr">
        <is>
          <t>legacy</t>
        </is>
      </c>
      <c r="B52" s="9" t="inlineStr">
        <is>
          <t>14K Real Gold Mariner Link Chain / Puffed Anchor Necklace</t>
        </is>
      </c>
      <c r="C52" s="9" t="n">
        <v>1390701590</v>
      </c>
      <c r="D52" s="9" t="inlineStr">
        <is>
          <t>CPUG2F-18</t>
        </is>
      </c>
      <c r="E52" s="10" t="n">
        <v>2273.7</v>
      </c>
      <c r="F52" s="11" t="n"/>
      <c r="G52" s="10">
        <f>IF(F52="","",F52*Ayarlar!$B$3+Ayarlar!$B$4+Ayarlar!$B$5)</f>
        <v/>
      </c>
      <c r="H52" s="10">
        <f>IF(F52="","",ROUNDUP(((F52*Ayarlar!$B$3+Ayarlar!$B$4+Ayarlar!$B$5)+Ayarlar!$B$8)/((1-Ayarlar!$B$6)*(1-Ayarlar!$B$7)),0))</f>
        <v/>
      </c>
      <c r="I52" s="10">
        <f>IF(F52="","",ROUNDUP(((F52*Ayarlar!$B$3+Ayarlar!$B$4+Ayarlar!$B$5)+Ayarlar!$B$8)/((1-Ayarlar!$B$6)*(1-Ayarlar!$B$7-Ayarlar!$B$9)),0))</f>
        <v/>
      </c>
      <c r="J52" s="12">
        <f>IF(OR(F52="",E52=""),"",(E52*(1-Ayarlar!$B$6)-(E52*(1-Ayarlar!$B$6)*Ayarlar!$B$7+Ayarlar!$B$8)-(F52*Ayarlar!$B$3+Ayarlar!$B$4+Ayarlar!$B$5))/(E52*(1-Ayarlar!$B$6)))</f>
        <v/>
      </c>
      <c r="K52" s="9">
        <f>IF(F52="","GRAM EKSİK",IF(E52&gt;30000,"FİYAT ŞÜPHELİ",IF(J52&lt;0,"ZARARDA",IF(E52&lt;H52,"RİSKLİ","ok"))))</f>
        <v/>
      </c>
      <c r="L52" s="13" t="inlineStr">
        <is>
          <t>https://www.etsy.com/listing/1390701590</t>
        </is>
      </c>
    </row>
    <row r="53">
      <c r="A53" s="3" t="inlineStr">
        <is>
          <t>legacy</t>
        </is>
      </c>
      <c r="B53" s="3" t="inlineStr">
        <is>
          <t>14K Real Gold Mariner Link Chain / Puffed Anchor Necklace</t>
        </is>
      </c>
      <c r="C53" s="3" t="n">
        <v>1390701590</v>
      </c>
      <c r="D53" s="3" t="inlineStr">
        <is>
          <t>CPUG2F-20</t>
        </is>
      </c>
      <c r="E53" s="14" t="n">
        <v>2405.9</v>
      </c>
      <c r="F53" s="11" t="n"/>
      <c r="G53" s="14">
        <f>IF(F53="","",F53*Ayarlar!$B$3+Ayarlar!$B$4+Ayarlar!$B$5)</f>
        <v/>
      </c>
      <c r="H53" s="14">
        <f>IF(F53="","",ROUNDUP(((F53*Ayarlar!$B$3+Ayarlar!$B$4+Ayarlar!$B$5)+Ayarlar!$B$8)/((1-Ayarlar!$B$6)*(1-Ayarlar!$B$7)),0))</f>
        <v/>
      </c>
      <c r="I53" s="14">
        <f>IF(F53="","",ROUNDUP(((F53*Ayarlar!$B$3+Ayarlar!$B$4+Ayarlar!$B$5)+Ayarlar!$B$8)/((1-Ayarlar!$B$6)*(1-Ayarlar!$B$7-Ayarlar!$B$9)),0))</f>
        <v/>
      </c>
      <c r="J53" s="15">
        <f>IF(OR(F53="",E53=""),"",(E53*(1-Ayarlar!$B$6)-(E53*(1-Ayarlar!$B$6)*Ayarlar!$B$7+Ayarlar!$B$8)-(F53*Ayarlar!$B$3+Ayarlar!$B$4+Ayarlar!$B$5))/(E53*(1-Ayarlar!$B$6)))</f>
        <v/>
      </c>
      <c r="K53" s="3">
        <f>IF(F53="","GRAM EKSİK",IF(E53&gt;30000,"FİYAT ŞÜPHELİ",IF(J53&lt;0,"ZARARDA",IF(E53&lt;H53,"RİSKLİ","ok"))))</f>
        <v/>
      </c>
      <c r="L53" s="16" t="inlineStr">
        <is>
          <t>https://www.etsy.com/listing/1390701590</t>
        </is>
      </c>
    </row>
    <row r="54">
      <c r="A54" s="9" t="inlineStr">
        <is>
          <t>legacy</t>
        </is>
      </c>
      <c r="B54" s="9" t="inlineStr">
        <is>
          <t>14K Real Gold Mariner Link Chain / Puffed Anchor Necklace</t>
        </is>
      </c>
      <c r="C54" s="9" t="n">
        <v>1390701590</v>
      </c>
      <c r="D54" s="9" t="inlineStr">
        <is>
          <t>CPUG2F-22</t>
        </is>
      </c>
      <c r="E54" s="10" t="n">
        <v>2638.1</v>
      </c>
      <c r="F54" s="11" t="n"/>
      <c r="G54" s="10">
        <f>IF(F54="","",F54*Ayarlar!$B$3+Ayarlar!$B$4+Ayarlar!$B$5)</f>
        <v/>
      </c>
      <c r="H54" s="10">
        <f>IF(F54="","",ROUNDUP(((F54*Ayarlar!$B$3+Ayarlar!$B$4+Ayarlar!$B$5)+Ayarlar!$B$8)/((1-Ayarlar!$B$6)*(1-Ayarlar!$B$7)),0))</f>
        <v/>
      </c>
      <c r="I54" s="10">
        <f>IF(F54="","",ROUNDUP(((F54*Ayarlar!$B$3+Ayarlar!$B$4+Ayarlar!$B$5)+Ayarlar!$B$8)/((1-Ayarlar!$B$6)*(1-Ayarlar!$B$7-Ayarlar!$B$9)),0))</f>
        <v/>
      </c>
      <c r="J54" s="12">
        <f>IF(OR(F54="",E54=""),"",(E54*(1-Ayarlar!$B$6)-(E54*(1-Ayarlar!$B$6)*Ayarlar!$B$7+Ayarlar!$B$8)-(F54*Ayarlar!$B$3+Ayarlar!$B$4+Ayarlar!$B$5))/(E54*(1-Ayarlar!$B$6)))</f>
        <v/>
      </c>
      <c r="K54" s="9">
        <f>IF(F54="","GRAM EKSİK",IF(E54&gt;30000,"FİYAT ŞÜPHELİ",IF(J54&lt;0,"ZARARDA",IF(E54&lt;H54,"RİSKLİ","ok"))))</f>
        <v/>
      </c>
      <c r="L54" s="13" t="inlineStr">
        <is>
          <t>https://www.etsy.com/listing/1390701590</t>
        </is>
      </c>
    </row>
    <row r="55">
      <c r="A55" s="3" t="inlineStr">
        <is>
          <t>legacy</t>
        </is>
      </c>
      <c r="B55" s="3" t="inlineStr">
        <is>
          <t>14K Real Gold Mariner Link Chain / Puffed Anchor Necklace</t>
        </is>
      </c>
      <c r="C55" s="3" t="n">
        <v>1390701590</v>
      </c>
      <c r="D55" s="3" t="inlineStr">
        <is>
          <t>CPUG2F-24</t>
        </is>
      </c>
      <c r="E55" s="14" t="n">
        <v>2870.3</v>
      </c>
      <c r="F55" s="11" t="n"/>
      <c r="G55" s="14">
        <f>IF(F55="","",F55*Ayarlar!$B$3+Ayarlar!$B$4+Ayarlar!$B$5)</f>
        <v/>
      </c>
      <c r="H55" s="14">
        <f>IF(F55="","",ROUNDUP(((F55*Ayarlar!$B$3+Ayarlar!$B$4+Ayarlar!$B$5)+Ayarlar!$B$8)/((1-Ayarlar!$B$6)*(1-Ayarlar!$B$7)),0))</f>
        <v/>
      </c>
      <c r="I55" s="14">
        <f>IF(F55="","",ROUNDUP(((F55*Ayarlar!$B$3+Ayarlar!$B$4+Ayarlar!$B$5)+Ayarlar!$B$8)/((1-Ayarlar!$B$6)*(1-Ayarlar!$B$7-Ayarlar!$B$9)),0))</f>
        <v/>
      </c>
      <c r="J55" s="15">
        <f>IF(OR(F55="",E55=""),"",(E55*(1-Ayarlar!$B$6)-(E55*(1-Ayarlar!$B$6)*Ayarlar!$B$7+Ayarlar!$B$8)-(F55*Ayarlar!$B$3+Ayarlar!$B$4+Ayarlar!$B$5))/(E55*(1-Ayarlar!$B$6)))</f>
        <v/>
      </c>
      <c r="K55" s="3">
        <f>IF(F55="","GRAM EKSİK",IF(E55&gt;30000,"FİYAT ŞÜPHELİ",IF(J55&lt;0,"ZARARDA",IF(E55&lt;H55,"RİSKLİ","ok"))))</f>
        <v/>
      </c>
      <c r="L55" s="16" t="inlineStr">
        <is>
          <t>https://www.etsy.com/listing/1390701590</t>
        </is>
      </c>
    </row>
    <row r="56">
      <c r="A56" s="9" t="inlineStr">
        <is>
          <t>legacy</t>
        </is>
      </c>
      <c r="B56" s="9" t="inlineStr">
        <is>
          <t>14K Real Gold Mariner Link Chain / Puffed Anchor Necklace</t>
        </is>
      </c>
      <c r="C56" s="9" t="n">
        <v>1390701590</v>
      </c>
      <c r="D56" s="9" t="inlineStr">
        <is>
          <t>CPUG4F-16</t>
        </is>
      </c>
      <c r="E56" s="10" t="n">
        <v>2322</v>
      </c>
      <c r="F56" s="11" t="n"/>
      <c r="G56" s="10">
        <f>IF(F56="","",F56*Ayarlar!$B$3+Ayarlar!$B$4+Ayarlar!$B$5)</f>
        <v/>
      </c>
      <c r="H56" s="10">
        <f>IF(F56="","",ROUNDUP(((F56*Ayarlar!$B$3+Ayarlar!$B$4+Ayarlar!$B$5)+Ayarlar!$B$8)/((1-Ayarlar!$B$6)*(1-Ayarlar!$B$7)),0))</f>
        <v/>
      </c>
      <c r="I56" s="10">
        <f>IF(F56="","",ROUNDUP(((F56*Ayarlar!$B$3+Ayarlar!$B$4+Ayarlar!$B$5)+Ayarlar!$B$8)/((1-Ayarlar!$B$6)*(1-Ayarlar!$B$7-Ayarlar!$B$9)),0))</f>
        <v/>
      </c>
      <c r="J56" s="12">
        <f>IF(OR(F56="",E56=""),"",(E56*(1-Ayarlar!$B$6)-(E56*(1-Ayarlar!$B$6)*Ayarlar!$B$7+Ayarlar!$B$8)-(F56*Ayarlar!$B$3+Ayarlar!$B$4+Ayarlar!$B$5))/(E56*(1-Ayarlar!$B$6)))</f>
        <v/>
      </c>
      <c r="K56" s="9">
        <f>IF(F56="","GRAM EKSİK",IF(E56&gt;30000,"FİYAT ŞÜPHELİ",IF(J56&lt;0,"ZARARDA",IF(E56&lt;H56,"RİSKLİ","ok"))))</f>
        <v/>
      </c>
      <c r="L56" s="13" t="inlineStr">
        <is>
          <t>https://www.etsy.com/listing/1390701590</t>
        </is>
      </c>
    </row>
    <row r="57">
      <c r="A57" s="3" t="inlineStr">
        <is>
          <t>legacy</t>
        </is>
      </c>
      <c r="B57" s="3" t="inlineStr">
        <is>
          <t>14K Real Gold Mariner Link Chain / Puffed Anchor Necklace</t>
        </is>
      </c>
      <c r="C57" s="3" t="n">
        <v>1390701590</v>
      </c>
      <c r="D57" s="3" t="inlineStr">
        <is>
          <t>CPUG4F-18</t>
        </is>
      </c>
      <c r="E57" s="14" t="n">
        <v>2554.2</v>
      </c>
      <c r="F57" s="11" t="n"/>
      <c r="G57" s="14">
        <f>IF(F57="","",F57*Ayarlar!$B$3+Ayarlar!$B$4+Ayarlar!$B$5)</f>
        <v/>
      </c>
      <c r="H57" s="14">
        <f>IF(F57="","",ROUNDUP(((F57*Ayarlar!$B$3+Ayarlar!$B$4+Ayarlar!$B$5)+Ayarlar!$B$8)/((1-Ayarlar!$B$6)*(1-Ayarlar!$B$7)),0))</f>
        <v/>
      </c>
      <c r="I57" s="14">
        <f>IF(F57="","",ROUNDUP(((F57*Ayarlar!$B$3+Ayarlar!$B$4+Ayarlar!$B$5)+Ayarlar!$B$8)/((1-Ayarlar!$B$6)*(1-Ayarlar!$B$7-Ayarlar!$B$9)),0))</f>
        <v/>
      </c>
      <c r="J57" s="15">
        <f>IF(OR(F57="",E57=""),"",(E57*(1-Ayarlar!$B$6)-(E57*(1-Ayarlar!$B$6)*Ayarlar!$B$7+Ayarlar!$B$8)-(F57*Ayarlar!$B$3+Ayarlar!$B$4+Ayarlar!$B$5))/(E57*(1-Ayarlar!$B$6)))</f>
        <v/>
      </c>
      <c r="K57" s="3">
        <f>IF(F57="","GRAM EKSİK",IF(E57&gt;30000,"FİYAT ŞÜPHELİ",IF(J57&lt;0,"ZARARDA",IF(E57&lt;H57,"RİSKLİ","ok"))))</f>
        <v/>
      </c>
      <c r="L57" s="16" t="inlineStr">
        <is>
          <t>https://www.etsy.com/listing/1390701590</t>
        </is>
      </c>
    </row>
    <row r="58">
      <c r="A58" s="9" t="inlineStr">
        <is>
          <t>legacy</t>
        </is>
      </c>
      <c r="B58" s="9" t="inlineStr">
        <is>
          <t>14K Real Gold Mariner Link Chain / Puffed Anchor Necklace</t>
        </is>
      </c>
      <c r="C58" s="9" t="n">
        <v>1390701590</v>
      </c>
      <c r="D58" s="9" t="inlineStr">
        <is>
          <t>CPUG4F-20</t>
        </is>
      </c>
      <c r="E58" s="10" t="n">
        <v>2786.4</v>
      </c>
      <c r="F58" s="11" t="n"/>
      <c r="G58" s="10">
        <f>IF(F58="","",F58*Ayarlar!$B$3+Ayarlar!$B$4+Ayarlar!$B$5)</f>
        <v/>
      </c>
      <c r="H58" s="10">
        <f>IF(F58="","",ROUNDUP(((F58*Ayarlar!$B$3+Ayarlar!$B$4+Ayarlar!$B$5)+Ayarlar!$B$8)/((1-Ayarlar!$B$6)*(1-Ayarlar!$B$7)),0))</f>
        <v/>
      </c>
      <c r="I58" s="10">
        <f>IF(F58="","",ROUNDUP(((F58*Ayarlar!$B$3+Ayarlar!$B$4+Ayarlar!$B$5)+Ayarlar!$B$8)/((1-Ayarlar!$B$6)*(1-Ayarlar!$B$7-Ayarlar!$B$9)),0))</f>
        <v/>
      </c>
      <c r="J58" s="12">
        <f>IF(OR(F58="",E58=""),"",(E58*(1-Ayarlar!$B$6)-(E58*(1-Ayarlar!$B$6)*Ayarlar!$B$7+Ayarlar!$B$8)-(F58*Ayarlar!$B$3+Ayarlar!$B$4+Ayarlar!$B$5))/(E58*(1-Ayarlar!$B$6)))</f>
        <v/>
      </c>
      <c r="K58" s="9">
        <f>IF(F58="","GRAM EKSİK",IF(E58&gt;30000,"FİYAT ŞÜPHELİ",IF(J58&lt;0,"ZARARDA",IF(E58&lt;H58,"RİSKLİ","ok"))))</f>
        <v/>
      </c>
      <c r="L58" s="13" t="inlineStr">
        <is>
          <t>https://www.etsy.com/listing/1390701590</t>
        </is>
      </c>
    </row>
    <row r="59">
      <c r="A59" s="3" t="inlineStr">
        <is>
          <t>legacy</t>
        </is>
      </c>
      <c r="B59" s="3" t="inlineStr">
        <is>
          <t>14K Real Gold Mariner Link Chain / Puffed Anchor Necklace</t>
        </is>
      </c>
      <c r="C59" s="3" t="n">
        <v>1390701590</v>
      </c>
      <c r="D59" s="3" t="inlineStr">
        <is>
          <t>CPUG4F-22</t>
        </is>
      </c>
      <c r="E59" s="14" t="n">
        <v>3018.6</v>
      </c>
      <c r="F59" s="11" t="n"/>
      <c r="G59" s="14">
        <f>IF(F59="","",F59*Ayarlar!$B$3+Ayarlar!$B$4+Ayarlar!$B$5)</f>
        <v/>
      </c>
      <c r="H59" s="14">
        <f>IF(F59="","",ROUNDUP(((F59*Ayarlar!$B$3+Ayarlar!$B$4+Ayarlar!$B$5)+Ayarlar!$B$8)/((1-Ayarlar!$B$6)*(1-Ayarlar!$B$7)),0))</f>
        <v/>
      </c>
      <c r="I59" s="14">
        <f>IF(F59="","",ROUNDUP(((F59*Ayarlar!$B$3+Ayarlar!$B$4+Ayarlar!$B$5)+Ayarlar!$B$8)/((1-Ayarlar!$B$6)*(1-Ayarlar!$B$7-Ayarlar!$B$9)),0))</f>
        <v/>
      </c>
      <c r="J59" s="15">
        <f>IF(OR(F59="",E59=""),"",(E59*(1-Ayarlar!$B$6)-(E59*(1-Ayarlar!$B$6)*Ayarlar!$B$7+Ayarlar!$B$8)-(F59*Ayarlar!$B$3+Ayarlar!$B$4+Ayarlar!$B$5))/(E59*(1-Ayarlar!$B$6)))</f>
        <v/>
      </c>
      <c r="K59" s="3">
        <f>IF(F59="","GRAM EKSİK",IF(E59&gt;30000,"FİYAT ŞÜPHELİ",IF(J59&lt;0,"ZARARDA",IF(E59&lt;H59,"RİSKLİ","ok"))))</f>
        <v/>
      </c>
      <c r="L59" s="16" t="inlineStr">
        <is>
          <t>https://www.etsy.com/listing/1390701590</t>
        </is>
      </c>
    </row>
    <row r="60">
      <c r="A60" s="9" t="inlineStr">
        <is>
          <t>legacy</t>
        </is>
      </c>
      <c r="B60" s="9" t="inlineStr">
        <is>
          <t>14K Real Gold Mariner Link Chain / Puffed Anchor Necklace</t>
        </is>
      </c>
      <c r="C60" s="9" t="n">
        <v>1390701590</v>
      </c>
      <c r="D60" s="9" t="inlineStr">
        <is>
          <t>CPUG4F-24</t>
        </is>
      </c>
      <c r="E60" s="10" t="n">
        <v>3192.75</v>
      </c>
      <c r="F60" s="11" t="n"/>
      <c r="G60" s="10">
        <f>IF(F60="","",F60*Ayarlar!$B$3+Ayarlar!$B$4+Ayarlar!$B$5)</f>
        <v/>
      </c>
      <c r="H60" s="10">
        <f>IF(F60="","",ROUNDUP(((F60*Ayarlar!$B$3+Ayarlar!$B$4+Ayarlar!$B$5)+Ayarlar!$B$8)/((1-Ayarlar!$B$6)*(1-Ayarlar!$B$7)),0))</f>
        <v/>
      </c>
      <c r="I60" s="10">
        <f>IF(F60="","",ROUNDUP(((F60*Ayarlar!$B$3+Ayarlar!$B$4+Ayarlar!$B$5)+Ayarlar!$B$8)/((1-Ayarlar!$B$6)*(1-Ayarlar!$B$7-Ayarlar!$B$9)),0))</f>
        <v/>
      </c>
      <c r="J60" s="12">
        <f>IF(OR(F60="",E60=""),"",(E60*(1-Ayarlar!$B$6)-(E60*(1-Ayarlar!$B$6)*Ayarlar!$B$7+Ayarlar!$B$8)-(F60*Ayarlar!$B$3+Ayarlar!$B$4+Ayarlar!$B$5))/(E60*(1-Ayarlar!$B$6)))</f>
        <v/>
      </c>
      <c r="K60" s="9">
        <f>IF(F60="","GRAM EKSİK",IF(E60&gt;30000,"FİYAT ŞÜPHELİ",IF(J60&lt;0,"ZARARDA",IF(E60&lt;H60,"RİSKLİ","ok"))))</f>
        <v/>
      </c>
      <c r="L60" s="13" t="inlineStr">
        <is>
          <t>https://www.etsy.com/listing/1390701590</t>
        </is>
      </c>
    </row>
    <row r="61">
      <c r="A61" s="3" t="inlineStr">
        <is>
          <t>legacy</t>
        </is>
      </c>
      <c r="B61" s="3" t="inlineStr">
        <is>
          <t>14K Real Gold Mariner Link Chain / Puffed Anchor Necklace</t>
        </is>
      </c>
      <c r="C61" s="3" t="n">
        <v>1390701590</v>
      </c>
      <c r="D61" s="3" t="inlineStr">
        <is>
          <t>CPUG6F-16</t>
        </is>
      </c>
      <c r="E61" s="14" t="n">
        <v>3424.95</v>
      </c>
      <c r="F61" s="11" t="n"/>
      <c r="G61" s="14">
        <f>IF(F61="","",F61*Ayarlar!$B$3+Ayarlar!$B$4+Ayarlar!$B$5)</f>
        <v/>
      </c>
      <c r="H61" s="14">
        <f>IF(F61="","",ROUNDUP(((F61*Ayarlar!$B$3+Ayarlar!$B$4+Ayarlar!$B$5)+Ayarlar!$B$8)/((1-Ayarlar!$B$6)*(1-Ayarlar!$B$7)),0))</f>
        <v/>
      </c>
      <c r="I61" s="14">
        <f>IF(F61="","",ROUNDUP(((F61*Ayarlar!$B$3+Ayarlar!$B$4+Ayarlar!$B$5)+Ayarlar!$B$8)/((1-Ayarlar!$B$6)*(1-Ayarlar!$B$7-Ayarlar!$B$9)),0))</f>
        <v/>
      </c>
      <c r="J61" s="15">
        <f>IF(OR(F61="",E61=""),"",(E61*(1-Ayarlar!$B$6)-(E61*(1-Ayarlar!$B$6)*Ayarlar!$B$7+Ayarlar!$B$8)-(F61*Ayarlar!$B$3+Ayarlar!$B$4+Ayarlar!$B$5))/(E61*(1-Ayarlar!$B$6)))</f>
        <v/>
      </c>
      <c r="K61" s="3">
        <f>IF(F61="","GRAM EKSİK",IF(E61&gt;30000,"FİYAT ŞÜPHELİ",IF(J61&lt;0,"ZARARDA",IF(E61&lt;H61,"RİSKLİ","ok"))))</f>
        <v/>
      </c>
      <c r="L61" s="16" t="inlineStr">
        <is>
          <t>https://www.etsy.com/listing/1390701590</t>
        </is>
      </c>
    </row>
    <row r="62">
      <c r="A62" s="9" t="inlineStr">
        <is>
          <t>legacy</t>
        </is>
      </c>
      <c r="B62" s="9" t="inlineStr">
        <is>
          <t>14K Real Gold Mariner Link Chain / Puffed Anchor Necklace</t>
        </is>
      </c>
      <c r="C62" s="9" t="n">
        <v>1390701590</v>
      </c>
      <c r="D62" s="9" t="inlineStr">
        <is>
          <t>CPUG6F-18</t>
        </is>
      </c>
      <c r="E62" s="10" t="n">
        <v>3831.3</v>
      </c>
      <c r="F62" s="11" t="n"/>
      <c r="G62" s="10">
        <f>IF(F62="","",F62*Ayarlar!$B$3+Ayarlar!$B$4+Ayarlar!$B$5)</f>
        <v/>
      </c>
      <c r="H62" s="10">
        <f>IF(F62="","",ROUNDUP(((F62*Ayarlar!$B$3+Ayarlar!$B$4+Ayarlar!$B$5)+Ayarlar!$B$8)/((1-Ayarlar!$B$6)*(1-Ayarlar!$B$7)),0))</f>
        <v/>
      </c>
      <c r="I62" s="10">
        <f>IF(F62="","",ROUNDUP(((F62*Ayarlar!$B$3+Ayarlar!$B$4+Ayarlar!$B$5)+Ayarlar!$B$8)/((1-Ayarlar!$B$6)*(1-Ayarlar!$B$7-Ayarlar!$B$9)),0))</f>
        <v/>
      </c>
      <c r="J62" s="12">
        <f>IF(OR(F62="",E62=""),"",(E62*(1-Ayarlar!$B$6)-(E62*(1-Ayarlar!$B$6)*Ayarlar!$B$7+Ayarlar!$B$8)-(F62*Ayarlar!$B$3+Ayarlar!$B$4+Ayarlar!$B$5))/(E62*(1-Ayarlar!$B$6)))</f>
        <v/>
      </c>
      <c r="K62" s="9">
        <f>IF(F62="","GRAM EKSİK",IF(E62&gt;30000,"FİYAT ŞÜPHELİ",IF(J62&lt;0,"ZARARDA",IF(E62&lt;H62,"RİSKLİ","ok"))))</f>
        <v/>
      </c>
      <c r="L62" s="13" t="inlineStr">
        <is>
          <t>https://www.etsy.com/listing/1390701590</t>
        </is>
      </c>
    </row>
    <row r="63">
      <c r="A63" s="3" t="inlineStr">
        <is>
          <t>legacy</t>
        </is>
      </c>
      <c r="B63" s="3" t="inlineStr">
        <is>
          <t>14K Real Gold Mariner Link Chain / Puffed Anchor Necklace</t>
        </is>
      </c>
      <c r="C63" s="3" t="n">
        <v>1390701590</v>
      </c>
      <c r="D63" s="3" t="inlineStr">
        <is>
          <t>CPUG6F-20</t>
        </is>
      </c>
      <c r="E63" s="14" t="n">
        <v>4237.65</v>
      </c>
      <c r="F63" s="11" t="n"/>
      <c r="G63" s="14">
        <f>IF(F63="","",F63*Ayarlar!$B$3+Ayarlar!$B$4+Ayarlar!$B$5)</f>
        <v/>
      </c>
      <c r="H63" s="14">
        <f>IF(F63="","",ROUNDUP(((F63*Ayarlar!$B$3+Ayarlar!$B$4+Ayarlar!$B$5)+Ayarlar!$B$8)/((1-Ayarlar!$B$6)*(1-Ayarlar!$B$7)),0))</f>
        <v/>
      </c>
      <c r="I63" s="14">
        <f>IF(F63="","",ROUNDUP(((F63*Ayarlar!$B$3+Ayarlar!$B$4+Ayarlar!$B$5)+Ayarlar!$B$8)/((1-Ayarlar!$B$6)*(1-Ayarlar!$B$7-Ayarlar!$B$9)),0))</f>
        <v/>
      </c>
      <c r="J63" s="15">
        <f>IF(OR(F63="",E63=""),"",(E63*(1-Ayarlar!$B$6)-(E63*(1-Ayarlar!$B$6)*Ayarlar!$B$7+Ayarlar!$B$8)-(F63*Ayarlar!$B$3+Ayarlar!$B$4+Ayarlar!$B$5))/(E63*(1-Ayarlar!$B$6)))</f>
        <v/>
      </c>
      <c r="K63" s="3">
        <f>IF(F63="","GRAM EKSİK",IF(E63&gt;30000,"FİYAT ŞÜPHELİ",IF(J63&lt;0,"ZARARDA",IF(E63&lt;H63,"RİSKLİ","ok"))))</f>
        <v/>
      </c>
      <c r="L63" s="16" t="inlineStr">
        <is>
          <t>https://www.etsy.com/listing/1390701590</t>
        </is>
      </c>
    </row>
    <row r="64">
      <c r="A64" s="9" t="inlineStr">
        <is>
          <t>legacy</t>
        </is>
      </c>
      <c r="B64" s="9" t="inlineStr">
        <is>
          <t>14K Real Gold Mariner Link Chain / Puffed Anchor Necklace</t>
        </is>
      </c>
      <c r="C64" s="9" t="n">
        <v>1390701590</v>
      </c>
      <c r="D64" s="9" t="inlineStr">
        <is>
          <t>CPUG6F-22</t>
        </is>
      </c>
      <c r="E64" s="10" t="n">
        <v>4585.95</v>
      </c>
      <c r="F64" s="11" t="n"/>
      <c r="G64" s="10">
        <f>IF(F64="","",F64*Ayarlar!$B$3+Ayarlar!$B$4+Ayarlar!$B$5)</f>
        <v/>
      </c>
      <c r="H64" s="10">
        <f>IF(F64="","",ROUNDUP(((F64*Ayarlar!$B$3+Ayarlar!$B$4+Ayarlar!$B$5)+Ayarlar!$B$8)/((1-Ayarlar!$B$6)*(1-Ayarlar!$B$7)),0))</f>
        <v/>
      </c>
      <c r="I64" s="10">
        <f>IF(F64="","",ROUNDUP(((F64*Ayarlar!$B$3+Ayarlar!$B$4+Ayarlar!$B$5)+Ayarlar!$B$8)/((1-Ayarlar!$B$6)*(1-Ayarlar!$B$7-Ayarlar!$B$9)),0))</f>
        <v/>
      </c>
      <c r="J64" s="12">
        <f>IF(OR(F64="",E64=""),"",(E64*(1-Ayarlar!$B$6)-(E64*(1-Ayarlar!$B$6)*Ayarlar!$B$7+Ayarlar!$B$8)-(F64*Ayarlar!$B$3+Ayarlar!$B$4+Ayarlar!$B$5))/(E64*(1-Ayarlar!$B$6)))</f>
        <v/>
      </c>
      <c r="K64" s="9">
        <f>IF(F64="","GRAM EKSİK",IF(E64&gt;30000,"FİYAT ŞÜPHELİ",IF(J64&lt;0,"ZARARDA",IF(E64&lt;H64,"RİSKLİ","ok"))))</f>
        <v/>
      </c>
      <c r="L64" s="13" t="inlineStr">
        <is>
          <t>https://www.etsy.com/listing/1390701590</t>
        </is>
      </c>
    </row>
    <row r="65">
      <c r="A65" s="3" t="inlineStr">
        <is>
          <t>legacy</t>
        </is>
      </c>
      <c r="B65" s="3" t="inlineStr">
        <is>
          <t>14K Real Gold Mariner Link Chain / Puffed Anchor Necklace</t>
        </is>
      </c>
      <c r="C65" s="3" t="n">
        <v>1390701590</v>
      </c>
      <c r="D65" s="3" t="inlineStr">
        <is>
          <t>CPUG6F-24</t>
        </is>
      </c>
      <c r="E65" s="14" t="n">
        <v>5050.35</v>
      </c>
      <c r="F65" s="11" t="n"/>
      <c r="G65" s="14">
        <f>IF(F65="","",F65*Ayarlar!$B$3+Ayarlar!$B$4+Ayarlar!$B$5)</f>
        <v/>
      </c>
      <c r="H65" s="14">
        <f>IF(F65="","",ROUNDUP(((F65*Ayarlar!$B$3+Ayarlar!$B$4+Ayarlar!$B$5)+Ayarlar!$B$8)/((1-Ayarlar!$B$6)*(1-Ayarlar!$B$7)),0))</f>
        <v/>
      </c>
      <c r="I65" s="14">
        <f>IF(F65="","",ROUNDUP(((F65*Ayarlar!$B$3+Ayarlar!$B$4+Ayarlar!$B$5)+Ayarlar!$B$8)/((1-Ayarlar!$B$6)*(1-Ayarlar!$B$7-Ayarlar!$B$9)),0))</f>
        <v/>
      </c>
      <c r="J65" s="15">
        <f>IF(OR(F65="",E65=""),"",(E65*(1-Ayarlar!$B$6)-(E65*(1-Ayarlar!$B$6)*Ayarlar!$B$7+Ayarlar!$B$8)-(F65*Ayarlar!$B$3+Ayarlar!$B$4+Ayarlar!$B$5))/(E65*(1-Ayarlar!$B$6)))</f>
        <v/>
      </c>
      <c r="K65" s="3">
        <f>IF(F65="","GRAM EKSİK",IF(E65&gt;30000,"FİYAT ŞÜPHELİ",IF(J65&lt;0,"ZARARDA",IF(E65&lt;H65,"RİSKLİ","ok"))))</f>
        <v/>
      </c>
      <c r="L65" s="16" t="inlineStr">
        <is>
          <t>https://www.etsy.com/listing/1390701590</t>
        </is>
      </c>
    </row>
    <row r="66">
      <c r="A66" s="9" t="inlineStr">
        <is>
          <t>legacy</t>
        </is>
      </c>
      <c r="B66" s="9" t="inlineStr">
        <is>
          <t>14K Real Gold Mariner Link Chain / Puffed Anchor Necklace</t>
        </is>
      </c>
      <c r="C66" s="9" t="n">
        <v>1390701590</v>
      </c>
      <c r="D66" s="9" t="inlineStr">
        <is>
          <t>CPUG8F-16</t>
        </is>
      </c>
      <c r="E66" s="10" t="n">
        <v>5688.9</v>
      </c>
      <c r="F66" s="11" t="n"/>
      <c r="G66" s="10">
        <f>IF(F66="","",F66*Ayarlar!$B$3+Ayarlar!$B$4+Ayarlar!$B$5)</f>
        <v/>
      </c>
      <c r="H66" s="10">
        <f>IF(F66="","",ROUNDUP(((F66*Ayarlar!$B$3+Ayarlar!$B$4+Ayarlar!$B$5)+Ayarlar!$B$8)/((1-Ayarlar!$B$6)*(1-Ayarlar!$B$7)),0))</f>
        <v/>
      </c>
      <c r="I66" s="10">
        <f>IF(F66="","",ROUNDUP(((F66*Ayarlar!$B$3+Ayarlar!$B$4+Ayarlar!$B$5)+Ayarlar!$B$8)/((1-Ayarlar!$B$6)*(1-Ayarlar!$B$7-Ayarlar!$B$9)),0))</f>
        <v/>
      </c>
      <c r="J66" s="12">
        <f>IF(OR(F66="",E66=""),"",(E66*(1-Ayarlar!$B$6)-(E66*(1-Ayarlar!$B$6)*Ayarlar!$B$7+Ayarlar!$B$8)-(F66*Ayarlar!$B$3+Ayarlar!$B$4+Ayarlar!$B$5))/(E66*(1-Ayarlar!$B$6)))</f>
        <v/>
      </c>
      <c r="K66" s="9">
        <f>IF(F66="","GRAM EKSİK",IF(E66&gt;30000,"FİYAT ŞÜPHELİ",IF(J66&lt;0,"ZARARDA",IF(E66&lt;H66,"RİSKLİ","ok"))))</f>
        <v/>
      </c>
      <c r="L66" s="13" t="inlineStr">
        <is>
          <t>https://www.etsy.com/listing/1390701590</t>
        </is>
      </c>
    </row>
    <row r="67">
      <c r="A67" s="3" t="inlineStr">
        <is>
          <t>legacy</t>
        </is>
      </c>
      <c r="B67" s="3" t="inlineStr">
        <is>
          <t>14K Real Gold Mariner Link Chain / Puffed Anchor Necklace</t>
        </is>
      </c>
      <c r="C67" s="3" t="n">
        <v>1390701590</v>
      </c>
      <c r="D67" s="3" t="inlineStr">
        <is>
          <t>CPUG8F-18</t>
        </is>
      </c>
      <c r="E67" s="14" t="n">
        <v>6153.3</v>
      </c>
      <c r="F67" s="11" t="n"/>
      <c r="G67" s="14">
        <f>IF(F67="","",F67*Ayarlar!$B$3+Ayarlar!$B$4+Ayarlar!$B$5)</f>
        <v/>
      </c>
      <c r="H67" s="14">
        <f>IF(F67="","",ROUNDUP(((F67*Ayarlar!$B$3+Ayarlar!$B$4+Ayarlar!$B$5)+Ayarlar!$B$8)/((1-Ayarlar!$B$6)*(1-Ayarlar!$B$7)),0))</f>
        <v/>
      </c>
      <c r="I67" s="14">
        <f>IF(F67="","",ROUNDUP(((F67*Ayarlar!$B$3+Ayarlar!$B$4+Ayarlar!$B$5)+Ayarlar!$B$8)/((1-Ayarlar!$B$6)*(1-Ayarlar!$B$7-Ayarlar!$B$9)),0))</f>
        <v/>
      </c>
      <c r="J67" s="15">
        <f>IF(OR(F67="",E67=""),"",(E67*(1-Ayarlar!$B$6)-(E67*(1-Ayarlar!$B$6)*Ayarlar!$B$7+Ayarlar!$B$8)-(F67*Ayarlar!$B$3+Ayarlar!$B$4+Ayarlar!$B$5))/(E67*(1-Ayarlar!$B$6)))</f>
        <v/>
      </c>
      <c r="K67" s="3">
        <f>IF(F67="","GRAM EKSİK",IF(E67&gt;30000,"FİYAT ŞÜPHELİ",IF(J67&lt;0,"ZARARDA",IF(E67&lt;H67,"RİSKLİ","ok"))))</f>
        <v/>
      </c>
      <c r="L67" s="16" t="inlineStr">
        <is>
          <t>https://www.etsy.com/listing/1390701590</t>
        </is>
      </c>
    </row>
    <row r="68">
      <c r="A68" s="9" t="inlineStr">
        <is>
          <t>legacy</t>
        </is>
      </c>
      <c r="B68" s="9" t="inlineStr">
        <is>
          <t>14K Real Gold Mariner Link Chain / Puffed Anchor Necklace</t>
        </is>
      </c>
      <c r="C68" s="9" t="n">
        <v>1390701590</v>
      </c>
      <c r="D68" s="9" t="inlineStr">
        <is>
          <t>CPUG8F-20</t>
        </is>
      </c>
      <c r="E68" s="10" t="n">
        <v>6664.14</v>
      </c>
      <c r="F68" s="11" t="n"/>
      <c r="G68" s="10">
        <f>IF(F68="","",F68*Ayarlar!$B$3+Ayarlar!$B$4+Ayarlar!$B$5)</f>
        <v/>
      </c>
      <c r="H68" s="10">
        <f>IF(F68="","",ROUNDUP(((F68*Ayarlar!$B$3+Ayarlar!$B$4+Ayarlar!$B$5)+Ayarlar!$B$8)/((1-Ayarlar!$B$6)*(1-Ayarlar!$B$7)),0))</f>
        <v/>
      </c>
      <c r="I68" s="10">
        <f>IF(F68="","",ROUNDUP(((F68*Ayarlar!$B$3+Ayarlar!$B$4+Ayarlar!$B$5)+Ayarlar!$B$8)/((1-Ayarlar!$B$6)*(1-Ayarlar!$B$7-Ayarlar!$B$9)),0))</f>
        <v/>
      </c>
      <c r="J68" s="12">
        <f>IF(OR(F68="",E68=""),"",(E68*(1-Ayarlar!$B$6)-(E68*(1-Ayarlar!$B$6)*Ayarlar!$B$7+Ayarlar!$B$8)-(F68*Ayarlar!$B$3+Ayarlar!$B$4+Ayarlar!$B$5))/(E68*(1-Ayarlar!$B$6)))</f>
        <v/>
      </c>
      <c r="K68" s="9">
        <f>IF(F68="","GRAM EKSİK",IF(E68&gt;30000,"FİYAT ŞÜPHELİ",IF(J68&lt;0,"ZARARDA",IF(E68&lt;H68,"RİSKLİ","ok"))))</f>
        <v/>
      </c>
      <c r="L68" s="13" t="inlineStr">
        <is>
          <t>https://www.etsy.com/listing/1390701590</t>
        </is>
      </c>
    </row>
    <row r="69">
      <c r="A69" s="3" t="inlineStr">
        <is>
          <t>legacy</t>
        </is>
      </c>
      <c r="B69" s="3" t="inlineStr">
        <is>
          <t>14K Real Gold Mariner Link Chain / Puffed Anchor Necklace</t>
        </is>
      </c>
      <c r="C69" s="3" t="n">
        <v>1390701590</v>
      </c>
      <c r="D69" s="3" t="inlineStr">
        <is>
          <t>CPUG8F-22</t>
        </is>
      </c>
      <c r="E69" s="14" t="n">
        <v>7140.15</v>
      </c>
      <c r="F69" s="11" t="n"/>
      <c r="G69" s="14">
        <f>IF(F69="","",F69*Ayarlar!$B$3+Ayarlar!$B$4+Ayarlar!$B$5)</f>
        <v/>
      </c>
      <c r="H69" s="14">
        <f>IF(F69="","",ROUNDUP(((F69*Ayarlar!$B$3+Ayarlar!$B$4+Ayarlar!$B$5)+Ayarlar!$B$8)/((1-Ayarlar!$B$6)*(1-Ayarlar!$B$7)),0))</f>
        <v/>
      </c>
      <c r="I69" s="14">
        <f>IF(F69="","",ROUNDUP(((F69*Ayarlar!$B$3+Ayarlar!$B$4+Ayarlar!$B$5)+Ayarlar!$B$8)/((1-Ayarlar!$B$6)*(1-Ayarlar!$B$7-Ayarlar!$B$9)),0))</f>
        <v/>
      </c>
      <c r="J69" s="15">
        <f>IF(OR(F69="",E69=""),"",(E69*(1-Ayarlar!$B$6)-(E69*(1-Ayarlar!$B$6)*Ayarlar!$B$7+Ayarlar!$B$8)-(F69*Ayarlar!$B$3+Ayarlar!$B$4+Ayarlar!$B$5))/(E69*(1-Ayarlar!$B$6)))</f>
        <v/>
      </c>
      <c r="K69" s="3">
        <f>IF(F69="","GRAM EKSİK",IF(E69&gt;30000,"FİYAT ŞÜPHELİ",IF(J69&lt;0,"ZARARDA",IF(E69&lt;H69,"RİSKLİ","ok"))))</f>
        <v/>
      </c>
      <c r="L69" s="16" t="inlineStr">
        <is>
          <t>https://www.etsy.com/listing/1390701590</t>
        </is>
      </c>
    </row>
    <row r="70">
      <c r="A70" s="9" t="inlineStr">
        <is>
          <t>legacy</t>
        </is>
      </c>
      <c r="B70" s="9" t="inlineStr">
        <is>
          <t>14K Real Gold Mariner Link Chain / Puffed Anchor Necklace</t>
        </is>
      </c>
      <c r="C70" s="9" t="n">
        <v>1390701590</v>
      </c>
      <c r="D70" s="9" t="inlineStr">
        <is>
          <t>CPUG8F-24</t>
        </is>
      </c>
      <c r="E70" s="10" t="n">
        <v>7691.62</v>
      </c>
      <c r="F70" s="11" t="n"/>
      <c r="G70" s="10">
        <f>IF(F70="","",F70*Ayarlar!$B$3+Ayarlar!$B$4+Ayarlar!$B$5)</f>
        <v/>
      </c>
      <c r="H70" s="10">
        <f>IF(F70="","",ROUNDUP(((F70*Ayarlar!$B$3+Ayarlar!$B$4+Ayarlar!$B$5)+Ayarlar!$B$8)/((1-Ayarlar!$B$6)*(1-Ayarlar!$B$7)),0))</f>
        <v/>
      </c>
      <c r="I70" s="10">
        <f>IF(F70="","",ROUNDUP(((F70*Ayarlar!$B$3+Ayarlar!$B$4+Ayarlar!$B$5)+Ayarlar!$B$8)/((1-Ayarlar!$B$6)*(1-Ayarlar!$B$7-Ayarlar!$B$9)),0))</f>
        <v/>
      </c>
      <c r="J70" s="12">
        <f>IF(OR(F70="",E70=""),"",(E70*(1-Ayarlar!$B$6)-(E70*(1-Ayarlar!$B$6)*Ayarlar!$B$7+Ayarlar!$B$8)-(F70*Ayarlar!$B$3+Ayarlar!$B$4+Ayarlar!$B$5))/(E70*(1-Ayarlar!$B$6)))</f>
        <v/>
      </c>
      <c r="K70" s="9">
        <f>IF(F70="","GRAM EKSİK",IF(E70&gt;30000,"FİYAT ŞÜPHELİ",IF(J70&lt;0,"ZARARDA",IF(E70&lt;H70,"RİSKLİ","ok"))))</f>
        <v/>
      </c>
      <c r="L70" s="13" t="inlineStr">
        <is>
          <t>https://www.etsy.com/listing/1390701590</t>
        </is>
      </c>
    </row>
    <row r="71">
      <c r="A71" s="3" t="inlineStr">
        <is>
          <t>legacy</t>
        </is>
      </c>
      <c r="B71" s="3" t="inlineStr">
        <is>
          <t>Ice Out Bracelet in 10K Gold, Two Tone Diamond Cut Link</t>
        </is>
      </c>
      <c r="C71" s="3" t="n">
        <v>1363498864</v>
      </c>
      <c r="D71" s="3" t="inlineStr">
        <is>
          <t>BICE1-7.5</t>
        </is>
      </c>
      <c r="E71" s="14" t="n">
        <v>540</v>
      </c>
      <c r="F71" s="11" t="n"/>
      <c r="G71" s="14">
        <f>IF(F71="","",F71*Ayarlar!$B$3+Ayarlar!$B$4+Ayarlar!$B$5)</f>
        <v/>
      </c>
      <c r="H71" s="14">
        <f>IF(F71="","",ROUNDUP(((F71*Ayarlar!$B$3+Ayarlar!$B$4+Ayarlar!$B$5)+Ayarlar!$B$8)/((1-Ayarlar!$B$6)*(1-Ayarlar!$B$7)),0))</f>
        <v/>
      </c>
      <c r="I71" s="14">
        <f>IF(F71="","",ROUNDUP(((F71*Ayarlar!$B$3+Ayarlar!$B$4+Ayarlar!$B$5)+Ayarlar!$B$8)/((1-Ayarlar!$B$6)*(1-Ayarlar!$B$7-Ayarlar!$B$9)),0))</f>
        <v/>
      </c>
      <c r="J71" s="15">
        <f>IF(OR(F71="",E71=""),"",(E71*(1-Ayarlar!$B$6)-(E71*(1-Ayarlar!$B$6)*Ayarlar!$B$7+Ayarlar!$B$8)-(F71*Ayarlar!$B$3+Ayarlar!$B$4+Ayarlar!$B$5))/(E71*(1-Ayarlar!$B$6)))</f>
        <v/>
      </c>
      <c r="K71" s="3">
        <f>IF(F71="","GRAM EKSİK",IF(E71&gt;30000,"FİYAT ŞÜPHELİ",IF(J71&lt;0,"ZARARDA",IF(E71&lt;H71,"RİSKLİ","ok"))))</f>
        <v/>
      </c>
      <c r="L71" s="16" t="inlineStr">
        <is>
          <t>https://www.etsy.com/listing/1363498864</t>
        </is>
      </c>
    </row>
    <row r="72">
      <c r="A72" s="9" t="inlineStr">
        <is>
          <t>legacy</t>
        </is>
      </c>
      <c r="B72" s="9" t="inlineStr">
        <is>
          <t>Ice Out Bracelet in 10K Gold, Two Tone Diamond Cut Link</t>
        </is>
      </c>
      <c r="C72" s="9" t="n">
        <v>1363498864</v>
      </c>
      <c r="D72" s="9" t="inlineStr">
        <is>
          <t>BICE2-7.5</t>
        </is>
      </c>
      <c r="E72" s="10" t="n">
        <v>750</v>
      </c>
      <c r="F72" s="11" t="n"/>
      <c r="G72" s="10">
        <f>IF(F72="","",F72*Ayarlar!$B$3+Ayarlar!$B$4+Ayarlar!$B$5)</f>
        <v/>
      </c>
      <c r="H72" s="10">
        <f>IF(F72="","",ROUNDUP(((F72*Ayarlar!$B$3+Ayarlar!$B$4+Ayarlar!$B$5)+Ayarlar!$B$8)/((1-Ayarlar!$B$6)*(1-Ayarlar!$B$7)),0))</f>
        <v/>
      </c>
      <c r="I72" s="10">
        <f>IF(F72="","",ROUNDUP(((F72*Ayarlar!$B$3+Ayarlar!$B$4+Ayarlar!$B$5)+Ayarlar!$B$8)/((1-Ayarlar!$B$6)*(1-Ayarlar!$B$7-Ayarlar!$B$9)),0))</f>
        <v/>
      </c>
      <c r="J72" s="12">
        <f>IF(OR(F72="",E72=""),"",(E72*(1-Ayarlar!$B$6)-(E72*(1-Ayarlar!$B$6)*Ayarlar!$B$7+Ayarlar!$B$8)-(F72*Ayarlar!$B$3+Ayarlar!$B$4+Ayarlar!$B$5))/(E72*(1-Ayarlar!$B$6)))</f>
        <v/>
      </c>
      <c r="K72" s="9">
        <f>IF(F72="","GRAM EKSİK",IF(E72&gt;30000,"FİYAT ŞÜPHELİ",IF(J72&lt;0,"ZARARDA",IF(E72&lt;H72,"RİSKLİ","ok"))))</f>
        <v/>
      </c>
      <c r="L72" s="13" t="inlineStr">
        <is>
          <t>https://www.etsy.com/listing/1363498864</t>
        </is>
      </c>
    </row>
    <row r="73">
      <c r="A73" s="3" t="inlineStr">
        <is>
          <t>legacy</t>
        </is>
      </c>
      <c r="B73" s="3" t="inlineStr">
        <is>
          <t>Ice Out Bracelet in 10K Gold, Two Tone Diamond Cut Link</t>
        </is>
      </c>
      <c r="C73" s="3" t="n">
        <v>1363498864</v>
      </c>
      <c r="D73" s="3" t="inlineStr">
        <is>
          <t>BICE3-7.5</t>
        </is>
      </c>
      <c r="E73" s="14" t="n">
        <v>940</v>
      </c>
      <c r="F73" s="11" t="n"/>
      <c r="G73" s="14">
        <f>IF(F73="","",F73*Ayarlar!$B$3+Ayarlar!$B$4+Ayarlar!$B$5)</f>
        <v/>
      </c>
      <c r="H73" s="14">
        <f>IF(F73="","",ROUNDUP(((F73*Ayarlar!$B$3+Ayarlar!$B$4+Ayarlar!$B$5)+Ayarlar!$B$8)/((1-Ayarlar!$B$6)*(1-Ayarlar!$B$7)),0))</f>
        <v/>
      </c>
      <c r="I73" s="14">
        <f>IF(F73="","",ROUNDUP(((F73*Ayarlar!$B$3+Ayarlar!$B$4+Ayarlar!$B$5)+Ayarlar!$B$8)/((1-Ayarlar!$B$6)*(1-Ayarlar!$B$7-Ayarlar!$B$9)),0))</f>
        <v/>
      </c>
      <c r="J73" s="15">
        <f>IF(OR(F73="",E73=""),"",(E73*(1-Ayarlar!$B$6)-(E73*(1-Ayarlar!$B$6)*Ayarlar!$B$7+Ayarlar!$B$8)-(F73*Ayarlar!$B$3+Ayarlar!$B$4+Ayarlar!$B$5))/(E73*(1-Ayarlar!$B$6)))</f>
        <v/>
      </c>
      <c r="K73" s="3">
        <f>IF(F73="","GRAM EKSİK",IF(E73&gt;30000,"FİYAT ŞÜPHELİ",IF(J73&lt;0,"ZARARDA",IF(E73&lt;H73,"RİSKLİ","ok"))))</f>
        <v/>
      </c>
      <c r="L73" s="16" t="inlineStr">
        <is>
          <t>https://www.etsy.com/listing/1363498864</t>
        </is>
      </c>
    </row>
    <row r="74">
      <c r="A74" s="9" t="inlineStr">
        <is>
          <t>legacy</t>
        </is>
      </c>
      <c r="B74" s="9" t="inlineStr">
        <is>
          <t>Ice Out Bracelet in 10K Gold, Two Tone Diamond Cut Link</t>
        </is>
      </c>
      <c r="C74" s="9" t="n">
        <v>1363498864</v>
      </c>
      <c r="D74" s="9" t="inlineStr">
        <is>
          <t>BICE4-7</t>
        </is>
      </c>
      <c r="E74" s="10" t="n">
        <v>1140</v>
      </c>
      <c r="F74" s="11" t="n"/>
      <c r="G74" s="10">
        <f>IF(F74="","",F74*Ayarlar!$B$3+Ayarlar!$B$4+Ayarlar!$B$5)</f>
        <v/>
      </c>
      <c r="H74" s="10">
        <f>IF(F74="","",ROUNDUP(((F74*Ayarlar!$B$3+Ayarlar!$B$4+Ayarlar!$B$5)+Ayarlar!$B$8)/((1-Ayarlar!$B$6)*(1-Ayarlar!$B$7)),0))</f>
        <v/>
      </c>
      <c r="I74" s="10">
        <f>IF(F74="","",ROUNDUP(((F74*Ayarlar!$B$3+Ayarlar!$B$4+Ayarlar!$B$5)+Ayarlar!$B$8)/((1-Ayarlar!$B$6)*(1-Ayarlar!$B$7-Ayarlar!$B$9)),0))</f>
        <v/>
      </c>
      <c r="J74" s="12">
        <f>IF(OR(F74="",E74=""),"",(E74*(1-Ayarlar!$B$6)-(E74*(1-Ayarlar!$B$6)*Ayarlar!$B$7+Ayarlar!$B$8)-(F74*Ayarlar!$B$3+Ayarlar!$B$4+Ayarlar!$B$5))/(E74*(1-Ayarlar!$B$6)))</f>
        <v/>
      </c>
      <c r="K74" s="9">
        <f>IF(F74="","GRAM EKSİK",IF(E74&gt;30000,"FİYAT ŞÜPHELİ",IF(J74&lt;0,"ZARARDA",IF(E74&lt;H74,"RİSKLİ","ok"))))</f>
        <v/>
      </c>
      <c r="L74" s="13" t="inlineStr">
        <is>
          <t>https://www.etsy.com/listing/1363498864</t>
        </is>
      </c>
    </row>
    <row r="75">
      <c r="A75" s="3" t="inlineStr">
        <is>
          <t>legacy</t>
        </is>
      </c>
      <c r="B75" s="3" t="inlineStr">
        <is>
          <t>Ice Out Bracelet in 10K Gold, Two Tone Diamond Cut Link</t>
        </is>
      </c>
      <c r="C75" s="3" t="n">
        <v>1363498864</v>
      </c>
      <c r="D75" s="3" t="inlineStr">
        <is>
          <t>BICE4-7.5</t>
        </is>
      </c>
      <c r="E75" s="14" t="n">
        <v>1240</v>
      </c>
      <c r="F75" s="11" t="n"/>
      <c r="G75" s="14">
        <f>IF(F75="","",F75*Ayarlar!$B$3+Ayarlar!$B$4+Ayarlar!$B$5)</f>
        <v/>
      </c>
      <c r="H75" s="14">
        <f>IF(F75="","",ROUNDUP(((F75*Ayarlar!$B$3+Ayarlar!$B$4+Ayarlar!$B$5)+Ayarlar!$B$8)/((1-Ayarlar!$B$6)*(1-Ayarlar!$B$7)),0))</f>
        <v/>
      </c>
      <c r="I75" s="14">
        <f>IF(F75="","",ROUNDUP(((F75*Ayarlar!$B$3+Ayarlar!$B$4+Ayarlar!$B$5)+Ayarlar!$B$8)/((1-Ayarlar!$B$6)*(1-Ayarlar!$B$7-Ayarlar!$B$9)),0))</f>
        <v/>
      </c>
      <c r="J75" s="15">
        <f>IF(OR(F75="",E75=""),"",(E75*(1-Ayarlar!$B$6)-(E75*(1-Ayarlar!$B$6)*Ayarlar!$B$7+Ayarlar!$B$8)-(F75*Ayarlar!$B$3+Ayarlar!$B$4+Ayarlar!$B$5))/(E75*(1-Ayarlar!$B$6)))</f>
        <v/>
      </c>
      <c r="K75" s="3">
        <f>IF(F75="","GRAM EKSİK",IF(E75&gt;30000,"FİYAT ŞÜPHELİ",IF(J75&lt;0,"ZARARDA",IF(E75&lt;H75,"RİSKLİ","ok"))))</f>
        <v/>
      </c>
      <c r="L75" s="16" t="inlineStr">
        <is>
          <t>https://www.etsy.com/listing/1363498864</t>
        </is>
      </c>
    </row>
    <row r="76">
      <c r="A76" s="9" t="inlineStr">
        <is>
          <t>legacy</t>
        </is>
      </c>
      <c r="B76" s="9" t="inlineStr">
        <is>
          <t>Ice Out Bracelet in 10K Gold, Two Tone Diamond Cut Link</t>
        </is>
      </c>
      <c r="C76" s="9" t="n">
        <v>1363498864</v>
      </c>
      <c r="D76" s="9" t="inlineStr">
        <is>
          <t>BICE4-8</t>
        </is>
      </c>
      <c r="E76" s="10" t="n">
        <v>1300</v>
      </c>
      <c r="F76" s="11" t="n"/>
      <c r="G76" s="10">
        <f>IF(F76="","",F76*Ayarlar!$B$3+Ayarlar!$B$4+Ayarlar!$B$5)</f>
        <v/>
      </c>
      <c r="H76" s="10">
        <f>IF(F76="","",ROUNDUP(((F76*Ayarlar!$B$3+Ayarlar!$B$4+Ayarlar!$B$5)+Ayarlar!$B$8)/((1-Ayarlar!$B$6)*(1-Ayarlar!$B$7)),0))</f>
        <v/>
      </c>
      <c r="I76" s="10">
        <f>IF(F76="","",ROUNDUP(((F76*Ayarlar!$B$3+Ayarlar!$B$4+Ayarlar!$B$5)+Ayarlar!$B$8)/((1-Ayarlar!$B$6)*(1-Ayarlar!$B$7-Ayarlar!$B$9)),0))</f>
        <v/>
      </c>
      <c r="J76" s="12">
        <f>IF(OR(F76="",E76=""),"",(E76*(1-Ayarlar!$B$6)-(E76*(1-Ayarlar!$B$6)*Ayarlar!$B$7+Ayarlar!$B$8)-(F76*Ayarlar!$B$3+Ayarlar!$B$4+Ayarlar!$B$5))/(E76*(1-Ayarlar!$B$6)))</f>
        <v/>
      </c>
      <c r="K76" s="9">
        <f>IF(F76="","GRAM EKSİK",IF(E76&gt;30000,"FİYAT ŞÜPHELİ",IF(J76&lt;0,"ZARARDA",IF(E76&lt;H76,"RİSKLİ","ok"))))</f>
        <v/>
      </c>
      <c r="L76" s="13" t="inlineStr">
        <is>
          <t>https://www.etsy.com/listing/1363498864</t>
        </is>
      </c>
    </row>
    <row r="77">
      <c r="A77" s="3" t="inlineStr">
        <is>
          <t>legacy</t>
        </is>
      </c>
      <c r="B77" s="3" t="inlineStr">
        <is>
          <t>Real 14K Gold Miami Cuban Link Bracelet - Unisex Chain Jewel</t>
        </is>
      </c>
      <c r="C77" s="3" t="n">
        <v>4320364926</v>
      </c>
      <c r="D77" s="3" t="inlineStr">
        <is>
          <t>BMC6F-7</t>
        </is>
      </c>
      <c r="E77" s="14" t="n">
        <v>1720</v>
      </c>
      <c r="F77" s="11" t="n"/>
      <c r="G77" s="14">
        <f>IF(F77="","",F77*Ayarlar!$B$3+Ayarlar!$B$4+Ayarlar!$B$5)</f>
        <v/>
      </c>
      <c r="H77" s="14">
        <f>IF(F77="","",ROUNDUP(((F77*Ayarlar!$B$3+Ayarlar!$B$4+Ayarlar!$B$5)+Ayarlar!$B$8)/((1-Ayarlar!$B$6)*(1-Ayarlar!$B$7)),0))</f>
        <v/>
      </c>
      <c r="I77" s="14">
        <f>IF(F77="","",ROUNDUP(((F77*Ayarlar!$B$3+Ayarlar!$B$4+Ayarlar!$B$5)+Ayarlar!$B$8)/((1-Ayarlar!$B$6)*(1-Ayarlar!$B$7-Ayarlar!$B$9)),0))</f>
        <v/>
      </c>
      <c r="J77" s="15">
        <f>IF(OR(F77="",E77=""),"",(E77*(1-Ayarlar!$B$6)-(E77*(1-Ayarlar!$B$6)*Ayarlar!$B$7+Ayarlar!$B$8)-(F77*Ayarlar!$B$3+Ayarlar!$B$4+Ayarlar!$B$5))/(E77*(1-Ayarlar!$B$6)))</f>
        <v/>
      </c>
      <c r="K77" s="3">
        <f>IF(F77="","GRAM EKSİK",IF(E77&gt;30000,"FİYAT ŞÜPHELİ",IF(J77&lt;0,"ZARARDA",IF(E77&lt;H77,"RİSKLİ","ok"))))</f>
        <v/>
      </c>
      <c r="L77" s="16" t="inlineStr">
        <is>
          <t>https://www.etsy.com/listing/4320364926</t>
        </is>
      </c>
    </row>
    <row r="78">
      <c r="A78" s="9" t="inlineStr">
        <is>
          <t>legacy</t>
        </is>
      </c>
      <c r="B78" s="9" t="inlineStr">
        <is>
          <t>Real 14K Gold Miami Cuban Link Bracelet - Unisex Chain Jewel</t>
        </is>
      </c>
      <c r="C78" s="9" t="n">
        <v>4320364926</v>
      </c>
      <c r="D78" s="9" t="inlineStr">
        <is>
          <t>BMC7F-7.5</t>
        </is>
      </c>
      <c r="E78" s="10" t="n">
        <v>2365</v>
      </c>
      <c r="F78" s="11" t="n"/>
      <c r="G78" s="10">
        <f>IF(F78="","",F78*Ayarlar!$B$3+Ayarlar!$B$4+Ayarlar!$B$5)</f>
        <v/>
      </c>
      <c r="H78" s="10">
        <f>IF(F78="","",ROUNDUP(((F78*Ayarlar!$B$3+Ayarlar!$B$4+Ayarlar!$B$5)+Ayarlar!$B$8)/((1-Ayarlar!$B$6)*(1-Ayarlar!$B$7)),0))</f>
        <v/>
      </c>
      <c r="I78" s="10">
        <f>IF(F78="","",ROUNDUP(((F78*Ayarlar!$B$3+Ayarlar!$B$4+Ayarlar!$B$5)+Ayarlar!$B$8)/((1-Ayarlar!$B$6)*(1-Ayarlar!$B$7-Ayarlar!$B$9)),0))</f>
        <v/>
      </c>
      <c r="J78" s="12">
        <f>IF(OR(F78="",E78=""),"",(E78*(1-Ayarlar!$B$6)-(E78*(1-Ayarlar!$B$6)*Ayarlar!$B$7+Ayarlar!$B$8)-(F78*Ayarlar!$B$3+Ayarlar!$B$4+Ayarlar!$B$5))/(E78*(1-Ayarlar!$B$6)))</f>
        <v/>
      </c>
      <c r="K78" s="9">
        <f>IF(F78="","GRAM EKSİK",IF(E78&gt;30000,"FİYAT ŞÜPHELİ",IF(J78&lt;0,"ZARARDA",IF(E78&lt;H78,"RİSKLİ","ok"))))</f>
        <v/>
      </c>
      <c r="L78" s="13" t="inlineStr">
        <is>
          <t>https://www.etsy.com/listing/4320364926</t>
        </is>
      </c>
    </row>
    <row r="79">
      <c r="A79" s="3" t="inlineStr">
        <is>
          <t>legacy</t>
        </is>
      </c>
      <c r="B79" s="3" t="inlineStr">
        <is>
          <t>Solid 14K Yellow Gold Miami Cuban Link Chain Necklace, Heavy</t>
        </is>
      </c>
      <c r="C79" s="3" t="n">
        <v>1615728651</v>
      </c>
      <c r="D79" s="3" t="inlineStr">
        <is>
          <t>CSMC1-16</t>
        </is>
      </c>
      <c r="E79" s="14" t="n">
        <v>430</v>
      </c>
      <c r="F79" s="11" t="n"/>
      <c r="G79" s="14">
        <f>IF(F79="","",F79*Ayarlar!$B$3+Ayarlar!$B$4+Ayarlar!$B$5)</f>
        <v/>
      </c>
      <c r="H79" s="14">
        <f>IF(F79="","",ROUNDUP(((F79*Ayarlar!$B$3+Ayarlar!$B$4+Ayarlar!$B$5)+Ayarlar!$B$8)/((1-Ayarlar!$B$6)*(1-Ayarlar!$B$7)),0))</f>
        <v/>
      </c>
      <c r="I79" s="14">
        <f>IF(F79="","",ROUNDUP(((F79*Ayarlar!$B$3+Ayarlar!$B$4+Ayarlar!$B$5)+Ayarlar!$B$8)/((1-Ayarlar!$B$6)*(1-Ayarlar!$B$7-Ayarlar!$B$9)),0))</f>
        <v/>
      </c>
      <c r="J79" s="15">
        <f>IF(OR(F79="",E79=""),"",(E79*(1-Ayarlar!$B$6)-(E79*(1-Ayarlar!$B$6)*Ayarlar!$B$7+Ayarlar!$B$8)-(F79*Ayarlar!$B$3+Ayarlar!$B$4+Ayarlar!$B$5))/(E79*(1-Ayarlar!$B$6)))</f>
        <v/>
      </c>
      <c r="K79" s="3">
        <f>IF(F79="","GRAM EKSİK",IF(E79&gt;30000,"FİYAT ŞÜPHELİ",IF(J79&lt;0,"ZARARDA",IF(E79&lt;H79,"RİSKLİ","ok"))))</f>
        <v/>
      </c>
      <c r="L79" s="16" t="inlineStr">
        <is>
          <t>https://www.etsy.com/listing/1615728651</t>
        </is>
      </c>
    </row>
    <row r="80">
      <c r="A80" s="9" t="inlineStr">
        <is>
          <t>legacy</t>
        </is>
      </c>
      <c r="B80" s="9" t="inlineStr">
        <is>
          <t>Solid 14K Yellow Gold Miami Cuban Link Chain Necklace, Heavy</t>
        </is>
      </c>
      <c r="C80" s="9" t="n">
        <v>1615728651</v>
      </c>
      <c r="D80" s="9" t="inlineStr">
        <is>
          <t>CSMC1-18</t>
        </is>
      </c>
      <c r="E80" s="10" t="n">
        <v>473</v>
      </c>
      <c r="F80" s="11" t="n"/>
      <c r="G80" s="10">
        <f>IF(F80="","",F80*Ayarlar!$B$3+Ayarlar!$B$4+Ayarlar!$B$5)</f>
        <v/>
      </c>
      <c r="H80" s="10">
        <f>IF(F80="","",ROUNDUP(((F80*Ayarlar!$B$3+Ayarlar!$B$4+Ayarlar!$B$5)+Ayarlar!$B$8)/((1-Ayarlar!$B$6)*(1-Ayarlar!$B$7)),0))</f>
        <v/>
      </c>
      <c r="I80" s="10">
        <f>IF(F80="","",ROUNDUP(((F80*Ayarlar!$B$3+Ayarlar!$B$4+Ayarlar!$B$5)+Ayarlar!$B$8)/((1-Ayarlar!$B$6)*(1-Ayarlar!$B$7-Ayarlar!$B$9)),0))</f>
        <v/>
      </c>
      <c r="J80" s="12">
        <f>IF(OR(F80="",E80=""),"",(E80*(1-Ayarlar!$B$6)-(E80*(1-Ayarlar!$B$6)*Ayarlar!$B$7+Ayarlar!$B$8)-(F80*Ayarlar!$B$3+Ayarlar!$B$4+Ayarlar!$B$5))/(E80*(1-Ayarlar!$B$6)))</f>
        <v/>
      </c>
      <c r="K80" s="9">
        <f>IF(F80="","GRAM EKSİK",IF(E80&gt;30000,"FİYAT ŞÜPHELİ",IF(J80&lt;0,"ZARARDA",IF(E80&lt;H80,"RİSKLİ","ok"))))</f>
        <v/>
      </c>
      <c r="L80" s="13" t="inlineStr">
        <is>
          <t>https://www.etsy.com/listing/1615728651</t>
        </is>
      </c>
    </row>
    <row r="81">
      <c r="A81" s="3" t="inlineStr">
        <is>
          <t>legacy</t>
        </is>
      </c>
      <c r="B81" s="3" t="inlineStr">
        <is>
          <t>Solid 14K Yellow Gold Miami Cuban Link Chain Necklace, Heavy</t>
        </is>
      </c>
      <c r="C81" s="3" t="n">
        <v>1615728651</v>
      </c>
      <c r="D81" s="3" t="inlineStr">
        <is>
          <t>CSMC1-20</t>
        </is>
      </c>
      <c r="E81" s="14" t="n">
        <v>559</v>
      </c>
      <c r="F81" s="11" t="n"/>
      <c r="G81" s="14">
        <f>IF(F81="","",F81*Ayarlar!$B$3+Ayarlar!$B$4+Ayarlar!$B$5)</f>
        <v/>
      </c>
      <c r="H81" s="14">
        <f>IF(F81="","",ROUNDUP(((F81*Ayarlar!$B$3+Ayarlar!$B$4+Ayarlar!$B$5)+Ayarlar!$B$8)/((1-Ayarlar!$B$6)*(1-Ayarlar!$B$7)),0))</f>
        <v/>
      </c>
      <c r="I81" s="14">
        <f>IF(F81="","",ROUNDUP(((F81*Ayarlar!$B$3+Ayarlar!$B$4+Ayarlar!$B$5)+Ayarlar!$B$8)/((1-Ayarlar!$B$6)*(1-Ayarlar!$B$7-Ayarlar!$B$9)),0))</f>
        <v/>
      </c>
      <c r="J81" s="15">
        <f>IF(OR(F81="",E81=""),"",(E81*(1-Ayarlar!$B$6)-(E81*(1-Ayarlar!$B$6)*Ayarlar!$B$7+Ayarlar!$B$8)-(F81*Ayarlar!$B$3+Ayarlar!$B$4+Ayarlar!$B$5))/(E81*(1-Ayarlar!$B$6)))</f>
        <v/>
      </c>
      <c r="K81" s="3">
        <f>IF(F81="","GRAM EKSİK",IF(E81&gt;30000,"FİYAT ŞÜPHELİ",IF(J81&lt;0,"ZARARDA",IF(E81&lt;H81,"RİSKLİ","ok"))))</f>
        <v/>
      </c>
      <c r="L81" s="16" t="inlineStr">
        <is>
          <t>https://www.etsy.com/listing/1615728651</t>
        </is>
      </c>
    </row>
    <row r="82">
      <c r="A82" s="9" t="inlineStr">
        <is>
          <t>legacy</t>
        </is>
      </c>
      <c r="B82" s="9" t="inlineStr">
        <is>
          <t>Solid 14K Yellow Gold Miami Cuban Link Chain Necklace, Heavy</t>
        </is>
      </c>
      <c r="C82" s="9" t="n">
        <v>1615728651</v>
      </c>
      <c r="D82" s="9" t="inlineStr">
        <is>
          <t>CSMC1-22</t>
        </is>
      </c>
      <c r="E82" s="10" t="n">
        <v>645</v>
      </c>
      <c r="F82" s="11" t="n"/>
      <c r="G82" s="10">
        <f>IF(F82="","",F82*Ayarlar!$B$3+Ayarlar!$B$4+Ayarlar!$B$5)</f>
        <v/>
      </c>
      <c r="H82" s="10">
        <f>IF(F82="","",ROUNDUP(((F82*Ayarlar!$B$3+Ayarlar!$B$4+Ayarlar!$B$5)+Ayarlar!$B$8)/((1-Ayarlar!$B$6)*(1-Ayarlar!$B$7)),0))</f>
        <v/>
      </c>
      <c r="I82" s="10">
        <f>IF(F82="","",ROUNDUP(((F82*Ayarlar!$B$3+Ayarlar!$B$4+Ayarlar!$B$5)+Ayarlar!$B$8)/((1-Ayarlar!$B$6)*(1-Ayarlar!$B$7-Ayarlar!$B$9)),0))</f>
        <v/>
      </c>
      <c r="J82" s="12">
        <f>IF(OR(F82="",E82=""),"",(E82*(1-Ayarlar!$B$6)-(E82*(1-Ayarlar!$B$6)*Ayarlar!$B$7+Ayarlar!$B$8)-(F82*Ayarlar!$B$3+Ayarlar!$B$4+Ayarlar!$B$5))/(E82*(1-Ayarlar!$B$6)))</f>
        <v/>
      </c>
      <c r="K82" s="9">
        <f>IF(F82="","GRAM EKSİK",IF(E82&gt;30000,"FİYAT ŞÜPHELİ",IF(J82&lt;0,"ZARARDA",IF(E82&lt;H82,"RİSKLİ","ok"))))</f>
        <v/>
      </c>
      <c r="L82" s="13" t="inlineStr">
        <is>
          <t>https://www.etsy.com/listing/1615728651</t>
        </is>
      </c>
    </row>
    <row r="83">
      <c r="A83" s="3" t="inlineStr">
        <is>
          <t>legacy</t>
        </is>
      </c>
      <c r="B83" s="3" t="inlineStr">
        <is>
          <t>Solid 14K Yellow Gold Miami Cuban Link Chain Necklace, Heavy</t>
        </is>
      </c>
      <c r="C83" s="3" t="n">
        <v>1615728651</v>
      </c>
      <c r="D83" s="3" t="inlineStr">
        <is>
          <t>CSMC1-24</t>
        </is>
      </c>
      <c r="E83" s="14" t="n">
        <v>731</v>
      </c>
      <c r="F83" s="11" t="n"/>
      <c r="G83" s="14">
        <f>IF(F83="","",F83*Ayarlar!$B$3+Ayarlar!$B$4+Ayarlar!$B$5)</f>
        <v/>
      </c>
      <c r="H83" s="14">
        <f>IF(F83="","",ROUNDUP(((F83*Ayarlar!$B$3+Ayarlar!$B$4+Ayarlar!$B$5)+Ayarlar!$B$8)/((1-Ayarlar!$B$6)*(1-Ayarlar!$B$7)),0))</f>
        <v/>
      </c>
      <c r="I83" s="14">
        <f>IF(F83="","",ROUNDUP(((F83*Ayarlar!$B$3+Ayarlar!$B$4+Ayarlar!$B$5)+Ayarlar!$B$8)/((1-Ayarlar!$B$6)*(1-Ayarlar!$B$7-Ayarlar!$B$9)),0))</f>
        <v/>
      </c>
      <c r="J83" s="15">
        <f>IF(OR(F83="",E83=""),"",(E83*(1-Ayarlar!$B$6)-(E83*(1-Ayarlar!$B$6)*Ayarlar!$B$7+Ayarlar!$B$8)-(F83*Ayarlar!$B$3+Ayarlar!$B$4+Ayarlar!$B$5))/(E83*(1-Ayarlar!$B$6)))</f>
        <v/>
      </c>
      <c r="K83" s="3">
        <f>IF(F83="","GRAM EKSİK",IF(E83&gt;30000,"FİYAT ŞÜPHELİ",IF(J83&lt;0,"ZARARDA",IF(E83&lt;H83,"RİSKLİ","ok"))))</f>
        <v/>
      </c>
      <c r="L83" s="16" t="inlineStr">
        <is>
          <t>https://www.etsy.com/listing/1615728651</t>
        </is>
      </c>
    </row>
    <row r="84">
      <c r="A84" s="9" t="inlineStr">
        <is>
          <t>legacy</t>
        </is>
      </c>
      <c r="B84" s="9" t="inlineStr">
        <is>
          <t>Solid 14K Yellow Gold Miami Cuban Link Chain Necklace, Heavy</t>
        </is>
      </c>
      <c r="C84" s="9" t="n">
        <v>1615728651</v>
      </c>
      <c r="D84" s="9" t="inlineStr">
        <is>
          <t>CSMC10-16</t>
        </is>
      </c>
      <c r="E84" s="10" t="n">
        <v>34999.99</v>
      </c>
      <c r="F84" s="11" t="n"/>
      <c r="G84" s="10">
        <f>IF(F84="","",F84*Ayarlar!$B$3+Ayarlar!$B$4+Ayarlar!$B$5)</f>
        <v/>
      </c>
      <c r="H84" s="10">
        <f>IF(F84="","",ROUNDUP(((F84*Ayarlar!$B$3+Ayarlar!$B$4+Ayarlar!$B$5)+Ayarlar!$B$8)/((1-Ayarlar!$B$6)*(1-Ayarlar!$B$7)),0))</f>
        <v/>
      </c>
      <c r="I84" s="10">
        <f>IF(F84="","",ROUNDUP(((F84*Ayarlar!$B$3+Ayarlar!$B$4+Ayarlar!$B$5)+Ayarlar!$B$8)/((1-Ayarlar!$B$6)*(1-Ayarlar!$B$7-Ayarlar!$B$9)),0))</f>
        <v/>
      </c>
      <c r="J84" s="12">
        <f>IF(OR(F84="",E84=""),"",(E84*(1-Ayarlar!$B$6)-(E84*(1-Ayarlar!$B$6)*Ayarlar!$B$7+Ayarlar!$B$8)-(F84*Ayarlar!$B$3+Ayarlar!$B$4+Ayarlar!$B$5))/(E84*(1-Ayarlar!$B$6)))</f>
        <v/>
      </c>
      <c r="K84" s="9">
        <f>IF(F84="","GRAM EKSİK",IF(E84&gt;30000,"FİYAT ŞÜPHELİ",IF(J84&lt;0,"ZARARDA",IF(E84&lt;H84,"RİSKLİ","ok"))))</f>
        <v/>
      </c>
      <c r="L84" s="13" t="inlineStr">
        <is>
          <t>https://www.etsy.com/listing/1615728651</t>
        </is>
      </c>
    </row>
    <row r="85">
      <c r="A85" s="3" t="inlineStr">
        <is>
          <t>legacy</t>
        </is>
      </c>
      <c r="B85" s="3" t="inlineStr">
        <is>
          <t>Solid 14K Yellow Gold Miami Cuban Link Chain Necklace, Heavy</t>
        </is>
      </c>
      <c r="C85" s="3" t="n">
        <v>1615728651</v>
      </c>
      <c r="D85" s="3" t="inlineStr">
        <is>
          <t>CSMC10-18</t>
        </is>
      </c>
      <c r="E85" s="14" t="n">
        <v>38999.99</v>
      </c>
      <c r="F85" s="11" t="n"/>
      <c r="G85" s="14">
        <f>IF(F85="","",F85*Ayarlar!$B$3+Ayarlar!$B$4+Ayarlar!$B$5)</f>
        <v/>
      </c>
      <c r="H85" s="14">
        <f>IF(F85="","",ROUNDUP(((F85*Ayarlar!$B$3+Ayarlar!$B$4+Ayarlar!$B$5)+Ayarlar!$B$8)/((1-Ayarlar!$B$6)*(1-Ayarlar!$B$7)),0))</f>
        <v/>
      </c>
      <c r="I85" s="14">
        <f>IF(F85="","",ROUNDUP(((F85*Ayarlar!$B$3+Ayarlar!$B$4+Ayarlar!$B$5)+Ayarlar!$B$8)/((1-Ayarlar!$B$6)*(1-Ayarlar!$B$7-Ayarlar!$B$9)),0))</f>
        <v/>
      </c>
      <c r="J85" s="15">
        <f>IF(OR(F85="",E85=""),"",(E85*(1-Ayarlar!$B$6)-(E85*(1-Ayarlar!$B$6)*Ayarlar!$B$7+Ayarlar!$B$8)-(F85*Ayarlar!$B$3+Ayarlar!$B$4+Ayarlar!$B$5))/(E85*(1-Ayarlar!$B$6)))</f>
        <v/>
      </c>
      <c r="K85" s="3">
        <f>IF(F85="","GRAM EKSİK",IF(E85&gt;30000,"FİYAT ŞÜPHELİ",IF(J85&lt;0,"ZARARDA",IF(E85&lt;H85,"RİSKLİ","ok"))))</f>
        <v/>
      </c>
      <c r="L85" s="16" t="inlineStr">
        <is>
          <t>https://www.etsy.com/listing/1615728651</t>
        </is>
      </c>
    </row>
    <row r="86">
      <c r="A86" s="9" t="inlineStr">
        <is>
          <t>legacy</t>
        </is>
      </c>
      <c r="B86" s="9" t="inlineStr">
        <is>
          <t>Solid 14K Yellow Gold Miami Cuban Link Chain Necklace, Heavy</t>
        </is>
      </c>
      <c r="C86" s="9" t="n">
        <v>1615728651</v>
      </c>
      <c r="D86" s="9" t="inlineStr">
        <is>
          <t>CSMC10-20</t>
        </is>
      </c>
      <c r="E86" s="10" t="n">
        <v>42999.99</v>
      </c>
      <c r="F86" s="11" t="n"/>
      <c r="G86" s="10">
        <f>IF(F86="","",F86*Ayarlar!$B$3+Ayarlar!$B$4+Ayarlar!$B$5)</f>
        <v/>
      </c>
      <c r="H86" s="10">
        <f>IF(F86="","",ROUNDUP(((F86*Ayarlar!$B$3+Ayarlar!$B$4+Ayarlar!$B$5)+Ayarlar!$B$8)/((1-Ayarlar!$B$6)*(1-Ayarlar!$B$7)),0))</f>
        <v/>
      </c>
      <c r="I86" s="10">
        <f>IF(F86="","",ROUNDUP(((F86*Ayarlar!$B$3+Ayarlar!$B$4+Ayarlar!$B$5)+Ayarlar!$B$8)/((1-Ayarlar!$B$6)*(1-Ayarlar!$B$7-Ayarlar!$B$9)),0))</f>
        <v/>
      </c>
      <c r="J86" s="12">
        <f>IF(OR(F86="",E86=""),"",(E86*(1-Ayarlar!$B$6)-(E86*(1-Ayarlar!$B$6)*Ayarlar!$B$7+Ayarlar!$B$8)-(F86*Ayarlar!$B$3+Ayarlar!$B$4+Ayarlar!$B$5))/(E86*(1-Ayarlar!$B$6)))</f>
        <v/>
      </c>
      <c r="K86" s="9">
        <f>IF(F86="","GRAM EKSİK",IF(E86&gt;30000,"FİYAT ŞÜPHELİ",IF(J86&lt;0,"ZARARDA",IF(E86&lt;H86,"RİSKLİ","ok"))))</f>
        <v/>
      </c>
      <c r="L86" s="13" t="inlineStr">
        <is>
          <t>https://www.etsy.com/listing/1615728651</t>
        </is>
      </c>
    </row>
    <row r="87">
      <c r="A87" s="3" t="inlineStr">
        <is>
          <t>legacy</t>
        </is>
      </c>
      <c r="B87" s="3" t="inlineStr">
        <is>
          <t>Solid 14K Yellow Gold Miami Cuban Link Chain Necklace, Heavy</t>
        </is>
      </c>
      <c r="C87" s="3" t="n">
        <v>1615728651</v>
      </c>
      <c r="D87" s="3" t="inlineStr">
        <is>
          <t>CSMC10-22</t>
        </is>
      </c>
      <c r="E87" s="14" t="n">
        <v>46999.99</v>
      </c>
      <c r="F87" s="11" t="n"/>
      <c r="G87" s="14">
        <f>IF(F87="","",F87*Ayarlar!$B$3+Ayarlar!$B$4+Ayarlar!$B$5)</f>
        <v/>
      </c>
      <c r="H87" s="14">
        <f>IF(F87="","",ROUNDUP(((F87*Ayarlar!$B$3+Ayarlar!$B$4+Ayarlar!$B$5)+Ayarlar!$B$8)/((1-Ayarlar!$B$6)*(1-Ayarlar!$B$7)),0))</f>
        <v/>
      </c>
      <c r="I87" s="14">
        <f>IF(F87="","",ROUNDUP(((F87*Ayarlar!$B$3+Ayarlar!$B$4+Ayarlar!$B$5)+Ayarlar!$B$8)/((1-Ayarlar!$B$6)*(1-Ayarlar!$B$7-Ayarlar!$B$9)),0))</f>
        <v/>
      </c>
      <c r="J87" s="15">
        <f>IF(OR(F87="",E87=""),"",(E87*(1-Ayarlar!$B$6)-(E87*(1-Ayarlar!$B$6)*Ayarlar!$B$7+Ayarlar!$B$8)-(F87*Ayarlar!$B$3+Ayarlar!$B$4+Ayarlar!$B$5))/(E87*(1-Ayarlar!$B$6)))</f>
        <v/>
      </c>
      <c r="K87" s="3">
        <f>IF(F87="","GRAM EKSİK",IF(E87&gt;30000,"FİYAT ŞÜPHELİ",IF(J87&lt;0,"ZARARDA",IF(E87&lt;H87,"RİSKLİ","ok"))))</f>
        <v/>
      </c>
      <c r="L87" s="16" t="inlineStr">
        <is>
          <t>https://www.etsy.com/listing/1615728651</t>
        </is>
      </c>
    </row>
    <row r="88">
      <c r="A88" s="9" t="inlineStr">
        <is>
          <t>legacy</t>
        </is>
      </c>
      <c r="B88" s="9" t="inlineStr">
        <is>
          <t>Solid 14K Yellow Gold Miami Cuban Link Chain Necklace, Heavy</t>
        </is>
      </c>
      <c r="C88" s="9" t="n">
        <v>1615728651</v>
      </c>
      <c r="D88" s="9" t="inlineStr">
        <is>
          <t>CSMC10-24</t>
        </is>
      </c>
      <c r="E88" s="10" t="n">
        <v>49999.99</v>
      </c>
      <c r="F88" s="11" t="n"/>
      <c r="G88" s="10">
        <f>IF(F88="","",F88*Ayarlar!$B$3+Ayarlar!$B$4+Ayarlar!$B$5)</f>
        <v/>
      </c>
      <c r="H88" s="10">
        <f>IF(F88="","",ROUNDUP(((F88*Ayarlar!$B$3+Ayarlar!$B$4+Ayarlar!$B$5)+Ayarlar!$B$8)/((1-Ayarlar!$B$6)*(1-Ayarlar!$B$7)),0))</f>
        <v/>
      </c>
      <c r="I88" s="10">
        <f>IF(F88="","",ROUNDUP(((F88*Ayarlar!$B$3+Ayarlar!$B$4+Ayarlar!$B$5)+Ayarlar!$B$8)/((1-Ayarlar!$B$6)*(1-Ayarlar!$B$7-Ayarlar!$B$9)),0))</f>
        <v/>
      </c>
      <c r="J88" s="12">
        <f>IF(OR(F88="",E88=""),"",(E88*(1-Ayarlar!$B$6)-(E88*(1-Ayarlar!$B$6)*Ayarlar!$B$7+Ayarlar!$B$8)-(F88*Ayarlar!$B$3+Ayarlar!$B$4+Ayarlar!$B$5))/(E88*(1-Ayarlar!$B$6)))</f>
        <v/>
      </c>
      <c r="K88" s="9">
        <f>IF(F88="","GRAM EKSİK",IF(E88&gt;30000,"FİYAT ŞÜPHELİ",IF(J88&lt;0,"ZARARDA",IF(E88&lt;H88,"RİSKLİ","ok"))))</f>
        <v/>
      </c>
      <c r="L88" s="13" t="inlineStr">
        <is>
          <t>https://www.etsy.com/listing/1615728651</t>
        </is>
      </c>
    </row>
    <row r="89">
      <c r="A89" s="3" t="inlineStr">
        <is>
          <t>legacy</t>
        </is>
      </c>
      <c r="B89" s="3" t="inlineStr">
        <is>
          <t>Solid 14K Yellow Gold Miami Cuban Link Chain Necklace, Heavy</t>
        </is>
      </c>
      <c r="C89" s="3" t="n">
        <v>1615728651</v>
      </c>
      <c r="D89" s="3" t="inlineStr">
        <is>
          <t>CSMC2-16</t>
        </is>
      </c>
      <c r="E89" s="14" t="n">
        <v>920.2</v>
      </c>
      <c r="F89" s="11" t="n"/>
      <c r="G89" s="14">
        <f>IF(F89="","",F89*Ayarlar!$B$3+Ayarlar!$B$4+Ayarlar!$B$5)</f>
        <v/>
      </c>
      <c r="H89" s="14">
        <f>IF(F89="","",ROUNDUP(((F89*Ayarlar!$B$3+Ayarlar!$B$4+Ayarlar!$B$5)+Ayarlar!$B$8)/((1-Ayarlar!$B$6)*(1-Ayarlar!$B$7)),0))</f>
        <v/>
      </c>
      <c r="I89" s="14">
        <f>IF(F89="","",ROUNDUP(((F89*Ayarlar!$B$3+Ayarlar!$B$4+Ayarlar!$B$5)+Ayarlar!$B$8)/((1-Ayarlar!$B$6)*(1-Ayarlar!$B$7-Ayarlar!$B$9)),0))</f>
        <v/>
      </c>
      <c r="J89" s="15">
        <f>IF(OR(F89="",E89=""),"",(E89*(1-Ayarlar!$B$6)-(E89*(1-Ayarlar!$B$6)*Ayarlar!$B$7+Ayarlar!$B$8)-(F89*Ayarlar!$B$3+Ayarlar!$B$4+Ayarlar!$B$5))/(E89*(1-Ayarlar!$B$6)))</f>
        <v/>
      </c>
      <c r="K89" s="3">
        <f>IF(F89="","GRAM EKSİK",IF(E89&gt;30000,"FİYAT ŞÜPHELİ",IF(J89&lt;0,"ZARARDA",IF(E89&lt;H89,"RİSKLİ","ok"))))</f>
        <v/>
      </c>
      <c r="L89" s="16" t="inlineStr">
        <is>
          <t>https://www.etsy.com/listing/1615728651</t>
        </is>
      </c>
    </row>
    <row r="90">
      <c r="A90" s="9" t="inlineStr">
        <is>
          <t>legacy</t>
        </is>
      </c>
      <c r="B90" s="9" t="inlineStr">
        <is>
          <t>Solid 14K Yellow Gold Miami Cuban Link Chain Necklace, Heavy</t>
        </is>
      </c>
      <c r="C90" s="9" t="n">
        <v>1615728651</v>
      </c>
      <c r="D90" s="9" t="inlineStr">
        <is>
          <t>CSMC2-18</t>
        </is>
      </c>
      <c r="E90" s="10" t="n">
        <v>989</v>
      </c>
      <c r="F90" s="11" t="n"/>
      <c r="G90" s="10">
        <f>IF(F90="","",F90*Ayarlar!$B$3+Ayarlar!$B$4+Ayarlar!$B$5)</f>
        <v/>
      </c>
      <c r="H90" s="10">
        <f>IF(F90="","",ROUNDUP(((F90*Ayarlar!$B$3+Ayarlar!$B$4+Ayarlar!$B$5)+Ayarlar!$B$8)/((1-Ayarlar!$B$6)*(1-Ayarlar!$B$7)),0))</f>
        <v/>
      </c>
      <c r="I90" s="10">
        <f>IF(F90="","",ROUNDUP(((F90*Ayarlar!$B$3+Ayarlar!$B$4+Ayarlar!$B$5)+Ayarlar!$B$8)/((1-Ayarlar!$B$6)*(1-Ayarlar!$B$7-Ayarlar!$B$9)),0))</f>
        <v/>
      </c>
      <c r="J90" s="12">
        <f>IF(OR(F90="",E90=""),"",(E90*(1-Ayarlar!$B$6)-(E90*(1-Ayarlar!$B$6)*Ayarlar!$B$7+Ayarlar!$B$8)-(F90*Ayarlar!$B$3+Ayarlar!$B$4+Ayarlar!$B$5))/(E90*(1-Ayarlar!$B$6)))</f>
        <v/>
      </c>
      <c r="K90" s="9">
        <f>IF(F90="","GRAM EKSİK",IF(E90&gt;30000,"FİYAT ŞÜPHELİ",IF(J90&lt;0,"ZARARDA",IF(E90&lt;H90,"RİSKLİ","ok"))))</f>
        <v/>
      </c>
      <c r="L90" s="13" t="inlineStr">
        <is>
          <t>https://www.etsy.com/listing/1615728651</t>
        </is>
      </c>
    </row>
    <row r="91">
      <c r="A91" s="3" t="inlineStr">
        <is>
          <t>legacy</t>
        </is>
      </c>
      <c r="B91" s="3" t="inlineStr">
        <is>
          <t>Solid 14K Yellow Gold Miami Cuban Link Chain Necklace, Heavy</t>
        </is>
      </c>
      <c r="C91" s="3" t="n">
        <v>1615728651</v>
      </c>
      <c r="D91" s="3" t="inlineStr">
        <is>
          <t>CSMC2-20</t>
        </is>
      </c>
      <c r="E91" s="14" t="n">
        <v>1118</v>
      </c>
      <c r="F91" s="11" t="n"/>
      <c r="G91" s="14">
        <f>IF(F91="","",F91*Ayarlar!$B$3+Ayarlar!$B$4+Ayarlar!$B$5)</f>
        <v/>
      </c>
      <c r="H91" s="14">
        <f>IF(F91="","",ROUNDUP(((F91*Ayarlar!$B$3+Ayarlar!$B$4+Ayarlar!$B$5)+Ayarlar!$B$8)/((1-Ayarlar!$B$6)*(1-Ayarlar!$B$7)),0))</f>
        <v/>
      </c>
      <c r="I91" s="14">
        <f>IF(F91="","",ROUNDUP(((F91*Ayarlar!$B$3+Ayarlar!$B$4+Ayarlar!$B$5)+Ayarlar!$B$8)/((1-Ayarlar!$B$6)*(1-Ayarlar!$B$7-Ayarlar!$B$9)),0))</f>
        <v/>
      </c>
      <c r="J91" s="15">
        <f>IF(OR(F91="",E91=""),"",(E91*(1-Ayarlar!$B$6)-(E91*(1-Ayarlar!$B$6)*Ayarlar!$B$7+Ayarlar!$B$8)-(F91*Ayarlar!$B$3+Ayarlar!$B$4+Ayarlar!$B$5))/(E91*(1-Ayarlar!$B$6)))</f>
        <v/>
      </c>
      <c r="K91" s="3">
        <f>IF(F91="","GRAM EKSİK",IF(E91&gt;30000,"FİYAT ŞÜPHELİ",IF(J91&lt;0,"ZARARDA",IF(E91&lt;H91,"RİSKLİ","ok"))))</f>
        <v/>
      </c>
      <c r="L91" s="16" t="inlineStr">
        <is>
          <t>https://www.etsy.com/listing/1615728651</t>
        </is>
      </c>
    </row>
    <row r="92">
      <c r="A92" s="9" t="inlineStr">
        <is>
          <t>legacy</t>
        </is>
      </c>
      <c r="B92" s="9" t="inlineStr">
        <is>
          <t>Solid 14K Yellow Gold Miami Cuban Link Chain Necklace, Heavy</t>
        </is>
      </c>
      <c r="C92" s="9" t="n">
        <v>1615728651</v>
      </c>
      <c r="D92" s="9" t="inlineStr">
        <is>
          <t>CSMC2-22</t>
        </is>
      </c>
      <c r="E92" s="10" t="n">
        <v>1290</v>
      </c>
      <c r="F92" s="11" t="n"/>
      <c r="G92" s="10">
        <f>IF(F92="","",F92*Ayarlar!$B$3+Ayarlar!$B$4+Ayarlar!$B$5)</f>
        <v/>
      </c>
      <c r="H92" s="10">
        <f>IF(F92="","",ROUNDUP(((F92*Ayarlar!$B$3+Ayarlar!$B$4+Ayarlar!$B$5)+Ayarlar!$B$8)/((1-Ayarlar!$B$6)*(1-Ayarlar!$B$7)),0))</f>
        <v/>
      </c>
      <c r="I92" s="10">
        <f>IF(F92="","",ROUNDUP(((F92*Ayarlar!$B$3+Ayarlar!$B$4+Ayarlar!$B$5)+Ayarlar!$B$8)/((1-Ayarlar!$B$6)*(1-Ayarlar!$B$7-Ayarlar!$B$9)),0))</f>
        <v/>
      </c>
      <c r="J92" s="12">
        <f>IF(OR(F92="",E92=""),"",(E92*(1-Ayarlar!$B$6)-(E92*(1-Ayarlar!$B$6)*Ayarlar!$B$7+Ayarlar!$B$8)-(F92*Ayarlar!$B$3+Ayarlar!$B$4+Ayarlar!$B$5))/(E92*(1-Ayarlar!$B$6)))</f>
        <v/>
      </c>
      <c r="K92" s="9">
        <f>IF(F92="","GRAM EKSİK",IF(E92&gt;30000,"FİYAT ŞÜPHELİ",IF(J92&lt;0,"ZARARDA",IF(E92&lt;H92,"RİSKLİ","ok"))))</f>
        <v/>
      </c>
      <c r="L92" s="13" t="inlineStr">
        <is>
          <t>https://www.etsy.com/listing/1615728651</t>
        </is>
      </c>
    </row>
    <row r="93">
      <c r="A93" s="3" t="inlineStr">
        <is>
          <t>legacy</t>
        </is>
      </c>
      <c r="B93" s="3" t="inlineStr">
        <is>
          <t>Solid 14K Yellow Gold Miami Cuban Link Chain Necklace, Heavy</t>
        </is>
      </c>
      <c r="C93" s="3" t="n">
        <v>1615728651</v>
      </c>
      <c r="D93" s="3" t="inlineStr">
        <is>
          <t>CSMC2-24</t>
        </is>
      </c>
      <c r="E93" s="14" t="n">
        <v>1376</v>
      </c>
      <c r="F93" s="11" t="n"/>
      <c r="G93" s="14">
        <f>IF(F93="","",F93*Ayarlar!$B$3+Ayarlar!$B$4+Ayarlar!$B$5)</f>
        <v/>
      </c>
      <c r="H93" s="14">
        <f>IF(F93="","",ROUNDUP(((F93*Ayarlar!$B$3+Ayarlar!$B$4+Ayarlar!$B$5)+Ayarlar!$B$8)/((1-Ayarlar!$B$6)*(1-Ayarlar!$B$7)),0))</f>
        <v/>
      </c>
      <c r="I93" s="14">
        <f>IF(F93="","",ROUNDUP(((F93*Ayarlar!$B$3+Ayarlar!$B$4+Ayarlar!$B$5)+Ayarlar!$B$8)/((1-Ayarlar!$B$6)*(1-Ayarlar!$B$7-Ayarlar!$B$9)),0))</f>
        <v/>
      </c>
      <c r="J93" s="15">
        <f>IF(OR(F93="",E93=""),"",(E93*(1-Ayarlar!$B$6)-(E93*(1-Ayarlar!$B$6)*Ayarlar!$B$7+Ayarlar!$B$8)-(F93*Ayarlar!$B$3+Ayarlar!$B$4+Ayarlar!$B$5))/(E93*(1-Ayarlar!$B$6)))</f>
        <v/>
      </c>
      <c r="K93" s="3">
        <f>IF(F93="","GRAM EKSİK",IF(E93&gt;30000,"FİYAT ŞÜPHELİ",IF(J93&lt;0,"ZARARDA",IF(E93&lt;H93,"RİSKLİ","ok"))))</f>
        <v/>
      </c>
      <c r="L93" s="16" t="inlineStr">
        <is>
          <t>https://www.etsy.com/listing/1615728651</t>
        </is>
      </c>
    </row>
    <row r="94">
      <c r="A94" s="9" t="inlineStr">
        <is>
          <t>legacy</t>
        </is>
      </c>
      <c r="B94" s="9" t="inlineStr">
        <is>
          <t>Solid 14K Yellow Gold Miami Cuban Link Chain Necklace, Heavy</t>
        </is>
      </c>
      <c r="C94" s="9" t="n">
        <v>1615728651</v>
      </c>
      <c r="D94" s="9" t="inlineStr">
        <is>
          <t>CSMC3-16</t>
        </is>
      </c>
      <c r="E94" s="10" t="n">
        <v>1118</v>
      </c>
      <c r="F94" s="11" t="n"/>
      <c r="G94" s="10">
        <f>IF(F94="","",F94*Ayarlar!$B$3+Ayarlar!$B$4+Ayarlar!$B$5)</f>
        <v/>
      </c>
      <c r="H94" s="10">
        <f>IF(F94="","",ROUNDUP(((F94*Ayarlar!$B$3+Ayarlar!$B$4+Ayarlar!$B$5)+Ayarlar!$B$8)/((1-Ayarlar!$B$6)*(1-Ayarlar!$B$7)),0))</f>
        <v/>
      </c>
      <c r="I94" s="10">
        <f>IF(F94="","",ROUNDUP(((F94*Ayarlar!$B$3+Ayarlar!$B$4+Ayarlar!$B$5)+Ayarlar!$B$8)/((1-Ayarlar!$B$6)*(1-Ayarlar!$B$7-Ayarlar!$B$9)),0))</f>
        <v/>
      </c>
      <c r="J94" s="12">
        <f>IF(OR(F94="",E94=""),"",(E94*(1-Ayarlar!$B$6)-(E94*(1-Ayarlar!$B$6)*Ayarlar!$B$7+Ayarlar!$B$8)-(F94*Ayarlar!$B$3+Ayarlar!$B$4+Ayarlar!$B$5))/(E94*(1-Ayarlar!$B$6)))</f>
        <v/>
      </c>
      <c r="K94" s="9">
        <f>IF(F94="","GRAM EKSİK",IF(E94&gt;30000,"FİYAT ŞÜPHELİ",IF(J94&lt;0,"ZARARDA",IF(E94&lt;H94,"RİSKLİ","ok"))))</f>
        <v/>
      </c>
      <c r="L94" s="13" t="inlineStr">
        <is>
          <t>https://www.etsy.com/listing/1615728651</t>
        </is>
      </c>
    </row>
    <row r="95">
      <c r="A95" s="3" t="inlineStr">
        <is>
          <t>legacy</t>
        </is>
      </c>
      <c r="B95" s="3" t="inlineStr">
        <is>
          <t>Solid 14K Yellow Gold Miami Cuban Link Chain Necklace, Heavy</t>
        </is>
      </c>
      <c r="C95" s="3" t="n">
        <v>1615728651</v>
      </c>
      <c r="D95" s="3" t="inlineStr">
        <is>
          <t>CSMC3-18</t>
        </is>
      </c>
      <c r="E95" s="14" t="n">
        <v>1720</v>
      </c>
      <c r="F95" s="11" t="n"/>
      <c r="G95" s="14">
        <f>IF(F95="","",F95*Ayarlar!$B$3+Ayarlar!$B$4+Ayarlar!$B$5)</f>
        <v/>
      </c>
      <c r="H95" s="14">
        <f>IF(F95="","",ROUNDUP(((F95*Ayarlar!$B$3+Ayarlar!$B$4+Ayarlar!$B$5)+Ayarlar!$B$8)/((1-Ayarlar!$B$6)*(1-Ayarlar!$B$7)),0))</f>
        <v/>
      </c>
      <c r="I95" s="14">
        <f>IF(F95="","",ROUNDUP(((F95*Ayarlar!$B$3+Ayarlar!$B$4+Ayarlar!$B$5)+Ayarlar!$B$8)/((1-Ayarlar!$B$6)*(1-Ayarlar!$B$7-Ayarlar!$B$9)),0))</f>
        <v/>
      </c>
      <c r="J95" s="15">
        <f>IF(OR(F95="",E95=""),"",(E95*(1-Ayarlar!$B$6)-(E95*(1-Ayarlar!$B$6)*Ayarlar!$B$7+Ayarlar!$B$8)-(F95*Ayarlar!$B$3+Ayarlar!$B$4+Ayarlar!$B$5))/(E95*(1-Ayarlar!$B$6)))</f>
        <v/>
      </c>
      <c r="K95" s="3">
        <f>IF(F95="","GRAM EKSİK",IF(E95&gt;30000,"FİYAT ŞÜPHELİ",IF(J95&lt;0,"ZARARDA",IF(E95&lt;H95,"RİSKLİ","ok"))))</f>
        <v/>
      </c>
      <c r="L95" s="16" t="inlineStr">
        <is>
          <t>https://www.etsy.com/listing/1615728651</t>
        </is>
      </c>
    </row>
    <row r="96">
      <c r="A96" s="9" t="inlineStr">
        <is>
          <t>legacy</t>
        </is>
      </c>
      <c r="B96" s="9" t="inlineStr">
        <is>
          <t>Solid 14K Yellow Gold Miami Cuban Link Chain Necklace, Heavy</t>
        </is>
      </c>
      <c r="C96" s="9" t="n">
        <v>1615728651</v>
      </c>
      <c r="D96" s="9" t="inlineStr">
        <is>
          <t>CSMC3-20</t>
        </is>
      </c>
      <c r="E96" s="10" t="n">
        <v>1892</v>
      </c>
      <c r="F96" s="11" t="n"/>
      <c r="G96" s="10">
        <f>IF(F96="","",F96*Ayarlar!$B$3+Ayarlar!$B$4+Ayarlar!$B$5)</f>
        <v/>
      </c>
      <c r="H96" s="10">
        <f>IF(F96="","",ROUNDUP(((F96*Ayarlar!$B$3+Ayarlar!$B$4+Ayarlar!$B$5)+Ayarlar!$B$8)/((1-Ayarlar!$B$6)*(1-Ayarlar!$B$7)),0))</f>
        <v/>
      </c>
      <c r="I96" s="10">
        <f>IF(F96="","",ROUNDUP(((F96*Ayarlar!$B$3+Ayarlar!$B$4+Ayarlar!$B$5)+Ayarlar!$B$8)/((1-Ayarlar!$B$6)*(1-Ayarlar!$B$7-Ayarlar!$B$9)),0))</f>
        <v/>
      </c>
      <c r="J96" s="12">
        <f>IF(OR(F96="",E96=""),"",(E96*(1-Ayarlar!$B$6)-(E96*(1-Ayarlar!$B$6)*Ayarlar!$B$7+Ayarlar!$B$8)-(F96*Ayarlar!$B$3+Ayarlar!$B$4+Ayarlar!$B$5))/(E96*(1-Ayarlar!$B$6)))</f>
        <v/>
      </c>
      <c r="K96" s="9">
        <f>IF(F96="","GRAM EKSİK",IF(E96&gt;30000,"FİYAT ŞÜPHELİ",IF(J96&lt;0,"ZARARDA",IF(E96&lt;H96,"RİSKLİ","ok"))))</f>
        <v/>
      </c>
      <c r="L96" s="13" t="inlineStr">
        <is>
          <t>https://www.etsy.com/listing/1615728651</t>
        </is>
      </c>
    </row>
    <row r="97">
      <c r="A97" s="3" t="inlineStr">
        <is>
          <t>legacy</t>
        </is>
      </c>
      <c r="B97" s="3" t="inlineStr">
        <is>
          <t>Solid 14K Yellow Gold Miami Cuban Link Chain Necklace, Heavy</t>
        </is>
      </c>
      <c r="C97" s="3" t="n">
        <v>1615728651</v>
      </c>
      <c r="D97" s="3" t="inlineStr">
        <is>
          <t>CSMC3-22</t>
        </is>
      </c>
      <c r="E97" s="14" t="n">
        <v>2064</v>
      </c>
      <c r="F97" s="11" t="n"/>
      <c r="G97" s="14">
        <f>IF(F97="","",F97*Ayarlar!$B$3+Ayarlar!$B$4+Ayarlar!$B$5)</f>
        <v/>
      </c>
      <c r="H97" s="14">
        <f>IF(F97="","",ROUNDUP(((F97*Ayarlar!$B$3+Ayarlar!$B$4+Ayarlar!$B$5)+Ayarlar!$B$8)/((1-Ayarlar!$B$6)*(1-Ayarlar!$B$7)),0))</f>
        <v/>
      </c>
      <c r="I97" s="14">
        <f>IF(F97="","",ROUNDUP(((F97*Ayarlar!$B$3+Ayarlar!$B$4+Ayarlar!$B$5)+Ayarlar!$B$8)/((1-Ayarlar!$B$6)*(1-Ayarlar!$B$7-Ayarlar!$B$9)),0))</f>
        <v/>
      </c>
      <c r="J97" s="15">
        <f>IF(OR(F97="",E97=""),"",(E97*(1-Ayarlar!$B$6)-(E97*(1-Ayarlar!$B$6)*Ayarlar!$B$7+Ayarlar!$B$8)-(F97*Ayarlar!$B$3+Ayarlar!$B$4+Ayarlar!$B$5))/(E97*(1-Ayarlar!$B$6)))</f>
        <v/>
      </c>
      <c r="K97" s="3">
        <f>IF(F97="","GRAM EKSİK",IF(E97&gt;30000,"FİYAT ŞÜPHELİ",IF(J97&lt;0,"ZARARDA",IF(E97&lt;H97,"RİSKLİ","ok"))))</f>
        <v/>
      </c>
      <c r="L97" s="16" t="inlineStr">
        <is>
          <t>https://www.etsy.com/listing/1615728651</t>
        </is>
      </c>
    </row>
    <row r="98">
      <c r="A98" s="9" t="inlineStr">
        <is>
          <t>legacy</t>
        </is>
      </c>
      <c r="B98" s="9" t="inlineStr">
        <is>
          <t>Solid 14K Yellow Gold Miami Cuban Link Chain Necklace, Heavy</t>
        </is>
      </c>
      <c r="C98" s="9" t="n">
        <v>1615728651</v>
      </c>
      <c r="D98" s="9" t="inlineStr">
        <is>
          <t>CSMC3-24</t>
        </is>
      </c>
      <c r="E98" s="10" t="n">
        <v>2236</v>
      </c>
      <c r="F98" s="11" t="n"/>
      <c r="G98" s="10">
        <f>IF(F98="","",F98*Ayarlar!$B$3+Ayarlar!$B$4+Ayarlar!$B$5)</f>
        <v/>
      </c>
      <c r="H98" s="10">
        <f>IF(F98="","",ROUNDUP(((F98*Ayarlar!$B$3+Ayarlar!$B$4+Ayarlar!$B$5)+Ayarlar!$B$8)/((1-Ayarlar!$B$6)*(1-Ayarlar!$B$7)),0))</f>
        <v/>
      </c>
      <c r="I98" s="10">
        <f>IF(F98="","",ROUNDUP(((F98*Ayarlar!$B$3+Ayarlar!$B$4+Ayarlar!$B$5)+Ayarlar!$B$8)/((1-Ayarlar!$B$6)*(1-Ayarlar!$B$7-Ayarlar!$B$9)),0))</f>
        <v/>
      </c>
      <c r="J98" s="12">
        <f>IF(OR(F98="",E98=""),"",(E98*(1-Ayarlar!$B$6)-(E98*(1-Ayarlar!$B$6)*Ayarlar!$B$7+Ayarlar!$B$8)-(F98*Ayarlar!$B$3+Ayarlar!$B$4+Ayarlar!$B$5))/(E98*(1-Ayarlar!$B$6)))</f>
        <v/>
      </c>
      <c r="K98" s="9">
        <f>IF(F98="","GRAM EKSİK",IF(E98&gt;30000,"FİYAT ŞÜPHELİ",IF(J98&lt;0,"ZARARDA",IF(E98&lt;H98,"RİSKLİ","ok"))))</f>
        <v/>
      </c>
      <c r="L98" s="13" t="inlineStr">
        <is>
          <t>https://www.etsy.com/listing/1615728651</t>
        </is>
      </c>
    </row>
    <row r="99">
      <c r="A99" s="3" t="inlineStr">
        <is>
          <t>legacy</t>
        </is>
      </c>
      <c r="B99" s="3" t="inlineStr">
        <is>
          <t>Solid 14K Yellow Gold Miami Cuban Link Chain Necklace, Heavy</t>
        </is>
      </c>
      <c r="C99" s="3" t="n">
        <v>1615728651</v>
      </c>
      <c r="D99" s="3" t="inlineStr">
        <is>
          <t>CSMC7-16</t>
        </is>
      </c>
      <c r="E99" s="14" t="n">
        <v>8428</v>
      </c>
      <c r="F99" s="11" t="n"/>
      <c r="G99" s="14">
        <f>IF(F99="","",F99*Ayarlar!$B$3+Ayarlar!$B$4+Ayarlar!$B$5)</f>
        <v/>
      </c>
      <c r="H99" s="14">
        <f>IF(F99="","",ROUNDUP(((F99*Ayarlar!$B$3+Ayarlar!$B$4+Ayarlar!$B$5)+Ayarlar!$B$8)/((1-Ayarlar!$B$6)*(1-Ayarlar!$B$7)),0))</f>
        <v/>
      </c>
      <c r="I99" s="14">
        <f>IF(F99="","",ROUNDUP(((F99*Ayarlar!$B$3+Ayarlar!$B$4+Ayarlar!$B$5)+Ayarlar!$B$8)/((1-Ayarlar!$B$6)*(1-Ayarlar!$B$7-Ayarlar!$B$9)),0))</f>
        <v/>
      </c>
      <c r="J99" s="15">
        <f>IF(OR(F99="",E99=""),"",(E99*(1-Ayarlar!$B$6)-(E99*(1-Ayarlar!$B$6)*Ayarlar!$B$7+Ayarlar!$B$8)-(F99*Ayarlar!$B$3+Ayarlar!$B$4+Ayarlar!$B$5))/(E99*(1-Ayarlar!$B$6)))</f>
        <v/>
      </c>
      <c r="K99" s="3">
        <f>IF(F99="","GRAM EKSİK",IF(E99&gt;30000,"FİYAT ŞÜPHELİ",IF(J99&lt;0,"ZARARDA",IF(E99&lt;H99,"RİSKLİ","ok"))))</f>
        <v/>
      </c>
      <c r="L99" s="16" t="inlineStr">
        <is>
          <t>https://www.etsy.com/listing/1615728651</t>
        </is>
      </c>
    </row>
    <row r="100">
      <c r="A100" s="9" t="inlineStr">
        <is>
          <t>legacy</t>
        </is>
      </c>
      <c r="B100" s="9" t="inlineStr">
        <is>
          <t>Solid 14K Yellow Gold Miami Cuban Link Chain Necklace, Heavy</t>
        </is>
      </c>
      <c r="C100" s="9" t="n">
        <v>1615728651</v>
      </c>
      <c r="D100" s="9" t="inlineStr">
        <is>
          <t>CSMC7-18</t>
        </is>
      </c>
      <c r="E100" s="10" t="n">
        <v>9718</v>
      </c>
      <c r="F100" s="11" t="n"/>
      <c r="G100" s="10">
        <f>IF(F100="","",F100*Ayarlar!$B$3+Ayarlar!$B$4+Ayarlar!$B$5)</f>
        <v/>
      </c>
      <c r="H100" s="10">
        <f>IF(F100="","",ROUNDUP(((F100*Ayarlar!$B$3+Ayarlar!$B$4+Ayarlar!$B$5)+Ayarlar!$B$8)/((1-Ayarlar!$B$6)*(1-Ayarlar!$B$7)),0))</f>
        <v/>
      </c>
      <c r="I100" s="10">
        <f>IF(F100="","",ROUNDUP(((F100*Ayarlar!$B$3+Ayarlar!$B$4+Ayarlar!$B$5)+Ayarlar!$B$8)/((1-Ayarlar!$B$6)*(1-Ayarlar!$B$7-Ayarlar!$B$9)),0))</f>
        <v/>
      </c>
      <c r="J100" s="12">
        <f>IF(OR(F100="",E100=""),"",(E100*(1-Ayarlar!$B$6)-(E100*(1-Ayarlar!$B$6)*Ayarlar!$B$7+Ayarlar!$B$8)-(F100*Ayarlar!$B$3+Ayarlar!$B$4+Ayarlar!$B$5))/(E100*(1-Ayarlar!$B$6)))</f>
        <v/>
      </c>
      <c r="K100" s="9">
        <f>IF(F100="","GRAM EKSİK",IF(E100&gt;30000,"FİYAT ŞÜPHELİ",IF(J100&lt;0,"ZARARDA",IF(E100&lt;H100,"RİSKLİ","ok"))))</f>
        <v/>
      </c>
      <c r="L100" s="13" t="inlineStr">
        <is>
          <t>https://www.etsy.com/listing/1615728651</t>
        </is>
      </c>
    </row>
    <row r="101">
      <c r="A101" s="3" t="inlineStr">
        <is>
          <t>legacy</t>
        </is>
      </c>
      <c r="B101" s="3" t="inlineStr">
        <is>
          <t>Solid 14K Yellow Gold Miami Cuban Link Chain Necklace, Heavy</t>
        </is>
      </c>
      <c r="C101" s="3" t="n">
        <v>1615728651</v>
      </c>
      <c r="D101" s="3" t="inlineStr">
        <is>
          <t>CSMC7-20</t>
        </is>
      </c>
      <c r="E101" s="14" t="n">
        <v>10578</v>
      </c>
      <c r="F101" s="11" t="n"/>
      <c r="G101" s="14">
        <f>IF(F101="","",F101*Ayarlar!$B$3+Ayarlar!$B$4+Ayarlar!$B$5)</f>
        <v/>
      </c>
      <c r="H101" s="14">
        <f>IF(F101="","",ROUNDUP(((F101*Ayarlar!$B$3+Ayarlar!$B$4+Ayarlar!$B$5)+Ayarlar!$B$8)/((1-Ayarlar!$B$6)*(1-Ayarlar!$B$7)),0))</f>
        <v/>
      </c>
      <c r="I101" s="14">
        <f>IF(F101="","",ROUNDUP(((F101*Ayarlar!$B$3+Ayarlar!$B$4+Ayarlar!$B$5)+Ayarlar!$B$8)/((1-Ayarlar!$B$6)*(1-Ayarlar!$B$7-Ayarlar!$B$9)),0))</f>
        <v/>
      </c>
      <c r="J101" s="15">
        <f>IF(OR(F101="",E101=""),"",(E101*(1-Ayarlar!$B$6)-(E101*(1-Ayarlar!$B$6)*Ayarlar!$B$7+Ayarlar!$B$8)-(F101*Ayarlar!$B$3+Ayarlar!$B$4+Ayarlar!$B$5))/(E101*(1-Ayarlar!$B$6)))</f>
        <v/>
      </c>
      <c r="K101" s="3">
        <f>IF(F101="","GRAM EKSİK",IF(E101&gt;30000,"FİYAT ŞÜPHELİ",IF(J101&lt;0,"ZARARDA",IF(E101&lt;H101,"RİSKLİ","ok"))))</f>
        <v/>
      </c>
      <c r="L101" s="16" t="inlineStr">
        <is>
          <t>https://www.etsy.com/listing/1615728651</t>
        </is>
      </c>
    </row>
    <row r="102">
      <c r="A102" s="9" t="inlineStr">
        <is>
          <t>legacy</t>
        </is>
      </c>
      <c r="B102" s="9" t="inlineStr">
        <is>
          <t>Solid 14K Yellow Gold Miami Cuban Link Chain Necklace, Heavy</t>
        </is>
      </c>
      <c r="C102" s="9" t="n">
        <v>1615728651</v>
      </c>
      <c r="D102" s="9" t="inlineStr">
        <is>
          <t>CSMC7-22</t>
        </is>
      </c>
      <c r="E102" s="10" t="n">
        <v>11438</v>
      </c>
      <c r="F102" s="11" t="n"/>
      <c r="G102" s="10">
        <f>IF(F102="","",F102*Ayarlar!$B$3+Ayarlar!$B$4+Ayarlar!$B$5)</f>
        <v/>
      </c>
      <c r="H102" s="10">
        <f>IF(F102="","",ROUNDUP(((F102*Ayarlar!$B$3+Ayarlar!$B$4+Ayarlar!$B$5)+Ayarlar!$B$8)/((1-Ayarlar!$B$6)*(1-Ayarlar!$B$7)),0))</f>
        <v/>
      </c>
      <c r="I102" s="10">
        <f>IF(F102="","",ROUNDUP(((F102*Ayarlar!$B$3+Ayarlar!$B$4+Ayarlar!$B$5)+Ayarlar!$B$8)/((1-Ayarlar!$B$6)*(1-Ayarlar!$B$7-Ayarlar!$B$9)),0))</f>
        <v/>
      </c>
      <c r="J102" s="12">
        <f>IF(OR(F102="",E102=""),"",(E102*(1-Ayarlar!$B$6)-(E102*(1-Ayarlar!$B$6)*Ayarlar!$B$7+Ayarlar!$B$8)-(F102*Ayarlar!$B$3+Ayarlar!$B$4+Ayarlar!$B$5))/(E102*(1-Ayarlar!$B$6)))</f>
        <v/>
      </c>
      <c r="K102" s="9">
        <f>IF(F102="","GRAM EKSİK",IF(E102&gt;30000,"FİYAT ŞÜPHELİ",IF(J102&lt;0,"ZARARDA",IF(E102&lt;H102,"RİSKLİ","ok"))))</f>
        <v/>
      </c>
      <c r="L102" s="13" t="inlineStr">
        <is>
          <t>https://www.etsy.com/listing/1615728651</t>
        </is>
      </c>
    </row>
    <row r="103">
      <c r="A103" s="3" t="inlineStr">
        <is>
          <t>legacy</t>
        </is>
      </c>
      <c r="B103" s="3" t="inlineStr">
        <is>
          <t>Solid 14K Yellow Gold Miami Cuban Link Chain Necklace, Heavy</t>
        </is>
      </c>
      <c r="C103" s="3" t="n">
        <v>1615728651</v>
      </c>
      <c r="D103" s="3" t="inlineStr">
        <is>
          <t>CSMC7-24</t>
        </is>
      </c>
      <c r="E103" s="14" t="n">
        <v>12298</v>
      </c>
      <c r="F103" s="11" t="n"/>
      <c r="G103" s="14">
        <f>IF(F103="","",F103*Ayarlar!$B$3+Ayarlar!$B$4+Ayarlar!$B$5)</f>
        <v/>
      </c>
      <c r="H103" s="14">
        <f>IF(F103="","",ROUNDUP(((F103*Ayarlar!$B$3+Ayarlar!$B$4+Ayarlar!$B$5)+Ayarlar!$B$8)/((1-Ayarlar!$B$6)*(1-Ayarlar!$B$7)),0))</f>
        <v/>
      </c>
      <c r="I103" s="14">
        <f>IF(F103="","",ROUNDUP(((F103*Ayarlar!$B$3+Ayarlar!$B$4+Ayarlar!$B$5)+Ayarlar!$B$8)/((1-Ayarlar!$B$6)*(1-Ayarlar!$B$7-Ayarlar!$B$9)),0))</f>
        <v/>
      </c>
      <c r="J103" s="15">
        <f>IF(OR(F103="",E103=""),"",(E103*(1-Ayarlar!$B$6)-(E103*(1-Ayarlar!$B$6)*Ayarlar!$B$7+Ayarlar!$B$8)-(F103*Ayarlar!$B$3+Ayarlar!$B$4+Ayarlar!$B$5))/(E103*(1-Ayarlar!$B$6)))</f>
        <v/>
      </c>
      <c r="K103" s="3">
        <f>IF(F103="","GRAM EKSİK",IF(E103&gt;30000,"FİYAT ŞÜPHELİ",IF(J103&lt;0,"ZARARDA",IF(E103&lt;H103,"RİSKLİ","ok"))))</f>
        <v/>
      </c>
      <c r="L103" s="16" t="inlineStr">
        <is>
          <t>https://www.etsy.com/listing/1615728651</t>
        </is>
      </c>
    </row>
    <row r="104">
      <c r="A104" s="9" t="inlineStr">
        <is>
          <t>legacy</t>
        </is>
      </c>
      <c r="B104" s="9" t="inlineStr">
        <is>
          <t>Solid 14K Yellow Gold Miami Cuban Link Chain Necklace, Heavy</t>
        </is>
      </c>
      <c r="C104" s="9" t="n">
        <v>1615728651</v>
      </c>
      <c r="D104" s="9" t="inlineStr">
        <is>
          <t>CSMC8-16</t>
        </is>
      </c>
      <c r="E104" s="10" t="n">
        <v>13674</v>
      </c>
      <c r="F104" s="11" t="n"/>
      <c r="G104" s="10">
        <f>IF(F104="","",F104*Ayarlar!$B$3+Ayarlar!$B$4+Ayarlar!$B$5)</f>
        <v/>
      </c>
      <c r="H104" s="10">
        <f>IF(F104="","",ROUNDUP(((F104*Ayarlar!$B$3+Ayarlar!$B$4+Ayarlar!$B$5)+Ayarlar!$B$8)/((1-Ayarlar!$B$6)*(1-Ayarlar!$B$7)),0))</f>
        <v/>
      </c>
      <c r="I104" s="10">
        <f>IF(F104="","",ROUNDUP(((F104*Ayarlar!$B$3+Ayarlar!$B$4+Ayarlar!$B$5)+Ayarlar!$B$8)/((1-Ayarlar!$B$6)*(1-Ayarlar!$B$7-Ayarlar!$B$9)),0))</f>
        <v/>
      </c>
      <c r="J104" s="12">
        <f>IF(OR(F104="",E104=""),"",(E104*(1-Ayarlar!$B$6)-(E104*(1-Ayarlar!$B$6)*Ayarlar!$B$7+Ayarlar!$B$8)-(F104*Ayarlar!$B$3+Ayarlar!$B$4+Ayarlar!$B$5))/(E104*(1-Ayarlar!$B$6)))</f>
        <v/>
      </c>
      <c r="K104" s="9">
        <f>IF(F104="","GRAM EKSİK",IF(E104&gt;30000,"FİYAT ŞÜPHELİ",IF(J104&lt;0,"ZARARDA",IF(E104&lt;H104,"RİSKLİ","ok"))))</f>
        <v/>
      </c>
      <c r="L104" s="13" t="inlineStr">
        <is>
          <t>https://www.etsy.com/listing/1615728651</t>
        </is>
      </c>
    </row>
    <row r="105">
      <c r="A105" s="3" t="inlineStr">
        <is>
          <t>legacy</t>
        </is>
      </c>
      <c r="B105" s="3" t="inlineStr">
        <is>
          <t>Solid 14K Yellow Gold Miami Cuban Link Chain Necklace, Heavy</t>
        </is>
      </c>
      <c r="C105" s="3" t="n">
        <v>1615728651</v>
      </c>
      <c r="D105" s="3" t="inlineStr">
        <is>
          <t>CSMC8-18</t>
        </is>
      </c>
      <c r="E105" s="14" t="n">
        <v>14964</v>
      </c>
      <c r="F105" s="11" t="n"/>
      <c r="G105" s="14">
        <f>IF(F105="","",F105*Ayarlar!$B$3+Ayarlar!$B$4+Ayarlar!$B$5)</f>
        <v/>
      </c>
      <c r="H105" s="14">
        <f>IF(F105="","",ROUNDUP(((F105*Ayarlar!$B$3+Ayarlar!$B$4+Ayarlar!$B$5)+Ayarlar!$B$8)/((1-Ayarlar!$B$6)*(1-Ayarlar!$B$7)),0))</f>
        <v/>
      </c>
      <c r="I105" s="14">
        <f>IF(F105="","",ROUNDUP(((F105*Ayarlar!$B$3+Ayarlar!$B$4+Ayarlar!$B$5)+Ayarlar!$B$8)/((1-Ayarlar!$B$6)*(1-Ayarlar!$B$7-Ayarlar!$B$9)),0))</f>
        <v/>
      </c>
      <c r="J105" s="15">
        <f>IF(OR(F105="",E105=""),"",(E105*(1-Ayarlar!$B$6)-(E105*(1-Ayarlar!$B$6)*Ayarlar!$B$7+Ayarlar!$B$8)-(F105*Ayarlar!$B$3+Ayarlar!$B$4+Ayarlar!$B$5))/(E105*(1-Ayarlar!$B$6)))</f>
        <v/>
      </c>
      <c r="K105" s="3">
        <f>IF(F105="","GRAM EKSİK",IF(E105&gt;30000,"FİYAT ŞÜPHELİ",IF(J105&lt;0,"ZARARDA",IF(E105&lt;H105,"RİSKLİ","ok"))))</f>
        <v/>
      </c>
      <c r="L105" s="16" t="inlineStr">
        <is>
          <t>https://www.etsy.com/listing/1615728651</t>
        </is>
      </c>
    </row>
    <row r="106">
      <c r="A106" s="9" t="inlineStr">
        <is>
          <t>legacy</t>
        </is>
      </c>
      <c r="B106" s="9" t="inlineStr">
        <is>
          <t>Solid 14K Yellow Gold Miami Cuban Link Chain Necklace, Heavy</t>
        </is>
      </c>
      <c r="C106" s="9" t="n">
        <v>1615728651</v>
      </c>
      <c r="D106" s="9" t="inlineStr">
        <is>
          <t>CSMC8-20</t>
        </is>
      </c>
      <c r="E106" s="10" t="n">
        <v>16254</v>
      </c>
      <c r="F106" s="11" t="n"/>
      <c r="G106" s="10">
        <f>IF(F106="","",F106*Ayarlar!$B$3+Ayarlar!$B$4+Ayarlar!$B$5)</f>
        <v/>
      </c>
      <c r="H106" s="10">
        <f>IF(F106="","",ROUNDUP(((F106*Ayarlar!$B$3+Ayarlar!$B$4+Ayarlar!$B$5)+Ayarlar!$B$8)/((1-Ayarlar!$B$6)*(1-Ayarlar!$B$7)),0))</f>
        <v/>
      </c>
      <c r="I106" s="10">
        <f>IF(F106="","",ROUNDUP(((F106*Ayarlar!$B$3+Ayarlar!$B$4+Ayarlar!$B$5)+Ayarlar!$B$8)/((1-Ayarlar!$B$6)*(1-Ayarlar!$B$7-Ayarlar!$B$9)),0))</f>
        <v/>
      </c>
      <c r="J106" s="12">
        <f>IF(OR(F106="",E106=""),"",(E106*(1-Ayarlar!$B$6)-(E106*(1-Ayarlar!$B$6)*Ayarlar!$B$7+Ayarlar!$B$8)-(F106*Ayarlar!$B$3+Ayarlar!$B$4+Ayarlar!$B$5))/(E106*(1-Ayarlar!$B$6)))</f>
        <v/>
      </c>
      <c r="K106" s="9">
        <f>IF(F106="","GRAM EKSİK",IF(E106&gt;30000,"FİYAT ŞÜPHELİ",IF(J106&lt;0,"ZARARDA",IF(E106&lt;H106,"RİSKLİ","ok"))))</f>
        <v/>
      </c>
      <c r="L106" s="13" t="inlineStr">
        <is>
          <t>https://www.etsy.com/listing/1615728651</t>
        </is>
      </c>
    </row>
    <row r="107">
      <c r="A107" s="3" t="inlineStr">
        <is>
          <t>legacy</t>
        </is>
      </c>
      <c r="B107" s="3" t="inlineStr">
        <is>
          <t>Solid 14K Yellow Gold Miami Cuban Link Chain Necklace, Heavy</t>
        </is>
      </c>
      <c r="C107" s="3" t="n">
        <v>1615728651</v>
      </c>
      <c r="D107" s="3" t="inlineStr">
        <is>
          <t>CSMC8-22</t>
        </is>
      </c>
      <c r="E107" s="14" t="n">
        <v>17544</v>
      </c>
      <c r="F107" s="11" t="n"/>
      <c r="G107" s="14">
        <f>IF(F107="","",F107*Ayarlar!$B$3+Ayarlar!$B$4+Ayarlar!$B$5)</f>
        <v/>
      </c>
      <c r="H107" s="14">
        <f>IF(F107="","",ROUNDUP(((F107*Ayarlar!$B$3+Ayarlar!$B$4+Ayarlar!$B$5)+Ayarlar!$B$8)/((1-Ayarlar!$B$6)*(1-Ayarlar!$B$7)),0))</f>
        <v/>
      </c>
      <c r="I107" s="14">
        <f>IF(F107="","",ROUNDUP(((F107*Ayarlar!$B$3+Ayarlar!$B$4+Ayarlar!$B$5)+Ayarlar!$B$8)/((1-Ayarlar!$B$6)*(1-Ayarlar!$B$7-Ayarlar!$B$9)),0))</f>
        <v/>
      </c>
      <c r="J107" s="15">
        <f>IF(OR(F107="",E107=""),"",(E107*(1-Ayarlar!$B$6)-(E107*(1-Ayarlar!$B$6)*Ayarlar!$B$7+Ayarlar!$B$8)-(F107*Ayarlar!$B$3+Ayarlar!$B$4+Ayarlar!$B$5))/(E107*(1-Ayarlar!$B$6)))</f>
        <v/>
      </c>
      <c r="K107" s="3">
        <f>IF(F107="","GRAM EKSİK",IF(E107&gt;30000,"FİYAT ŞÜPHELİ",IF(J107&lt;0,"ZARARDA",IF(E107&lt;H107,"RİSKLİ","ok"))))</f>
        <v/>
      </c>
      <c r="L107" s="16" t="inlineStr">
        <is>
          <t>https://www.etsy.com/listing/1615728651</t>
        </is>
      </c>
    </row>
    <row r="108">
      <c r="A108" s="9" t="inlineStr">
        <is>
          <t>legacy</t>
        </is>
      </c>
      <c r="B108" s="9" t="inlineStr">
        <is>
          <t>Solid 14K Yellow Gold Miami Cuban Link Chain Necklace, Heavy</t>
        </is>
      </c>
      <c r="C108" s="9" t="n">
        <v>1615728651</v>
      </c>
      <c r="D108" s="9" t="inlineStr">
        <is>
          <t>CSMC8-24</t>
        </is>
      </c>
      <c r="E108" s="10" t="n">
        <v>18834</v>
      </c>
      <c r="F108" s="11" t="n"/>
      <c r="G108" s="10">
        <f>IF(F108="","",F108*Ayarlar!$B$3+Ayarlar!$B$4+Ayarlar!$B$5)</f>
        <v/>
      </c>
      <c r="H108" s="10">
        <f>IF(F108="","",ROUNDUP(((F108*Ayarlar!$B$3+Ayarlar!$B$4+Ayarlar!$B$5)+Ayarlar!$B$8)/((1-Ayarlar!$B$6)*(1-Ayarlar!$B$7)),0))</f>
        <v/>
      </c>
      <c r="I108" s="10">
        <f>IF(F108="","",ROUNDUP(((F108*Ayarlar!$B$3+Ayarlar!$B$4+Ayarlar!$B$5)+Ayarlar!$B$8)/((1-Ayarlar!$B$6)*(1-Ayarlar!$B$7-Ayarlar!$B$9)),0))</f>
        <v/>
      </c>
      <c r="J108" s="12">
        <f>IF(OR(F108="",E108=""),"",(E108*(1-Ayarlar!$B$6)-(E108*(1-Ayarlar!$B$6)*Ayarlar!$B$7+Ayarlar!$B$8)-(F108*Ayarlar!$B$3+Ayarlar!$B$4+Ayarlar!$B$5))/(E108*(1-Ayarlar!$B$6)))</f>
        <v/>
      </c>
      <c r="K108" s="9">
        <f>IF(F108="","GRAM EKSİK",IF(E108&gt;30000,"FİYAT ŞÜPHELİ",IF(J108&lt;0,"ZARARDA",IF(E108&lt;H108,"RİSKLİ","ok"))))</f>
        <v/>
      </c>
      <c r="L108" s="13" t="inlineStr">
        <is>
          <t>https://www.etsy.com/listing/1615728651</t>
        </is>
      </c>
    </row>
    <row r="109">
      <c r="A109" s="3" t="inlineStr">
        <is>
          <t>legacy</t>
        </is>
      </c>
      <c r="B109" s="3" t="inlineStr">
        <is>
          <t>Solid 14K Yellow Gold Miami Cuban Link Chain Necklace, Heavy</t>
        </is>
      </c>
      <c r="C109" s="3" t="n">
        <v>1615728651</v>
      </c>
      <c r="D109" s="3" t="inlineStr">
        <is>
          <t>CSMC9-16</t>
        </is>
      </c>
      <c r="E109" s="14" t="n">
        <v>18920</v>
      </c>
      <c r="F109" s="11" t="n"/>
      <c r="G109" s="14">
        <f>IF(F109="","",F109*Ayarlar!$B$3+Ayarlar!$B$4+Ayarlar!$B$5)</f>
        <v/>
      </c>
      <c r="H109" s="14">
        <f>IF(F109="","",ROUNDUP(((F109*Ayarlar!$B$3+Ayarlar!$B$4+Ayarlar!$B$5)+Ayarlar!$B$8)/((1-Ayarlar!$B$6)*(1-Ayarlar!$B$7)),0))</f>
        <v/>
      </c>
      <c r="I109" s="14">
        <f>IF(F109="","",ROUNDUP(((F109*Ayarlar!$B$3+Ayarlar!$B$4+Ayarlar!$B$5)+Ayarlar!$B$8)/((1-Ayarlar!$B$6)*(1-Ayarlar!$B$7-Ayarlar!$B$9)),0))</f>
        <v/>
      </c>
      <c r="J109" s="15">
        <f>IF(OR(F109="",E109=""),"",(E109*(1-Ayarlar!$B$6)-(E109*(1-Ayarlar!$B$6)*Ayarlar!$B$7+Ayarlar!$B$8)-(F109*Ayarlar!$B$3+Ayarlar!$B$4+Ayarlar!$B$5))/(E109*(1-Ayarlar!$B$6)))</f>
        <v/>
      </c>
      <c r="K109" s="3">
        <f>IF(F109="","GRAM EKSİK",IF(E109&gt;30000,"FİYAT ŞÜPHELİ",IF(J109&lt;0,"ZARARDA",IF(E109&lt;H109,"RİSKLİ","ok"))))</f>
        <v/>
      </c>
      <c r="L109" s="16" t="inlineStr">
        <is>
          <t>https://www.etsy.com/listing/1615728651</t>
        </is>
      </c>
    </row>
    <row r="110">
      <c r="A110" s="9" t="inlineStr">
        <is>
          <t>legacy</t>
        </is>
      </c>
      <c r="B110" s="9" t="inlineStr">
        <is>
          <t>Solid 14K Yellow Gold Miami Cuban Link Chain Necklace, Heavy</t>
        </is>
      </c>
      <c r="C110" s="9" t="n">
        <v>1615728651</v>
      </c>
      <c r="D110" s="9" t="inlineStr">
        <is>
          <t>CSMC9-18</t>
        </is>
      </c>
      <c r="E110" s="10" t="n">
        <v>19780</v>
      </c>
      <c r="F110" s="11" t="n"/>
      <c r="G110" s="10">
        <f>IF(F110="","",F110*Ayarlar!$B$3+Ayarlar!$B$4+Ayarlar!$B$5)</f>
        <v/>
      </c>
      <c r="H110" s="10">
        <f>IF(F110="","",ROUNDUP(((F110*Ayarlar!$B$3+Ayarlar!$B$4+Ayarlar!$B$5)+Ayarlar!$B$8)/((1-Ayarlar!$B$6)*(1-Ayarlar!$B$7)),0))</f>
        <v/>
      </c>
      <c r="I110" s="10">
        <f>IF(F110="","",ROUNDUP(((F110*Ayarlar!$B$3+Ayarlar!$B$4+Ayarlar!$B$5)+Ayarlar!$B$8)/((1-Ayarlar!$B$6)*(1-Ayarlar!$B$7-Ayarlar!$B$9)),0))</f>
        <v/>
      </c>
      <c r="J110" s="12">
        <f>IF(OR(F110="",E110=""),"",(E110*(1-Ayarlar!$B$6)-(E110*(1-Ayarlar!$B$6)*Ayarlar!$B$7+Ayarlar!$B$8)-(F110*Ayarlar!$B$3+Ayarlar!$B$4+Ayarlar!$B$5))/(E110*(1-Ayarlar!$B$6)))</f>
        <v/>
      </c>
      <c r="K110" s="9">
        <f>IF(F110="","GRAM EKSİK",IF(E110&gt;30000,"FİYAT ŞÜPHELİ",IF(J110&lt;0,"ZARARDA",IF(E110&lt;H110,"RİSKLİ","ok"))))</f>
        <v/>
      </c>
      <c r="L110" s="13" t="inlineStr">
        <is>
          <t>https://www.etsy.com/listing/1615728651</t>
        </is>
      </c>
    </row>
    <row r="111">
      <c r="A111" s="3" t="inlineStr">
        <is>
          <t>legacy</t>
        </is>
      </c>
      <c r="B111" s="3" t="inlineStr">
        <is>
          <t>Solid 14K Yellow Gold Miami Cuban Link Chain Necklace, Heavy</t>
        </is>
      </c>
      <c r="C111" s="3" t="n">
        <v>1615728651</v>
      </c>
      <c r="D111" s="3" t="inlineStr">
        <is>
          <t>CSMC9-20</t>
        </is>
      </c>
      <c r="E111" s="14" t="n">
        <v>20640</v>
      </c>
      <c r="F111" s="11" t="n"/>
      <c r="G111" s="14">
        <f>IF(F111="","",F111*Ayarlar!$B$3+Ayarlar!$B$4+Ayarlar!$B$5)</f>
        <v/>
      </c>
      <c r="H111" s="14">
        <f>IF(F111="","",ROUNDUP(((F111*Ayarlar!$B$3+Ayarlar!$B$4+Ayarlar!$B$5)+Ayarlar!$B$8)/((1-Ayarlar!$B$6)*(1-Ayarlar!$B$7)),0))</f>
        <v/>
      </c>
      <c r="I111" s="14">
        <f>IF(F111="","",ROUNDUP(((F111*Ayarlar!$B$3+Ayarlar!$B$4+Ayarlar!$B$5)+Ayarlar!$B$8)/((1-Ayarlar!$B$6)*(1-Ayarlar!$B$7-Ayarlar!$B$9)),0))</f>
        <v/>
      </c>
      <c r="J111" s="15">
        <f>IF(OR(F111="",E111=""),"",(E111*(1-Ayarlar!$B$6)-(E111*(1-Ayarlar!$B$6)*Ayarlar!$B$7+Ayarlar!$B$8)-(F111*Ayarlar!$B$3+Ayarlar!$B$4+Ayarlar!$B$5))/(E111*(1-Ayarlar!$B$6)))</f>
        <v/>
      </c>
      <c r="K111" s="3">
        <f>IF(F111="","GRAM EKSİK",IF(E111&gt;30000,"FİYAT ŞÜPHELİ",IF(J111&lt;0,"ZARARDA",IF(E111&lt;H111,"RİSKLİ","ok"))))</f>
        <v/>
      </c>
      <c r="L111" s="16" t="inlineStr">
        <is>
          <t>https://www.etsy.com/listing/1615728651</t>
        </is>
      </c>
    </row>
    <row r="112">
      <c r="A112" s="9" t="inlineStr">
        <is>
          <t>legacy</t>
        </is>
      </c>
      <c r="B112" s="9" t="inlineStr">
        <is>
          <t>Solid 14K Yellow Gold Miami Cuban Link Chain Necklace, Heavy</t>
        </is>
      </c>
      <c r="C112" s="9" t="n">
        <v>1615728651</v>
      </c>
      <c r="D112" s="9" t="inlineStr">
        <is>
          <t>CSMC9-22</t>
        </is>
      </c>
      <c r="E112" s="10" t="n">
        <v>21500</v>
      </c>
      <c r="F112" s="11" t="n"/>
      <c r="G112" s="10">
        <f>IF(F112="","",F112*Ayarlar!$B$3+Ayarlar!$B$4+Ayarlar!$B$5)</f>
        <v/>
      </c>
      <c r="H112" s="10">
        <f>IF(F112="","",ROUNDUP(((F112*Ayarlar!$B$3+Ayarlar!$B$4+Ayarlar!$B$5)+Ayarlar!$B$8)/((1-Ayarlar!$B$6)*(1-Ayarlar!$B$7)),0))</f>
        <v/>
      </c>
      <c r="I112" s="10">
        <f>IF(F112="","",ROUNDUP(((F112*Ayarlar!$B$3+Ayarlar!$B$4+Ayarlar!$B$5)+Ayarlar!$B$8)/((1-Ayarlar!$B$6)*(1-Ayarlar!$B$7-Ayarlar!$B$9)),0))</f>
        <v/>
      </c>
      <c r="J112" s="12">
        <f>IF(OR(F112="",E112=""),"",(E112*(1-Ayarlar!$B$6)-(E112*(1-Ayarlar!$B$6)*Ayarlar!$B$7+Ayarlar!$B$8)-(F112*Ayarlar!$B$3+Ayarlar!$B$4+Ayarlar!$B$5))/(E112*(1-Ayarlar!$B$6)))</f>
        <v/>
      </c>
      <c r="K112" s="9">
        <f>IF(F112="","GRAM EKSİK",IF(E112&gt;30000,"FİYAT ŞÜPHELİ",IF(J112&lt;0,"ZARARDA",IF(E112&lt;H112,"RİSKLİ","ok"))))</f>
        <v/>
      </c>
      <c r="L112" s="13" t="inlineStr">
        <is>
          <t>https://www.etsy.com/listing/1615728651</t>
        </is>
      </c>
    </row>
    <row r="113">
      <c r="A113" s="3" t="inlineStr">
        <is>
          <t>legacy</t>
        </is>
      </c>
      <c r="B113" s="3" t="inlineStr">
        <is>
          <t>Solid 14K Yellow Gold Miami Cuban Link Chain Necklace, Heavy</t>
        </is>
      </c>
      <c r="C113" s="3" t="n">
        <v>1615728651</v>
      </c>
      <c r="D113" s="3" t="inlineStr">
        <is>
          <t>CSMC9-24</t>
        </is>
      </c>
      <c r="E113" s="14" t="n">
        <v>39999.99</v>
      </c>
      <c r="F113" s="11" t="n"/>
      <c r="G113" s="14">
        <f>IF(F113="","",F113*Ayarlar!$B$3+Ayarlar!$B$4+Ayarlar!$B$5)</f>
        <v/>
      </c>
      <c r="H113" s="14">
        <f>IF(F113="","",ROUNDUP(((F113*Ayarlar!$B$3+Ayarlar!$B$4+Ayarlar!$B$5)+Ayarlar!$B$8)/((1-Ayarlar!$B$6)*(1-Ayarlar!$B$7)),0))</f>
        <v/>
      </c>
      <c r="I113" s="14">
        <f>IF(F113="","",ROUNDUP(((F113*Ayarlar!$B$3+Ayarlar!$B$4+Ayarlar!$B$5)+Ayarlar!$B$8)/((1-Ayarlar!$B$6)*(1-Ayarlar!$B$7-Ayarlar!$B$9)),0))</f>
        <v/>
      </c>
      <c r="J113" s="15">
        <f>IF(OR(F113="",E113=""),"",(E113*(1-Ayarlar!$B$6)-(E113*(1-Ayarlar!$B$6)*Ayarlar!$B$7+Ayarlar!$B$8)-(F113*Ayarlar!$B$3+Ayarlar!$B$4+Ayarlar!$B$5))/(E113*(1-Ayarlar!$B$6)))</f>
        <v/>
      </c>
      <c r="K113" s="3">
        <f>IF(F113="","GRAM EKSİK",IF(E113&gt;30000,"FİYAT ŞÜPHELİ",IF(J113&lt;0,"ZARARDA",IF(E113&lt;H113,"RİSKLİ","ok"))))</f>
        <v/>
      </c>
      <c r="L113" s="16" t="inlineStr">
        <is>
          <t>https://www.etsy.com/listing/1615728651</t>
        </is>
      </c>
    </row>
    <row r="114">
      <c r="A114" s="9" t="inlineStr">
        <is>
          <t>love</t>
        </is>
      </c>
      <c r="B114" s="9" t="inlineStr">
        <is>
          <t>10K Gold Heart Hoop Earrings / Diamond Cut, Puffed Design</t>
        </is>
      </c>
      <c r="C114" s="9" t="n">
        <v>1232906923</v>
      </c>
      <c r="D114" s="9" t="inlineStr">
        <is>
          <t>E6</t>
        </is>
      </c>
      <c r="E114" s="10" t="n">
        <v>956.74</v>
      </c>
      <c r="F114" s="11" t="n"/>
      <c r="G114" s="10">
        <f>IF(F114="","",F114*Ayarlar!$B$3+Ayarlar!$B$4+Ayarlar!$B$5)</f>
        <v/>
      </c>
      <c r="H114" s="10">
        <f>IF(F114="","",ROUNDUP(((F114*Ayarlar!$B$3+Ayarlar!$B$4+Ayarlar!$B$5)+Ayarlar!$B$8)/((1-Ayarlar!$B$6)*(1-Ayarlar!$B$7)),0))</f>
        <v/>
      </c>
      <c r="I114" s="10">
        <f>IF(F114="","",ROUNDUP(((F114*Ayarlar!$B$3+Ayarlar!$B$4+Ayarlar!$B$5)+Ayarlar!$B$8)/((1-Ayarlar!$B$6)*(1-Ayarlar!$B$7-Ayarlar!$B$9)),0))</f>
        <v/>
      </c>
      <c r="J114" s="12">
        <f>IF(OR(F114="",E114=""),"",(E114*(1-Ayarlar!$B$6)-(E114*(1-Ayarlar!$B$6)*Ayarlar!$B$7+Ayarlar!$B$8)-(F114*Ayarlar!$B$3+Ayarlar!$B$4+Ayarlar!$B$5))/(E114*(1-Ayarlar!$B$6)))</f>
        <v/>
      </c>
      <c r="K114" s="9">
        <f>IF(F114="","GRAM EKSİK",IF(E114&gt;30000,"FİYAT ŞÜPHELİ",IF(J114&lt;0,"ZARARDA",IF(E114&lt;H114,"RİSKLİ","ok"))))</f>
        <v/>
      </c>
      <c r="L114" s="13" t="inlineStr">
        <is>
          <t>https://www.etsy.com/listing/1232906923</t>
        </is>
      </c>
    </row>
    <row r="115">
      <c r="A115" s="3" t="inlineStr">
        <is>
          <t>love</t>
        </is>
      </c>
      <c r="B115" s="3" t="inlineStr">
        <is>
          <t>10K Yellow Gold Graduated Heart Hoop Earrings / Diamond Cut</t>
        </is>
      </c>
      <c r="C115" s="3" t="n">
        <v>1230866961</v>
      </c>
      <c r="D115" s="3" t="inlineStr">
        <is>
          <t>E5-1</t>
        </is>
      </c>
      <c r="E115" s="14" t="n">
        <v>124.98</v>
      </c>
      <c r="F115" s="11" t="n"/>
      <c r="G115" s="14">
        <f>IF(F115="","",F115*Ayarlar!$B$3+Ayarlar!$B$4+Ayarlar!$B$5)</f>
        <v/>
      </c>
      <c r="H115" s="14">
        <f>IF(F115="","",ROUNDUP(((F115*Ayarlar!$B$3+Ayarlar!$B$4+Ayarlar!$B$5)+Ayarlar!$B$8)/((1-Ayarlar!$B$6)*(1-Ayarlar!$B$7)),0))</f>
        <v/>
      </c>
      <c r="I115" s="14">
        <f>IF(F115="","",ROUNDUP(((F115*Ayarlar!$B$3+Ayarlar!$B$4+Ayarlar!$B$5)+Ayarlar!$B$8)/((1-Ayarlar!$B$6)*(1-Ayarlar!$B$7-Ayarlar!$B$9)),0))</f>
        <v/>
      </c>
      <c r="J115" s="15">
        <f>IF(OR(F115="",E115=""),"",(E115*(1-Ayarlar!$B$6)-(E115*(1-Ayarlar!$B$6)*Ayarlar!$B$7+Ayarlar!$B$8)-(F115*Ayarlar!$B$3+Ayarlar!$B$4+Ayarlar!$B$5))/(E115*(1-Ayarlar!$B$6)))</f>
        <v/>
      </c>
      <c r="K115" s="3">
        <f>IF(F115="","GRAM EKSİK",IF(E115&gt;30000,"FİYAT ŞÜPHELİ",IF(J115&lt;0,"ZARARDA",IF(E115&lt;H115,"RİSKLİ","ok"))))</f>
        <v/>
      </c>
      <c r="L115" s="16" t="inlineStr">
        <is>
          <t>https://www.etsy.com/listing/1230866961</t>
        </is>
      </c>
    </row>
    <row r="116">
      <c r="A116" s="9" t="inlineStr">
        <is>
          <t>protection</t>
        </is>
      </c>
      <c r="B116" s="9" t="inlineStr">
        <is>
          <t>10K Gold Italian Horn Cornicello Pendant Necklace / Miami Cu</t>
        </is>
      </c>
      <c r="C116" s="9" t="n">
        <v>1435050061</v>
      </c>
      <c r="D116" s="9" t="inlineStr">
        <is>
          <t>P4-1</t>
        </is>
      </c>
      <c r="E116" s="10" t="n">
        <v>78.34999999999999</v>
      </c>
      <c r="F116" s="11" t="n"/>
      <c r="G116" s="10">
        <f>IF(F116="","",F116*Ayarlar!$B$3+Ayarlar!$B$4+Ayarlar!$B$5)</f>
        <v/>
      </c>
      <c r="H116" s="10">
        <f>IF(F116="","",ROUNDUP(((F116*Ayarlar!$B$3+Ayarlar!$B$4+Ayarlar!$B$5)+Ayarlar!$B$8)/((1-Ayarlar!$B$6)*(1-Ayarlar!$B$7)),0))</f>
        <v/>
      </c>
      <c r="I116" s="10">
        <f>IF(F116="","",ROUNDUP(((F116*Ayarlar!$B$3+Ayarlar!$B$4+Ayarlar!$B$5)+Ayarlar!$B$8)/((1-Ayarlar!$B$6)*(1-Ayarlar!$B$7-Ayarlar!$B$9)),0))</f>
        <v/>
      </c>
      <c r="J116" s="12">
        <f>IF(OR(F116="",E116=""),"",(E116*(1-Ayarlar!$B$6)-(E116*(1-Ayarlar!$B$6)*Ayarlar!$B$7+Ayarlar!$B$8)-(F116*Ayarlar!$B$3+Ayarlar!$B$4+Ayarlar!$B$5))/(E116*(1-Ayarlar!$B$6)))</f>
        <v/>
      </c>
      <c r="K116" s="9">
        <f>IF(F116="","GRAM EKSİK",IF(E116&gt;30000,"FİYAT ŞÜPHELİ",IF(J116&lt;0,"ZARARDA",IF(E116&lt;H116,"RİSKLİ","ok"))))</f>
        <v/>
      </c>
      <c r="L116" s="13" t="inlineStr">
        <is>
          <t>https://www.etsy.com/listing/1435050061</t>
        </is>
      </c>
    </row>
    <row r="117">
      <c r="A117" s="3" t="inlineStr">
        <is>
          <t>protection</t>
        </is>
      </c>
      <c r="B117" s="3" t="inlineStr">
        <is>
          <t>10K Gold Italian Horn Cornicello Pendant Necklace / Miami Cu</t>
        </is>
      </c>
      <c r="C117" s="3" t="n">
        <v>1435050061</v>
      </c>
      <c r="D117" s="3" t="inlineStr">
        <is>
          <t>P4-1.5</t>
        </is>
      </c>
      <c r="E117" s="14" t="n">
        <v>101.86</v>
      </c>
      <c r="F117" s="11" t="n"/>
      <c r="G117" s="14">
        <f>IF(F117="","",F117*Ayarlar!$B$3+Ayarlar!$B$4+Ayarlar!$B$5)</f>
        <v/>
      </c>
      <c r="H117" s="14">
        <f>IF(F117="","",ROUNDUP(((F117*Ayarlar!$B$3+Ayarlar!$B$4+Ayarlar!$B$5)+Ayarlar!$B$8)/((1-Ayarlar!$B$6)*(1-Ayarlar!$B$7)),0))</f>
        <v/>
      </c>
      <c r="I117" s="14">
        <f>IF(F117="","",ROUNDUP(((F117*Ayarlar!$B$3+Ayarlar!$B$4+Ayarlar!$B$5)+Ayarlar!$B$8)/((1-Ayarlar!$B$6)*(1-Ayarlar!$B$7-Ayarlar!$B$9)),0))</f>
        <v/>
      </c>
      <c r="J117" s="15">
        <f>IF(OR(F117="",E117=""),"",(E117*(1-Ayarlar!$B$6)-(E117*(1-Ayarlar!$B$6)*Ayarlar!$B$7+Ayarlar!$B$8)-(F117*Ayarlar!$B$3+Ayarlar!$B$4+Ayarlar!$B$5))/(E117*(1-Ayarlar!$B$6)))</f>
        <v/>
      </c>
      <c r="K117" s="3">
        <f>IF(F117="","GRAM EKSİK",IF(E117&gt;30000,"FİYAT ŞÜPHELİ",IF(J117&lt;0,"ZARARDA",IF(E117&lt;H117,"RİSKLİ","ok"))))</f>
        <v/>
      </c>
      <c r="L117" s="16" t="inlineStr">
        <is>
          <t>https://www.etsy.com/listing/1435050061</t>
        </is>
      </c>
    </row>
    <row r="118">
      <c r="A118" s="9" t="inlineStr">
        <is>
          <t>protection</t>
        </is>
      </c>
      <c r="B118" s="9" t="inlineStr">
        <is>
          <t>10K Gold Italian Horn Cornicello Pendant Necklace / Miami Cu</t>
        </is>
      </c>
      <c r="C118" s="9" t="n">
        <v>1435050061</v>
      </c>
      <c r="D118" s="9" t="inlineStr">
        <is>
          <t>P4-2</t>
        </is>
      </c>
      <c r="E118" s="10" t="n">
        <v>180.23</v>
      </c>
      <c r="F118" s="11" t="n"/>
      <c r="G118" s="10">
        <f>IF(F118="","",F118*Ayarlar!$B$3+Ayarlar!$B$4+Ayarlar!$B$5)</f>
        <v/>
      </c>
      <c r="H118" s="10">
        <f>IF(F118="","",ROUNDUP(((F118*Ayarlar!$B$3+Ayarlar!$B$4+Ayarlar!$B$5)+Ayarlar!$B$8)/((1-Ayarlar!$B$6)*(1-Ayarlar!$B$7)),0))</f>
        <v/>
      </c>
      <c r="I118" s="10">
        <f>IF(F118="","",ROUNDUP(((F118*Ayarlar!$B$3+Ayarlar!$B$4+Ayarlar!$B$5)+Ayarlar!$B$8)/((1-Ayarlar!$B$6)*(1-Ayarlar!$B$7-Ayarlar!$B$9)),0))</f>
        <v/>
      </c>
      <c r="J118" s="12">
        <f>IF(OR(F118="",E118=""),"",(E118*(1-Ayarlar!$B$6)-(E118*(1-Ayarlar!$B$6)*Ayarlar!$B$7+Ayarlar!$B$8)-(F118*Ayarlar!$B$3+Ayarlar!$B$4+Ayarlar!$B$5))/(E118*(1-Ayarlar!$B$6)))</f>
        <v/>
      </c>
      <c r="K118" s="9">
        <f>IF(F118="","GRAM EKSİK",IF(E118&gt;30000,"FİYAT ŞÜPHELİ",IF(J118&lt;0,"ZARARDA",IF(E118&lt;H118,"RİSKLİ","ok"))))</f>
        <v/>
      </c>
      <c r="L118" s="13" t="inlineStr">
        <is>
          <t>https://www.etsy.com/listing/1435050061</t>
        </is>
      </c>
    </row>
    <row r="119">
      <c r="A119" s="3" t="inlineStr">
        <is>
          <t>protection</t>
        </is>
      </c>
      <c r="B119" s="3" t="inlineStr">
        <is>
          <t>14K Gold Cornicello Necklace, Miami Cuban Chain, Italian Hor</t>
        </is>
      </c>
      <c r="C119" s="3" t="n">
        <v>1537611621</v>
      </c>
      <c r="D119" s="3" t="inlineStr">
        <is>
          <t>PHR-1</t>
        </is>
      </c>
      <c r="E119" s="14" t="n">
        <v>116.1</v>
      </c>
      <c r="F119" s="11" t="n"/>
      <c r="G119" s="14">
        <f>IF(F119="","",F119*Ayarlar!$B$3+Ayarlar!$B$4+Ayarlar!$B$5)</f>
        <v/>
      </c>
      <c r="H119" s="14">
        <f>IF(F119="","",ROUNDUP(((F119*Ayarlar!$B$3+Ayarlar!$B$4+Ayarlar!$B$5)+Ayarlar!$B$8)/((1-Ayarlar!$B$6)*(1-Ayarlar!$B$7)),0))</f>
        <v/>
      </c>
      <c r="I119" s="14">
        <f>IF(F119="","",ROUNDUP(((F119*Ayarlar!$B$3+Ayarlar!$B$4+Ayarlar!$B$5)+Ayarlar!$B$8)/((1-Ayarlar!$B$6)*(1-Ayarlar!$B$7-Ayarlar!$B$9)),0))</f>
        <v/>
      </c>
      <c r="J119" s="15">
        <f>IF(OR(F119="",E119=""),"",(E119*(1-Ayarlar!$B$6)-(E119*(1-Ayarlar!$B$6)*Ayarlar!$B$7+Ayarlar!$B$8)-(F119*Ayarlar!$B$3+Ayarlar!$B$4+Ayarlar!$B$5))/(E119*(1-Ayarlar!$B$6)))</f>
        <v/>
      </c>
      <c r="K119" s="3">
        <f>IF(F119="","GRAM EKSİK",IF(E119&gt;30000,"FİYAT ŞÜPHELİ",IF(J119&lt;0,"ZARARDA",IF(E119&lt;H119,"RİSKLİ","ok"))))</f>
        <v/>
      </c>
      <c r="L119" s="16" t="inlineStr">
        <is>
          <t>https://www.etsy.com/listing/1537611621</t>
        </is>
      </c>
    </row>
    <row r="120">
      <c r="A120" s="9" t="inlineStr">
        <is>
          <t>protection</t>
        </is>
      </c>
      <c r="B120" s="9" t="inlineStr">
        <is>
          <t>14K Gold Cornicello Necklace, Miami Cuban Chain, Italian Hor</t>
        </is>
      </c>
      <c r="C120" s="9" t="n">
        <v>1537611621</v>
      </c>
      <c r="D120" s="9" t="inlineStr">
        <is>
          <t>PHR-2</t>
        </is>
      </c>
      <c r="E120" s="10" t="n">
        <v>162.54</v>
      </c>
      <c r="F120" s="11" t="n"/>
      <c r="G120" s="10">
        <f>IF(F120="","",F120*Ayarlar!$B$3+Ayarlar!$B$4+Ayarlar!$B$5)</f>
        <v/>
      </c>
      <c r="H120" s="10">
        <f>IF(F120="","",ROUNDUP(((F120*Ayarlar!$B$3+Ayarlar!$B$4+Ayarlar!$B$5)+Ayarlar!$B$8)/((1-Ayarlar!$B$6)*(1-Ayarlar!$B$7)),0))</f>
        <v/>
      </c>
      <c r="I120" s="10">
        <f>IF(F120="","",ROUNDUP(((F120*Ayarlar!$B$3+Ayarlar!$B$4+Ayarlar!$B$5)+Ayarlar!$B$8)/((1-Ayarlar!$B$6)*(1-Ayarlar!$B$7-Ayarlar!$B$9)),0))</f>
        <v/>
      </c>
      <c r="J120" s="12">
        <f>IF(OR(F120="",E120=""),"",(E120*(1-Ayarlar!$B$6)-(E120*(1-Ayarlar!$B$6)*Ayarlar!$B$7+Ayarlar!$B$8)-(F120*Ayarlar!$B$3+Ayarlar!$B$4+Ayarlar!$B$5))/(E120*(1-Ayarlar!$B$6)))</f>
        <v/>
      </c>
      <c r="K120" s="9">
        <f>IF(F120="","GRAM EKSİK",IF(E120&gt;30000,"FİYAT ŞÜPHELİ",IF(J120&lt;0,"ZARARDA",IF(E120&lt;H120,"RİSKLİ","ok"))))</f>
        <v/>
      </c>
      <c r="L120" s="13" t="inlineStr">
        <is>
          <t>https://www.etsy.com/listing/1537611621</t>
        </is>
      </c>
    </row>
    <row r="121">
      <c r="A121" s="3" t="inlineStr">
        <is>
          <t>protection</t>
        </is>
      </c>
      <c r="B121" s="3" t="inlineStr">
        <is>
          <t>14K Gold Teddy Bear CZ Pendant Necklace, Miami Cuban Chain</t>
        </is>
      </c>
      <c r="C121" s="3" t="n">
        <v>1595078873</v>
      </c>
      <c r="D121" s="3" t="inlineStr">
        <is>
          <t>PBEAR-1</t>
        </is>
      </c>
      <c r="E121" s="14" t="n">
        <v>211.76</v>
      </c>
      <c r="F121" s="11" t="n"/>
      <c r="G121" s="14">
        <f>IF(F121="","",F121*Ayarlar!$B$3+Ayarlar!$B$4+Ayarlar!$B$5)</f>
        <v/>
      </c>
      <c r="H121" s="14">
        <f>IF(F121="","",ROUNDUP(((F121*Ayarlar!$B$3+Ayarlar!$B$4+Ayarlar!$B$5)+Ayarlar!$B$8)/((1-Ayarlar!$B$6)*(1-Ayarlar!$B$7)),0))</f>
        <v/>
      </c>
      <c r="I121" s="14">
        <f>IF(F121="","",ROUNDUP(((F121*Ayarlar!$B$3+Ayarlar!$B$4+Ayarlar!$B$5)+Ayarlar!$B$8)/((1-Ayarlar!$B$6)*(1-Ayarlar!$B$7-Ayarlar!$B$9)),0))</f>
        <v/>
      </c>
      <c r="J121" s="15">
        <f>IF(OR(F121="",E121=""),"",(E121*(1-Ayarlar!$B$6)-(E121*(1-Ayarlar!$B$6)*Ayarlar!$B$7+Ayarlar!$B$8)-(F121*Ayarlar!$B$3+Ayarlar!$B$4+Ayarlar!$B$5))/(E121*(1-Ayarlar!$B$6)))</f>
        <v/>
      </c>
      <c r="K121" s="3">
        <f>IF(F121="","GRAM EKSİK",IF(E121&gt;30000,"FİYAT ŞÜPHELİ",IF(J121&lt;0,"ZARARDA",IF(E121&lt;H121,"RİSKLİ","ok"))))</f>
        <v/>
      </c>
      <c r="L121" s="16" t="inlineStr">
        <is>
          <t>https://www.etsy.com/listing/1595078873</t>
        </is>
      </c>
    </row>
    <row r="122">
      <c r="A122" s="9" t="inlineStr">
        <is>
          <t>protection</t>
        </is>
      </c>
      <c r="B122" s="9" t="inlineStr">
        <is>
          <t>14K Gold Teddy Bear CZ Pendant Necklace, Miami Cuban Chain</t>
        </is>
      </c>
      <c r="C122" s="9" t="n">
        <v>1595078873</v>
      </c>
      <c r="D122" s="9" t="inlineStr">
        <is>
          <t>PBEAR-3</t>
        </is>
      </c>
      <c r="E122" s="10" t="n">
        <v>1111.76</v>
      </c>
      <c r="F122" s="11" t="n"/>
      <c r="G122" s="10">
        <f>IF(F122="","",F122*Ayarlar!$B$3+Ayarlar!$B$4+Ayarlar!$B$5)</f>
        <v/>
      </c>
      <c r="H122" s="10">
        <f>IF(F122="","",ROUNDUP(((F122*Ayarlar!$B$3+Ayarlar!$B$4+Ayarlar!$B$5)+Ayarlar!$B$8)/((1-Ayarlar!$B$6)*(1-Ayarlar!$B$7)),0))</f>
        <v/>
      </c>
      <c r="I122" s="10">
        <f>IF(F122="","",ROUNDUP(((F122*Ayarlar!$B$3+Ayarlar!$B$4+Ayarlar!$B$5)+Ayarlar!$B$8)/((1-Ayarlar!$B$6)*(1-Ayarlar!$B$7-Ayarlar!$B$9)),0))</f>
        <v/>
      </c>
      <c r="J122" s="12">
        <f>IF(OR(F122="",E122=""),"",(E122*(1-Ayarlar!$B$6)-(E122*(1-Ayarlar!$B$6)*Ayarlar!$B$7+Ayarlar!$B$8)-(F122*Ayarlar!$B$3+Ayarlar!$B$4+Ayarlar!$B$5))/(E122*(1-Ayarlar!$B$6)))</f>
        <v/>
      </c>
      <c r="K122" s="9">
        <f>IF(F122="","GRAM EKSİK",IF(E122&gt;30000,"FİYAT ŞÜPHELİ",IF(J122&lt;0,"ZARARDA",IF(E122&lt;H122,"RİSKLİ","ok"))))</f>
        <v/>
      </c>
      <c r="L122" s="13" t="inlineStr">
        <is>
          <t>https://www.etsy.com/listing/1595078873</t>
        </is>
      </c>
    </row>
  </sheetData>
  <autoFilter ref="A1:L122"/>
  <conditionalFormatting sqref="K2:K122">
    <cfRule type="cellIs" priority="1" operator="equal" dxfId="0">
      <formula>"ZARARDA"</formula>
    </cfRule>
    <cfRule type="cellIs" priority="2" operator="equal" dxfId="0">
      <formula>"FİYAT ŞÜPHELİ"</formula>
    </cfRule>
    <cfRule type="cellIs" priority="3" operator="equal" dxfId="1">
      <formula>"RİSKLİ"</formula>
    </cfRule>
    <cfRule type="cellIs" priority="4" operator="equal" dxfId="2">
      <formula>"ok"</formula>
    </cfRule>
    <cfRule type="cellIs" priority="5" operator="equal" dxfId="3">
      <formula>"GRAM EKSİK"</formula>
    </cfRule>
  </conditionalFormatting>
  <conditionalFormatting sqref="J2:J122">
    <cfRule type="colorScale" priority="6">
      <colorScale>
        <cfvo type="num" val="-0.3"/>
        <cfvo type="num" val="0.1"/>
        <cfvo type="num" val="0.4"/>
        <color rgb="00F5C6CB"/>
        <color rgb="00F2EFE6"/>
        <color rgb="00CFE3D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9347"/>
    <outlinePr summaryBelow="1" summaryRight="1"/>
    <pageSetUpPr/>
  </sheetPr>
  <dimension ref="A1:M19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  <col width="14" customWidth="1" min="5" max="5"/>
    <col width="11" customWidth="1" min="6" max="6"/>
    <col width="9" customWidth="1" min="7" max="7"/>
    <col width="11" customWidth="1" min="8" max="8"/>
    <col width="12" customWidth="1" min="9" max="9"/>
    <col width="13" customWidth="1" min="10" max="10"/>
    <col width="9" customWidth="1" min="11" max="11"/>
    <col width="15" customWidth="1" min="12" max="12"/>
    <col width="42" customWidth="1" min="13" max="13"/>
  </cols>
  <sheetData>
    <row r="1" ht="30" customHeight="1">
      <c r="A1" s="8" t="inlineStr">
        <is>
          <t>Bölüm</t>
        </is>
      </c>
      <c r="B1" s="8" t="inlineStr">
        <is>
          <t>Listing</t>
        </is>
      </c>
      <c r="C1" s="8" t="inlineStr">
        <is>
          <t>Etsy ID</t>
        </is>
      </c>
      <c r="D1" s="8" t="inlineStr">
        <is>
          <t>SKU</t>
        </is>
      </c>
      <c r="E1" s="8" t="inlineStr">
        <is>
          <t>Gram Kaynağı</t>
        </is>
      </c>
      <c r="F1" s="8" t="inlineStr">
        <is>
          <t>Fiyat $</t>
        </is>
      </c>
      <c r="G1" s="8" t="inlineStr">
        <is>
          <t>GRAM</t>
        </is>
      </c>
      <c r="H1" s="8" t="inlineStr">
        <is>
          <t>Maliyet $</t>
        </is>
      </c>
      <c r="I1" s="8" t="inlineStr">
        <is>
          <t>Breakeven $</t>
        </is>
      </c>
      <c r="J1" s="8" t="inlineStr">
        <is>
          <t>Hedef Fiyat $</t>
        </is>
      </c>
      <c r="K1" s="8" t="inlineStr">
        <is>
          <t>Marj</t>
        </is>
      </c>
      <c r="L1" s="8" t="inlineStr">
        <is>
          <t>Durum</t>
        </is>
      </c>
      <c r="M1" s="8" t="inlineStr">
        <is>
          <t>Etsy Linki</t>
        </is>
      </c>
    </row>
    <row r="2">
      <c r="A2" s="9" t="inlineStr">
        <is>
          <t>chains</t>
        </is>
      </c>
      <c r="B2" s="9" t="inlineStr">
        <is>
          <t>10K Gold Rope Chain Necklace – Twisted Diamond Cut</t>
        </is>
      </c>
      <c r="C2" s="9" t="n">
        <v>1862428966</v>
      </c>
      <c r="D2" s="9" t="inlineStr">
        <is>
          <t>C1862428966</t>
        </is>
      </c>
      <c r="E2" s="9" t="inlineStr">
        <is>
          <t>—</t>
        </is>
      </c>
      <c r="F2" s="10" t="n">
        <v>226.39</v>
      </c>
      <c r="G2" s="11" t="n"/>
      <c r="H2" s="10">
        <f>IF(G2="","",G2*Ayarlar!$B$3+Ayarlar!$B$4+Ayarlar!$B$5)</f>
        <v/>
      </c>
      <c r="I2" s="10">
        <f>IF(G2="","",ROUNDUP(((G2*Ayarlar!$B$3+Ayarlar!$B$4+Ayarlar!$B$5)+Ayarlar!$B$8)/((1-Ayarlar!$B$6)*(1-Ayarlar!$B$7)),0))</f>
        <v/>
      </c>
      <c r="J2" s="10">
        <f>IF(G2="","",ROUNDUP(((G2*Ayarlar!$B$3+Ayarlar!$B$4+Ayarlar!$B$5)+Ayarlar!$B$8)/((1-Ayarlar!$B$6)*(1-Ayarlar!$B$7-Ayarlar!$B$9)),0))</f>
        <v/>
      </c>
      <c r="K2" s="12">
        <f>IF(OR(G2="",F2=""),"",(F2*(1-Ayarlar!$B$6)-(F2*(1-Ayarlar!$B$6)*Ayarlar!$B$7+Ayarlar!$B$8)-(G2*Ayarlar!$B$3+Ayarlar!$B$4+Ayarlar!$B$5))/(F2*(1-Ayarlar!$B$6)))</f>
        <v/>
      </c>
      <c r="L2" s="9">
        <f>IF(G2="","GRAM EKSİK",IF(F2&gt;30000,"FİYAT ŞÜPHELİ",IF(K2&lt;0,"ZARARDA",IF(F2&lt;I2,"RİSKLİ","ok"))))</f>
        <v/>
      </c>
      <c r="M2" s="13" t="inlineStr">
        <is>
          <t>https://www.etsy.com/listing/1862428966</t>
        </is>
      </c>
    </row>
    <row r="3">
      <c r="A3" s="3" t="inlineStr">
        <is>
          <t>chains</t>
        </is>
      </c>
      <c r="B3" s="3" t="inlineStr">
        <is>
          <t>10K Gold Rope Chain Necklace – Twisted Diamond Cut, Men or W</t>
        </is>
      </c>
      <c r="C3" s="3" t="n">
        <v>1849022518</v>
      </c>
      <c r="D3" s="3" t="inlineStr">
        <is>
          <t>CR0P10-20</t>
        </is>
      </c>
      <c r="E3" s="3" t="inlineStr">
        <is>
          <t>description</t>
        </is>
      </c>
      <c r="F3" s="14" t="n">
        <v>3974</v>
      </c>
      <c r="G3" s="17" t="n">
        <v>31.89</v>
      </c>
      <c r="H3" s="14">
        <f>IF(G3="","",G3*Ayarlar!$B$3+Ayarlar!$B$4+Ayarlar!$B$5)</f>
        <v/>
      </c>
      <c r="I3" s="14">
        <f>IF(G3="","",ROUNDUP(((G3*Ayarlar!$B$3+Ayarlar!$B$4+Ayarlar!$B$5)+Ayarlar!$B$8)/((1-Ayarlar!$B$6)*(1-Ayarlar!$B$7)),0))</f>
        <v/>
      </c>
      <c r="J3" s="14">
        <f>IF(G3="","",ROUNDUP(((G3*Ayarlar!$B$3+Ayarlar!$B$4+Ayarlar!$B$5)+Ayarlar!$B$8)/((1-Ayarlar!$B$6)*(1-Ayarlar!$B$7-Ayarlar!$B$9)),0))</f>
        <v/>
      </c>
      <c r="K3" s="15">
        <f>IF(OR(G3="",F3=""),"",(F3*(1-Ayarlar!$B$6)-(F3*(1-Ayarlar!$B$6)*Ayarlar!$B$7+Ayarlar!$B$8)-(G3*Ayarlar!$B$3+Ayarlar!$B$4+Ayarlar!$B$5))/(F3*(1-Ayarlar!$B$6)))</f>
        <v/>
      </c>
      <c r="L3" s="3">
        <f>IF(G3="","GRAM EKSİK",IF(F3&gt;30000,"FİYAT ŞÜPHELİ",IF(K3&lt;0,"ZARARDA",IF(F3&lt;I3,"RİSKLİ","ok"))))</f>
        <v/>
      </c>
      <c r="M3" s="16" t="inlineStr">
        <is>
          <t>https://www.etsy.com/listing/1849022518</t>
        </is>
      </c>
    </row>
    <row r="4">
      <c r="A4" s="9" t="inlineStr">
        <is>
          <t>chains</t>
        </is>
      </c>
      <c r="B4" s="9" t="inlineStr">
        <is>
          <t>10K Gold Rope Chain Necklace – Twisted Diamond Cut, Men or W</t>
        </is>
      </c>
      <c r="C4" s="9" t="n">
        <v>1849022518</v>
      </c>
      <c r="D4" s="9" t="inlineStr">
        <is>
          <t>CR0P10-22</t>
        </is>
      </c>
      <c r="E4" s="9" t="inlineStr">
        <is>
          <t>description</t>
        </is>
      </c>
      <c r="F4" s="10" t="n">
        <v>4248</v>
      </c>
      <c r="G4" s="18" t="n">
        <v>35.08</v>
      </c>
      <c r="H4" s="10">
        <f>IF(G4="","",G4*Ayarlar!$B$3+Ayarlar!$B$4+Ayarlar!$B$5)</f>
        <v/>
      </c>
      <c r="I4" s="10">
        <f>IF(G4="","",ROUNDUP(((G4*Ayarlar!$B$3+Ayarlar!$B$4+Ayarlar!$B$5)+Ayarlar!$B$8)/((1-Ayarlar!$B$6)*(1-Ayarlar!$B$7)),0))</f>
        <v/>
      </c>
      <c r="J4" s="10">
        <f>IF(G4="","",ROUNDUP(((G4*Ayarlar!$B$3+Ayarlar!$B$4+Ayarlar!$B$5)+Ayarlar!$B$8)/((1-Ayarlar!$B$6)*(1-Ayarlar!$B$7-Ayarlar!$B$9)),0))</f>
        <v/>
      </c>
      <c r="K4" s="12">
        <f>IF(OR(G4="",F4=""),"",(F4*(1-Ayarlar!$B$6)-(F4*(1-Ayarlar!$B$6)*Ayarlar!$B$7+Ayarlar!$B$8)-(G4*Ayarlar!$B$3+Ayarlar!$B$4+Ayarlar!$B$5))/(F4*(1-Ayarlar!$B$6)))</f>
        <v/>
      </c>
      <c r="L4" s="9">
        <f>IF(G4="","GRAM EKSİK",IF(F4&gt;30000,"FİYAT ŞÜPHELİ",IF(K4&lt;0,"ZARARDA",IF(F4&lt;I4,"RİSKLİ","ok"))))</f>
        <v/>
      </c>
      <c r="M4" s="13" t="inlineStr">
        <is>
          <t>https://www.etsy.com/listing/1849022518</t>
        </is>
      </c>
    </row>
    <row r="5">
      <c r="A5" s="3" t="inlineStr">
        <is>
          <t>chains</t>
        </is>
      </c>
      <c r="B5" s="3" t="inlineStr">
        <is>
          <t>10K Gold Rope Chain Necklace – Twisted Diamond Cut, Men or W</t>
        </is>
      </c>
      <c r="C5" s="3" t="n">
        <v>1849022518</v>
      </c>
      <c r="D5" s="3" t="inlineStr">
        <is>
          <t>CR0P10-24</t>
        </is>
      </c>
      <c r="E5" s="3" t="inlineStr">
        <is>
          <t>description</t>
        </is>
      </c>
      <c r="F5" s="14" t="n">
        <v>4524</v>
      </c>
      <c r="G5" s="17" t="n">
        <v>38.27</v>
      </c>
      <c r="H5" s="14">
        <f>IF(G5="","",G5*Ayarlar!$B$3+Ayarlar!$B$4+Ayarlar!$B$5)</f>
        <v/>
      </c>
      <c r="I5" s="14">
        <f>IF(G5="","",ROUNDUP(((G5*Ayarlar!$B$3+Ayarlar!$B$4+Ayarlar!$B$5)+Ayarlar!$B$8)/((1-Ayarlar!$B$6)*(1-Ayarlar!$B$7)),0))</f>
        <v/>
      </c>
      <c r="J5" s="14">
        <f>IF(G5="","",ROUNDUP(((G5*Ayarlar!$B$3+Ayarlar!$B$4+Ayarlar!$B$5)+Ayarlar!$B$8)/((1-Ayarlar!$B$6)*(1-Ayarlar!$B$7-Ayarlar!$B$9)),0))</f>
        <v/>
      </c>
      <c r="K5" s="15">
        <f>IF(OR(G5="",F5=""),"",(F5*(1-Ayarlar!$B$6)-(F5*(1-Ayarlar!$B$6)*Ayarlar!$B$7+Ayarlar!$B$8)-(G5*Ayarlar!$B$3+Ayarlar!$B$4+Ayarlar!$B$5))/(F5*(1-Ayarlar!$B$6)))</f>
        <v/>
      </c>
      <c r="L5" s="3">
        <f>IF(G5="","GRAM EKSİK",IF(F5&gt;30000,"FİYAT ŞÜPHELİ",IF(K5&lt;0,"ZARARDA",IF(F5&lt;I5,"RİSKLİ","ok"))))</f>
        <v/>
      </c>
      <c r="M5" s="16" t="inlineStr">
        <is>
          <t>https://www.etsy.com/listing/1849022518</t>
        </is>
      </c>
    </row>
    <row r="6">
      <c r="A6" s="9" t="inlineStr">
        <is>
          <t>chains</t>
        </is>
      </c>
      <c r="B6" s="9" t="inlineStr">
        <is>
          <t>10K Gold Rope Chain Necklace – Twisted Diamond Cut, Men or W</t>
        </is>
      </c>
      <c r="C6" s="9" t="n">
        <v>1849022518</v>
      </c>
      <c r="D6" s="9" t="inlineStr">
        <is>
          <t>CR0P10-26</t>
        </is>
      </c>
      <c r="E6" s="9" t="inlineStr">
        <is>
          <t>description</t>
        </is>
      </c>
      <c r="F6" s="10" t="n">
        <v>4800</v>
      </c>
      <c r="G6" s="18" t="n">
        <v>41.46</v>
      </c>
      <c r="H6" s="10">
        <f>IF(G6="","",G6*Ayarlar!$B$3+Ayarlar!$B$4+Ayarlar!$B$5)</f>
        <v/>
      </c>
      <c r="I6" s="10">
        <f>IF(G6="","",ROUNDUP(((G6*Ayarlar!$B$3+Ayarlar!$B$4+Ayarlar!$B$5)+Ayarlar!$B$8)/((1-Ayarlar!$B$6)*(1-Ayarlar!$B$7)),0))</f>
        <v/>
      </c>
      <c r="J6" s="10">
        <f>IF(G6="","",ROUNDUP(((G6*Ayarlar!$B$3+Ayarlar!$B$4+Ayarlar!$B$5)+Ayarlar!$B$8)/((1-Ayarlar!$B$6)*(1-Ayarlar!$B$7-Ayarlar!$B$9)),0))</f>
        <v/>
      </c>
      <c r="K6" s="12">
        <f>IF(OR(G6="",F6=""),"",(F6*(1-Ayarlar!$B$6)-(F6*(1-Ayarlar!$B$6)*Ayarlar!$B$7+Ayarlar!$B$8)-(G6*Ayarlar!$B$3+Ayarlar!$B$4+Ayarlar!$B$5))/(F6*(1-Ayarlar!$B$6)))</f>
        <v/>
      </c>
      <c r="L6" s="9">
        <f>IF(G6="","GRAM EKSİK",IF(F6&gt;30000,"FİYAT ŞÜPHELİ",IF(K6&lt;0,"ZARARDA",IF(F6&lt;I6,"RİSKLİ","ok"))))</f>
        <v/>
      </c>
      <c r="M6" s="13" t="inlineStr">
        <is>
          <t>https://www.etsy.com/listing/1849022518</t>
        </is>
      </c>
    </row>
    <row r="7">
      <c r="A7" s="3" t="inlineStr">
        <is>
          <t>chains</t>
        </is>
      </c>
      <c r="B7" s="3" t="inlineStr">
        <is>
          <t>10K Gold Rope Chain Necklace – Twisted Diamond Cut, Men or W</t>
        </is>
      </c>
      <c r="C7" s="3" t="n">
        <v>1849022518</v>
      </c>
      <c r="D7" s="3" t="inlineStr">
        <is>
          <t>CR0P10-28</t>
        </is>
      </c>
      <c r="E7" s="3" t="inlineStr">
        <is>
          <t>description</t>
        </is>
      </c>
      <c r="F7" s="14" t="n">
        <v>5075</v>
      </c>
      <c r="G7" s="17" t="n">
        <v>44.65</v>
      </c>
      <c r="H7" s="14">
        <f>IF(G7="","",G7*Ayarlar!$B$3+Ayarlar!$B$4+Ayarlar!$B$5)</f>
        <v/>
      </c>
      <c r="I7" s="14">
        <f>IF(G7="","",ROUNDUP(((G7*Ayarlar!$B$3+Ayarlar!$B$4+Ayarlar!$B$5)+Ayarlar!$B$8)/((1-Ayarlar!$B$6)*(1-Ayarlar!$B$7)),0))</f>
        <v/>
      </c>
      <c r="J7" s="14">
        <f>IF(G7="","",ROUNDUP(((G7*Ayarlar!$B$3+Ayarlar!$B$4+Ayarlar!$B$5)+Ayarlar!$B$8)/((1-Ayarlar!$B$6)*(1-Ayarlar!$B$7-Ayarlar!$B$9)),0))</f>
        <v/>
      </c>
      <c r="K7" s="15">
        <f>IF(OR(G7="",F7=""),"",(F7*(1-Ayarlar!$B$6)-(F7*(1-Ayarlar!$B$6)*Ayarlar!$B$7+Ayarlar!$B$8)-(G7*Ayarlar!$B$3+Ayarlar!$B$4+Ayarlar!$B$5))/(F7*(1-Ayarlar!$B$6)))</f>
        <v/>
      </c>
      <c r="L7" s="3">
        <f>IF(G7="","GRAM EKSİK",IF(F7&gt;30000,"FİYAT ŞÜPHELİ",IF(K7&lt;0,"ZARARDA",IF(F7&lt;I7,"RİSKLİ","ok"))))</f>
        <v/>
      </c>
      <c r="M7" s="16" t="inlineStr">
        <is>
          <t>https://www.etsy.com/listing/1849022518</t>
        </is>
      </c>
    </row>
    <row r="8">
      <c r="A8" s="9" t="inlineStr">
        <is>
          <t>chains</t>
        </is>
      </c>
      <c r="B8" s="9" t="inlineStr">
        <is>
          <t>10K Gold Rope Chain Necklace – Twisted Diamond Cut, Men or W</t>
        </is>
      </c>
      <c r="C8" s="9" t="n">
        <v>1849022518</v>
      </c>
      <c r="D8" s="9" t="inlineStr">
        <is>
          <t>CR0P6-20</t>
        </is>
      </c>
      <c r="E8" s="9" t="inlineStr">
        <is>
          <t>description</t>
        </is>
      </c>
      <c r="F8" s="10" t="n">
        <v>1575</v>
      </c>
      <c r="G8" s="18" t="n">
        <v>14.78</v>
      </c>
      <c r="H8" s="10">
        <f>IF(G8="","",G8*Ayarlar!$B$3+Ayarlar!$B$4+Ayarlar!$B$5)</f>
        <v/>
      </c>
      <c r="I8" s="10">
        <f>IF(G8="","",ROUNDUP(((G8*Ayarlar!$B$3+Ayarlar!$B$4+Ayarlar!$B$5)+Ayarlar!$B$8)/((1-Ayarlar!$B$6)*(1-Ayarlar!$B$7)),0))</f>
        <v/>
      </c>
      <c r="J8" s="10">
        <f>IF(G8="","",ROUNDUP(((G8*Ayarlar!$B$3+Ayarlar!$B$4+Ayarlar!$B$5)+Ayarlar!$B$8)/((1-Ayarlar!$B$6)*(1-Ayarlar!$B$7-Ayarlar!$B$9)),0))</f>
        <v/>
      </c>
      <c r="K8" s="12">
        <f>IF(OR(G8="",F8=""),"",(F8*(1-Ayarlar!$B$6)-(F8*(1-Ayarlar!$B$6)*Ayarlar!$B$7+Ayarlar!$B$8)-(G8*Ayarlar!$B$3+Ayarlar!$B$4+Ayarlar!$B$5))/(F8*(1-Ayarlar!$B$6)))</f>
        <v/>
      </c>
      <c r="L8" s="9">
        <f>IF(G8="","GRAM EKSİK",IF(F8&gt;30000,"FİYAT ŞÜPHELİ",IF(K8&lt;0,"ZARARDA",IF(F8&lt;I8,"RİSKLİ","ok"))))</f>
        <v/>
      </c>
      <c r="M8" s="13" t="inlineStr">
        <is>
          <t>https://www.etsy.com/listing/1849022518</t>
        </is>
      </c>
    </row>
    <row r="9">
      <c r="A9" s="3" t="inlineStr">
        <is>
          <t>chains</t>
        </is>
      </c>
      <c r="B9" s="3" t="inlineStr">
        <is>
          <t>10K Gold Rope Chain Necklace – Twisted Diamond Cut, Men or W</t>
        </is>
      </c>
      <c r="C9" s="3" t="n">
        <v>1849022518</v>
      </c>
      <c r="D9" s="3" t="inlineStr">
        <is>
          <t>CR0P6-22</t>
        </is>
      </c>
      <c r="E9" s="3" t="inlineStr">
        <is>
          <t>description</t>
        </is>
      </c>
      <c r="F9" s="14" t="n">
        <v>1755</v>
      </c>
      <c r="G9" s="17" t="n">
        <v>16.26</v>
      </c>
      <c r="H9" s="14">
        <f>IF(G9="","",G9*Ayarlar!$B$3+Ayarlar!$B$4+Ayarlar!$B$5)</f>
        <v/>
      </c>
      <c r="I9" s="14">
        <f>IF(G9="","",ROUNDUP(((G9*Ayarlar!$B$3+Ayarlar!$B$4+Ayarlar!$B$5)+Ayarlar!$B$8)/((1-Ayarlar!$B$6)*(1-Ayarlar!$B$7)),0))</f>
        <v/>
      </c>
      <c r="J9" s="14">
        <f>IF(G9="","",ROUNDUP(((G9*Ayarlar!$B$3+Ayarlar!$B$4+Ayarlar!$B$5)+Ayarlar!$B$8)/((1-Ayarlar!$B$6)*(1-Ayarlar!$B$7-Ayarlar!$B$9)),0))</f>
        <v/>
      </c>
      <c r="K9" s="15">
        <f>IF(OR(G9="",F9=""),"",(F9*(1-Ayarlar!$B$6)-(F9*(1-Ayarlar!$B$6)*Ayarlar!$B$7+Ayarlar!$B$8)-(G9*Ayarlar!$B$3+Ayarlar!$B$4+Ayarlar!$B$5))/(F9*(1-Ayarlar!$B$6)))</f>
        <v/>
      </c>
      <c r="L9" s="3">
        <f>IF(G9="","GRAM EKSİK",IF(F9&gt;30000,"FİYAT ŞÜPHELİ",IF(K9&lt;0,"ZARARDA",IF(F9&lt;I9,"RİSKLİ","ok"))))</f>
        <v/>
      </c>
      <c r="M9" s="16" t="inlineStr">
        <is>
          <t>https://www.etsy.com/listing/1849022518</t>
        </is>
      </c>
    </row>
    <row r="10">
      <c r="A10" s="9" t="inlineStr">
        <is>
          <t>chains</t>
        </is>
      </c>
      <c r="B10" s="9" t="inlineStr">
        <is>
          <t>10K Gold Rope Chain Necklace – Twisted Diamond Cut, Men or W</t>
        </is>
      </c>
      <c r="C10" s="9" t="n">
        <v>1849022518</v>
      </c>
      <c r="D10" s="9" t="inlineStr">
        <is>
          <t>CR0P6-24</t>
        </is>
      </c>
      <c r="E10" s="9" t="inlineStr">
        <is>
          <t>description</t>
        </is>
      </c>
      <c r="F10" s="10" t="n">
        <v>1878</v>
      </c>
      <c r="G10" s="18" t="n">
        <v>17.74</v>
      </c>
      <c r="H10" s="10">
        <f>IF(G10="","",G10*Ayarlar!$B$3+Ayarlar!$B$4+Ayarlar!$B$5)</f>
        <v/>
      </c>
      <c r="I10" s="10">
        <f>IF(G10="","",ROUNDUP(((G10*Ayarlar!$B$3+Ayarlar!$B$4+Ayarlar!$B$5)+Ayarlar!$B$8)/((1-Ayarlar!$B$6)*(1-Ayarlar!$B$7)),0))</f>
        <v/>
      </c>
      <c r="J10" s="10">
        <f>IF(G10="","",ROUNDUP(((G10*Ayarlar!$B$3+Ayarlar!$B$4+Ayarlar!$B$5)+Ayarlar!$B$8)/((1-Ayarlar!$B$6)*(1-Ayarlar!$B$7-Ayarlar!$B$9)),0))</f>
        <v/>
      </c>
      <c r="K10" s="12">
        <f>IF(OR(G10="",F10=""),"",(F10*(1-Ayarlar!$B$6)-(F10*(1-Ayarlar!$B$6)*Ayarlar!$B$7+Ayarlar!$B$8)-(G10*Ayarlar!$B$3+Ayarlar!$B$4+Ayarlar!$B$5))/(F10*(1-Ayarlar!$B$6)))</f>
        <v/>
      </c>
      <c r="L10" s="9">
        <f>IF(G10="","GRAM EKSİK",IF(F10&gt;30000,"FİYAT ŞÜPHELİ",IF(K10&lt;0,"ZARARDA",IF(F10&lt;I10,"RİSKLİ","ok"))))</f>
        <v/>
      </c>
      <c r="M10" s="13" t="inlineStr">
        <is>
          <t>https://www.etsy.com/listing/1849022518</t>
        </is>
      </c>
    </row>
    <row r="11">
      <c r="A11" s="3" t="inlineStr">
        <is>
          <t>chains</t>
        </is>
      </c>
      <c r="B11" s="3" t="inlineStr">
        <is>
          <t>10K Gold Rope Chain Necklace – Twisted Diamond Cut, Men or W</t>
        </is>
      </c>
      <c r="C11" s="3" t="n">
        <v>1849022518</v>
      </c>
      <c r="D11" s="3" t="inlineStr">
        <is>
          <t>CR0P6-26</t>
        </is>
      </c>
      <c r="E11" s="3" t="inlineStr">
        <is>
          <t>description</t>
        </is>
      </c>
      <c r="F11" s="14" t="n">
        <v>2002</v>
      </c>
      <c r="G11" s="17" t="n">
        <v>19.22</v>
      </c>
      <c r="H11" s="14">
        <f>IF(G11="","",G11*Ayarlar!$B$3+Ayarlar!$B$4+Ayarlar!$B$5)</f>
        <v/>
      </c>
      <c r="I11" s="14">
        <f>IF(G11="","",ROUNDUP(((G11*Ayarlar!$B$3+Ayarlar!$B$4+Ayarlar!$B$5)+Ayarlar!$B$8)/((1-Ayarlar!$B$6)*(1-Ayarlar!$B$7)),0))</f>
        <v/>
      </c>
      <c r="J11" s="14">
        <f>IF(G11="","",ROUNDUP(((G11*Ayarlar!$B$3+Ayarlar!$B$4+Ayarlar!$B$5)+Ayarlar!$B$8)/((1-Ayarlar!$B$6)*(1-Ayarlar!$B$7-Ayarlar!$B$9)),0))</f>
        <v/>
      </c>
      <c r="K11" s="15">
        <f>IF(OR(G11="",F11=""),"",(F11*(1-Ayarlar!$B$6)-(F11*(1-Ayarlar!$B$6)*Ayarlar!$B$7+Ayarlar!$B$8)-(G11*Ayarlar!$B$3+Ayarlar!$B$4+Ayarlar!$B$5))/(F11*(1-Ayarlar!$B$6)))</f>
        <v/>
      </c>
      <c r="L11" s="3">
        <f>IF(G11="","GRAM EKSİK",IF(F11&gt;30000,"FİYAT ŞÜPHELİ",IF(K11&lt;0,"ZARARDA",IF(F11&lt;I11,"RİSKLİ","ok"))))</f>
        <v/>
      </c>
      <c r="M11" s="16" t="inlineStr">
        <is>
          <t>https://www.etsy.com/listing/1849022518</t>
        </is>
      </c>
    </row>
    <row r="12">
      <c r="A12" s="9" t="inlineStr">
        <is>
          <t>chains</t>
        </is>
      </c>
      <c r="B12" s="9" t="inlineStr">
        <is>
          <t>10K Gold Rope Chain Necklace – Twisted Diamond Cut, Men or W</t>
        </is>
      </c>
      <c r="C12" s="9" t="n">
        <v>1849022518</v>
      </c>
      <c r="D12" s="9" t="inlineStr">
        <is>
          <t>CR0P6-28</t>
        </is>
      </c>
      <c r="E12" s="9" t="inlineStr">
        <is>
          <t>description</t>
        </is>
      </c>
      <c r="F12" s="10" t="n">
        <v>2124</v>
      </c>
      <c r="G12" s="18" t="n">
        <v>20.69</v>
      </c>
      <c r="H12" s="10">
        <f>IF(G12="","",G12*Ayarlar!$B$3+Ayarlar!$B$4+Ayarlar!$B$5)</f>
        <v/>
      </c>
      <c r="I12" s="10">
        <f>IF(G12="","",ROUNDUP(((G12*Ayarlar!$B$3+Ayarlar!$B$4+Ayarlar!$B$5)+Ayarlar!$B$8)/((1-Ayarlar!$B$6)*(1-Ayarlar!$B$7)),0))</f>
        <v/>
      </c>
      <c r="J12" s="10">
        <f>IF(G12="","",ROUNDUP(((G12*Ayarlar!$B$3+Ayarlar!$B$4+Ayarlar!$B$5)+Ayarlar!$B$8)/((1-Ayarlar!$B$6)*(1-Ayarlar!$B$7-Ayarlar!$B$9)),0))</f>
        <v/>
      </c>
      <c r="K12" s="12">
        <f>IF(OR(G12="",F12=""),"",(F12*(1-Ayarlar!$B$6)-(F12*(1-Ayarlar!$B$6)*Ayarlar!$B$7+Ayarlar!$B$8)-(G12*Ayarlar!$B$3+Ayarlar!$B$4+Ayarlar!$B$5))/(F12*(1-Ayarlar!$B$6)))</f>
        <v/>
      </c>
      <c r="L12" s="9">
        <f>IF(G12="","GRAM EKSİK",IF(F12&gt;30000,"FİYAT ŞÜPHELİ",IF(K12&lt;0,"ZARARDA",IF(F12&lt;I12,"RİSKLİ","ok"))))</f>
        <v/>
      </c>
      <c r="M12" s="13" t="inlineStr">
        <is>
          <t>https://www.etsy.com/listing/1849022518</t>
        </is>
      </c>
    </row>
    <row r="13">
      <c r="A13" s="3" t="inlineStr">
        <is>
          <t>chains</t>
        </is>
      </c>
      <c r="B13" s="3" t="inlineStr">
        <is>
          <t>10K Gold Rope Chain Necklace – Twisted Diamond Cut, Men or W</t>
        </is>
      </c>
      <c r="C13" s="3" t="n">
        <v>1849022518</v>
      </c>
      <c r="D13" s="3" t="inlineStr">
        <is>
          <t>CR0P7-20</t>
        </is>
      </c>
      <c r="E13" s="3" t="inlineStr">
        <is>
          <t>description</t>
        </is>
      </c>
      <c r="F13" s="14" t="n">
        <v>2231</v>
      </c>
      <c r="G13" s="17" t="n">
        <v>18.88</v>
      </c>
      <c r="H13" s="14">
        <f>IF(G13="","",G13*Ayarlar!$B$3+Ayarlar!$B$4+Ayarlar!$B$5)</f>
        <v/>
      </c>
      <c r="I13" s="14">
        <f>IF(G13="","",ROUNDUP(((G13*Ayarlar!$B$3+Ayarlar!$B$4+Ayarlar!$B$5)+Ayarlar!$B$8)/((1-Ayarlar!$B$6)*(1-Ayarlar!$B$7)),0))</f>
        <v/>
      </c>
      <c r="J13" s="14">
        <f>IF(G13="","",ROUNDUP(((G13*Ayarlar!$B$3+Ayarlar!$B$4+Ayarlar!$B$5)+Ayarlar!$B$8)/((1-Ayarlar!$B$6)*(1-Ayarlar!$B$7-Ayarlar!$B$9)),0))</f>
        <v/>
      </c>
      <c r="K13" s="15">
        <f>IF(OR(G13="",F13=""),"",(F13*(1-Ayarlar!$B$6)-(F13*(1-Ayarlar!$B$6)*Ayarlar!$B$7+Ayarlar!$B$8)-(G13*Ayarlar!$B$3+Ayarlar!$B$4+Ayarlar!$B$5))/(F13*(1-Ayarlar!$B$6)))</f>
        <v/>
      </c>
      <c r="L13" s="3">
        <f>IF(G13="","GRAM EKSİK",IF(F13&gt;30000,"FİYAT ŞÜPHELİ",IF(K13&lt;0,"ZARARDA",IF(F13&lt;I13,"RİSKLİ","ok"))))</f>
        <v/>
      </c>
      <c r="M13" s="16" t="inlineStr">
        <is>
          <t>https://www.etsy.com/listing/1849022518</t>
        </is>
      </c>
    </row>
    <row r="14">
      <c r="A14" s="9" t="inlineStr">
        <is>
          <t>chains</t>
        </is>
      </c>
      <c r="B14" s="9" t="inlineStr">
        <is>
          <t>10K Gold Rope Chain Necklace – Twisted Diamond Cut, Men or W</t>
        </is>
      </c>
      <c r="C14" s="9" t="n">
        <v>1849022518</v>
      </c>
      <c r="D14" s="9" t="inlineStr">
        <is>
          <t>CR0P7-22</t>
        </is>
      </c>
      <c r="E14" s="9" t="inlineStr">
        <is>
          <t>description</t>
        </is>
      </c>
      <c r="F14" s="10" t="n">
        <v>2414</v>
      </c>
      <c r="G14" s="18" t="n">
        <v>20.77</v>
      </c>
      <c r="H14" s="10">
        <f>IF(G14="","",G14*Ayarlar!$B$3+Ayarlar!$B$4+Ayarlar!$B$5)</f>
        <v/>
      </c>
      <c r="I14" s="10">
        <f>IF(G14="","",ROUNDUP(((G14*Ayarlar!$B$3+Ayarlar!$B$4+Ayarlar!$B$5)+Ayarlar!$B$8)/((1-Ayarlar!$B$6)*(1-Ayarlar!$B$7)),0))</f>
        <v/>
      </c>
      <c r="J14" s="10">
        <f>IF(G14="","",ROUNDUP(((G14*Ayarlar!$B$3+Ayarlar!$B$4+Ayarlar!$B$5)+Ayarlar!$B$8)/((1-Ayarlar!$B$6)*(1-Ayarlar!$B$7-Ayarlar!$B$9)),0))</f>
        <v/>
      </c>
      <c r="K14" s="12">
        <f>IF(OR(G14="",F14=""),"",(F14*(1-Ayarlar!$B$6)-(F14*(1-Ayarlar!$B$6)*Ayarlar!$B$7+Ayarlar!$B$8)-(G14*Ayarlar!$B$3+Ayarlar!$B$4+Ayarlar!$B$5))/(F14*(1-Ayarlar!$B$6)))</f>
        <v/>
      </c>
      <c r="L14" s="9">
        <f>IF(G14="","GRAM EKSİK",IF(F14&gt;30000,"FİYAT ŞÜPHELİ",IF(K14&lt;0,"ZARARDA",IF(F14&lt;I14,"RİSKLİ","ok"))))</f>
        <v/>
      </c>
      <c r="M14" s="13" t="inlineStr">
        <is>
          <t>https://www.etsy.com/listing/1849022518</t>
        </is>
      </c>
    </row>
    <row r="15">
      <c r="A15" s="3" t="inlineStr">
        <is>
          <t>chains</t>
        </is>
      </c>
      <c r="B15" s="3" t="inlineStr">
        <is>
          <t>10K Gold Rope Chain Necklace – Twisted Diamond Cut, Men or W</t>
        </is>
      </c>
      <c r="C15" s="3" t="n">
        <v>1849022518</v>
      </c>
      <c r="D15" s="3" t="inlineStr">
        <is>
          <t>CR0P7-24</t>
        </is>
      </c>
      <c r="E15" s="3" t="inlineStr">
        <is>
          <t>description</t>
        </is>
      </c>
      <c r="F15" s="14" t="n">
        <v>2713</v>
      </c>
      <c r="G15" s="17" t="n">
        <v>22.66</v>
      </c>
      <c r="H15" s="14">
        <f>IF(G15="","",G15*Ayarlar!$B$3+Ayarlar!$B$4+Ayarlar!$B$5)</f>
        <v/>
      </c>
      <c r="I15" s="14">
        <f>IF(G15="","",ROUNDUP(((G15*Ayarlar!$B$3+Ayarlar!$B$4+Ayarlar!$B$5)+Ayarlar!$B$8)/((1-Ayarlar!$B$6)*(1-Ayarlar!$B$7)),0))</f>
        <v/>
      </c>
      <c r="J15" s="14">
        <f>IF(G15="","",ROUNDUP(((G15*Ayarlar!$B$3+Ayarlar!$B$4+Ayarlar!$B$5)+Ayarlar!$B$8)/((1-Ayarlar!$B$6)*(1-Ayarlar!$B$7-Ayarlar!$B$9)),0))</f>
        <v/>
      </c>
      <c r="K15" s="15">
        <f>IF(OR(G15="",F15=""),"",(F15*(1-Ayarlar!$B$6)-(F15*(1-Ayarlar!$B$6)*Ayarlar!$B$7+Ayarlar!$B$8)-(G15*Ayarlar!$B$3+Ayarlar!$B$4+Ayarlar!$B$5))/(F15*(1-Ayarlar!$B$6)))</f>
        <v/>
      </c>
      <c r="L15" s="3">
        <f>IF(G15="","GRAM EKSİK",IF(F15&gt;30000,"FİYAT ŞÜPHELİ",IF(K15&lt;0,"ZARARDA",IF(F15&lt;I15,"RİSKLİ","ok"))))</f>
        <v/>
      </c>
      <c r="M15" s="16" t="inlineStr">
        <is>
          <t>https://www.etsy.com/listing/1849022518</t>
        </is>
      </c>
    </row>
    <row r="16">
      <c r="A16" s="9" t="inlineStr">
        <is>
          <t>chains</t>
        </is>
      </c>
      <c r="B16" s="9" t="inlineStr">
        <is>
          <t>10K Gold Rope Chain Necklace – Twisted Diamond Cut, Men or W</t>
        </is>
      </c>
      <c r="C16" s="9" t="n">
        <v>1849022518</v>
      </c>
      <c r="D16" s="9" t="inlineStr">
        <is>
          <t>CR0P7-26</t>
        </is>
      </c>
      <c r="E16" s="9" t="inlineStr">
        <is>
          <t>description</t>
        </is>
      </c>
      <c r="F16" s="10" t="n">
        <v>2896</v>
      </c>
      <c r="G16" s="18" t="n">
        <v>24.55</v>
      </c>
      <c r="H16" s="10">
        <f>IF(G16="","",G16*Ayarlar!$B$3+Ayarlar!$B$4+Ayarlar!$B$5)</f>
        <v/>
      </c>
      <c r="I16" s="10">
        <f>IF(G16="","",ROUNDUP(((G16*Ayarlar!$B$3+Ayarlar!$B$4+Ayarlar!$B$5)+Ayarlar!$B$8)/((1-Ayarlar!$B$6)*(1-Ayarlar!$B$7)),0))</f>
        <v/>
      </c>
      <c r="J16" s="10">
        <f>IF(G16="","",ROUNDUP(((G16*Ayarlar!$B$3+Ayarlar!$B$4+Ayarlar!$B$5)+Ayarlar!$B$8)/((1-Ayarlar!$B$6)*(1-Ayarlar!$B$7-Ayarlar!$B$9)),0))</f>
        <v/>
      </c>
      <c r="K16" s="12">
        <f>IF(OR(G16="",F16=""),"",(F16*(1-Ayarlar!$B$6)-(F16*(1-Ayarlar!$B$6)*Ayarlar!$B$7+Ayarlar!$B$8)-(G16*Ayarlar!$B$3+Ayarlar!$B$4+Ayarlar!$B$5))/(F16*(1-Ayarlar!$B$6)))</f>
        <v/>
      </c>
      <c r="L16" s="9">
        <f>IF(G16="","GRAM EKSİK",IF(F16&gt;30000,"FİYAT ŞÜPHELİ",IF(K16&lt;0,"ZARARDA",IF(F16&lt;I16,"RİSKLİ","ok"))))</f>
        <v/>
      </c>
      <c r="M16" s="13" t="inlineStr">
        <is>
          <t>https://www.etsy.com/listing/1849022518</t>
        </is>
      </c>
    </row>
    <row r="17">
      <c r="A17" s="3" t="inlineStr">
        <is>
          <t>chains</t>
        </is>
      </c>
      <c r="B17" s="3" t="inlineStr">
        <is>
          <t>10K Gold Rope Chain Necklace – Twisted Diamond Cut, Men or W</t>
        </is>
      </c>
      <c r="C17" s="3" t="n">
        <v>1849022518</v>
      </c>
      <c r="D17" s="3" t="inlineStr">
        <is>
          <t>CR0P7-28</t>
        </is>
      </c>
      <c r="E17" s="3" t="inlineStr">
        <is>
          <t>description</t>
        </is>
      </c>
      <c r="F17" s="14" t="n">
        <v>3019</v>
      </c>
      <c r="G17" s="17" t="n">
        <v>26.44</v>
      </c>
      <c r="H17" s="14">
        <f>IF(G17="","",G17*Ayarlar!$B$3+Ayarlar!$B$4+Ayarlar!$B$5)</f>
        <v/>
      </c>
      <c r="I17" s="14">
        <f>IF(G17="","",ROUNDUP(((G17*Ayarlar!$B$3+Ayarlar!$B$4+Ayarlar!$B$5)+Ayarlar!$B$8)/((1-Ayarlar!$B$6)*(1-Ayarlar!$B$7)),0))</f>
        <v/>
      </c>
      <c r="J17" s="14">
        <f>IF(G17="","",ROUNDUP(((G17*Ayarlar!$B$3+Ayarlar!$B$4+Ayarlar!$B$5)+Ayarlar!$B$8)/((1-Ayarlar!$B$6)*(1-Ayarlar!$B$7-Ayarlar!$B$9)),0))</f>
        <v/>
      </c>
      <c r="K17" s="15">
        <f>IF(OR(G17="",F17=""),"",(F17*(1-Ayarlar!$B$6)-(F17*(1-Ayarlar!$B$6)*Ayarlar!$B$7+Ayarlar!$B$8)-(G17*Ayarlar!$B$3+Ayarlar!$B$4+Ayarlar!$B$5))/(F17*(1-Ayarlar!$B$6)))</f>
        <v/>
      </c>
      <c r="L17" s="3">
        <f>IF(G17="","GRAM EKSİK",IF(F17&gt;30000,"FİYAT ŞÜPHELİ",IF(K17&lt;0,"ZARARDA",IF(F17&lt;I17,"RİSKLİ","ok"))))</f>
        <v/>
      </c>
      <c r="M17" s="16" t="inlineStr">
        <is>
          <t>https://www.etsy.com/listing/1849022518</t>
        </is>
      </c>
    </row>
    <row r="18">
      <c r="A18" s="9" t="inlineStr">
        <is>
          <t>chains</t>
        </is>
      </c>
      <c r="B18" s="9" t="inlineStr">
        <is>
          <t>10K Gold Rope Chain Necklace – Twisted Diamond Cut, Men or W</t>
        </is>
      </c>
      <c r="C18" s="9" t="n">
        <v>1849022518</v>
      </c>
      <c r="D18" s="9" t="inlineStr">
        <is>
          <t>CR0P8-20</t>
        </is>
      </c>
      <c r="E18" s="9" t="inlineStr">
        <is>
          <t>description</t>
        </is>
      </c>
      <c r="F18" s="10" t="n">
        <v>3010</v>
      </c>
      <c r="G18" s="18" t="n">
        <v>24.15</v>
      </c>
      <c r="H18" s="10">
        <f>IF(G18="","",G18*Ayarlar!$B$3+Ayarlar!$B$4+Ayarlar!$B$5)</f>
        <v/>
      </c>
      <c r="I18" s="10">
        <f>IF(G18="","",ROUNDUP(((G18*Ayarlar!$B$3+Ayarlar!$B$4+Ayarlar!$B$5)+Ayarlar!$B$8)/((1-Ayarlar!$B$6)*(1-Ayarlar!$B$7)),0))</f>
        <v/>
      </c>
      <c r="J18" s="10">
        <f>IF(G18="","",ROUNDUP(((G18*Ayarlar!$B$3+Ayarlar!$B$4+Ayarlar!$B$5)+Ayarlar!$B$8)/((1-Ayarlar!$B$6)*(1-Ayarlar!$B$7-Ayarlar!$B$9)),0))</f>
        <v/>
      </c>
      <c r="K18" s="12">
        <f>IF(OR(G18="",F18=""),"",(F18*(1-Ayarlar!$B$6)-(F18*(1-Ayarlar!$B$6)*Ayarlar!$B$7+Ayarlar!$B$8)-(G18*Ayarlar!$B$3+Ayarlar!$B$4+Ayarlar!$B$5))/(F18*(1-Ayarlar!$B$6)))</f>
        <v/>
      </c>
      <c r="L18" s="9">
        <f>IF(G18="","GRAM EKSİK",IF(F18&gt;30000,"FİYAT ŞÜPHELİ",IF(K18&lt;0,"ZARARDA",IF(F18&lt;I18,"RİSKLİ","ok"))))</f>
        <v/>
      </c>
      <c r="M18" s="13" t="inlineStr">
        <is>
          <t>https://www.etsy.com/listing/1849022518</t>
        </is>
      </c>
    </row>
    <row r="19">
      <c r="A19" s="3" t="inlineStr">
        <is>
          <t>chains</t>
        </is>
      </c>
      <c r="B19" s="3" t="inlineStr">
        <is>
          <t>10K Gold Rope Chain Necklace – Twisted Diamond Cut, Men or W</t>
        </is>
      </c>
      <c r="C19" s="3" t="n">
        <v>1849022518</v>
      </c>
      <c r="D19" s="3" t="inlineStr">
        <is>
          <t>CR0P8-22</t>
        </is>
      </c>
      <c r="E19" s="3" t="inlineStr">
        <is>
          <t>description</t>
        </is>
      </c>
      <c r="F19" s="14" t="n">
        <v>3311</v>
      </c>
      <c r="G19" s="17" t="n">
        <v>26.56</v>
      </c>
      <c r="H19" s="14">
        <f>IF(G19="","",G19*Ayarlar!$B$3+Ayarlar!$B$4+Ayarlar!$B$5)</f>
        <v/>
      </c>
      <c r="I19" s="14">
        <f>IF(G19="","",ROUNDUP(((G19*Ayarlar!$B$3+Ayarlar!$B$4+Ayarlar!$B$5)+Ayarlar!$B$8)/((1-Ayarlar!$B$6)*(1-Ayarlar!$B$7)),0))</f>
        <v/>
      </c>
      <c r="J19" s="14">
        <f>IF(G19="","",ROUNDUP(((G19*Ayarlar!$B$3+Ayarlar!$B$4+Ayarlar!$B$5)+Ayarlar!$B$8)/((1-Ayarlar!$B$6)*(1-Ayarlar!$B$7-Ayarlar!$B$9)),0))</f>
        <v/>
      </c>
      <c r="K19" s="15">
        <f>IF(OR(G19="",F19=""),"",(F19*(1-Ayarlar!$B$6)-(F19*(1-Ayarlar!$B$6)*Ayarlar!$B$7+Ayarlar!$B$8)-(G19*Ayarlar!$B$3+Ayarlar!$B$4+Ayarlar!$B$5))/(F19*(1-Ayarlar!$B$6)))</f>
        <v/>
      </c>
      <c r="L19" s="3">
        <f>IF(G19="","GRAM EKSİK",IF(F19&gt;30000,"FİYAT ŞÜPHELİ",IF(K19&lt;0,"ZARARDA",IF(F19&lt;I19,"RİSKLİ","ok"))))</f>
        <v/>
      </c>
      <c r="M19" s="16" t="inlineStr">
        <is>
          <t>https://www.etsy.com/listing/1849022518</t>
        </is>
      </c>
    </row>
    <row r="20">
      <c r="A20" s="9" t="inlineStr">
        <is>
          <t>chains</t>
        </is>
      </c>
      <c r="B20" s="9" t="inlineStr">
        <is>
          <t>10K Gold Rope Chain Necklace – Twisted Diamond Cut, Men or W</t>
        </is>
      </c>
      <c r="C20" s="9" t="n">
        <v>1849022518</v>
      </c>
      <c r="D20" s="9" t="inlineStr">
        <is>
          <t>CR0P8-24</t>
        </is>
      </c>
      <c r="E20" s="9" t="inlineStr">
        <is>
          <t>description</t>
        </is>
      </c>
      <c r="F20" s="10" t="n">
        <v>3612</v>
      </c>
      <c r="G20" s="18" t="n">
        <v>28.98</v>
      </c>
      <c r="H20" s="10">
        <f>IF(G20="","",G20*Ayarlar!$B$3+Ayarlar!$B$4+Ayarlar!$B$5)</f>
        <v/>
      </c>
      <c r="I20" s="10">
        <f>IF(G20="","",ROUNDUP(((G20*Ayarlar!$B$3+Ayarlar!$B$4+Ayarlar!$B$5)+Ayarlar!$B$8)/((1-Ayarlar!$B$6)*(1-Ayarlar!$B$7)),0))</f>
        <v/>
      </c>
      <c r="J20" s="10">
        <f>IF(G20="","",ROUNDUP(((G20*Ayarlar!$B$3+Ayarlar!$B$4+Ayarlar!$B$5)+Ayarlar!$B$8)/((1-Ayarlar!$B$6)*(1-Ayarlar!$B$7-Ayarlar!$B$9)),0))</f>
        <v/>
      </c>
      <c r="K20" s="12">
        <f>IF(OR(G20="",F20=""),"",(F20*(1-Ayarlar!$B$6)-(F20*(1-Ayarlar!$B$6)*Ayarlar!$B$7+Ayarlar!$B$8)-(G20*Ayarlar!$B$3+Ayarlar!$B$4+Ayarlar!$B$5))/(F20*(1-Ayarlar!$B$6)))</f>
        <v/>
      </c>
      <c r="L20" s="9">
        <f>IF(G20="","GRAM EKSİK",IF(F20&gt;30000,"FİYAT ŞÜPHELİ",IF(K20&lt;0,"ZARARDA",IF(F20&lt;I20,"RİSKLİ","ok"))))</f>
        <v/>
      </c>
      <c r="M20" s="13" t="inlineStr">
        <is>
          <t>https://www.etsy.com/listing/1849022518</t>
        </is>
      </c>
    </row>
    <row r="21">
      <c r="A21" s="3" t="inlineStr">
        <is>
          <t>chains</t>
        </is>
      </c>
      <c r="B21" s="3" t="inlineStr">
        <is>
          <t>10K Gold Rope Chain Necklace – Twisted Diamond Cut, Men or W</t>
        </is>
      </c>
      <c r="C21" s="3" t="n">
        <v>1849022518</v>
      </c>
      <c r="D21" s="3" t="inlineStr">
        <is>
          <t>CR0P8-26</t>
        </is>
      </c>
      <c r="E21" s="3" t="inlineStr">
        <is>
          <t>description</t>
        </is>
      </c>
      <c r="F21" s="14" t="n">
        <v>3912</v>
      </c>
      <c r="G21" s="17" t="n">
        <v>31.39</v>
      </c>
      <c r="H21" s="14">
        <f>IF(G21="","",G21*Ayarlar!$B$3+Ayarlar!$B$4+Ayarlar!$B$5)</f>
        <v/>
      </c>
      <c r="I21" s="14">
        <f>IF(G21="","",ROUNDUP(((G21*Ayarlar!$B$3+Ayarlar!$B$4+Ayarlar!$B$5)+Ayarlar!$B$8)/((1-Ayarlar!$B$6)*(1-Ayarlar!$B$7)),0))</f>
        <v/>
      </c>
      <c r="J21" s="14">
        <f>IF(G21="","",ROUNDUP(((G21*Ayarlar!$B$3+Ayarlar!$B$4+Ayarlar!$B$5)+Ayarlar!$B$8)/((1-Ayarlar!$B$6)*(1-Ayarlar!$B$7-Ayarlar!$B$9)),0))</f>
        <v/>
      </c>
      <c r="K21" s="15">
        <f>IF(OR(G21="",F21=""),"",(F21*(1-Ayarlar!$B$6)-(F21*(1-Ayarlar!$B$6)*Ayarlar!$B$7+Ayarlar!$B$8)-(G21*Ayarlar!$B$3+Ayarlar!$B$4+Ayarlar!$B$5))/(F21*(1-Ayarlar!$B$6)))</f>
        <v/>
      </c>
      <c r="L21" s="3">
        <f>IF(G21="","GRAM EKSİK",IF(F21&gt;30000,"FİYAT ŞÜPHELİ",IF(K21&lt;0,"ZARARDA",IF(F21&lt;I21,"RİSKLİ","ok"))))</f>
        <v/>
      </c>
      <c r="M21" s="16" t="inlineStr">
        <is>
          <t>https://www.etsy.com/listing/1849022518</t>
        </is>
      </c>
    </row>
    <row r="22">
      <c r="A22" s="9" t="inlineStr">
        <is>
          <t>chains</t>
        </is>
      </c>
      <c r="B22" s="9" t="inlineStr">
        <is>
          <t>10K Gold Rope Chain Necklace – Twisted Diamond Cut, Men or W</t>
        </is>
      </c>
      <c r="C22" s="9" t="n">
        <v>1849022518</v>
      </c>
      <c r="D22" s="9" t="inlineStr">
        <is>
          <t>CR0P8-28</t>
        </is>
      </c>
      <c r="E22" s="9" t="inlineStr">
        <is>
          <t>description</t>
        </is>
      </c>
      <c r="F22" s="10" t="n">
        <v>4214</v>
      </c>
      <c r="G22" s="18" t="n">
        <v>33.8</v>
      </c>
      <c r="H22" s="10">
        <f>IF(G22="","",G22*Ayarlar!$B$3+Ayarlar!$B$4+Ayarlar!$B$5)</f>
        <v/>
      </c>
      <c r="I22" s="10">
        <f>IF(G22="","",ROUNDUP(((G22*Ayarlar!$B$3+Ayarlar!$B$4+Ayarlar!$B$5)+Ayarlar!$B$8)/((1-Ayarlar!$B$6)*(1-Ayarlar!$B$7)),0))</f>
        <v/>
      </c>
      <c r="J22" s="10">
        <f>IF(G22="","",ROUNDUP(((G22*Ayarlar!$B$3+Ayarlar!$B$4+Ayarlar!$B$5)+Ayarlar!$B$8)/((1-Ayarlar!$B$6)*(1-Ayarlar!$B$7-Ayarlar!$B$9)),0))</f>
        <v/>
      </c>
      <c r="K22" s="12">
        <f>IF(OR(G22="",F22=""),"",(F22*(1-Ayarlar!$B$6)-(F22*(1-Ayarlar!$B$6)*Ayarlar!$B$7+Ayarlar!$B$8)-(G22*Ayarlar!$B$3+Ayarlar!$B$4+Ayarlar!$B$5))/(F22*(1-Ayarlar!$B$6)))</f>
        <v/>
      </c>
      <c r="L22" s="9">
        <f>IF(G22="","GRAM EKSİK",IF(F22&gt;30000,"FİYAT ŞÜPHELİ",IF(K22&lt;0,"ZARARDA",IF(F22&lt;I22,"RİSKLİ","ok"))))</f>
        <v/>
      </c>
      <c r="M22" s="13" t="inlineStr">
        <is>
          <t>https://www.etsy.com/listing/1849022518</t>
        </is>
      </c>
    </row>
    <row r="23">
      <c r="A23" s="3" t="inlineStr">
        <is>
          <t>chains</t>
        </is>
      </c>
      <c r="B23" s="3" t="inlineStr">
        <is>
          <t>10K Gold Rope Chain Necklace – Twisted Diamond Cut, Men or W</t>
        </is>
      </c>
      <c r="C23" s="3" t="n">
        <v>1849022518</v>
      </c>
      <c r="D23" s="3" t="inlineStr">
        <is>
          <t>CR0P9-20</t>
        </is>
      </c>
      <c r="E23" s="3" t="inlineStr">
        <is>
          <t>description</t>
        </is>
      </c>
      <c r="F23" s="14" t="n">
        <v>3309</v>
      </c>
      <c r="G23" s="17" t="n">
        <v>26.26</v>
      </c>
      <c r="H23" s="14">
        <f>IF(G23="","",G23*Ayarlar!$B$3+Ayarlar!$B$4+Ayarlar!$B$5)</f>
        <v/>
      </c>
      <c r="I23" s="14">
        <f>IF(G23="","",ROUNDUP(((G23*Ayarlar!$B$3+Ayarlar!$B$4+Ayarlar!$B$5)+Ayarlar!$B$8)/((1-Ayarlar!$B$6)*(1-Ayarlar!$B$7)),0))</f>
        <v/>
      </c>
      <c r="J23" s="14">
        <f>IF(G23="","",ROUNDUP(((G23*Ayarlar!$B$3+Ayarlar!$B$4+Ayarlar!$B$5)+Ayarlar!$B$8)/((1-Ayarlar!$B$6)*(1-Ayarlar!$B$7-Ayarlar!$B$9)),0))</f>
        <v/>
      </c>
      <c r="K23" s="15">
        <f>IF(OR(G23="",F23=""),"",(F23*(1-Ayarlar!$B$6)-(F23*(1-Ayarlar!$B$6)*Ayarlar!$B$7+Ayarlar!$B$8)-(G23*Ayarlar!$B$3+Ayarlar!$B$4+Ayarlar!$B$5))/(F23*(1-Ayarlar!$B$6)))</f>
        <v/>
      </c>
      <c r="L23" s="3">
        <f>IF(G23="","GRAM EKSİK",IF(F23&gt;30000,"FİYAT ŞÜPHELİ",IF(K23&lt;0,"ZARARDA",IF(F23&lt;I23,"RİSKLİ","ok"))))</f>
        <v/>
      </c>
      <c r="M23" s="16" t="inlineStr">
        <is>
          <t>https://www.etsy.com/listing/1849022518</t>
        </is>
      </c>
    </row>
    <row r="24">
      <c r="A24" s="9" t="inlineStr">
        <is>
          <t>chains</t>
        </is>
      </c>
      <c r="B24" s="9" t="inlineStr">
        <is>
          <t>10K Gold Rope Chain Necklace – Twisted Diamond Cut, Men or W</t>
        </is>
      </c>
      <c r="C24" s="9" t="n">
        <v>1849022518</v>
      </c>
      <c r="D24" s="9" t="inlineStr">
        <is>
          <t>CR0P9-22</t>
        </is>
      </c>
      <c r="E24" s="9" t="inlineStr">
        <is>
          <t>description</t>
        </is>
      </c>
      <c r="F24" s="10" t="n">
        <v>3727</v>
      </c>
      <c r="G24" s="18" t="n">
        <v>28.88</v>
      </c>
      <c r="H24" s="10">
        <f>IF(G24="","",G24*Ayarlar!$B$3+Ayarlar!$B$4+Ayarlar!$B$5)</f>
        <v/>
      </c>
      <c r="I24" s="10">
        <f>IF(G24="","",ROUNDUP(((G24*Ayarlar!$B$3+Ayarlar!$B$4+Ayarlar!$B$5)+Ayarlar!$B$8)/((1-Ayarlar!$B$6)*(1-Ayarlar!$B$7)),0))</f>
        <v/>
      </c>
      <c r="J24" s="10">
        <f>IF(G24="","",ROUNDUP(((G24*Ayarlar!$B$3+Ayarlar!$B$4+Ayarlar!$B$5)+Ayarlar!$B$8)/((1-Ayarlar!$B$6)*(1-Ayarlar!$B$7-Ayarlar!$B$9)),0))</f>
        <v/>
      </c>
      <c r="K24" s="12">
        <f>IF(OR(G24="",F24=""),"",(F24*(1-Ayarlar!$B$6)-(F24*(1-Ayarlar!$B$6)*Ayarlar!$B$7+Ayarlar!$B$8)-(G24*Ayarlar!$B$3+Ayarlar!$B$4+Ayarlar!$B$5))/(F24*(1-Ayarlar!$B$6)))</f>
        <v/>
      </c>
      <c r="L24" s="9">
        <f>IF(G24="","GRAM EKSİK",IF(F24&gt;30000,"FİYAT ŞÜPHELİ",IF(K24&lt;0,"ZARARDA",IF(F24&lt;I24,"RİSKLİ","ok"))))</f>
        <v/>
      </c>
      <c r="M24" s="13" t="inlineStr">
        <is>
          <t>https://www.etsy.com/listing/1849022518</t>
        </is>
      </c>
    </row>
    <row r="25">
      <c r="A25" s="3" t="inlineStr">
        <is>
          <t>chains</t>
        </is>
      </c>
      <c r="B25" s="3" t="inlineStr">
        <is>
          <t>10K Gold Rope Chain Necklace – Twisted Diamond Cut, Men or W</t>
        </is>
      </c>
      <c r="C25" s="3" t="n">
        <v>1849022518</v>
      </c>
      <c r="D25" s="3" t="inlineStr">
        <is>
          <t>CR0P9-24</t>
        </is>
      </c>
      <c r="E25" s="3" t="inlineStr">
        <is>
          <t>description</t>
        </is>
      </c>
      <c r="F25" s="14" t="n">
        <v>4146</v>
      </c>
      <c r="G25" s="17" t="n">
        <v>31.51</v>
      </c>
      <c r="H25" s="14">
        <f>IF(G25="","",G25*Ayarlar!$B$3+Ayarlar!$B$4+Ayarlar!$B$5)</f>
        <v/>
      </c>
      <c r="I25" s="14">
        <f>IF(G25="","",ROUNDUP(((G25*Ayarlar!$B$3+Ayarlar!$B$4+Ayarlar!$B$5)+Ayarlar!$B$8)/((1-Ayarlar!$B$6)*(1-Ayarlar!$B$7)),0))</f>
        <v/>
      </c>
      <c r="J25" s="14">
        <f>IF(G25="","",ROUNDUP(((G25*Ayarlar!$B$3+Ayarlar!$B$4+Ayarlar!$B$5)+Ayarlar!$B$8)/((1-Ayarlar!$B$6)*(1-Ayarlar!$B$7-Ayarlar!$B$9)),0))</f>
        <v/>
      </c>
      <c r="K25" s="15">
        <f>IF(OR(G25="",F25=""),"",(F25*(1-Ayarlar!$B$6)-(F25*(1-Ayarlar!$B$6)*Ayarlar!$B$7+Ayarlar!$B$8)-(G25*Ayarlar!$B$3+Ayarlar!$B$4+Ayarlar!$B$5))/(F25*(1-Ayarlar!$B$6)))</f>
        <v/>
      </c>
      <c r="L25" s="3">
        <f>IF(G25="","GRAM EKSİK",IF(F25&gt;30000,"FİYAT ŞÜPHELİ",IF(K25&lt;0,"ZARARDA",IF(F25&lt;I25,"RİSKLİ","ok"))))</f>
        <v/>
      </c>
      <c r="M25" s="16" t="inlineStr">
        <is>
          <t>https://www.etsy.com/listing/1849022518</t>
        </is>
      </c>
    </row>
    <row r="26">
      <c r="A26" s="9" t="inlineStr">
        <is>
          <t>chains</t>
        </is>
      </c>
      <c r="B26" s="9" t="inlineStr">
        <is>
          <t>10K Gold Rope Chain Necklace – Twisted Diamond Cut, Men or W</t>
        </is>
      </c>
      <c r="C26" s="9" t="n">
        <v>1849022518</v>
      </c>
      <c r="D26" s="9" t="inlineStr">
        <is>
          <t>CR0P9-26</t>
        </is>
      </c>
      <c r="E26" s="9" t="inlineStr">
        <is>
          <t>description</t>
        </is>
      </c>
      <c r="F26" s="10" t="n">
        <v>4564</v>
      </c>
      <c r="G26" s="18" t="n">
        <v>34.13</v>
      </c>
      <c r="H26" s="10">
        <f>IF(G26="","",G26*Ayarlar!$B$3+Ayarlar!$B$4+Ayarlar!$B$5)</f>
        <v/>
      </c>
      <c r="I26" s="10">
        <f>IF(G26="","",ROUNDUP(((G26*Ayarlar!$B$3+Ayarlar!$B$4+Ayarlar!$B$5)+Ayarlar!$B$8)/((1-Ayarlar!$B$6)*(1-Ayarlar!$B$7)),0))</f>
        <v/>
      </c>
      <c r="J26" s="10">
        <f>IF(G26="","",ROUNDUP(((G26*Ayarlar!$B$3+Ayarlar!$B$4+Ayarlar!$B$5)+Ayarlar!$B$8)/((1-Ayarlar!$B$6)*(1-Ayarlar!$B$7-Ayarlar!$B$9)),0))</f>
        <v/>
      </c>
      <c r="K26" s="12">
        <f>IF(OR(G26="",F26=""),"",(F26*(1-Ayarlar!$B$6)-(F26*(1-Ayarlar!$B$6)*Ayarlar!$B$7+Ayarlar!$B$8)-(G26*Ayarlar!$B$3+Ayarlar!$B$4+Ayarlar!$B$5))/(F26*(1-Ayarlar!$B$6)))</f>
        <v/>
      </c>
      <c r="L26" s="9">
        <f>IF(G26="","GRAM EKSİK",IF(F26&gt;30000,"FİYAT ŞÜPHELİ",IF(K26&lt;0,"ZARARDA",IF(F26&lt;I26,"RİSKLİ","ok"))))</f>
        <v/>
      </c>
      <c r="M26" s="13" t="inlineStr">
        <is>
          <t>https://www.etsy.com/listing/1849022518</t>
        </is>
      </c>
    </row>
    <row r="27">
      <c r="A27" s="3" t="inlineStr">
        <is>
          <t>chains</t>
        </is>
      </c>
      <c r="B27" s="3" t="inlineStr">
        <is>
          <t>10K Gold Rope Chain Necklace – Twisted Diamond Cut, Men or W</t>
        </is>
      </c>
      <c r="C27" s="3" t="n">
        <v>1849022518</v>
      </c>
      <c r="D27" s="3" t="inlineStr">
        <is>
          <t>CR0P9-28</t>
        </is>
      </c>
      <c r="E27" s="3" t="inlineStr">
        <is>
          <t>description</t>
        </is>
      </c>
      <c r="F27" s="14" t="n">
        <v>4981</v>
      </c>
      <c r="G27" s="17" t="n">
        <v>36.76</v>
      </c>
      <c r="H27" s="14">
        <f>IF(G27="","",G27*Ayarlar!$B$3+Ayarlar!$B$4+Ayarlar!$B$5)</f>
        <v/>
      </c>
      <c r="I27" s="14">
        <f>IF(G27="","",ROUNDUP(((G27*Ayarlar!$B$3+Ayarlar!$B$4+Ayarlar!$B$5)+Ayarlar!$B$8)/((1-Ayarlar!$B$6)*(1-Ayarlar!$B$7)),0))</f>
        <v/>
      </c>
      <c r="J27" s="14">
        <f>IF(G27="","",ROUNDUP(((G27*Ayarlar!$B$3+Ayarlar!$B$4+Ayarlar!$B$5)+Ayarlar!$B$8)/((1-Ayarlar!$B$6)*(1-Ayarlar!$B$7-Ayarlar!$B$9)),0))</f>
        <v/>
      </c>
      <c r="K27" s="15">
        <f>IF(OR(G27="",F27=""),"",(F27*(1-Ayarlar!$B$6)-(F27*(1-Ayarlar!$B$6)*Ayarlar!$B$7+Ayarlar!$B$8)-(G27*Ayarlar!$B$3+Ayarlar!$B$4+Ayarlar!$B$5))/(F27*(1-Ayarlar!$B$6)))</f>
        <v/>
      </c>
      <c r="L27" s="3">
        <f>IF(G27="","GRAM EKSİK",IF(F27&gt;30000,"FİYAT ŞÜPHELİ",IF(K27&lt;0,"ZARARDA",IF(F27&lt;I27,"RİSKLİ","ok"))))</f>
        <v/>
      </c>
      <c r="M27" s="16" t="inlineStr">
        <is>
          <t>https://www.etsy.com/listing/1849022518</t>
        </is>
      </c>
    </row>
    <row r="28">
      <c r="A28" s="9" t="inlineStr">
        <is>
          <t>chains</t>
        </is>
      </c>
      <c r="B28" s="9" t="inlineStr">
        <is>
          <t>10K Real Gold Rope Bracelet - Unisex Twisted Diamond Cut</t>
        </is>
      </c>
      <c r="C28" s="9" t="n">
        <v>4297100272</v>
      </c>
      <c r="D28" s="9" t="inlineStr">
        <is>
          <t>BR-7</t>
        </is>
      </c>
      <c r="E28" s="9" t="inlineStr">
        <is>
          <t>description-scaled</t>
        </is>
      </c>
      <c r="F28" s="10" t="n">
        <v>169</v>
      </c>
      <c r="G28" s="18" t="n">
        <v>1.4</v>
      </c>
      <c r="H28" s="10">
        <f>IF(G28="","",G28*Ayarlar!$B$3+Ayarlar!$B$4+Ayarlar!$B$5)</f>
        <v/>
      </c>
      <c r="I28" s="10">
        <f>IF(G28="","",ROUNDUP(((G28*Ayarlar!$B$3+Ayarlar!$B$4+Ayarlar!$B$5)+Ayarlar!$B$8)/((1-Ayarlar!$B$6)*(1-Ayarlar!$B$7)),0))</f>
        <v/>
      </c>
      <c r="J28" s="10">
        <f>IF(G28="","",ROUNDUP(((G28*Ayarlar!$B$3+Ayarlar!$B$4+Ayarlar!$B$5)+Ayarlar!$B$8)/((1-Ayarlar!$B$6)*(1-Ayarlar!$B$7-Ayarlar!$B$9)),0))</f>
        <v/>
      </c>
      <c r="K28" s="12">
        <f>IF(OR(G28="",F28=""),"",(F28*(1-Ayarlar!$B$6)-(F28*(1-Ayarlar!$B$6)*Ayarlar!$B$7+Ayarlar!$B$8)-(G28*Ayarlar!$B$3+Ayarlar!$B$4+Ayarlar!$B$5))/(F28*(1-Ayarlar!$B$6)))</f>
        <v/>
      </c>
      <c r="L28" s="9">
        <f>IF(G28="","GRAM EKSİK",IF(F28&gt;30000,"FİYAT ŞÜPHELİ",IF(K28&lt;0,"ZARARDA",IF(F28&lt;I28,"RİSKLİ","ok"))))</f>
        <v/>
      </c>
      <c r="M28" s="13" t="inlineStr">
        <is>
          <t>https://www.etsy.com/listing/4297100272</t>
        </is>
      </c>
    </row>
    <row r="29">
      <c r="A29" s="3" t="inlineStr">
        <is>
          <t>chains</t>
        </is>
      </c>
      <c r="B29" s="3" t="inlineStr">
        <is>
          <t>10K Real Gold Rope Bracelet - Unisex Twisted Diamond Cut</t>
        </is>
      </c>
      <c r="C29" s="3" t="n">
        <v>4297100272</v>
      </c>
      <c r="D29" s="3" t="inlineStr">
        <is>
          <t>BR-7.5</t>
        </is>
      </c>
      <c r="E29" s="3" t="inlineStr">
        <is>
          <t>description-scaled</t>
        </is>
      </c>
      <c r="F29" s="14" t="n">
        <v>192</v>
      </c>
      <c r="G29" s="17" t="n">
        <v>1.5</v>
      </c>
      <c r="H29" s="14">
        <f>IF(G29="","",G29*Ayarlar!$B$3+Ayarlar!$B$4+Ayarlar!$B$5)</f>
        <v/>
      </c>
      <c r="I29" s="14">
        <f>IF(G29="","",ROUNDUP(((G29*Ayarlar!$B$3+Ayarlar!$B$4+Ayarlar!$B$5)+Ayarlar!$B$8)/((1-Ayarlar!$B$6)*(1-Ayarlar!$B$7)),0))</f>
        <v/>
      </c>
      <c r="J29" s="14">
        <f>IF(G29="","",ROUNDUP(((G29*Ayarlar!$B$3+Ayarlar!$B$4+Ayarlar!$B$5)+Ayarlar!$B$8)/((1-Ayarlar!$B$6)*(1-Ayarlar!$B$7-Ayarlar!$B$9)),0))</f>
        <v/>
      </c>
      <c r="K29" s="15">
        <f>IF(OR(G29="",F29=""),"",(F29*(1-Ayarlar!$B$6)-(F29*(1-Ayarlar!$B$6)*Ayarlar!$B$7+Ayarlar!$B$8)-(G29*Ayarlar!$B$3+Ayarlar!$B$4+Ayarlar!$B$5))/(F29*(1-Ayarlar!$B$6)))</f>
        <v/>
      </c>
      <c r="L29" s="3">
        <f>IF(G29="","GRAM EKSİK",IF(F29&gt;30000,"FİYAT ŞÜPHELİ",IF(K29&lt;0,"ZARARDA",IF(F29&lt;I29,"RİSKLİ","ok"))))</f>
        <v/>
      </c>
      <c r="M29" s="16" t="inlineStr">
        <is>
          <t>https://www.etsy.com/listing/4297100272</t>
        </is>
      </c>
    </row>
    <row r="30">
      <c r="A30" s="9" t="inlineStr">
        <is>
          <t>chains</t>
        </is>
      </c>
      <c r="B30" s="9" t="inlineStr">
        <is>
          <t>10K Real Gold Rope Bracelet - Unisex Twisted Diamond Cut</t>
        </is>
      </c>
      <c r="C30" s="9" t="n">
        <v>4297100272</v>
      </c>
      <c r="D30" s="9" t="inlineStr">
        <is>
          <t>BR-8</t>
        </is>
      </c>
      <c r="E30" s="9" t="inlineStr">
        <is>
          <t>description</t>
        </is>
      </c>
      <c r="F30" s="10" t="n">
        <v>216</v>
      </c>
      <c r="G30" s="18" t="n">
        <v>1.6</v>
      </c>
      <c r="H30" s="10">
        <f>IF(G30="","",G30*Ayarlar!$B$3+Ayarlar!$B$4+Ayarlar!$B$5)</f>
        <v/>
      </c>
      <c r="I30" s="10">
        <f>IF(G30="","",ROUNDUP(((G30*Ayarlar!$B$3+Ayarlar!$B$4+Ayarlar!$B$5)+Ayarlar!$B$8)/((1-Ayarlar!$B$6)*(1-Ayarlar!$B$7)),0))</f>
        <v/>
      </c>
      <c r="J30" s="10">
        <f>IF(G30="","",ROUNDUP(((G30*Ayarlar!$B$3+Ayarlar!$B$4+Ayarlar!$B$5)+Ayarlar!$B$8)/((1-Ayarlar!$B$6)*(1-Ayarlar!$B$7-Ayarlar!$B$9)),0))</f>
        <v/>
      </c>
      <c r="K30" s="12">
        <f>IF(OR(G30="",F30=""),"",(F30*(1-Ayarlar!$B$6)-(F30*(1-Ayarlar!$B$6)*Ayarlar!$B$7+Ayarlar!$B$8)-(G30*Ayarlar!$B$3+Ayarlar!$B$4+Ayarlar!$B$5))/(F30*(1-Ayarlar!$B$6)))</f>
        <v/>
      </c>
      <c r="L30" s="9">
        <f>IF(G30="","GRAM EKSİK",IF(F30&gt;30000,"FİYAT ŞÜPHELİ",IF(K30&lt;0,"ZARARDA",IF(F30&lt;I30,"RİSKLİ","ok"))))</f>
        <v/>
      </c>
      <c r="M30" s="13" t="inlineStr">
        <is>
          <t>https://www.etsy.com/listing/4297100272</t>
        </is>
      </c>
    </row>
    <row r="31">
      <c r="A31" s="3" t="inlineStr">
        <is>
          <t>chains</t>
        </is>
      </c>
      <c r="B31" s="3" t="inlineStr">
        <is>
          <t>10K Real Gold Rope Bracelet - Unisex Twisted Diamond Cut</t>
        </is>
      </c>
      <c r="C31" s="3" t="n">
        <v>4297100272</v>
      </c>
      <c r="D31" s="3" t="inlineStr">
        <is>
          <t>BR0-7</t>
        </is>
      </c>
      <c r="E31" s="3" t="inlineStr">
        <is>
          <t>description-scaled</t>
        </is>
      </c>
      <c r="F31" s="14" t="n">
        <v>156</v>
      </c>
      <c r="G31" s="17" t="n">
        <v>1.25</v>
      </c>
      <c r="H31" s="14">
        <f>IF(G31="","",G31*Ayarlar!$B$3+Ayarlar!$B$4+Ayarlar!$B$5)</f>
        <v/>
      </c>
      <c r="I31" s="14">
        <f>IF(G31="","",ROUNDUP(((G31*Ayarlar!$B$3+Ayarlar!$B$4+Ayarlar!$B$5)+Ayarlar!$B$8)/((1-Ayarlar!$B$6)*(1-Ayarlar!$B$7)),0))</f>
        <v/>
      </c>
      <c r="J31" s="14">
        <f>IF(G31="","",ROUNDUP(((G31*Ayarlar!$B$3+Ayarlar!$B$4+Ayarlar!$B$5)+Ayarlar!$B$8)/((1-Ayarlar!$B$6)*(1-Ayarlar!$B$7-Ayarlar!$B$9)),0))</f>
        <v/>
      </c>
      <c r="K31" s="15">
        <f>IF(OR(G31="",F31=""),"",(F31*(1-Ayarlar!$B$6)-(F31*(1-Ayarlar!$B$6)*Ayarlar!$B$7+Ayarlar!$B$8)-(G31*Ayarlar!$B$3+Ayarlar!$B$4+Ayarlar!$B$5))/(F31*(1-Ayarlar!$B$6)))</f>
        <v/>
      </c>
      <c r="L31" s="3">
        <f>IF(G31="","GRAM EKSİK",IF(F31&gt;30000,"FİYAT ŞÜPHELİ",IF(K31&lt;0,"ZARARDA",IF(F31&lt;I31,"RİSKLİ","ok"))))</f>
        <v/>
      </c>
      <c r="M31" s="16" t="inlineStr">
        <is>
          <t>https://www.etsy.com/listing/4297100272</t>
        </is>
      </c>
    </row>
    <row r="32">
      <c r="A32" s="9" t="inlineStr">
        <is>
          <t>chains</t>
        </is>
      </c>
      <c r="B32" s="9" t="inlineStr">
        <is>
          <t>10K Real Gold Rope Bracelet - Unisex Twisted Diamond Cut</t>
        </is>
      </c>
      <c r="C32" s="9" t="n">
        <v>4297100272</v>
      </c>
      <c r="D32" s="9" t="inlineStr">
        <is>
          <t>BR0-7.5</t>
        </is>
      </c>
      <c r="E32" s="9" t="inlineStr">
        <is>
          <t>description-scaled</t>
        </is>
      </c>
      <c r="F32" s="10" t="n">
        <v>180</v>
      </c>
      <c r="G32" s="18" t="n">
        <v>1.34</v>
      </c>
      <c r="H32" s="10">
        <f>IF(G32="","",G32*Ayarlar!$B$3+Ayarlar!$B$4+Ayarlar!$B$5)</f>
        <v/>
      </c>
      <c r="I32" s="10">
        <f>IF(G32="","",ROUNDUP(((G32*Ayarlar!$B$3+Ayarlar!$B$4+Ayarlar!$B$5)+Ayarlar!$B$8)/((1-Ayarlar!$B$6)*(1-Ayarlar!$B$7)),0))</f>
        <v/>
      </c>
      <c r="J32" s="10">
        <f>IF(G32="","",ROUNDUP(((G32*Ayarlar!$B$3+Ayarlar!$B$4+Ayarlar!$B$5)+Ayarlar!$B$8)/((1-Ayarlar!$B$6)*(1-Ayarlar!$B$7-Ayarlar!$B$9)),0))</f>
        <v/>
      </c>
      <c r="K32" s="12">
        <f>IF(OR(G32="",F32=""),"",(F32*(1-Ayarlar!$B$6)-(F32*(1-Ayarlar!$B$6)*Ayarlar!$B$7+Ayarlar!$B$8)-(G32*Ayarlar!$B$3+Ayarlar!$B$4+Ayarlar!$B$5))/(F32*(1-Ayarlar!$B$6)))</f>
        <v/>
      </c>
      <c r="L32" s="9">
        <f>IF(G32="","GRAM EKSİK",IF(F32&gt;30000,"FİYAT ŞÜPHELİ",IF(K32&lt;0,"ZARARDA",IF(F32&lt;I32,"RİSKLİ","ok"))))</f>
        <v/>
      </c>
      <c r="M32" s="13" t="inlineStr">
        <is>
          <t>https://www.etsy.com/listing/4297100272</t>
        </is>
      </c>
    </row>
    <row r="33">
      <c r="A33" s="3" t="inlineStr">
        <is>
          <t>chains</t>
        </is>
      </c>
      <c r="B33" s="3" t="inlineStr">
        <is>
          <t>10K Real Gold Rope Bracelet - Unisex Twisted Diamond Cut</t>
        </is>
      </c>
      <c r="C33" s="3" t="n">
        <v>4297100272</v>
      </c>
      <c r="D33" s="3" t="inlineStr">
        <is>
          <t>BR0-8</t>
        </is>
      </c>
      <c r="E33" s="3" t="inlineStr">
        <is>
          <t>description</t>
        </is>
      </c>
      <c r="F33" s="14" t="n">
        <v>204</v>
      </c>
      <c r="G33" s="17" t="n">
        <v>1.43</v>
      </c>
      <c r="H33" s="14">
        <f>IF(G33="","",G33*Ayarlar!$B$3+Ayarlar!$B$4+Ayarlar!$B$5)</f>
        <v/>
      </c>
      <c r="I33" s="14">
        <f>IF(G33="","",ROUNDUP(((G33*Ayarlar!$B$3+Ayarlar!$B$4+Ayarlar!$B$5)+Ayarlar!$B$8)/((1-Ayarlar!$B$6)*(1-Ayarlar!$B$7)),0))</f>
        <v/>
      </c>
      <c r="J33" s="14">
        <f>IF(G33="","",ROUNDUP(((G33*Ayarlar!$B$3+Ayarlar!$B$4+Ayarlar!$B$5)+Ayarlar!$B$8)/((1-Ayarlar!$B$6)*(1-Ayarlar!$B$7-Ayarlar!$B$9)),0))</f>
        <v/>
      </c>
      <c r="K33" s="15">
        <f>IF(OR(G33="",F33=""),"",(F33*(1-Ayarlar!$B$6)-(F33*(1-Ayarlar!$B$6)*Ayarlar!$B$7+Ayarlar!$B$8)-(G33*Ayarlar!$B$3+Ayarlar!$B$4+Ayarlar!$B$5))/(F33*(1-Ayarlar!$B$6)))</f>
        <v/>
      </c>
      <c r="L33" s="3">
        <f>IF(G33="","GRAM EKSİK",IF(F33&gt;30000,"FİYAT ŞÜPHELİ",IF(K33&lt;0,"ZARARDA",IF(F33&lt;I33,"RİSKLİ","ok"))))</f>
        <v/>
      </c>
      <c r="M33" s="16" t="inlineStr">
        <is>
          <t>https://www.etsy.com/listing/4297100272</t>
        </is>
      </c>
    </row>
    <row r="34">
      <c r="A34" s="9" t="inlineStr">
        <is>
          <t>chains</t>
        </is>
      </c>
      <c r="B34" s="9" t="inlineStr">
        <is>
          <t>10K Real Gold Rope Bracelet - Unisex Twisted Diamond Cut</t>
        </is>
      </c>
      <c r="C34" s="9" t="n">
        <v>4297100272</v>
      </c>
      <c r="D34" s="9" t="inlineStr">
        <is>
          <t>BR1-7</t>
        </is>
      </c>
      <c r="E34" s="9" t="inlineStr">
        <is>
          <t>shipstation</t>
        </is>
      </c>
      <c r="F34" s="10" t="n">
        <v>180</v>
      </c>
      <c r="G34" s="18" t="n">
        <v>1.31</v>
      </c>
      <c r="H34" s="10">
        <f>IF(G34="","",G34*Ayarlar!$B$3+Ayarlar!$B$4+Ayarlar!$B$5)</f>
        <v/>
      </c>
      <c r="I34" s="10">
        <f>IF(G34="","",ROUNDUP(((G34*Ayarlar!$B$3+Ayarlar!$B$4+Ayarlar!$B$5)+Ayarlar!$B$8)/((1-Ayarlar!$B$6)*(1-Ayarlar!$B$7)),0))</f>
        <v/>
      </c>
      <c r="J34" s="10">
        <f>IF(G34="","",ROUNDUP(((G34*Ayarlar!$B$3+Ayarlar!$B$4+Ayarlar!$B$5)+Ayarlar!$B$8)/((1-Ayarlar!$B$6)*(1-Ayarlar!$B$7-Ayarlar!$B$9)),0))</f>
        <v/>
      </c>
      <c r="K34" s="12">
        <f>IF(OR(G34="",F34=""),"",(F34*(1-Ayarlar!$B$6)-(F34*(1-Ayarlar!$B$6)*Ayarlar!$B$7+Ayarlar!$B$8)-(G34*Ayarlar!$B$3+Ayarlar!$B$4+Ayarlar!$B$5))/(F34*(1-Ayarlar!$B$6)))</f>
        <v/>
      </c>
      <c r="L34" s="9">
        <f>IF(G34="","GRAM EKSİK",IF(F34&gt;30000,"FİYAT ŞÜPHELİ",IF(K34&lt;0,"ZARARDA",IF(F34&lt;I34,"RİSKLİ","ok"))))</f>
        <v/>
      </c>
      <c r="M34" s="13" t="inlineStr">
        <is>
          <t>https://www.etsy.com/listing/4297100272</t>
        </is>
      </c>
    </row>
    <row r="35">
      <c r="A35" s="3" t="inlineStr">
        <is>
          <t>chains</t>
        </is>
      </c>
      <c r="B35" s="3" t="inlineStr">
        <is>
          <t>10K Real Gold Rope Bracelet - Unisex Twisted Diamond Cut</t>
        </is>
      </c>
      <c r="C35" s="3" t="n">
        <v>4297100272</v>
      </c>
      <c r="D35" s="3" t="inlineStr">
        <is>
          <t>BR1-7.5</t>
        </is>
      </c>
      <c r="E35" s="3" t="inlineStr">
        <is>
          <t>inferred</t>
        </is>
      </c>
      <c r="F35" s="14" t="n">
        <v>210</v>
      </c>
      <c r="G35" s="17" t="n">
        <v>1.4</v>
      </c>
      <c r="H35" s="14">
        <f>IF(G35="","",G35*Ayarlar!$B$3+Ayarlar!$B$4+Ayarlar!$B$5)</f>
        <v/>
      </c>
      <c r="I35" s="14">
        <f>IF(G35="","",ROUNDUP(((G35*Ayarlar!$B$3+Ayarlar!$B$4+Ayarlar!$B$5)+Ayarlar!$B$8)/((1-Ayarlar!$B$6)*(1-Ayarlar!$B$7)),0))</f>
        <v/>
      </c>
      <c r="J35" s="14">
        <f>IF(G35="","",ROUNDUP(((G35*Ayarlar!$B$3+Ayarlar!$B$4+Ayarlar!$B$5)+Ayarlar!$B$8)/((1-Ayarlar!$B$6)*(1-Ayarlar!$B$7-Ayarlar!$B$9)),0))</f>
        <v/>
      </c>
      <c r="K35" s="15">
        <f>IF(OR(G35="",F35=""),"",(F35*(1-Ayarlar!$B$6)-(F35*(1-Ayarlar!$B$6)*Ayarlar!$B$7+Ayarlar!$B$8)-(G35*Ayarlar!$B$3+Ayarlar!$B$4+Ayarlar!$B$5))/(F35*(1-Ayarlar!$B$6)))</f>
        <v/>
      </c>
      <c r="L35" s="3">
        <f>IF(G35="","GRAM EKSİK",IF(F35&gt;30000,"FİYAT ŞÜPHELİ",IF(K35&lt;0,"ZARARDA",IF(F35&lt;I35,"RİSKLİ","ok"))))</f>
        <v/>
      </c>
      <c r="M35" s="16" t="inlineStr">
        <is>
          <t>https://www.etsy.com/listing/4297100272</t>
        </is>
      </c>
    </row>
    <row r="36">
      <c r="A36" s="9" t="inlineStr">
        <is>
          <t>chains</t>
        </is>
      </c>
      <c r="B36" s="9" t="inlineStr">
        <is>
          <t>10K Real Gold Rope Bracelet - Unisex Twisted Diamond Cut</t>
        </is>
      </c>
      <c r="C36" s="9" t="n">
        <v>4297100272</v>
      </c>
      <c r="D36" s="9" t="inlineStr">
        <is>
          <t>BR1-8</t>
        </is>
      </c>
      <c r="E36" s="9" t="inlineStr">
        <is>
          <t>inferred</t>
        </is>
      </c>
      <c r="F36" s="10" t="n">
        <v>233</v>
      </c>
      <c r="G36" s="18" t="n">
        <v>1.5</v>
      </c>
      <c r="H36" s="10">
        <f>IF(G36="","",G36*Ayarlar!$B$3+Ayarlar!$B$4+Ayarlar!$B$5)</f>
        <v/>
      </c>
      <c r="I36" s="10">
        <f>IF(G36="","",ROUNDUP(((G36*Ayarlar!$B$3+Ayarlar!$B$4+Ayarlar!$B$5)+Ayarlar!$B$8)/((1-Ayarlar!$B$6)*(1-Ayarlar!$B$7)),0))</f>
        <v/>
      </c>
      <c r="J36" s="10">
        <f>IF(G36="","",ROUNDUP(((G36*Ayarlar!$B$3+Ayarlar!$B$4+Ayarlar!$B$5)+Ayarlar!$B$8)/((1-Ayarlar!$B$6)*(1-Ayarlar!$B$7-Ayarlar!$B$9)),0))</f>
        <v/>
      </c>
      <c r="K36" s="12">
        <f>IF(OR(G36="",F36=""),"",(F36*(1-Ayarlar!$B$6)-(F36*(1-Ayarlar!$B$6)*Ayarlar!$B$7+Ayarlar!$B$8)-(G36*Ayarlar!$B$3+Ayarlar!$B$4+Ayarlar!$B$5))/(F36*(1-Ayarlar!$B$6)))</f>
        <v/>
      </c>
      <c r="L36" s="9">
        <f>IF(G36="","GRAM EKSİK",IF(F36&gt;30000,"FİYAT ŞÜPHELİ",IF(K36&lt;0,"ZARARDA",IF(F36&lt;I36,"RİSKLİ","ok"))))</f>
        <v/>
      </c>
      <c r="M36" s="13" t="inlineStr">
        <is>
          <t>https://www.etsy.com/listing/4297100272</t>
        </is>
      </c>
    </row>
    <row r="37">
      <c r="A37" s="3" t="inlineStr">
        <is>
          <t>chains</t>
        </is>
      </c>
      <c r="B37" s="3" t="inlineStr">
        <is>
          <t>10K Real Gold Rope Bracelet - Unisex Twisted Diamond Cut</t>
        </is>
      </c>
      <c r="C37" s="3" t="n">
        <v>4297100272</v>
      </c>
      <c r="D37" s="3" t="inlineStr">
        <is>
          <t>BR2-7</t>
        </is>
      </c>
      <c r="E37" s="3" t="inlineStr">
        <is>
          <t>description-scaled</t>
        </is>
      </c>
      <c r="F37" s="14" t="n">
        <v>347</v>
      </c>
      <c r="G37" s="17" t="n">
        <v>2.35</v>
      </c>
      <c r="H37" s="14">
        <f>IF(G37="","",G37*Ayarlar!$B$3+Ayarlar!$B$4+Ayarlar!$B$5)</f>
        <v/>
      </c>
      <c r="I37" s="14">
        <f>IF(G37="","",ROUNDUP(((G37*Ayarlar!$B$3+Ayarlar!$B$4+Ayarlar!$B$5)+Ayarlar!$B$8)/((1-Ayarlar!$B$6)*(1-Ayarlar!$B$7)),0))</f>
        <v/>
      </c>
      <c r="J37" s="14">
        <f>IF(G37="","",ROUNDUP(((G37*Ayarlar!$B$3+Ayarlar!$B$4+Ayarlar!$B$5)+Ayarlar!$B$8)/((1-Ayarlar!$B$6)*(1-Ayarlar!$B$7-Ayarlar!$B$9)),0))</f>
        <v/>
      </c>
      <c r="K37" s="15">
        <f>IF(OR(G37="",F37=""),"",(F37*(1-Ayarlar!$B$6)-(F37*(1-Ayarlar!$B$6)*Ayarlar!$B$7+Ayarlar!$B$8)-(G37*Ayarlar!$B$3+Ayarlar!$B$4+Ayarlar!$B$5))/(F37*(1-Ayarlar!$B$6)))</f>
        <v/>
      </c>
      <c r="L37" s="3">
        <f>IF(G37="","GRAM EKSİK",IF(F37&gt;30000,"FİYAT ŞÜPHELİ",IF(K37&lt;0,"ZARARDA",IF(F37&lt;I37,"RİSKLİ","ok"))))</f>
        <v/>
      </c>
      <c r="M37" s="16" t="inlineStr">
        <is>
          <t>https://www.etsy.com/listing/4297100272</t>
        </is>
      </c>
    </row>
    <row r="38">
      <c r="A38" s="9" t="inlineStr">
        <is>
          <t>chains</t>
        </is>
      </c>
      <c r="B38" s="9" t="inlineStr">
        <is>
          <t>10K Real Gold Rope Bracelet - Unisex Twisted Diamond Cut</t>
        </is>
      </c>
      <c r="C38" s="9" t="n">
        <v>4297100272</v>
      </c>
      <c r="D38" s="9" t="inlineStr">
        <is>
          <t>BR2-7.5</t>
        </is>
      </c>
      <c r="E38" s="9" t="inlineStr">
        <is>
          <t>description-scaled</t>
        </is>
      </c>
      <c r="F38" s="10" t="n">
        <v>359</v>
      </c>
      <c r="G38" s="18" t="n">
        <v>2.51</v>
      </c>
      <c r="H38" s="10">
        <f>IF(G38="","",G38*Ayarlar!$B$3+Ayarlar!$B$4+Ayarlar!$B$5)</f>
        <v/>
      </c>
      <c r="I38" s="10">
        <f>IF(G38="","",ROUNDUP(((G38*Ayarlar!$B$3+Ayarlar!$B$4+Ayarlar!$B$5)+Ayarlar!$B$8)/((1-Ayarlar!$B$6)*(1-Ayarlar!$B$7)),0))</f>
        <v/>
      </c>
      <c r="J38" s="10">
        <f>IF(G38="","",ROUNDUP(((G38*Ayarlar!$B$3+Ayarlar!$B$4+Ayarlar!$B$5)+Ayarlar!$B$8)/((1-Ayarlar!$B$6)*(1-Ayarlar!$B$7-Ayarlar!$B$9)),0))</f>
        <v/>
      </c>
      <c r="K38" s="12">
        <f>IF(OR(G38="",F38=""),"",(F38*(1-Ayarlar!$B$6)-(F38*(1-Ayarlar!$B$6)*Ayarlar!$B$7+Ayarlar!$B$8)-(G38*Ayarlar!$B$3+Ayarlar!$B$4+Ayarlar!$B$5))/(F38*(1-Ayarlar!$B$6)))</f>
        <v/>
      </c>
      <c r="L38" s="9">
        <f>IF(G38="","GRAM EKSİK",IF(F38&gt;30000,"FİYAT ŞÜPHELİ",IF(K38&lt;0,"ZARARDA",IF(F38&lt;I38,"RİSKLİ","ok"))))</f>
        <v/>
      </c>
      <c r="M38" s="13" t="inlineStr">
        <is>
          <t>https://www.etsy.com/listing/4297100272</t>
        </is>
      </c>
    </row>
    <row r="39">
      <c r="A39" s="3" t="inlineStr">
        <is>
          <t>chains</t>
        </is>
      </c>
      <c r="B39" s="3" t="inlineStr">
        <is>
          <t>10K Real Gold Rope Bracelet - Unisex Twisted Diamond Cut</t>
        </is>
      </c>
      <c r="C39" s="3" t="n">
        <v>4297100272</v>
      </c>
      <c r="D39" s="3" t="inlineStr">
        <is>
          <t>BR2-8</t>
        </is>
      </c>
      <c r="E39" s="3" t="inlineStr">
        <is>
          <t>description</t>
        </is>
      </c>
      <c r="F39" s="14" t="n">
        <v>371</v>
      </c>
      <c r="G39" s="17" t="n">
        <v>2.68</v>
      </c>
      <c r="H39" s="14">
        <f>IF(G39="","",G39*Ayarlar!$B$3+Ayarlar!$B$4+Ayarlar!$B$5)</f>
        <v/>
      </c>
      <c r="I39" s="14">
        <f>IF(G39="","",ROUNDUP(((G39*Ayarlar!$B$3+Ayarlar!$B$4+Ayarlar!$B$5)+Ayarlar!$B$8)/((1-Ayarlar!$B$6)*(1-Ayarlar!$B$7)),0))</f>
        <v/>
      </c>
      <c r="J39" s="14">
        <f>IF(G39="","",ROUNDUP(((G39*Ayarlar!$B$3+Ayarlar!$B$4+Ayarlar!$B$5)+Ayarlar!$B$8)/((1-Ayarlar!$B$6)*(1-Ayarlar!$B$7-Ayarlar!$B$9)),0))</f>
        <v/>
      </c>
      <c r="K39" s="15">
        <f>IF(OR(G39="",F39=""),"",(F39*(1-Ayarlar!$B$6)-(F39*(1-Ayarlar!$B$6)*Ayarlar!$B$7+Ayarlar!$B$8)-(G39*Ayarlar!$B$3+Ayarlar!$B$4+Ayarlar!$B$5))/(F39*(1-Ayarlar!$B$6)))</f>
        <v/>
      </c>
      <c r="L39" s="3">
        <f>IF(G39="","GRAM EKSİK",IF(F39&gt;30000,"FİYAT ŞÜPHELİ",IF(K39&lt;0,"ZARARDA",IF(F39&lt;I39,"RİSKLİ","ok"))))</f>
        <v/>
      </c>
      <c r="M39" s="16" t="inlineStr">
        <is>
          <t>https://www.etsy.com/listing/4297100272</t>
        </is>
      </c>
    </row>
    <row r="40">
      <c r="A40" s="9" t="inlineStr">
        <is>
          <t>chains</t>
        </is>
      </c>
      <c r="B40" s="9" t="inlineStr">
        <is>
          <t>10K Real Gold Rope Bracelet - Unisex Twisted Diamond Cut</t>
        </is>
      </c>
      <c r="C40" s="9" t="n">
        <v>4297100272</v>
      </c>
      <c r="D40" s="9" t="inlineStr">
        <is>
          <t>BR3-7</t>
        </is>
      </c>
      <c r="E40" s="9" t="inlineStr">
        <is>
          <t>description-scaled</t>
        </is>
      </c>
      <c r="F40" s="10" t="n">
        <v>336</v>
      </c>
      <c r="G40" s="18" t="n">
        <v>2.58</v>
      </c>
      <c r="H40" s="10">
        <f>IF(G40="","",G40*Ayarlar!$B$3+Ayarlar!$B$4+Ayarlar!$B$5)</f>
        <v/>
      </c>
      <c r="I40" s="10">
        <f>IF(G40="","",ROUNDUP(((G40*Ayarlar!$B$3+Ayarlar!$B$4+Ayarlar!$B$5)+Ayarlar!$B$8)/((1-Ayarlar!$B$6)*(1-Ayarlar!$B$7)),0))</f>
        <v/>
      </c>
      <c r="J40" s="10">
        <f>IF(G40="","",ROUNDUP(((G40*Ayarlar!$B$3+Ayarlar!$B$4+Ayarlar!$B$5)+Ayarlar!$B$8)/((1-Ayarlar!$B$6)*(1-Ayarlar!$B$7-Ayarlar!$B$9)),0))</f>
        <v/>
      </c>
      <c r="K40" s="12">
        <f>IF(OR(G40="",F40=""),"",(F40*(1-Ayarlar!$B$6)-(F40*(1-Ayarlar!$B$6)*Ayarlar!$B$7+Ayarlar!$B$8)-(G40*Ayarlar!$B$3+Ayarlar!$B$4+Ayarlar!$B$5))/(F40*(1-Ayarlar!$B$6)))</f>
        <v/>
      </c>
      <c r="L40" s="9">
        <f>IF(G40="","GRAM EKSİK",IF(F40&gt;30000,"FİYAT ŞÜPHELİ",IF(K40&lt;0,"ZARARDA",IF(F40&lt;I40,"RİSKLİ","ok"))))</f>
        <v/>
      </c>
      <c r="M40" s="13" t="inlineStr">
        <is>
          <t>https://www.etsy.com/listing/4297100272</t>
        </is>
      </c>
    </row>
    <row r="41">
      <c r="A41" s="3" t="inlineStr">
        <is>
          <t>chains</t>
        </is>
      </c>
      <c r="B41" s="3" t="inlineStr">
        <is>
          <t>10K Real Gold Rope Bracelet - Unisex Twisted Diamond Cut</t>
        </is>
      </c>
      <c r="C41" s="3" t="n">
        <v>4297100272</v>
      </c>
      <c r="D41" s="3" t="inlineStr">
        <is>
          <t>BR3-7.5</t>
        </is>
      </c>
      <c r="E41" s="3" t="inlineStr">
        <is>
          <t>description-scaled</t>
        </is>
      </c>
      <c r="F41" s="14" t="n">
        <v>360</v>
      </c>
      <c r="G41" s="17" t="n">
        <v>2.77</v>
      </c>
      <c r="H41" s="14">
        <f>IF(G41="","",G41*Ayarlar!$B$3+Ayarlar!$B$4+Ayarlar!$B$5)</f>
        <v/>
      </c>
      <c r="I41" s="14">
        <f>IF(G41="","",ROUNDUP(((G41*Ayarlar!$B$3+Ayarlar!$B$4+Ayarlar!$B$5)+Ayarlar!$B$8)/((1-Ayarlar!$B$6)*(1-Ayarlar!$B$7)),0))</f>
        <v/>
      </c>
      <c r="J41" s="14">
        <f>IF(G41="","",ROUNDUP(((G41*Ayarlar!$B$3+Ayarlar!$B$4+Ayarlar!$B$5)+Ayarlar!$B$8)/((1-Ayarlar!$B$6)*(1-Ayarlar!$B$7-Ayarlar!$B$9)),0))</f>
        <v/>
      </c>
      <c r="K41" s="15">
        <f>IF(OR(G41="",F41=""),"",(F41*(1-Ayarlar!$B$6)-(F41*(1-Ayarlar!$B$6)*Ayarlar!$B$7+Ayarlar!$B$8)-(G41*Ayarlar!$B$3+Ayarlar!$B$4+Ayarlar!$B$5))/(F41*(1-Ayarlar!$B$6)))</f>
        <v/>
      </c>
      <c r="L41" s="3">
        <f>IF(G41="","GRAM EKSİK",IF(F41&gt;30000,"FİYAT ŞÜPHELİ",IF(K41&lt;0,"ZARARDA",IF(F41&lt;I41,"RİSKLİ","ok"))))</f>
        <v/>
      </c>
      <c r="M41" s="16" t="inlineStr">
        <is>
          <t>https://www.etsy.com/listing/4297100272</t>
        </is>
      </c>
    </row>
    <row r="42">
      <c r="A42" s="9" t="inlineStr">
        <is>
          <t>chains</t>
        </is>
      </c>
      <c r="B42" s="9" t="inlineStr">
        <is>
          <t>10K Real Gold Rope Bracelet - Unisex Twisted Diamond Cut</t>
        </is>
      </c>
      <c r="C42" s="9" t="n">
        <v>4297100272</v>
      </c>
      <c r="D42" s="9" t="inlineStr">
        <is>
          <t>BR3-8</t>
        </is>
      </c>
      <c r="E42" s="9" t="inlineStr">
        <is>
          <t>description</t>
        </is>
      </c>
      <c r="F42" s="10" t="n">
        <v>384</v>
      </c>
      <c r="G42" s="18" t="n">
        <v>2.95</v>
      </c>
      <c r="H42" s="10">
        <f>IF(G42="","",G42*Ayarlar!$B$3+Ayarlar!$B$4+Ayarlar!$B$5)</f>
        <v/>
      </c>
      <c r="I42" s="10">
        <f>IF(G42="","",ROUNDUP(((G42*Ayarlar!$B$3+Ayarlar!$B$4+Ayarlar!$B$5)+Ayarlar!$B$8)/((1-Ayarlar!$B$6)*(1-Ayarlar!$B$7)),0))</f>
        <v/>
      </c>
      <c r="J42" s="10">
        <f>IF(G42="","",ROUNDUP(((G42*Ayarlar!$B$3+Ayarlar!$B$4+Ayarlar!$B$5)+Ayarlar!$B$8)/((1-Ayarlar!$B$6)*(1-Ayarlar!$B$7-Ayarlar!$B$9)),0))</f>
        <v/>
      </c>
      <c r="K42" s="12">
        <f>IF(OR(G42="",F42=""),"",(F42*(1-Ayarlar!$B$6)-(F42*(1-Ayarlar!$B$6)*Ayarlar!$B$7+Ayarlar!$B$8)-(G42*Ayarlar!$B$3+Ayarlar!$B$4+Ayarlar!$B$5))/(F42*(1-Ayarlar!$B$6)))</f>
        <v/>
      </c>
      <c r="L42" s="9">
        <f>IF(G42="","GRAM EKSİK",IF(F42&gt;30000,"FİYAT ŞÜPHELİ",IF(K42&lt;0,"ZARARDA",IF(F42&lt;I42,"RİSKLİ","ok"))))</f>
        <v/>
      </c>
      <c r="M42" s="13" t="inlineStr">
        <is>
          <t>https://www.etsy.com/listing/4297100272</t>
        </is>
      </c>
    </row>
    <row r="43">
      <c r="A43" s="3" t="inlineStr">
        <is>
          <t>chains</t>
        </is>
      </c>
      <c r="B43" s="3" t="inlineStr">
        <is>
          <t>10K Real Gold Rope Bracelet - Unisex Twisted Diamond Cut</t>
        </is>
      </c>
      <c r="C43" s="3" t="n">
        <v>4297100272</v>
      </c>
      <c r="D43" s="3" t="inlineStr">
        <is>
          <t>BR6-7</t>
        </is>
      </c>
      <c r="E43" s="3" t="inlineStr">
        <is>
          <t>description-scaled</t>
        </is>
      </c>
      <c r="F43" s="14" t="n">
        <v>384</v>
      </c>
      <c r="G43" s="17" t="n">
        <v>2.87</v>
      </c>
      <c r="H43" s="14">
        <f>IF(G43="","",G43*Ayarlar!$B$3+Ayarlar!$B$4+Ayarlar!$B$5)</f>
        <v/>
      </c>
      <c r="I43" s="14">
        <f>IF(G43="","",ROUNDUP(((G43*Ayarlar!$B$3+Ayarlar!$B$4+Ayarlar!$B$5)+Ayarlar!$B$8)/((1-Ayarlar!$B$6)*(1-Ayarlar!$B$7)),0))</f>
        <v/>
      </c>
      <c r="J43" s="14">
        <f>IF(G43="","",ROUNDUP(((G43*Ayarlar!$B$3+Ayarlar!$B$4+Ayarlar!$B$5)+Ayarlar!$B$8)/((1-Ayarlar!$B$6)*(1-Ayarlar!$B$7-Ayarlar!$B$9)),0))</f>
        <v/>
      </c>
      <c r="K43" s="15">
        <f>IF(OR(G43="",F43=""),"",(F43*(1-Ayarlar!$B$6)-(F43*(1-Ayarlar!$B$6)*Ayarlar!$B$7+Ayarlar!$B$8)-(G43*Ayarlar!$B$3+Ayarlar!$B$4+Ayarlar!$B$5))/(F43*(1-Ayarlar!$B$6)))</f>
        <v/>
      </c>
      <c r="L43" s="3">
        <f>IF(G43="","GRAM EKSİK",IF(F43&gt;30000,"FİYAT ŞÜPHELİ",IF(K43&lt;0,"ZARARDA",IF(F43&lt;I43,"RİSKLİ","ok"))))</f>
        <v/>
      </c>
      <c r="M43" s="16" t="inlineStr">
        <is>
          <t>https://www.etsy.com/listing/4297100272</t>
        </is>
      </c>
    </row>
    <row r="44">
      <c r="A44" s="9" t="inlineStr">
        <is>
          <t>chains</t>
        </is>
      </c>
      <c r="B44" s="9" t="inlineStr">
        <is>
          <t>10K Real Gold Rope Bracelet - Unisex Twisted Diamond Cut</t>
        </is>
      </c>
      <c r="C44" s="9" t="n">
        <v>4297100272</v>
      </c>
      <c r="D44" s="9" t="inlineStr">
        <is>
          <t>BR6-7.5</t>
        </is>
      </c>
      <c r="E44" s="9" t="inlineStr">
        <is>
          <t>description-scaled</t>
        </is>
      </c>
      <c r="F44" s="10" t="n">
        <v>409</v>
      </c>
      <c r="G44" s="18" t="n">
        <v>3.08</v>
      </c>
      <c r="H44" s="10">
        <f>IF(G44="","",G44*Ayarlar!$B$3+Ayarlar!$B$4+Ayarlar!$B$5)</f>
        <v/>
      </c>
      <c r="I44" s="10">
        <f>IF(G44="","",ROUNDUP(((G44*Ayarlar!$B$3+Ayarlar!$B$4+Ayarlar!$B$5)+Ayarlar!$B$8)/((1-Ayarlar!$B$6)*(1-Ayarlar!$B$7)),0))</f>
        <v/>
      </c>
      <c r="J44" s="10">
        <f>IF(G44="","",ROUNDUP(((G44*Ayarlar!$B$3+Ayarlar!$B$4+Ayarlar!$B$5)+Ayarlar!$B$8)/((1-Ayarlar!$B$6)*(1-Ayarlar!$B$7-Ayarlar!$B$9)),0))</f>
        <v/>
      </c>
      <c r="K44" s="12">
        <f>IF(OR(G44="",F44=""),"",(F44*(1-Ayarlar!$B$6)-(F44*(1-Ayarlar!$B$6)*Ayarlar!$B$7+Ayarlar!$B$8)-(G44*Ayarlar!$B$3+Ayarlar!$B$4+Ayarlar!$B$5))/(F44*(1-Ayarlar!$B$6)))</f>
        <v/>
      </c>
      <c r="L44" s="9">
        <f>IF(G44="","GRAM EKSİK",IF(F44&gt;30000,"FİYAT ŞÜPHELİ",IF(K44&lt;0,"ZARARDA",IF(F44&lt;I44,"RİSKLİ","ok"))))</f>
        <v/>
      </c>
      <c r="M44" s="13" t="inlineStr">
        <is>
          <t>https://www.etsy.com/listing/4297100272</t>
        </is>
      </c>
    </row>
    <row r="45">
      <c r="A45" s="3" t="inlineStr">
        <is>
          <t>chains</t>
        </is>
      </c>
      <c r="B45" s="3" t="inlineStr">
        <is>
          <t>10K Real Gold Rope Bracelet - Unisex Twisted Diamond Cut</t>
        </is>
      </c>
      <c r="C45" s="3" t="n">
        <v>4297100272</v>
      </c>
      <c r="D45" s="3" t="inlineStr">
        <is>
          <t>BR6-8</t>
        </is>
      </c>
      <c r="E45" s="3" t="inlineStr">
        <is>
          <t>description</t>
        </is>
      </c>
      <c r="F45" s="14" t="n">
        <v>433</v>
      </c>
      <c r="G45" s="17" t="n">
        <v>3.28</v>
      </c>
      <c r="H45" s="14">
        <f>IF(G45="","",G45*Ayarlar!$B$3+Ayarlar!$B$4+Ayarlar!$B$5)</f>
        <v/>
      </c>
      <c r="I45" s="14">
        <f>IF(G45="","",ROUNDUP(((G45*Ayarlar!$B$3+Ayarlar!$B$4+Ayarlar!$B$5)+Ayarlar!$B$8)/((1-Ayarlar!$B$6)*(1-Ayarlar!$B$7)),0))</f>
        <v/>
      </c>
      <c r="J45" s="14">
        <f>IF(G45="","",ROUNDUP(((G45*Ayarlar!$B$3+Ayarlar!$B$4+Ayarlar!$B$5)+Ayarlar!$B$8)/((1-Ayarlar!$B$6)*(1-Ayarlar!$B$7-Ayarlar!$B$9)),0))</f>
        <v/>
      </c>
      <c r="K45" s="15">
        <f>IF(OR(G45="",F45=""),"",(F45*(1-Ayarlar!$B$6)-(F45*(1-Ayarlar!$B$6)*Ayarlar!$B$7+Ayarlar!$B$8)-(G45*Ayarlar!$B$3+Ayarlar!$B$4+Ayarlar!$B$5))/(F45*(1-Ayarlar!$B$6)))</f>
        <v/>
      </c>
      <c r="L45" s="3">
        <f>IF(G45="","GRAM EKSİK",IF(F45&gt;30000,"FİYAT ŞÜPHELİ",IF(K45&lt;0,"ZARARDA",IF(F45&lt;I45,"RİSKLİ","ok"))))</f>
        <v/>
      </c>
      <c r="M45" s="16" t="inlineStr">
        <is>
          <t>https://www.etsy.com/listing/4297100272</t>
        </is>
      </c>
    </row>
    <row r="46">
      <c r="A46" s="9" t="inlineStr">
        <is>
          <t>chains</t>
        </is>
      </c>
      <c r="B46" s="9" t="inlineStr">
        <is>
          <t>10K Real Gold Rope Bracelet - Unisex Twisted Diamond Cut</t>
        </is>
      </c>
      <c r="C46" s="9" t="n">
        <v>4297100272</v>
      </c>
      <c r="D46" s="9" t="inlineStr">
        <is>
          <t>BR8-7</t>
        </is>
      </c>
      <c r="E46" s="9" t="inlineStr">
        <is>
          <t>shipstation</t>
        </is>
      </c>
      <c r="F46" s="10" t="n">
        <v>434</v>
      </c>
      <c r="G46" s="18" t="n">
        <v>3.54</v>
      </c>
      <c r="H46" s="10">
        <f>IF(G46="","",G46*Ayarlar!$B$3+Ayarlar!$B$4+Ayarlar!$B$5)</f>
        <v/>
      </c>
      <c r="I46" s="10">
        <f>IF(G46="","",ROUNDUP(((G46*Ayarlar!$B$3+Ayarlar!$B$4+Ayarlar!$B$5)+Ayarlar!$B$8)/((1-Ayarlar!$B$6)*(1-Ayarlar!$B$7)),0))</f>
        <v/>
      </c>
      <c r="J46" s="10">
        <f>IF(G46="","",ROUNDUP(((G46*Ayarlar!$B$3+Ayarlar!$B$4+Ayarlar!$B$5)+Ayarlar!$B$8)/((1-Ayarlar!$B$6)*(1-Ayarlar!$B$7-Ayarlar!$B$9)),0))</f>
        <v/>
      </c>
      <c r="K46" s="12">
        <f>IF(OR(G46="",F46=""),"",(F46*(1-Ayarlar!$B$6)-(F46*(1-Ayarlar!$B$6)*Ayarlar!$B$7+Ayarlar!$B$8)-(G46*Ayarlar!$B$3+Ayarlar!$B$4+Ayarlar!$B$5))/(F46*(1-Ayarlar!$B$6)))</f>
        <v/>
      </c>
      <c r="L46" s="9">
        <f>IF(G46="","GRAM EKSİK",IF(F46&gt;30000,"FİYAT ŞÜPHELİ",IF(K46&lt;0,"ZARARDA",IF(F46&lt;I46,"RİSKLİ","ok"))))</f>
        <v/>
      </c>
      <c r="M46" s="13" t="inlineStr">
        <is>
          <t>https://www.etsy.com/listing/4297100272</t>
        </is>
      </c>
    </row>
    <row r="47">
      <c r="A47" s="3" t="inlineStr">
        <is>
          <t>chains</t>
        </is>
      </c>
      <c r="B47" s="3" t="inlineStr">
        <is>
          <t>10K Real Gold Rope Bracelet - Unisex Twisted Diamond Cut</t>
        </is>
      </c>
      <c r="C47" s="3" t="n">
        <v>4297100272</v>
      </c>
      <c r="D47" s="3" t="inlineStr">
        <is>
          <t>BR8-7.5</t>
        </is>
      </c>
      <c r="E47" s="3" t="inlineStr">
        <is>
          <t>inferred</t>
        </is>
      </c>
      <c r="F47" s="14" t="n">
        <v>463</v>
      </c>
      <c r="G47" s="17" t="n">
        <v>3.79</v>
      </c>
      <c r="H47" s="14">
        <f>IF(G47="","",G47*Ayarlar!$B$3+Ayarlar!$B$4+Ayarlar!$B$5)</f>
        <v/>
      </c>
      <c r="I47" s="14">
        <f>IF(G47="","",ROUNDUP(((G47*Ayarlar!$B$3+Ayarlar!$B$4+Ayarlar!$B$5)+Ayarlar!$B$8)/((1-Ayarlar!$B$6)*(1-Ayarlar!$B$7)),0))</f>
        <v/>
      </c>
      <c r="J47" s="14">
        <f>IF(G47="","",ROUNDUP(((G47*Ayarlar!$B$3+Ayarlar!$B$4+Ayarlar!$B$5)+Ayarlar!$B$8)/((1-Ayarlar!$B$6)*(1-Ayarlar!$B$7-Ayarlar!$B$9)),0))</f>
        <v/>
      </c>
      <c r="K47" s="15">
        <f>IF(OR(G47="",F47=""),"",(F47*(1-Ayarlar!$B$6)-(F47*(1-Ayarlar!$B$6)*Ayarlar!$B$7+Ayarlar!$B$8)-(G47*Ayarlar!$B$3+Ayarlar!$B$4+Ayarlar!$B$5))/(F47*(1-Ayarlar!$B$6)))</f>
        <v/>
      </c>
      <c r="L47" s="3">
        <f>IF(G47="","GRAM EKSİK",IF(F47&gt;30000,"FİYAT ŞÜPHELİ",IF(K47&lt;0,"ZARARDA",IF(F47&lt;I47,"RİSKLİ","ok"))))</f>
        <v/>
      </c>
      <c r="M47" s="16" t="inlineStr">
        <is>
          <t>https://www.etsy.com/listing/4297100272</t>
        </is>
      </c>
    </row>
    <row r="48">
      <c r="A48" s="9" t="inlineStr">
        <is>
          <t>chains</t>
        </is>
      </c>
      <c r="B48" s="9" t="inlineStr">
        <is>
          <t>10K Real Gold Rope Bracelet - Unisex Twisted Diamond Cut</t>
        </is>
      </c>
      <c r="C48" s="9" t="n">
        <v>4297100272</v>
      </c>
      <c r="D48" s="9" t="inlineStr">
        <is>
          <t>BR8-8</t>
        </is>
      </c>
      <c r="E48" s="9" t="inlineStr">
        <is>
          <t>inferred</t>
        </is>
      </c>
      <c r="F48" s="10" t="n">
        <v>494</v>
      </c>
      <c r="G48" s="18" t="n">
        <v>4.05</v>
      </c>
      <c r="H48" s="10">
        <f>IF(G48="","",G48*Ayarlar!$B$3+Ayarlar!$B$4+Ayarlar!$B$5)</f>
        <v/>
      </c>
      <c r="I48" s="10">
        <f>IF(G48="","",ROUNDUP(((G48*Ayarlar!$B$3+Ayarlar!$B$4+Ayarlar!$B$5)+Ayarlar!$B$8)/((1-Ayarlar!$B$6)*(1-Ayarlar!$B$7)),0))</f>
        <v/>
      </c>
      <c r="J48" s="10">
        <f>IF(G48="","",ROUNDUP(((G48*Ayarlar!$B$3+Ayarlar!$B$4+Ayarlar!$B$5)+Ayarlar!$B$8)/((1-Ayarlar!$B$6)*(1-Ayarlar!$B$7-Ayarlar!$B$9)),0))</f>
        <v/>
      </c>
      <c r="K48" s="12">
        <f>IF(OR(G48="",F48=""),"",(F48*(1-Ayarlar!$B$6)-(F48*(1-Ayarlar!$B$6)*Ayarlar!$B$7+Ayarlar!$B$8)-(G48*Ayarlar!$B$3+Ayarlar!$B$4+Ayarlar!$B$5))/(F48*(1-Ayarlar!$B$6)))</f>
        <v/>
      </c>
      <c r="L48" s="9">
        <f>IF(G48="","GRAM EKSİK",IF(F48&gt;30000,"FİYAT ŞÜPHELİ",IF(K48&lt;0,"ZARARDA",IF(F48&lt;I48,"RİSKLİ","ok"))))</f>
        <v/>
      </c>
      <c r="M48" s="13" t="inlineStr">
        <is>
          <t>https://www.etsy.com/listing/4297100272</t>
        </is>
      </c>
    </row>
    <row r="49">
      <c r="A49" s="3" t="inlineStr">
        <is>
          <t>chains</t>
        </is>
      </c>
      <c r="B49" s="3" t="inlineStr">
        <is>
          <t>10K Real Gold Rope Bracelet - Unisex Twisted Diamond Cut</t>
        </is>
      </c>
      <c r="C49" s="3" t="n">
        <v>4297100272</v>
      </c>
      <c r="D49" s="3" t="inlineStr">
        <is>
          <t>BR9-7</t>
        </is>
      </c>
      <c r="E49" s="3" t="inlineStr">
        <is>
          <t>description-scaled</t>
        </is>
      </c>
      <c r="F49" s="14" t="n">
        <v>572</v>
      </c>
      <c r="G49" s="17" t="n">
        <v>4.55</v>
      </c>
      <c r="H49" s="14">
        <f>IF(G49="","",G49*Ayarlar!$B$3+Ayarlar!$B$4+Ayarlar!$B$5)</f>
        <v/>
      </c>
      <c r="I49" s="14">
        <f>IF(G49="","",ROUNDUP(((G49*Ayarlar!$B$3+Ayarlar!$B$4+Ayarlar!$B$5)+Ayarlar!$B$8)/((1-Ayarlar!$B$6)*(1-Ayarlar!$B$7)),0))</f>
        <v/>
      </c>
      <c r="J49" s="14">
        <f>IF(G49="","",ROUNDUP(((G49*Ayarlar!$B$3+Ayarlar!$B$4+Ayarlar!$B$5)+Ayarlar!$B$8)/((1-Ayarlar!$B$6)*(1-Ayarlar!$B$7-Ayarlar!$B$9)),0))</f>
        <v/>
      </c>
      <c r="K49" s="15">
        <f>IF(OR(G49="",F49=""),"",(F49*(1-Ayarlar!$B$6)-(F49*(1-Ayarlar!$B$6)*Ayarlar!$B$7+Ayarlar!$B$8)-(G49*Ayarlar!$B$3+Ayarlar!$B$4+Ayarlar!$B$5))/(F49*(1-Ayarlar!$B$6)))</f>
        <v/>
      </c>
      <c r="L49" s="3">
        <f>IF(G49="","GRAM EKSİK",IF(F49&gt;30000,"FİYAT ŞÜPHELİ",IF(K49&lt;0,"ZARARDA",IF(F49&lt;I49,"RİSKLİ","ok"))))</f>
        <v/>
      </c>
      <c r="M49" s="16" t="inlineStr">
        <is>
          <t>https://www.etsy.com/listing/4297100272</t>
        </is>
      </c>
    </row>
    <row r="50">
      <c r="A50" s="9" t="inlineStr">
        <is>
          <t>chains</t>
        </is>
      </c>
      <c r="B50" s="9" t="inlineStr">
        <is>
          <t>10K Real Gold Rope Bracelet - Unisex Twisted Diamond Cut</t>
        </is>
      </c>
      <c r="C50" s="9" t="n">
        <v>4297100272</v>
      </c>
      <c r="D50" s="9" t="inlineStr">
        <is>
          <t>BR9-7.5</t>
        </is>
      </c>
      <c r="E50" s="9" t="inlineStr">
        <is>
          <t>description-scaled</t>
        </is>
      </c>
      <c r="F50" s="10" t="n">
        <v>602</v>
      </c>
      <c r="G50" s="18" t="n">
        <v>4.88</v>
      </c>
      <c r="H50" s="10">
        <f>IF(G50="","",G50*Ayarlar!$B$3+Ayarlar!$B$4+Ayarlar!$B$5)</f>
        <v/>
      </c>
      <c r="I50" s="10">
        <f>IF(G50="","",ROUNDUP(((G50*Ayarlar!$B$3+Ayarlar!$B$4+Ayarlar!$B$5)+Ayarlar!$B$8)/((1-Ayarlar!$B$6)*(1-Ayarlar!$B$7)),0))</f>
        <v/>
      </c>
      <c r="J50" s="10">
        <f>IF(G50="","",ROUNDUP(((G50*Ayarlar!$B$3+Ayarlar!$B$4+Ayarlar!$B$5)+Ayarlar!$B$8)/((1-Ayarlar!$B$6)*(1-Ayarlar!$B$7-Ayarlar!$B$9)),0))</f>
        <v/>
      </c>
      <c r="K50" s="12">
        <f>IF(OR(G50="",F50=""),"",(F50*(1-Ayarlar!$B$6)-(F50*(1-Ayarlar!$B$6)*Ayarlar!$B$7+Ayarlar!$B$8)-(G50*Ayarlar!$B$3+Ayarlar!$B$4+Ayarlar!$B$5))/(F50*(1-Ayarlar!$B$6)))</f>
        <v/>
      </c>
      <c r="L50" s="9">
        <f>IF(G50="","GRAM EKSİK",IF(F50&gt;30000,"FİYAT ŞÜPHELİ",IF(K50&lt;0,"ZARARDA",IF(F50&lt;I50,"RİSKLİ","ok"))))</f>
        <v/>
      </c>
      <c r="M50" s="13" t="inlineStr">
        <is>
          <t>https://www.etsy.com/listing/4297100272</t>
        </is>
      </c>
    </row>
    <row r="51">
      <c r="A51" s="3" t="inlineStr">
        <is>
          <t>chains</t>
        </is>
      </c>
      <c r="B51" s="3" t="inlineStr">
        <is>
          <t>10K Real Gold Rope Bracelet - Unisex Twisted Diamond Cut</t>
        </is>
      </c>
      <c r="C51" s="3" t="n">
        <v>4297100272</v>
      </c>
      <c r="D51" s="3" t="inlineStr">
        <is>
          <t>BR9-8</t>
        </is>
      </c>
      <c r="E51" s="3" t="inlineStr">
        <is>
          <t>description</t>
        </is>
      </c>
      <c r="F51" s="14" t="n">
        <v>650</v>
      </c>
      <c r="G51" s="17" t="n">
        <v>5.2</v>
      </c>
      <c r="H51" s="14">
        <f>IF(G51="","",G51*Ayarlar!$B$3+Ayarlar!$B$4+Ayarlar!$B$5)</f>
        <v/>
      </c>
      <c r="I51" s="14">
        <f>IF(G51="","",ROUNDUP(((G51*Ayarlar!$B$3+Ayarlar!$B$4+Ayarlar!$B$5)+Ayarlar!$B$8)/((1-Ayarlar!$B$6)*(1-Ayarlar!$B$7)),0))</f>
        <v/>
      </c>
      <c r="J51" s="14">
        <f>IF(G51="","",ROUNDUP(((G51*Ayarlar!$B$3+Ayarlar!$B$4+Ayarlar!$B$5)+Ayarlar!$B$8)/((1-Ayarlar!$B$6)*(1-Ayarlar!$B$7-Ayarlar!$B$9)),0))</f>
        <v/>
      </c>
      <c r="K51" s="15">
        <f>IF(OR(G51="",F51=""),"",(F51*(1-Ayarlar!$B$6)-(F51*(1-Ayarlar!$B$6)*Ayarlar!$B$7+Ayarlar!$B$8)-(G51*Ayarlar!$B$3+Ayarlar!$B$4+Ayarlar!$B$5))/(F51*(1-Ayarlar!$B$6)))</f>
        <v/>
      </c>
      <c r="L51" s="3">
        <f>IF(G51="","GRAM EKSİK",IF(F51&gt;30000,"FİYAT ŞÜPHELİ",IF(K51&lt;0,"ZARARDA",IF(F51&lt;I51,"RİSKLİ","ok"))))</f>
        <v/>
      </c>
      <c r="M51" s="16" t="inlineStr">
        <is>
          <t>https://www.etsy.com/listing/4297100272</t>
        </is>
      </c>
    </row>
    <row r="52">
      <c r="A52" s="9" t="inlineStr">
        <is>
          <t>chains</t>
        </is>
      </c>
      <c r="B52" s="9" t="inlineStr">
        <is>
          <t>10K Solid Gold Bead Ball Chain Necklace - Diamond Cut</t>
        </is>
      </c>
      <c r="C52" s="9" t="n">
        <v>1296858064</v>
      </c>
      <c r="D52" s="9" t="inlineStr">
        <is>
          <t>CMN1-16</t>
        </is>
      </c>
      <c r="E52" s="9" t="inlineStr">
        <is>
          <t>description</t>
        </is>
      </c>
      <c r="F52" s="10" t="n">
        <v>626</v>
      </c>
      <c r="G52" s="18" t="n">
        <v>4.95</v>
      </c>
      <c r="H52" s="10">
        <f>IF(G52="","",G52*Ayarlar!$B$3+Ayarlar!$B$4+Ayarlar!$B$5)</f>
        <v/>
      </c>
      <c r="I52" s="10">
        <f>IF(G52="","",ROUNDUP(((G52*Ayarlar!$B$3+Ayarlar!$B$4+Ayarlar!$B$5)+Ayarlar!$B$8)/((1-Ayarlar!$B$6)*(1-Ayarlar!$B$7)),0))</f>
        <v/>
      </c>
      <c r="J52" s="10">
        <f>IF(G52="","",ROUNDUP(((G52*Ayarlar!$B$3+Ayarlar!$B$4+Ayarlar!$B$5)+Ayarlar!$B$8)/((1-Ayarlar!$B$6)*(1-Ayarlar!$B$7-Ayarlar!$B$9)),0))</f>
        <v/>
      </c>
      <c r="K52" s="12">
        <f>IF(OR(G52="",F52=""),"",(F52*(1-Ayarlar!$B$6)-(F52*(1-Ayarlar!$B$6)*Ayarlar!$B$7+Ayarlar!$B$8)-(G52*Ayarlar!$B$3+Ayarlar!$B$4+Ayarlar!$B$5))/(F52*(1-Ayarlar!$B$6)))</f>
        <v/>
      </c>
      <c r="L52" s="9">
        <f>IF(G52="","GRAM EKSİK",IF(F52&gt;30000,"FİYAT ŞÜPHELİ",IF(K52&lt;0,"ZARARDA",IF(F52&lt;I52,"RİSKLİ","ok"))))</f>
        <v/>
      </c>
      <c r="M52" s="13" t="inlineStr">
        <is>
          <t>https://www.etsy.com/listing/1296858064</t>
        </is>
      </c>
    </row>
    <row r="53">
      <c r="A53" s="3" t="inlineStr">
        <is>
          <t>chains</t>
        </is>
      </c>
      <c r="B53" s="3" t="inlineStr">
        <is>
          <t>10K Solid Gold Bead Ball Chain Necklace - Diamond Cut</t>
        </is>
      </c>
      <c r="C53" s="3" t="n">
        <v>1296858064</v>
      </c>
      <c r="D53" s="3" t="inlineStr">
        <is>
          <t>CMN1-18</t>
        </is>
      </c>
      <c r="E53" s="3" t="inlineStr">
        <is>
          <t>description-scaled</t>
        </is>
      </c>
      <c r="F53" s="14" t="n">
        <v>705</v>
      </c>
      <c r="G53" s="17" t="n">
        <v>5.57</v>
      </c>
      <c r="H53" s="14">
        <f>IF(G53="","",G53*Ayarlar!$B$3+Ayarlar!$B$4+Ayarlar!$B$5)</f>
        <v/>
      </c>
      <c r="I53" s="14">
        <f>IF(G53="","",ROUNDUP(((G53*Ayarlar!$B$3+Ayarlar!$B$4+Ayarlar!$B$5)+Ayarlar!$B$8)/((1-Ayarlar!$B$6)*(1-Ayarlar!$B$7)),0))</f>
        <v/>
      </c>
      <c r="J53" s="14">
        <f>IF(G53="","",ROUNDUP(((G53*Ayarlar!$B$3+Ayarlar!$B$4+Ayarlar!$B$5)+Ayarlar!$B$8)/((1-Ayarlar!$B$6)*(1-Ayarlar!$B$7-Ayarlar!$B$9)),0))</f>
        <v/>
      </c>
      <c r="K53" s="15">
        <f>IF(OR(G53="",F53=""),"",(F53*(1-Ayarlar!$B$6)-(F53*(1-Ayarlar!$B$6)*Ayarlar!$B$7+Ayarlar!$B$8)-(G53*Ayarlar!$B$3+Ayarlar!$B$4+Ayarlar!$B$5))/(F53*(1-Ayarlar!$B$6)))</f>
        <v/>
      </c>
      <c r="L53" s="3">
        <f>IF(G53="","GRAM EKSİK",IF(F53&gt;30000,"FİYAT ŞÜPHELİ",IF(K53&lt;0,"ZARARDA",IF(F53&lt;I53,"RİSKLİ","ok"))))</f>
        <v/>
      </c>
      <c r="M53" s="16" t="inlineStr">
        <is>
          <t>https://www.etsy.com/listing/1296858064</t>
        </is>
      </c>
    </row>
    <row r="54">
      <c r="A54" s="9" t="inlineStr">
        <is>
          <t>chains</t>
        </is>
      </c>
      <c r="B54" s="9" t="inlineStr">
        <is>
          <t>10K Solid Gold Bead Ball Chain Necklace - Diamond Cut</t>
        </is>
      </c>
      <c r="C54" s="9" t="n">
        <v>1296858064</v>
      </c>
      <c r="D54" s="9" t="inlineStr">
        <is>
          <t>CMN1-20</t>
        </is>
      </c>
      <c r="E54" s="9" t="inlineStr">
        <is>
          <t>description-scaled</t>
        </is>
      </c>
      <c r="F54" s="10" t="n">
        <v>782</v>
      </c>
      <c r="G54" s="18" t="n">
        <v>6.19</v>
      </c>
      <c r="H54" s="10">
        <f>IF(G54="","",G54*Ayarlar!$B$3+Ayarlar!$B$4+Ayarlar!$B$5)</f>
        <v/>
      </c>
      <c r="I54" s="10">
        <f>IF(G54="","",ROUNDUP(((G54*Ayarlar!$B$3+Ayarlar!$B$4+Ayarlar!$B$5)+Ayarlar!$B$8)/((1-Ayarlar!$B$6)*(1-Ayarlar!$B$7)),0))</f>
        <v/>
      </c>
      <c r="J54" s="10">
        <f>IF(G54="","",ROUNDUP(((G54*Ayarlar!$B$3+Ayarlar!$B$4+Ayarlar!$B$5)+Ayarlar!$B$8)/((1-Ayarlar!$B$6)*(1-Ayarlar!$B$7-Ayarlar!$B$9)),0))</f>
        <v/>
      </c>
      <c r="K54" s="12">
        <f>IF(OR(G54="",F54=""),"",(F54*(1-Ayarlar!$B$6)-(F54*(1-Ayarlar!$B$6)*Ayarlar!$B$7+Ayarlar!$B$8)-(G54*Ayarlar!$B$3+Ayarlar!$B$4+Ayarlar!$B$5))/(F54*(1-Ayarlar!$B$6)))</f>
        <v/>
      </c>
      <c r="L54" s="9">
        <f>IF(G54="","GRAM EKSİK",IF(F54&gt;30000,"FİYAT ŞÜPHELİ",IF(K54&lt;0,"ZARARDA",IF(F54&lt;I54,"RİSKLİ","ok"))))</f>
        <v/>
      </c>
      <c r="M54" s="13" t="inlineStr">
        <is>
          <t>https://www.etsy.com/listing/1296858064</t>
        </is>
      </c>
    </row>
    <row r="55">
      <c r="A55" s="3" t="inlineStr">
        <is>
          <t>chains</t>
        </is>
      </c>
      <c r="B55" s="3" t="inlineStr">
        <is>
          <t>10K Solid Gold Bead Ball Chain Necklace - Diamond Cut</t>
        </is>
      </c>
      <c r="C55" s="3" t="n">
        <v>1296858064</v>
      </c>
      <c r="D55" s="3" t="inlineStr">
        <is>
          <t>CMN1-22</t>
        </is>
      </c>
      <c r="E55" s="3" t="inlineStr">
        <is>
          <t>description-scaled</t>
        </is>
      </c>
      <c r="F55" s="14" t="n">
        <v>861</v>
      </c>
      <c r="G55" s="17" t="n">
        <v>6.81</v>
      </c>
      <c r="H55" s="14">
        <f>IF(G55="","",G55*Ayarlar!$B$3+Ayarlar!$B$4+Ayarlar!$B$5)</f>
        <v/>
      </c>
      <c r="I55" s="14">
        <f>IF(G55="","",ROUNDUP(((G55*Ayarlar!$B$3+Ayarlar!$B$4+Ayarlar!$B$5)+Ayarlar!$B$8)/((1-Ayarlar!$B$6)*(1-Ayarlar!$B$7)),0))</f>
        <v/>
      </c>
      <c r="J55" s="14">
        <f>IF(G55="","",ROUNDUP(((G55*Ayarlar!$B$3+Ayarlar!$B$4+Ayarlar!$B$5)+Ayarlar!$B$8)/((1-Ayarlar!$B$6)*(1-Ayarlar!$B$7-Ayarlar!$B$9)),0))</f>
        <v/>
      </c>
      <c r="K55" s="15">
        <f>IF(OR(G55="",F55=""),"",(F55*(1-Ayarlar!$B$6)-(F55*(1-Ayarlar!$B$6)*Ayarlar!$B$7+Ayarlar!$B$8)-(G55*Ayarlar!$B$3+Ayarlar!$B$4+Ayarlar!$B$5))/(F55*(1-Ayarlar!$B$6)))</f>
        <v/>
      </c>
      <c r="L55" s="3">
        <f>IF(G55="","GRAM EKSİK",IF(F55&gt;30000,"FİYAT ŞÜPHELİ",IF(K55&lt;0,"ZARARDA",IF(F55&lt;I55,"RİSKLİ","ok"))))</f>
        <v/>
      </c>
      <c r="M55" s="16" t="inlineStr">
        <is>
          <t>https://www.etsy.com/listing/1296858064</t>
        </is>
      </c>
    </row>
    <row r="56">
      <c r="A56" s="9" t="inlineStr">
        <is>
          <t>chains</t>
        </is>
      </c>
      <c r="B56" s="9" t="inlineStr">
        <is>
          <t>10K Solid Gold Bead Ball Chain Necklace - Diamond Cut</t>
        </is>
      </c>
      <c r="C56" s="9" t="n">
        <v>1296858064</v>
      </c>
      <c r="D56" s="9" t="inlineStr">
        <is>
          <t>CMN1-24</t>
        </is>
      </c>
      <c r="E56" s="9" t="inlineStr">
        <is>
          <t>description-scaled</t>
        </is>
      </c>
      <c r="F56" s="10" t="n">
        <v>939</v>
      </c>
      <c r="G56" s="18" t="n">
        <v>7.43</v>
      </c>
      <c r="H56" s="10">
        <f>IF(G56="","",G56*Ayarlar!$B$3+Ayarlar!$B$4+Ayarlar!$B$5)</f>
        <v/>
      </c>
      <c r="I56" s="10">
        <f>IF(G56="","",ROUNDUP(((G56*Ayarlar!$B$3+Ayarlar!$B$4+Ayarlar!$B$5)+Ayarlar!$B$8)/((1-Ayarlar!$B$6)*(1-Ayarlar!$B$7)),0))</f>
        <v/>
      </c>
      <c r="J56" s="10">
        <f>IF(G56="","",ROUNDUP(((G56*Ayarlar!$B$3+Ayarlar!$B$4+Ayarlar!$B$5)+Ayarlar!$B$8)/((1-Ayarlar!$B$6)*(1-Ayarlar!$B$7-Ayarlar!$B$9)),0))</f>
        <v/>
      </c>
      <c r="K56" s="12">
        <f>IF(OR(G56="",F56=""),"",(F56*(1-Ayarlar!$B$6)-(F56*(1-Ayarlar!$B$6)*Ayarlar!$B$7+Ayarlar!$B$8)-(G56*Ayarlar!$B$3+Ayarlar!$B$4+Ayarlar!$B$5))/(F56*(1-Ayarlar!$B$6)))</f>
        <v/>
      </c>
      <c r="L56" s="9">
        <f>IF(G56="","GRAM EKSİK",IF(F56&gt;30000,"FİYAT ŞÜPHELİ",IF(K56&lt;0,"ZARARDA",IF(F56&lt;I56,"RİSKLİ","ok"))))</f>
        <v/>
      </c>
      <c r="M56" s="13" t="inlineStr">
        <is>
          <t>https://www.etsy.com/listing/1296858064</t>
        </is>
      </c>
    </row>
    <row r="57">
      <c r="A57" s="3" t="inlineStr">
        <is>
          <t>chains</t>
        </is>
      </c>
      <c r="B57" s="3" t="inlineStr">
        <is>
          <t>10K Solid Gold Bead Ball Chain Necklace - Diamond Cut</t>
        </is>
      </c>
      <c r="C57" s="3" t="n">
        <v>1296858064</v>
      </c>
      <c r="D57" s="3" t="inlineStr">
        <is>
          <t>CMN2-16</t>
        </is>
      </c>
      <c r="E57" s="3" t="inlineStr">
        <is>
          <t>description-scaled</t>
        </is>
      </c>
      <c r="F57" s="14" t="n">
        <v>1322</v>
      </c>
      <c r="G57" s="17" t="n">
        <v>10.2</v>
      </c>
      <c r="H57" s="14">
        <f>IF(G57="","",G57*Ayarlar!$B$3+Ayarlar!$B$4+Ayarlar!$B$5)</f>
        <v/>
      </c>
      <c r="I57" s="14">
        <f>IF(G57="","",ROUNDUP(((G57*Ayarlar!$B$3+Ayarlar!$B$4+Ayarlar!$B$5)+Ayarlar!$B$8)/((1-Ayarlar!$B$6)*(1-Ayarlar!$B$7)),0))</f>
        <v/>
      </c>
      <c r="J57" s="14">
        <f>IF(G57="","",ROUNDUP(((G57*Ayarlar!$B$3+Ayarlar!$B$4+Ayarlar!$B$5)+Ayarlar!$B$8)/((1-Ayarlar!$B$6)*(1-Ayarlar!$B$7-Ayarlar!$B$9)),0))</f>
        <v/>
      </c>
      <c r="K57" s="15">
        <f>IF(OR(G57="",F57=""),"",(F57*(1-Ayarlar!$B$6)-(F57*(1-Ayarlar!$B$6)*Ayarlar!$B$7+Ayarlar!$B$8)-(G57*Ayarlar!$B$3+Ayarlar!$B$4+Ayarlar!$B$5))/(F57*(1-Ayarlar!$B$6)))</f>
        <v/>
      </c>
      <c r="L57" s="3">
        <f>IF(G57="","GRAM EKSİK",IF(F57&gt;30000,"FİYAT ŞÜPHELİ",IF(K57&lt;0,"ZARARDA",IF(F57&lt;I57,"RİSKLİ","ok"))))</f>
        <v/>
      </c>
      <c r="M57" s="16" t="inlineStr">
        <is>
          <t>https://www.etsy.com/listing/1296858064</t>
        </is>
      </c>
    </row>
    <row r="58">
      <c r="A58" s="9" t="inlineStr">
        <is>
          <t>chains</t>
        </is>
      </c>
      <c r="B58" s="9" t="inlineStr">
        <is>
          <t>10K Solid Gold Bead Ball Chain Necklace - Diamond Cut</t>
        </is>
      </c>
      <c r="C58" s="9" t="n">
        <v>1296858064</v>
      </c>
      <c r="D58" s="9" t="inlineStr">
        <is>
          <t>CMN2-18</t>
        </is>
      </c>
      <c r="E58" s="9" t="inlineStr">
        <is>
          <t>description</t>
        </is>
      </c>
      <c r="F58" s="10" t="n">
        <v>1485</v>
      </c>
      <c r="G58" s="18" t="n">
        <v>11.47</v>
      </c>
      <c r="H58" s="10">
        <f>IF(G58="","",G58*Ayarlar!$B$3+Ayarlar!$B$4+Ayarlar!$B$5)</f>
        <v/>
      </c>
      <c r="I58" s="10">
        <f>IF(G58="","",ROUNDUP(((G58*Ayarlar!$B$3+Ayarlar!$B$4+Ayarlar!$B$5)+Ayarlar!$B$8)/((1-Ayarlar!$B$6)*(1-Ayarlar!$B$7)),0))</f>
        <v/>
      </c>
      <c r="J58" s="10">
        <f>IF(G58="","",ROUNDUP(((G58*Ayarlar!$B$3+Ayarlar!$B$4+Ayarlar!$B$5)+Ayarlar!$B$8)/((1-Ayarlar!$B$6)*(1-Ayarlar!$B$7-Ayarlar!$B$9)),0))</f>
        <v/>
      </c>
      <c r="K58" s="12">
        <f>IF(OR(G58="",F58=""),"",(F58*(1-Ayarlar!$B$6)-(F58*(1-Ayarlar!$B$6)*Ayarlar!$B$7+Ayarlar!$B$8)-(G58*Ayarlar!$B$3+Ayarlar!$B$4+Ayarlar!$B$5))/(F58*(1-Ayarlar!$B$6)))</f>
        <v/>
      </c>
      <c r="L58" s="9">
        <f>IF(G58="","GRAM EKSİK",IF(F58&gt;30000,"FİYAT ŞÜPHELİ",IF(K58&lt;0,"ZARARDA",IF(F58&lt;I58,"RİSKLİ","ok"))))</f>
        <v/>
      </c>
      <c r="M58" s="13" t="inlineStr">
        <is>
          <t>https://www.etsy.com/listing/1296858064</t>
        </is>
      </c>
    </row>
    <row r="59">
      <c r="A59" s="3" t="inlineStr">
        <is>
          <t>chains</t>
        </is>
      </c>
      <c r="B59" s="3" t="inlineStr">
        <is>
          <t>10K Solid Gold Bead Ball Chain Necklace - Diamond Cut</t>
        </is>
      </c>
      <c r="C59" s="3" t="n">
        <v>1296858064</v>
      </c>
      <c r="D59" s="3" t="inlineStr">
        <is>
          <t>CMN2-20</t>
        </is>
      </c>
      <c r="E59" s="3" t="inlineStr">
        <is>
          <t>description-scaled</t>
        </is>
      </c>
      <c r="F59" s="14" t="n">
        <v>1647</v>
      </c>
      <c r="G59" s="17" t="n">
        <v>12.74</v>
      </c>
      <c r="H59" s="14">
        <f>IF(G59="","",G59*Ayarlar!$B$3+Ayarlar!$B$4+Ayarlar!$B$5)</f>
        <v/>
      </c>
      <c r="I59" s="14">
        <f>IF(G59="","",ROUNDUP(((G59*Ayarlar!$B$3+Ayarlar!$B$4+Ayarlar!$B$5)+Ayarlar!$B$8)/((1-Ayarlar!$B$6)*(1-Ayarlar!$B$7)),0))</f>
        <v/>
      </c>
      <c r="J59" s="14">
        <f>IF(G59="","",ROUNDUP(((G59*Ayarlar!$B$3+Ayarlar!$B$4+Ayarlar!$B$5)+Ayarlar!$B$8)/((1-Ayarlar!$B$6)*(1-Ayarlar!$B$7-Ayarlar!$B$9)),0))</f>
        <v/>
      </c>
      <c r="K59" s="15">
        <f>IF(OR(G59="",F59=""),"",(F59*(1-Ayarlar!$B$6)-(F59*(1-Ayarlar!$B$6)*Ayarlar!$B$7+Ayarlar!$B$8)-(G59*Ayarlar!$B$3+Ayarlar!$B$4+Ayarlar!$B$5))/(F59*(1-Ayarlar!$B$6)))</f>
        <v/>
      </c>
      <c r="L59" s="3">
        <f>IF(G59="","GRAM EKSİK",IF(F59&gt;30000,"FİYAT ŞÜPHELİ",IF(K59&lt;0,"ZARARDA",IF(F59&lt;I59,"RİSKLİ","ok"))))</f>
        <v/>
      </c>
      <c r="M59" s="16" t="inlineStr">
        <is>
          <t>https://www.etsy.com/listing/1296858064</t>
        </is>
      </c>
    </row>
    <row r="60">
      <c r="A60" s="9" t="inlineStr">
        <is>
          <t>chains</t>
        </is>
      </c>
      <c r="B60" s="9" t="inlineStr">
        <is>
          <t>10K Solid Gold Bead Ball Chain Necklace - Diamond Cut</t>
        </is>
      </c>
      <c r="C60" s="9" t="n">
        <v>1296858064</v>
      </c>
      <c r="D60" s="9" t="inlineStr">
        <is>
          <t>CMN2-22</t>
        </is>
      </c>
      <c r="E60" s="9" t="inlineStr">
        <is>
          <t>description-scaled</t>
        </is>
      </c>
      <c r="F60" s="10" t="n">
        <v>1810</v>
      </c>
      <c r="G60" s="18" t="n">
        <v>14.02</v>
      </c>
      <c r="H60" s="10">
        <f>IF(G60="","",G60*Ayarlar!$B$3+Ayarlar!$B$4+Ayarlar!$B$5)</f>
        <v/>
      </c>
      <c r="I60" s="10">
        <f>IF(G60="","",ROUNDUP(((G60*Ayarlar!$B$3+Ayarlar!$B$4+Ayarlar!$B$5)+Ayarlar!$B$8)/((1-Ayarlar!$B$6)*(1-Ayarlar!$B$7)),0))</f>
        <v/>
      </c>
      <c r="J60" s="10">
        <f>IF(G60="","",ROUNDUP(((G60*Ayarlar!$B$3+Ayarlar!$B$4+Ayarlar!$B$5)+Ayarlar!$B$8)/((1-Ayarlar!$B$6)*(1-Ayarlar!$B$7-Ayarlar!$B$9)),0))</f>
        <v/>
      </c>
      <c r="K60" s="12">
        <f>IF(OR(G60="",F60=""),"",(F60*(1-Ayarlar!$B$6)-(F60*(1-Ayarlar!$B$6)*Ayarlar!$B$7+Ayarlar!$B$8)-(G60*Ayarlar!$B$3+Ayarlar!$B$4+Ayarlar!$B$5))/(F60*(1-Ayarlar!$B$6)))</f>
        <v/>
      </c>
      <c r="L60" s="9">
        <f>IF(G60="","GRAM EKSİK",IF(F60&gt;30000,"FİYAT ŞÜPHELİ",IF(K60&lt;0,"ZARARDA",IF(F60&lt;I60,"RİSKLİ","ok"))))</f>
        <v/>
      </c>
      <c r="M60" s="13" t="inlineStr">
        <is>
          <t>https://www.etsy.com/listing/1296858064</t>
        </is>
      </c>
    </row>
    <row r="61">
      <c r="A61" s="3" t="inlineStr">
        <is>
          <t>chains</t>
        </is>
      </c>
      <c r="B61" s="3" t="inlineStr">
        <is>
          <t>10K Solid Gold Bead Ball Chain Necklace - Diamond Cut</t>
        </is>
      </c>
      <c r="C61" s="3" t="n">
        <v>1296858064</v>
      </c>
      <c r="D61" s="3" t="inlineStr">
        <is>
          <t>CMN2-24</t>
        </is>
      </c>
      <c r="E61" s="3" t="inlineStr">
        <is>
          <t>description-scaled</t>
        </is>
      </c>
      <c r="F61" s="14" t="n">
        <v>1972</v>
      </c>
      <c r="G61" s="17" t="n">
        <v>15.29</v>
      </c>
      <c r="H61" s="14">
        <f>IF(G61="","",G61*Ayarlar!$B$3+Ayarlar!$B$4+Ayarlar!$B$5)</f>
        <v/>
      </c>
      <c r="I61" s="14">
        <f>IF(G61="","",ROUNDUP(((G61*Ayarlar!$B$3+Ayarlar!$B$4+Ayarlar!$B$5)+Ayarlar!$B$8)/((1-Ayarlar!$B$6)*(1-Ayarlar!$B$7)),0))</f>
        <v/>
      </c>
      <c r="J61" s="14">
        <f>IF(G61="","",ROUNDUP(((G61*Ayarlar!$B$3+Ayarlar!$B$4+Ayarlar!$B$5)+Ayarlar!$B$8)/((1-Ayarlar!$B$6)*(1-Ayarlar!$B$7-Ayarlar!$B$9)),0))</f>
        <v/>
      </c>
      <c r="K61" s="15">
        <f>IF(OR(G61="",F61=""),"",(F61*(1-Ayarlar!$B$6)-(F61*(1-Ayarlar!$B$6)*Ayarlar!$B$7+Ayarlar!$B$8)-(G61*Ayarlar!$B$3+Ayarlar!$B$4+Ayarlar!$B$5))/(F61*(1-Ayarlar!$B$6)))</f>
        <v/>
      </c>
      <c r="L61" s="3">
        <f>IF(G61="","GRAM EKSİK",IF(F61&gt;30000,"FİYAT ŞÜPHELİ",IF(K61&lt;0,"ZARARDA",IF(F61&lt;I61,"RİSKLİ","ok"))))</f>
        <v/>
      </c>
      <c r="M61" s="16" t="inlineStr">
        <is>
          <t>https://www.etsy.com/listing/1296858064</t>
        </is>
      </c>
    </row>
    <row r="62">
      <c r="A62" s="9" t="inlineStr">
        <is>
          <t>chains</t>
        </is>
      </c>
      <c r="B62" s="9" t="inlineStr">
        <is>
          <t>10K Solid Gold Bead Ball Chain Necklace - Diamond Cut</t>
        </is>
      </c>
      <c r="C62" s="9" t="n">
        <v>1296858064</v>
      </c>
      <c r="D62" s="9" t="inlineStr">
        <is>
          <t>CMN3-16</t>
        </is>
      </c>
      <c r="E62" s="9" t="inlineStr">
        <is>
          <t>inferred</t>
        </is>
      </c>
      <c r="F62" s="10" t="n">
        <v>2050</v>
      </c>
      <c r="G62" s="18" t="n">
        <v>17.07</v>
      </c>
      <c r="H62" s="10">
        <f>IF(G62="","",G62*Ayarlar!$B$3+Ayarlar!$B$4+Ayarlar!$B$5)</f>
        <v/>
      </c>
      <c r="I62" s="10">
        <f>IF(G62="","",ROUNDUP(((G62*Ayarlar!$B$3+Ayarlar!$B$4+Ayarlar!$B$5)+Ayarlar!$B$8)/((1-Ayarlar!$B$6)*(1-Ayarlar!$B$7)),0))</f>
        <v/>
      </c>
      <c r="J62" s="10">
        <f>IF(G62="","",ROUNDUP(((G62*Ayarlar!$B$3+Ayarlar!$B$4+Ayarlar!$B$5)+Ayarlar!$B$8)/((1-Ayarlar!$B$6)*(1-Ayarlar!$B$7-Ayarlar!$B$9)),0))</f>
        <v/>
      </c>
      <c r="K62" s="12">
        <f>IF(OR(G62="",F62=""),"",(F62*(1-Ayarlar!$B$6)-(F62*(1-Ayarlar!$B$6)*Ayarlar!$B$7+Ayarlar!$B$8)-(G62*Ayarlar!$B$3+Ayarlar!$B$4+Ayarlar!$B$5))/(F62*(1-Ayarlar!$B$6)))</f>
        <v/>
      </c>
      <c r="L62" s="9">
        <f>IF(G62="","GRAM EKSİK",IF(F62&gt;30000,"FİYAT ŞÜPHELİ",IF(K62&lt;0,"ZARARDA",IF(F62&lt;I62,"RİSKLİ","ok"))))</f>
        <v/>
      </c>
      <c r="M62" s="13" t="inlineStr">
        <is>
          <t>https://www.etsy.com/listing/1296858064</t>
        </is>
      </c>
    </row>
    <row r="63">
      <c r="A63" s="3" t="inlineStr">
        <is>
          <t>chains</t>
        </is>
      </c>
      <c r="B63" s="3" t="inlineStr">
        <is>
          <t>10K Solid Gold Bead Ball Chain Necklace - Diamond Cut</t>
        </is>
      </c>
      <c r="C63" s="3" t="n">
        <v>1296858064</v>
      </c>
      <c r="D63" s="3" t="inlineStr">
        <is>
          <t>CMN3-18</t>
        </is>
      </c>
      <c r="E63" s="3" t="inlineStr">
        <is>
          <t>inferred</t>
        </is>
      </c>
      <c r="F63" s="14" t="n">
        <v>2292</v>
      </c>
      <c r="G63" s="17" t="n">
        <v>19.2</v>
      </c>
      <c r="H63" s="14">
        <f>IF(G63="","",G63*Ayarlar!$B$3+Ayarlar!$B$4+Ayarlar!$B$5)</f>
        <v/>
      </c>
      <c r="I63" s="14">
        <f>IF(G63="","",ROUNDUP(((G63*Ayarlar!$B$3+Ayarlar!$B$4+Ayarlar!$B$5)+Ayarlar!$B$8)/((1-Ayarlar!$B$6)*(1-Ayarlar!$B$7)),0))</f>
        <v/>
      </c>
      <c r="J63" s="14">
        <f>IF(G63="","",ROUNDUP(((G63*Ayarlar!$B$3+Ayarlar!$B$4+Ayarlar!$B$5)+Ayarlar!$B$8)/((1-Ayarlar!$B$6)*(1-Ayarlar!$B$7-Ayarlar!$B$9)),0))</f>
        <v/>
      </c>
      <c r="K63" s="15">
        <f>IF(OR(G63="",F63=""),"",(F63*(1-Ayarlar!$B$6)-(F63*(1-Ayarlar!$B$6)*Ayarlar!$B$7+Ayarlar!$B$8)-(G63*Ayarlar!$B$3+Ayarlar!$B$4+Ayarlar!$B$5))/(F63*(1-Ayarlar!$B$6)))</f>
        <v/>
      </c>
      <c r="L63" s="3">
        <f>IF(G63="","GRAM EKSİK",IF(F63&gt;30000,"FİYAT ŞÜPHELİ",IF(K63&lt;0,"ZARARDA",IF(F63&lt;I63,"RİSKLİ","ok"))))</f>
        <v/>
      </c>
      <c r="M63" s="16" t="inlineStr">
        <is>
          <t>https://www.etsy.com/listing/1296858064</t>
        </is>
      </c>
    </row>
    <row r="64">
      <c r="A64" s="9" t="inlineStr">
        <is>
          <t>chains</t>
        </is>
      </c>
      <c r="B64" s="9" t="inlineStr">
        <is>
          <t>10K Solid Gold Bead Ball Chain Necklace - Diamond Cut</t>
        </is>
      </c>
      <c r="C64" s="9" t="n">
        <v>1296858064</v>
      </c>
      <c r="D64" s="9" t="inlineStr">
        <is>
          <t>CMN3-20</t>
        </is>
      </c>
      <c r="E64" s="9" t="inlineStr">
        <is>
          <t>inferred</t>
        </is>
      </c>
      <c r="F64" s="10" t="n">
        <v>2532</v>
      </c>
      <c r="G64" s="18" t="n">
        <v>21.33</v>
      </c>
      <c r="H64" s="10">
        <f>IF(G64="","",G64*Ayarlar!$B$3+Ayarlar!$B$4+Ayarlar!$B$5)</f>
        <v/>
      </c>
      <c r="I64" s="10">
        <f>IF(G64="","",ROUNDUP(((G64*Ayarlar!$B$3+Ayarlar!$B$4+Ayarlar!$B$5)+Ayarlar!$B$8)/((1-Ayarlar!$B$6)*(1-Ayarlar!$B$7)),0))</f>
        <v/>
      </c>
      <c r="J64" s="10">
        <f>IF(G64="","",ROUNDUP(((G64*Ayarlar!$B$3+Ayarlar!$B$4+Ayarlar!$B$5)+Ayarlar!$B$8)/((1-Ayarlar!$B$6)*(1-Ayarlar!$B$7-Ayarlar!$B$9)),0))</f>
        <v/>
      </c>
      <c r="K64" s="12">
        <f>IF(OR(G64="",F64=""),"",(F64*(1-Ayarlar!$B$6)-(F64*(1-Ayarlar!$B$6)*Ayarlar!$B$7+Ayarlar!$B$8)-(G64*Ayarlar!$B$3+Ayarlar!$B$4+Ayarlar!$B$5))/(F64*(1-Ayarlar!$B$6)))</f>
        <v/>
      </c>
      <c r="L64" s="9">
        <f>IF(G64="","GRAM EKSİK",IF(F64&gt;30000,"FİYAT ŞÜPHELİ",IF(K64&lt;0,"ZARARDA",IF(F64&lt;I64,"RİSKLİ","ok"))))</f>
        <v/>
      </c>
      <c r="M64" s="13" t="inlineStr">
        <is>
          <t>https://www.etsy.com/listing/1296858064</t>
        </is>
      </c>
    </row>
    <row r="65">
      <c r="A65" s="3" t="inlineStr">
        <is>
          <t>chains</t>
        </is>
      </c>
      <c r="B65" s="3" t="inlineStr">
        <is>
          <t>10K Solid Gold Bead Ball Chain Necklace - Diamond Cut</t>
        </is>
      </c>
      <c r="C65" s="3" t="n">
        <v>1296858064</v>
      </c>
      <c r="D65" s="3" t="inlineStr">
        <is>
          <t>CMN3-22</t>
        </is>
      </c>
      <c r="E65" s="3" t="inlineStr">
        <is>
          <t>inferred</t>
        </is>
      </c>
      <c r="F65" s="14" t="n">
        <v>2775</v>
      </c>
      <c r="G65" s="17" t="n">
        <v>23.47</v>
      </c>
      <c r="H65" s="14">
        <f>IF(G65="","",G65*Ayarlar!$B$3+Ayarlar!$B$4+Ayarlar!$B$5)</f>
        <v/>
      </c>
      <c r="I65" s="14">
        <f>IF(G65="","",ROUNDUP(((G65*Ayarlar!$B$3+Ayarlar!$B$4+Ayarlar!$B$5)+Ayarlar!$B$8)/((1-Ayarlar!$B$6)*(1-Ayarlar!$B$7)),0))</f>
        <v/>
      </c>
      <c r="J65" s="14">
        <f>IF(G65="","",ROUNDUP(((G65*Ayarlar!$B$3+Ayarlar!$B$4+Ayarlar!$B$5)+Ayarlar!$B$8)/((1-Ayarlar!$B$6)*(1-Ayarlar!$B$7-Ayarlar!$B$9)),0))</f>
        <v/>
      </c>
      <c r="K65" s="15">
        <f>IF(OR(G65="",F65=""),"",(F65*(1-Ayarlar!$B$6)-(F65*(1-Ayarlar!$B$6)*Ayarlar!$B$7+Ayarlar!$B$8)-(G65*Ayarlar!$B$3+Ayarlar!$B$4+Ayarlar!$B$5))/(F65*(1-Ayarlar!$B$6)))</f>
        <v/>
      </c>
      <c r="L65" s="3">
        <f>IF(G65="","GRAM EKSİK",IF(F65&gt;30000,"FİYAT ŞÜPHELİ",IF(K65&lt;0,"ZARARDA",IF(F65&lt;I65,"RİSKLİ","ok"))))</f>
        <v/>
      </c>
      <c r="M65" s="16" t="inlineStr">
        <is>
          <t>https://www.etsy.com/listing/1296858064</t>
        </is>
      </c>
    </row>
    <row r="66">
      <c r="A66" s="9" t="inlineStr">
        <is>
          <t>chains</t>
        </is>
      </c>
      <c r="B66" s="9" t="inlineStr">
        <is>
          <t>10K Solid Gold Bead Ball Chain Necklace - Diamond Cut</t>
        </is>
      </c>
      <c r="C66" s="9" t="n">
        <v>1296858064</v>
      </c>
      <c r="D66" s="9" t="inlineStr">
        <is>
          <t>CMN3-24</t>
        </is>
      </c>
      <c r="E66" s="9" t="inlineStr">
        <is>
          <t>shipstation</t>
        </is>
      </c>
      <c r="F66" s="10" t="n">
        <v>3016</v>
      </c>
      <c r="G66" s="18" t="n">
        <v>25.6</v>
      </c>
      <c r="H66" s="10">
        <f>IF(G66="","",G66*Ayarlar!$B$3+Ayarlar!$B$4+Ayarlar!$B$5)</f>
        <v/>
      </c>
      <c r="I66" s="10">
        <f>IF(G66="","",ROUNDUP(((G66*Ayarlar!$B$3+Ayarlar!$B$4+Ayarlar!$B$5)+Ayarlar!$B$8)/((1-Ayarlar!$B$6)*(1-Ayarlar!$B$7)),0))</f>
        <v/>
      </c>
      <c r="J66" s="10">
        <f>IF(G66="","",ROUNDUP(((G66*Ayarlar!$B$3+Ayarlar!$B$4+Ayarlar!$B$5)+Ayarlar!$B$8)/((1-Ayarlar!$B$6)*(1-Ayarlar!$B$7-Ayarlar!$B$9)),0))</f>
        <v/>
      </c>
      <c r="K66" s="12">
        <f>IF(OR(G66="",F66=""),"",(F66*(1-Ayarlar!$B$6)-(F66*(1-Ayarlar!$B$6)*Ayarlar!$B$7+Ayarlar!$B$8)-(G66*Ayarlar!$B$3+Ayarlar!$B$4+Ayarlar!$B$5))/(F66*(1-Ayarlar!$B$6)))</f>
        <v/>
      </c>
      <c r="L66" s="9">
        <f>IF(G66="","GRAM EKSİK",IF(F66&gt;30000,"FİYAT ŞÜPHELİ",IF(K66&lt;0,"ZARARDA",IF(F66&lt;I66,"RİSKLİ","ok"))))</f>
        <v/>
      </c>
      <c r="M66" s="13" t="inlineStr">
        <is>
          <t>https://www.etsy.com/listing/1296858064</t>
        </is>
      </c>
    </row>
    <row r="67">
      <c r="A67" s="3" t="inlineStr">
        <is>
          <t>chains</t>
        </is>
      </c>
      <c r="B67" s="3" t="inlineStr">
        <is>
          <t>10K Solid Gold Bead Ball Chain Necklace - Diamond Cut</t>
        </is>
      </c>
      <c r="C67" s="3" t="n">
        <v>1296858064</v>
      </c>
      <c r="D67" s="3" t="inlineStr">
        <is>
          <t>CMN4-16</t>
        </is>
      </c>
      <c r="E67" s="3" t="inlineStr">
        <is>
          <t>description-scaled</t>
        </is>
      </c>
      <c r="F67" s="14" t="n">
        <v>2887</v>
      </c>
      <c r="G67" s="17" t="n">
        <v>22.62</v>
      </c>
      <c r="H67" s="14">
        <f>IF(G67="","",G67*Ayarlar!$B$3+Ayarlar!$B$4+Ayarlar!$B$5)</f>
        <v/>
      </c>
      <c r="I67" s="14">
        <f>IF(G67="","",ROUNDUP(((G67*Ayarlar!$B$3+Ayarlar!$B$4+Ayarlar!$B$5)+Ayarlar!$B$8)/((1-Ayarlar!$B$6)*(1-Ayarlar!$B$7)),0))</f>
        <v/>
      </c>
      <c r="J67" s="14">
        <f>IF(G67="","",ROUNDUP(((G67*Ayarlar!$B$3+Ayarlar!$B$4+Ayarlar!$B$5)+Ayarlar!$B$8)/((1-Ayarlar!$B$6)*(1-Ayarlar!$B$7-Ayarlar!$B$9)),0))</f>
        <v/>
      </c>
      <c r="K67" s="15">
        <f>IF(OR(G67="",F67=""),"",(F67*(1-Ayarlar!$B$6)-(F67*(1-Ayarlar!$B$6)*Ayarlar!$B$7+Ayarlar!$B$8)-(G67*Ayarlar!$B$3+Ayarlar!$B$4+Ayarlar!$B$5))/(F67*(1-Ayarlar!$B$6)))</f>
        <v/>
      </c>
      <c r="L67" s="3">
        <f>IF(G67="","GRAM EKSİK",IF(F67&gt;30000,"FİYAT ŞÜPHELİ",IF(K67&lt;0,"ZARARDA",IF(F67&lt;I67,"RİSKLİ","ok"))))</f>
        <v/>
      </c>
      <c r="M67" s="16" t="inlineStr">
        <is>
          <t>https://www.etsy.com/listing/1296858064</t>
        </is>
      </c>
    </row>
    <row r="68">
      <c r="A68" s="9" t="inlineStr">
        <is>
          <t>chains</t>
        </is>
      </c>
      <c r="B68" s="9" t="inlineStr">
        <is>
          <t>10K Solid Gold Bead Ball Chain Necklace - Diamond Cut</t>
        </is>
      </c>
      <c r="C68" s="9" t="n">
        <v>1296858064</v>
      </c>
      <c r="D68" s="9" t="inlineStr">
        <is>
          <t>CMN4-18</t>
        </is>
      </c>
      <c r="E68" s="9" t="inlineStr">
        <is>
          <t>description-scaled</t>
        </is>
      </c>
      <c r="F68" s="10" t="n">
        <v>3248</v>
      </c>
      <c r="G68" s="18" t="n">
        <v>25.45</v>
      </c>
      <c r="H68" s="10">
        <f>IF(G68="","",G68*Ayarlar!$B$3+Ayarlar!$B$4+Ayarlar!$B$5)</f>
        <v/>
      </c>
      <c r="I68" s="10">
        <f>IF(G68="","",ROUNDUP(((G68*Ayarlar!$B$3+Ayarlar!$B$4+Ayarlar!$B$5)+Ayarlar!$B$8)/((1-Ayarlar!$B$6)*(1-Ayarlar!$B$7)),0))</f>
        <v/>
      </c>
      <c r="J68" s="10">
        <f>IF(G68="","",ROUNDUP(((G68*Ayarlar!$B$3+Ayarlar!$B$4+Ayarlar!$B$5)+Ayarlar!$B$8)/((1-Ayarlar!$B$6)*(1-Ayarlar!$B$7-Ayarlar!$B$9)),0))</f>
        <v/>
      </c>
      <c r="K68" s="12">
        <f>IF(OR(G68="",F68=""),"",(F68*(1-Ayarlar!$B$6)-(F68*(1-Ayarlar!$B$6)*Ayarlar!$B$7+Ayarlar!$B$8)-(G68*Ayarlar!$B$3+Ayarlar!$B$4+Ayarlar!$B$5))/(F68*(1-Ayarlar!$B$6)))</f>
        <v/>
      </c>
      <c r="L68" s="9">
        <f>IF(G68="","GRAM EKSİK",IF(F68&gt;30000,"FİYAT ŞÜPHELİ",IF(K68&lt;0,"ZARARDA",IF(F68&lt;I68,"RİSKLİ","ok"))))</f>
        <v/>
      </c>
      <c r="M68" s="13" t="inlineStr">
        <is>
          <t>https://www.etsy.com/listing/1296858064</t>
        </is>
      </c>
    </row>
    <row r="69">
      <c r="A69" s="3" t="inlineStr">
        <is>
          <t>chains</t>
        </is>
      </c>
      <c r="B69" s="3" t="inlineStr">
        <is>
          <t>10K Solid Gold Bead Ball Chain Necklace - Diamond Cut</t>
        </is>
      </c>
      <c r="C69" s="3" t="n">
        <v>1296858064</v>
      </c>
      <c r="D69" s="3" t="inlineStr">
        <is>
          <t>CMN4-20</t>
        </is>
      </c>
      <c r="E69" s="3" t="inlineStr">
        <is>
          <t>description-scaled</t>
        </is>
      </c>
      <c r="F69" s="14" t="n">
        <v>3608</v>
      </c>
      <c r="G69" s="17" t="n">
        <v>28.27</v>
      </c>
      <c r="H69" s="14">
        <f>IF(G69="","",G69*Ayarlar!$B$3+Ayarlar!$B$4+Ayarlar!$B$5)</f>
        <v/>
      </c>
      <c r="I69" s="14">
        <f>IF(G69="","",ROUNDUP(((G69*Ayarlar!$B$3+Ayarlar!$B$4+Ayarlar!$B$5)+Ayarlar!$B$8)/((1-Ayarlar!$B$6)*(1-Ayarlar!$B$7)),0))</f>
        <v/>
      </c>
      <c r="J69" s="14">
        <f>IF(G69="","",ROUNDUP(((G69*Ayarlar!$B$3+Ayarlar!$B$4+Ayarlar!$B$5)+Ayarlar!$B$8)/((1-Ayarlar!$B$6)*(1-Ayarlar!$B$7-Ayarlar!$B$9)),0))</f>
        <v/>
      </c>
      <c r="K69" s="15">
        <f>IF(OR(G69="",F69=""),"",(F69*(1-Ayarlar!$B$6)-(F69*(1-Ayarlar!$B$6)*Ayarlar!$B$7+Ayarlar!$B$8)-(G69*Ayarlar!$B$3+Ayarlar!$B$4+Ayarlar!$B$5))/(F69*(1-Ayarlar!$B$6)))</f>
        <v/>
      </c>
      <c r="L69" s="3">
        <f>IF(G69="","GRAM EKSİK",IF(F69&gt;30000,"FİYAT ŞÜPHELİ",IF(K69&lt;0,"ZARARDA",IF(F69&lt;I69,"RİSKLİ","ok"))))</f>
        <v/>
      </c>
      <c r="M69" s="16" t="inlineStr">
        <is>
          <t>https://www.etsy.com/listing/1296858064</t>
        </is>
      </c>
    </row>
    <row r="70">
      <c r="A70" s="9" t="inlineStr">
        <is>
          <t>chains</t>
        </is>
      </c>
      <c r="B70" s="9" t="inlineStr">
        <is>
          <t>10K Solid Gold Bead Ball Chain Necklace - Diamond Cut</t>
        </is>
      </c>
      <c r="C70" s="9" t="n">
        <v>1296858064</v>
      </c>
      <c r="D70" s="9" t="inlineStr">
        <is>
          <t>CMN4-22</t>
        </is>
      </c>
      <c r="E70" s="9" t="inlineStr">
        <is>
          <t>description</t>
        </is>
      </c>
      <c r="F70" s="10" t="n">
        <v>3970</v>
      </c>
      <c r="G70" s="18" t="n">
        <v>31.1</v>
      </c>
      <c r="H70" s="10">
        <f>IF(G70="","",G70*Ayarlar!$B$3+Ayarlar!$B$4+Ayarlar!$B$5)</f>
        <v/>
      </c>
      <c r="I70" s="10">
        <f>IF(G70="","",ROUNDUP(((G70*Ayarlar!$B$3+Ayarlar!$B$4+Ayarlar!$B$5)+Ayarlar!$B$8)/((1-Ayarlar!$B$6)*(1-Ayarlar!$B$7)),0))</f>
        <v/>
      </c>
      <c r="J70" s="10">
        <f>IF(G70="","",ROUNDUP(((G70*Ayarlar!$B$3+Ayarlar!$B$4+Ayarlar!$B$5)+Ayarlar!$B$8)/((1-Ayarlar!$B$6)*(1-Ayarlar!$B$7-Ayarlar!$B$9)),0))</f>
        <v/>
      </c>
      <c r="K70" s="12">
        <f>IF(OR(G70="",F70=""),"",(F70*(1-Ayarlar!$B$6)-(F70*(1-Ayarlar!$B$6)*Ayarlar!$B$7+Ayarlar!$B$8)-(G70*Ayarlar!$B$3+Ayarlar!$B$4+Ayarlar!$B$5))/(F70*(1-Ayarlar!$B$6)))</f>
        <v/>
      </c>
      <c r="L70" s="9">
        <f>IF(G70="","GRAM EKSİK",IF(F70&gt;30000,"FİYAT ŞÜPHELİ",IF(K70&lt;0,"ZARARDA",IF(F70&lt;I70,"RİSKLİ","ok"))))</f>
        <v/>
      </c>
      <c r="M70" s="13" t="inlineStr">
        <is>
          <t>https://www.etsy.com/listing/1296858064</t>
        </is>
      </c>
    </row>
    <row r="71">
      <c r="A71" s="3" t="inlineStr">
        <is>
          <t>chains</t>
        </is>
      </c>
      <c r="B71" s="3" t="inlineStr">
        <is>
          <t>10K Solid Gold Bead Ball Chain Necklace - Diamond Cut</t>
        </is>
      </c>
      <c r="C71" s="3" t="n">
        <v>1296858064</v>
      </c>
      <c r="D71" s="3" t="inlineStr">
        <is>
          <t>CMN4-24</t>
        </is>
      </c>
      <c r="E71" s="3" t="inlineStr">
        <is>
          <t>description-scaled</t>
        </is>
      </c>
      <c r="F71" s="14" t="n">
        <v>4331</v>
      </c>
      <c r="G71" s="17" t="n">
        <v>33.93</v>
      </c>
      <c r="H71" s="14">
        <f>IF(G71="","",G71*Ayarlar!$B$3+Ayarlar!$B$4+Ayarlar!$B$5)</f>
        <v/>
      </c>
      <c r="I71" s="14">
        <f>IF(G71="","",ROUNDUP(((G71*Ayarlar!$B$3+Ayarlar!$B$4+Ayarlar!$B$5)+Ayarlar!$B$8)/((1-Ayarlar!$B$6)*(1-Ayarlar!$B$7)),0))</f>
        <v/>
      </c>
      <c r="J71" s="14">
        <f>IF(G71="","",ROUNDUP(((G71*Ayarlar!$B$3+Ayarlar!$B$4+Ayarlar!$B$5)+Ayarlar!$B$8)/((1-Ayarlar!$B$6)*(1-Ayarlar!$B$7-Ayarlar!$B$9)),0))</f>
        <v/>
      </c>
      <c r="K71" s="15">
        <f>IF(OR(G71="",F71=""),"",(F71*(1-Ayarlar!$B$6)-(F71*(1-Ayarlar!$B$6)*Ayarlar!$B$7+Ayarlar!$B$8)-(G71*Ayarlar!$B$3+Ayarlar!$B$4+Ayarlar!$B$5))/(F71*(1-Ayarlar!$B$6)))</f>
        <v/>
      </c>
      <c r="L71" s="3">
        <f>IF(G71="","GRAM EKSİK",IF(F71&gt;30000,"FİYAT ŞÜPHELİ",IF(K71&lt;0,"ZARARDA",IF(F71&lt;I71,"RİSKLİ","ok"))))</f>
        <v/>
      </c>
      <c r="M71" s="16" t="inlineStr">
        <is>
          <t>https://www.etsy.com/listing/1296858064</t>
        </is>
      </c>
    </row>
    <row r="72">
      <c r="A72" s="9" t="inlineStr">
        <is>
          <t>chains</t>
        </is>
      </c>
      <c r="B72" s="9" t="inlineStr">
        <is>
          <t>10K Solid Gold Herringbone Necklace, High Polish Snake Chain</t>
        </is>
      </c>
      <c r="C72" s="9" t="n">
        <v>1294201622</v>
      </c>
      <c r="D72" s="9" t="inlineStr">
        <is>
          <t>R1294201622</t>
        </is>
      </c>
      <c r="E72" s="9" t="inlineStr">
        <is>
          <t>—</t>
        </is>
      </c>
      <c r="F72" s="10" t="n">
        <v>86.27</v>
      </c>
      <c r="G72" s="11" t="n"/>
      <c r="H72" s="10">
        <f>IF(G72="","",G72*Ayarlar!$B$3+Ayarlar!$B$4+Ayarlar!$B$5)</f>
        <v/>
      </c>
      <c r="I72" s="10">
        <f>IF(G72="","",ROUNDUP(((G72*Ayarlar!$B$3+Ayarlar!$B$4+Ayarlar!$B$5)+Ayarlar!$B$8)/((1-Ayarlar!$B$6)*(1-Ayarlar!$B$7)),0))</f>
        <v/>
      </c>
      <c r="J72" s="10">
        <f>IF(G72="","",ROUNDUP(((G72*Ayarlar!$B$3+Ayarlar!$B$4+Ayarlar!$B$5)+Ayarlar!$B$8)/((1-Ayarlar!$B$6)*(1-Ayarlar!$B$7-Ayarlar!$B$9)),0))</f>
        <v/>
      </c>
      <c r="K72" s="12">
        <f>IF(OR(G72="",F72=""),"",(F72*(1-Ayarlar!$B$6)-(F72*(1-Ayarlar!$B$6)*Ayarlar!$B$7+Ayarlar!$B$8)-(G72*Ayarlar!$B$3+Ayarlar!$B$4+Ayarlar!$B$5))/(F72*(1-Ayarlar!$B$6)))</f>
        <v/>
      </c>
      <c r="L72" s="9">
        <f>IF(G72="","GRAM EKSİK",IF(F72&gt;30000,"FİYAT ŞÜPHELİ",IF(K72&lt;0,"ZARARDA",IF(F72&lt;I72,"RİSKLİ","ok"))))</f>
        <v/>
      </c>
      <c r="M72" s="13" t="inlineStr">
        <is>
          <t>https://www.etsy.com/listing/1294201622</t>
        </is>
      </c>
    </row>
    <row r="73">
      <c r="A73" s="3" t="inlineStr">
        <is>
          <t>chains</t>
        </is>
      </c>
      <c r="B73" s="3" t="inlineStr">
        <is>
          <t>10K White Gold Rope Bracelet – Unisex Solid Chain</t>
        </is>
      </c>
      <c r="C73" s="3" t="n">
        <v>4375720322</v>
      </c>
      <c r="D73" s="3" t="inlineStr">
        <is>
          <t>BWR2-7</t>
        </is>
      </c>
      <c r="E73" s="3" t="inlineStr">
        <is>
          <t>description</t>
        </is>
      </c>
      <c r="F73" s="14" t="n">
        <v>421</v>
      </c>
      <c r="G73" s="17" t="n">
        <v>3.27</v>
      </c>
      <c r="H73" s="14">
        <f>IF(G73="","",G73*Ayarlar!$B$3+Ayarlar!$B$4+Ayarlar!$B$5)</f>
        <v/>
      </c>
      <c r="I73" s="14">
        <f>IF(G73="","",ROUNDUP(((G73*Ayarlar!$B$3+Ayarlar!$B$4+Ayarlar!$B$5)+Ayarlar!$B$8)/((1-Ayarlar!$B$6)*(1-Ayarlar!$B$7)),0))</f>
        <v/>
      </c>
      <c r="J73" s="14">
        <f>IF(G73="","",ROUNDUP(((G73*Ayarlar!$B$3+Ayarlar!$B$4+Ayarlar!$B$5)+Ayarlar!$B$8)/((1-Ayarlar!$B$6)*(1-Ayarlar!$B$7-Ayarlar!$B$9)),0))</f>
        <v/>
      </c>
      <c r="K73" s="15">
        <f>IF(OR(G73="",F73=""),"",(F73*(1-Ayarlar!$B$6)-(F73*(1-Ayarlar!$B$6)*Ayarlar!$B$7+Ayarlar!$B$8)-(G73*Ayarlar!$B$3+Ayarlar!$B$4+Ayarlar!$B$5))/(F73*(1-Ayarlar!$B$6)))</f>
        <v/>
      </c>
      <c r="L73" s="3">
        <f>IF(G73="","GRAM EKSİK",IF(F73&gt;30000,"FİYAT ŞÜPHELİ",IF(K73&lt;0,"ZARARDA",IF(F73&lt;I73,"RİSKLİ","ok"))))</f>
        <v/>
      </c>
      <c r="M73" s="16" t="inlineStr">
        <is>
          <t>https://www.etsy.com/listing/4375720322</t>
        </is>
      </c>
    </row>
    <row r="74">
      <c r="A74" s="9" t="inlineStr">
        <is>
          <t>chains</t>
        </is>
      </c>
      <c r="B74" s="9" t="inlineStr">
        <is>
          <t>10K White Gold Rope Bracelet – Unisex Solid Chain</t>
        </is>
      </c>
      <c r="C74" s="9" t="n">
        <v>4375720322</v>
      </c>
      <c r="D74" s="9" t="inlineStr">
        <is>
          <t>BWR2-7.5</t>
        </is>
      </c>
      <c r="E74" s="9" t="inlineStr">
        <is>
          <t>description</t>
        </is>
      </c>
      <c r="F74" s="10" t="n">
        <v>451</v>
      </c>
      <c r="G74" s="18" t="n">
        <v>3.5</v>
      </c>
      <c r="H74" s="10">
        <f>IF(G74="","",G74*Ayarlar!$B$3+Ayarlar!$B$4+Ayarlar!$B$5)</f>
        <v/>
      </c>
      <c r="I74" s="10">
        <f>IF(G74="","",ROUNDUP(((G74*Ayarlar!$B$3+Ayarlar!$B$4+Ayarlar!$B$5)+Ayarlar!$B$8)/((1-Ayarlar!$B$6)*(1-Ayarlar!$B$7)),0))</f>
        <v/>
      </c>
      <c r="J74" s="10">
        <f>IF(G74="","",ROUNDUP(((G74*Ayarlar!$B$3+Ayarlar!$B$4+Ayarlar!$B$5)+Ayarlar!$B$8)/((1-Ayarlar!$B$6)*(1-Ayarlar!$B$7-Ayarlar!$B$9)),0))</f>
        <v/>
      </c>
      <c r="K74" s="12">
        <f>IF(OR(G74="",F74=""),"",(F74*(1-Ayarlar!$B$6)-(F74*(1-Ayarlar!$B$6)*Ayarlar!$B$7+Ayarlar!$B$8)-(G74*Ayarlar!$B$3+Ayarlar!$B$4+Ayarlar!$B$5))/(F74*(1-Ayarlar!$B$6)))</f>
        <v/>
      </c>
      <c r="L74" s="9">
        <f>IF(G74="","GRAM EKSİK",IF(F74&gt;30000,"FİYAT ŞÜPHELİ",IF(K74&lt;0,"ZARARDA",IF(F74&lt;I74,"RİSKLİ","ok"))))</f>
        <v/>
      </c>
      <c r="M74" s="13" t="inlineStr">
        <is>
          <t>https://www.etsy.com/listing/4375720322</t>
        </is>
      </c>
    </row>
    <row r="75">
      <c r="A75" s="3" t="inlineStr">
        <is>
          <t>chains</t>
        </is>
      </c>
      <c r="B75" s="3" t="inlineStr">
        <is>
          <t>10K White Gold Rope Bracelet – Unisex Solid Chain</t>
        </is>
      </c>
      <c r="C75" s="3" t="n">
        <v>4375720322</v>
      </c>
      <c r="D75" s="3" t="inlineStr">
        <is>
          <t>BWR2-8</t>
        </is>
      </c>
      <c r="E75" s="3" t="inlineStr">
        <is>
          <t>description</t>
        </is>
      </c>
      <c r="F75" s="14" t="n">
        <v>481</v>
      </c>
      <c r="G75" s="17" t="n">
        <v>3.73</v>
      </c>
      <c r="H75" s="14">
        <f>IF(G75="","",G75*Ayarlar!$B$3+Ayarlar!$B$4+Ayarlar!$B$5)</f>
        <v/>
      </c>
      <c r="I75" s="14">
        <f>IF(G75="","",ROUNDUP(((G75*Ayarlar!$B$3+Ayarlar!$B$4+Ayarlar!$B$5)+Ayarlar!$B$8)/((1-Ayarlar!$B$6)*(1-Ayarlar!$B$7)),0))</f>
        <v/>
      </c>
      <c r="J75" s="14">
        <f>IF(G75="","",ROUNDUP(((G75*Ayarlar!$B$3+Ayarlar!$B$4+Ayarlar!$B$5)+Ayarlar!$B$8)/((1-Ayarlar!$B$6)*(1-Ayarlar!$B$7-Ayarlar!$B$9)),0))</f>
        <v/>
      </c>
      <c r="K75" s="15">
        <f>IF(OR(G75="",F75=""),"",(F75*(1-Ayarlar!$B$6)-(F75*(1-Ayarlar!$B$6)*Ayarlar!$B$7+Ayarlar!$B$8)-(G75*Ayarlar!$B$3+Ayarlar!$B$4+Ayarlar!$B$5))/(F75*(1-Ayarlar!$B$6)))</f>
        <v/>
      </c>
      <c r="L75" s="3">
        <f>IF(G75="","GRAM EKSİK",IF(F75&gt;30000,"FİYAT ŞÜPHELİ",IF(K75&lt;0,"ZARARDA",IF(F75&lt;I75,"RİSKLİ","ok"))))</f>
        <v/>
      </c>
      <c r="M75" s="16" t="inlineStr">
        <is>
          <t>https://www.etsy.com/listing/4375720322</t>
        </is>
      </c>
    </row>
    <row r="76">
      <c r="A76" s="9" t="inlineStr">
        <is>
          <t>chains</t>
        </is>
      </c>
      <c r="B76" s="9" t="inlineStr">
        <is>
          <t>10K White Gold Rope Bracelet – Unisex Solid Chain</t>
        </is>
      </c>
      <c r="C76" s="9" t="n">
        <v>4375720322</v>
      </c>
      <c r="D76" s="9" t="inlineStr">
        <is>
          <t>BWR2-8.5</t>
        </is>
      </c>
      <c r="E76" s="9" t="inlineStr">
        <is>
          <t>description</t>
        </is>
      </c>
      <c r="F76" s="10" t="n">
        <v>511</v>
      </c>
      <c r="G76" s="18" t="n">
        <v>3.97</v>
      </c>
      <c r="H76" s="10">
        <f>IF(G76="","",G76*Ayarlar!$B$3+Ayarlar!$B$4+Ayarlar!$B$5)</f>
        <v/>
      </c>
      <c r="I76" s="10">
        <f>IF(G76="","",ROUNDUP(((G76*Ayarlar!$B$3+Ayarlar!$B$4+Ayarlar!$B$5)+Ayarlar!$B$8)/((1-Ayarlar!$B$6)*(1-Ayarlar!$B$7)),0))</f>
        <v/>
      </c>
      <c r="J76" s="10">
        <f>IF(G76="","",ROUNDUP(((G76*Ayarlar!$B$3+Ayarlar!$B$4+Ayarlar!$B$5)+Ayarlar!$B$8)/((1-Ayarlar!$B$6)*(1-Ayarlar!$B$7-Ayarlar!$B$9)),0))</f>
        <v/>
      </c>
      <c r="K76" s="12">
        <f>IF(OR(G76="",F76=""),"",(F76*(1-Ayarlar!$B$6)-(F76*(1-Ayarlar!$B$6)*Ayarlar!$B$7+Ayarlar!$B$8)-(G76*Ayarlar!$B$3+Ayarlar!$B$4+Ayarlar!$B$5))/(F76*(1-Ayarlar!$B$6)))</f>
        <v/>
      </c>
      <c r="L76" s="9">
        <f>IF(G76="","GRAM EKSİK",IF(F76&gt;30000,"FİYAT ŞÜPHELİ",IF(K76&lt;0,"ZARARDA",IF(F76&lt;I76,"RİSKLİ","ok"))))</f>
        <v/>
      </c>
      <c r="M76" s="13" t="inlineStr">
        <is>
          <t>https://www.etsy.com/listing/4375720322</t>
        </is>
      </c>
    </row>
    <row r="77">
      <c r="A77" s="3" t="inlineStr">
        <is>
          <t>chains</t>
        </is>
      </c>
      <c r="B77" s="3" t="inlineStr">
        <is>
          <t>10K White Gold Rope Bracelet – Unisex Solid Chain</t>
        </is>
      </c>
      <c r="C77" s="3" t="n">
        <v>4375720322</v>
      </c>
      <c r="D77" s="3" t="inlineStr">
        <is>
          <t>BWR3-7</t>
        </is>
      </c>
      <c r="E77" s="3" t="inlineStr">
        <is>
          <t>description</t>
        </is>
      </c>
      <c r="F77" s="14" t="n">
        <v>655</v>
      </c>
      <c r="G77" s="17" t="n">
        <v>4.9</v>
      </c>
      <c r="H77" s="14">
        <f>IF(G77="","",G77*Ayarlar!$B$3+Ayarlar!$B$4+Ayarlar!$B$5)</f>
        <v/>
      </c>
      <c r="I77" s="14">
        <f>IF(G77="","",ROUNDUP(((G77*Ayarlar!$B$3+Ayarlar!$B$4+Ayarlar!$B$5)+Ayarlar!$B$8)/((1-Ayarlar!$B$6)*(1-Ayarlar!$B$7)),0))</f>
        <v/>
      </c>
      <c r="J77" s="14">
        <f>IF(G77="","",ROUNDUP(((G77*Ayarlar!$B$3+Ayarlar!$B$4+Ayarlar!$B$5)+Ayarlar!$B$8)/((1-Ayarlar!$B$6)*(1-Ayarlar!$B$7-Ayarlar!$B$9)),0))</f>
        <v/>
      </c>
      <c r="K77" s="15">
        <f>IF(OR(G77="",F77=""),"",(F77*(1-Ayarlar!$B$6)-(F77*(1-Ayarlar!$B$6)*Ayarlar!$B$7+Ayarlar!$B$8)-(G77*Ayarlar!$B$3+Ayarlar!$B$4+Ayarlar!$B$5))/(F77*(1-Ayarlar!$B$6)))</f>
        <v/>
      </c>
      <c r="L77" s="3">
        <f>IF(G77="","GRAM EKSİK",IF(F77&gt;30000,"FİYAT ŞÜPHELİ",IF(K77&lt;0,"ZARARDA",IF(F77&lt;I77,"RİSKLİ","ok"))))</f>
        <v/>
      </c>
      <c r="M77" s="16" t="inlineStr">
        <is>
          <t>https://www.etsy.com/listing/4375720322</t>
        </is>
      </c>
    </row>
    <row r="78">
      <c r="A78" s="9" t="inlineStr">
        <is>
          <t>chains</t>
        </is>
      </c>
      <c r="B78" s="9" t="inlineStr">
        <is>
          <t>10K White Gold Rope Bracelet – Unisex Solid Chain</t>
        </is>
      </c>
      <c r="C78" s="9" t="n">
        <v>4375720322</v>
      </c>
      <c r="D78" s="9" t="inlineStr">
        <is>
          <t>BWR3-7.5</t>
        </is>
      </c>
      <c r="E78" s="9" t="inlineStr">
        <is>
          <t>description</t>
        </is>
      </c>
      <c r="F78" s="10" t="n">
        <v>696</v>
      </c>
      <c r="G78" s="18" t="n">
        <v>5.25</v>
      </c>
      <c r="H78" s="10">
        <f>IF(G78="","",G78*Ayarlar!$B$3+Ayarlar!$B$4+Ayarlar!$B$5)</f>
        <v/>
      </c>
      <c r="I78" s="10">
        <f>IF(G78="","",ROUNDUP(((G78*Ayarlar!$B$3+Ayarlar!$B$4+Ayarlar!$B$5)+Ayarlar!$B$8)/((1-Ayarlar!$B$6)*(1-Ayarlar!$B$7)),0))</f>
        <v/>
      </c>
      <c r="J78" s="10">
        <f>IF(G78="","",ROUNDUP(((G78*Ayarlar!$B$3+Ayarlar!$B$4+Ayarlar!$B$5)+Ayarlar!$B$8)/((1-Ayarlar!$B$6)*(1-Ayarlar!$B$7-Ayarlar!$B$9)),0))</f>
        <v/>
      </c>
      <c r="K78" s="12">
        <f>IF(OR(G78="",F78=""),"",(F78*(1-Ayarlar!$B$6)-(F78*(1-Ayarlar!$B$6)*Ayarlar!$B$7+Ayarlar!$B$8)-(G78*Ayarlar!$B$3+Ayarlar!$B$4+Ayarlar!$B$5))/(F78*(1-Ayarlar!$B$6)))</f>
        <v/>
      </c>
      <c r="L78" s="9">
        <f>IF(G78="","GRAM EKSİK",IF(F78&gt;30000,"FİYAT ŞÜPHELİ",IF(K78&lt;0,"ZARARDA",IF(F78&lt;I78,"RİSKLİ","ok"))))</f>
        <v/>
      </c>
      <c r="M78" s="13" t="inlineStr">
        <is>
          <t>https://www.etsy.com/listing/4375720322</t>
        </is>
      </c>
    </row>
    <row r="79">
      <c r="A79" s="3" t="inlineStr">
        <is>
          <t>chains</t>
        </is>
      </c>
      <c r="B79" s="3" t="inlineStr">
        <is>
          <t>10K White Gold Rope Bracelet – Unisex Solid Chain</t>
        </is>
      </c>
      <c r="C79" s="3" t="n">
        <v>4375720322</v>
      </c>
      <c r="D79" s="3" t="inlineStr">
        <is>
          <t>BWR3-8</t>
        </is>
      </c>
      <c r="E79" s="3" t="inlineStr">
        <is>
          <t>description</t>
        </is>
      </c>
      <c r="F79" s="14" t="n">
        <v>746</v>
      </c>
      <c r="G79" s="17" t="n">
        <v>5.6</v>
      </c>
      <c r="H79" s="14">
        <f>IF(G79="","",G79*Ayarlar!$B$3+Ayarlar!$B$4+Ayarlar!$B$5)</f>
        <v/>
      </c>
      <c r="I79" s="14">
        <f>IF(G79="","",ROUNDUP(((G79*Ayarlar!$B$3+Ayarlar!$B$4+Ayarlar!$B$5)+Ayarlar!$B$8)/((1-Ayarlar!$B$6)*(1-Ayarlar!$B$7)),0))</f>
        <v/>
      </c>
      <c r="J79" s="14">
        <f>IF(G79="","",ROUNDUP(((G79*Ayarlar!$B$3+Ayarlar!$B$4+Ayarlar!$B$5)+Ayarlar!$B$8)/((1-Ayarlar!$B$6)*(1-Ayarlar!$B$7-Ayarlar!$B$9)),0))</f>
        <v/>
      </c>
      <c r="K79" s="15">
        <f>IF(OR(G79="",F79=""),"",(F79*(1-Ayarlar!$B$6)-(F79*(1-Ayarlar!$B$6)*Ayarlar!$B$7+Ayarlar!$B$8)-(G79*Ayarlar!$B$3+Ayarlar!$B$4+Ayarlar!$B$5))/(F79*(1-Ayarlar!$B$6)))</f>
        <v/>
      </c>
      <c r="L79" s="3">
        <f>IF(G79="","GRAM EKSİK",IF(F79&gt;30000,"FİYAT ŞÜPHELİ",IF(K79&lt;0,"ZARARDA",IF(F79&lt;I79,"RİSKLİ","ok"))))</f>
        <v/>
      </c>
      <c r="M79" s="16" t="inlineStr">
        <is>
          <t>https://www.etsy.com/listing/4375720322</t>
        </is>
      </c>
    </row>
    <row r="80">
      <c r="A80" s="9" t="inlineStr">
        <is>
          <t>chains</t>
        </is>
      </c>
      <c r="B80" s="9" t="inlineStr">
        <is>
          <t>10K White Gold Rope Bracelet – Unisex Solid Chain</t>
        </is>
      </c>
      <c r="C80" s="9" t="n">
        <v>4375720322</v>
      </c>
      <c r="D80" s="9" t="inlineStr">
        <is>
          <t>BWR3-8.5</t>
        </is>
      </c>
      <c r="E80" s="9" t="inlineStr">
        <is>
          <t>description</t>
        </is>
      </c>
      <c r="F80" s="10" t="n">
        <v>793</v>
      </c>
      <c r="G80" s="18" t="n">
        <v>5.95</v>
      </c>
      <c r="H80" s="10">
        <f>IF(G80="","",G80*Ayarlar!$B$3+Ayarlar!$B$4+Ayarlar!$B$5)</f>
        <v/>
      </c>
      <c r="I80" s="10">
        <f>IF(G80="","",ROUNDUP(((G80*Ayarlar!$B$3+Ayarlar!$B$4+Ayarlar!$B$5)+Ayarlar!$B$8)/((1-Ayarlar!$B$6)*(1-Ayarlar!$B$7)),0))</f>
        <v/>
      </c>
      <c r="J80" s="10">
        <f>IF(G80="","",ROUNDUP(((G80*Ayarlar!$B$3+Ayarlar!$B$4+Ayarlar!$B$5)+Ayarlar!$B$8)/((1-Ayarlar!$B$6)*(1-Ayarlar!$B$7-Ayarlar!$B$9)),0))</f>
        <v/>
      </c>
      <c r="K80" s="12">
        <f>IF(OR(G80="",F80=""),"",(F80*(1-Ayarlar!$B$6)-(F80*(1-Ayarlar!$B$6)*Ayarlar!$B$7+Ayarlar!$B$8)-(G80*Ayarlar!$B$3+Ayarlar!$B$4+Ayarlar!$B$5))/(F80*(1-Ayarlar!$B$6)))</f>
        <v/>
      </c>
      <c r="L80" s="9">
        <f>IF(G80="","GRAM EKSİK",IF(F80&gt;30000,"FİYAT ŞÜPHELİ",IF(K80&lt;0,"ZARARDA",IF(F80&lt;I80,"RİSKLİ","ok"))))</f>
        <v/>
      </c>
      <c r="M80" s="13" t="inlineStr">
        <is>
          <t>https://www.etsy.com/listing/4375720322</t>
        </is>
      </c>
    </row>
    <row r="81">
      <c r="A81" s="3" t="inlineStr">
        <is>
          <t>chains</t>
        </is>
      </c>
      <c r="B81" s="3" t="inlineStr">
        <is>
          <t>10K White Gold Rope Bracelet – Unisex Solid Chain</t>
        </is>
      </c>
      <c r="C81" s="3" t="n">
        <v>4375720322</v>
      </c>
      <c r="D81" s="3" t="inlineStr">
        <is>
          <t>BWR32-7</t>
        </is>
      </c>
      <c r="E81" s="3" t="inlineStr">
        <is>
          <t>description</t>
        </is>
      </c>
      <c r="F81" s="14" t="n">
        <v>828</v>
      </c>
      <c r="G81" s="17" t="n">
        <v>6.21</v>
      </c>
      <c r="H81" s="14">
        <f>IF(G81="","",G81*Ayarlar!$B$3+Ayarlar!$B$4+Ayarlar!$B$5)</f>
        <v/>
      </c>
      <c r="I81" s="14">
        <f>IF(G81="","",ROUNDUP(((G81*Ayarlar!$B$3+Ayarlar!$B$4+Ayarlar!$B$5)+Ayarlar!$B$8)/((1-Ayarlar!$B$6)*(1-Ayarlar!$B$7)),0))</f>
        <v/>
      </c>
      <c r="J81" s="14">
        <f>IF(G81="","",ROUNDUP(((G81*Ayarlar!$B$3+Ayarlar!$B$4+Ayarlar!$B$5)+Ayarlar!$B$8)/((1-Ayarlar!$B$6)*(1-Ayarlar!$B$7-Ayarlar!$B$9)),0))</f>
        <v/>
      </c>
      <c r="K81" s="15">
        <f>IF(OR(G81="",F81=""),"",(F81*(1-Ayarlar!$B$6)-(F81*(1-Ayarlar!$B$6)*Ayarlar!$B$7+Ayarlar!$B$8)-(G81*Ayarlar!$B$3+Ayarlar!$B$4+Ayarlar!$B$5))/(F81*(1-Ayarlar!$B$6)))</f>
        <v/>
      </c>
      <c r="L81" s="3">
        <f>IF(G81="","GRAM EKSİK",IF(F81&gt;30000,"FİYAT ŞÜPHELİ",IF(K81&lt;0,"ZARARDA",IF(F81&lt;I81,"RİSKLİ","ok"))))</f>
        <v/>
      </c>
      <c r="M81" s="16" t="inlineStr">
        <is>
          <t>https://www.etsy.com/listing/4375720322</t>
        </is>
      </c>
    </row>
    <row r="82">
      <c r="A82" s="9" t="inlineStr">
        <is>
          <t>chains</t>
        </is>
      </c>
      <c r="B82" s="9" t="inlineStr">
        <is>
          <t>10K White Gold Rope Bracelet – Unisex Solid Chain</t>
        </is>
      </c>
      <c r="C82" s="9" t="n">
        <v>4375720322</v>
      </c>
      <c r="D82" s="9" t="inlineStr">
        <is>
          <t>BWR32-7.5</t>
        </is>
      </c>
      <c r="E82" s="9" t="inlineStr">
        <is>
          <t>description</t>
        </is>
      </c>
      <c r="F82" s="10" t="n">
        <v>888</v>
      </c>
      <c r="G82" s="18" t="n">
        <v>6.66</v>
      </c>
      <c r="H82" s="10">
        <f>IF(G82="","",G82*Ayarlar!$B$3+Ayarlar!$B$4+Ayarlar!$B$5)</f>
        <v/>
      </c>
      <c r="I82" s="10">
        <f>IF(G82="","",ROUNDUP(((G82*Ayarlar!$B$3+Ayarlar!$B$4+Ayarlar!$B$5)+Ayarlar!$B$8)/((1-Ayarlar!$B$6)*(1-Ayarlar!$B$7)),0))</f>
        <v/>
      </c>
      <c r="J82" s="10">
        <f>IF(G82="","",ROUNDUP(((G82*Ayarlar!$B$3+Ayarlar!$B$4+Ayarlar!$B$5)+Ayarlar!$B$8)/((1-Ayarlar!$B$6)*(1-Ayarlar!$B$7-Ayarlar!$B$9)),0))</f>
        <v/>
      </c>
      <c r="K82" s="12">
        <f>IF(OR(G82="",F82=""),"",(F82*(1-Ayarlar!$B$6)-(F82*(1-Ayarlar!$B$6)*Ayarlar!$B$7+Ayarlar!$B$8)-(G82*Ayarlar!$B$3+Ayarlar!$B$4+Ayarlar!$B$5))/(F82*(1-Ayarlar!$B$6)))</f>
        <v/>
      </c>
      <c r="L82" s="9">
        <f>IF(G82="","GRAM EKSİK",IF(F82&gt;30000,"FİYAT ŞÜPHELİ",IF(K82&lt;0,"ZARARDA",IF(F82&lt;I82,"RİSKLİ","ok"))))</f>
        <v/>
      </c>
      <c r="M82" s="13" t="inlineStr">
        <is>
          <t>https://www.etsy.com/listing/4375720322</t>
        </is>
      </c>
    </row>
    <row r="83">
      <c r="A83" s="3" t="inlineStr">
        <is>
          <t>chains</t>
        </is>
      </c>
      <c r="B83" s="3" t="inlineStr">
        <is>
          <t>10K White Gold Rope Bracelet – Unisex Solid Chain</t>
        </is>
      </c>
      <c r="C83" s="3" t="n">
        <v>4375720322</v>
      </c>
      <c r="D83" s="3" t="inlineStr">
        <is>
          <t>BWR32-8</t>
        </is>
      </c>
      <c r="E83" s="3" t="inlineStr">
        <is>
          <t>description</t>
        </is>
      </c>
      <c r="F83" s="14" t="n">
        <v>949</v>
      </c>
      <c r="G83" s="17" t="n">
        <v>7.1</v>
      </c>
      <c r="H83" s="14">
        <f>IF(G83="","",G83*Ayarlar!$B$3+Ayarlar!$B$4+Ayarlar!$B$5)</f>
        <v/>
      </c>
      <c r="I83" s="14">
        <f>IF(G83="","",ROUNDUP(((G83*Ayarlar!$B$3+Ayarlar!$B$4+Ayarlar!$B$5)+Ayarlar!$B$8)/((1-Ayarlar!$B$6)*(1-Ayarlar!$B$7)),0))</f>
        <v/>
      </c>
      <c r="J83" s="14">
        <f>IF(G83="","",ROUNDUP(((G83*Ayarlar!$B$3+Ayarlar!$B$4+Ayarlar!$B$5)+Ayarlar!$B$8)/((1-Ayarlar!$B$6)*(1-Ayarlar!$B$7-Ayarlar!$B$9)),0))</f>
        <v/>
      </c>
      <c r="K83" s="15">
        <f>IF(OR(G83="",F83=""),"",(F83*(1-Ayarlar!$B$6)-(F83*(1-Ayarlar!$B$6)*Ayarlar!$B$7+Ayarlar!$B$8)-(G83*Ayarlar!$B$3+Ayarlar!$B$4+Ayarlar!$B$5))/(F83*(1-Ayarlar!$B$6)))</f>
        <v/>
      </c>
      <c r="L83" s="3">
        <f>IF(G83="","GRAM EKSİK",IF(F83&gt;30000,"FİYAT ŞÜPHELİ",IF(K83&lt;0,"ZARARDA",IF(F83&lt;I83,"RİSKLİ","ok"))))</f>
        <v/>
      </c>
      <c r="M83" s="16" t="inlineStr">
        <is>
          <t>https://www.etsy.com/listing/4375720322</t>
        </is>
      </c>
    </row>
    <row r="84">
      <c r="A84" s="9" t="inlineStr">
        <is>
          <t>chains</t>
        </is>
      </c>
      <c r="B84" s="9" t="inlineStr">
        <is>
          <t>10K White Gold Rope Bracelet – Unisex Solid Chain</t>
        </is>
      </c>
      <c r="C84" s="9" t="n">
        <v>4375720322</v>
      </c>
      <c r="D84" s="9" t="inlineStr">
        <is>
          <t>BWR32-8.5</t>
        </is>
      </c>
      <c r="E84" s="9" t="inlineStr">
        <is>
          <t>description</t>
        </is>
      </c>
      <c r="F84" s="10" t="n">
        <v>1009</v>
      </c>
      <c r="G84" s="18" t="n">
        <v>7.54</v>
      </c>
      <c r="H84" s="10">
        <f>IF(G84="","",G84*Ayarlar!$B$3+Ayarlar!$B$4+Ayarlar!$B$5)</f>
        <v/>
      </c>
      <c r="I84" s="10">
        <f>IF(G84="","",ROUNDUP(((G84*Ayarlar!$B$3+Ayarlar!$B$4+Ayarlar!$B$5)+Ayarlar!$B$8)/((1-Ayarlar!$B$6)*(1-Ayarlar!$B$7)),0))</f>
        <v/>
      </c>
      <c r="J84" s="10">
        <f>IF(G84="","",ROUNDUP(((G84*Ayarlar!$B$3+Ayarlar!$B$4+Ayarlar!$B$5)+Ayarlar!$B$8)/((1-Ayarlar!$B$6)*(1-Ayarlar!$B$7-Ayarlar!$B$9)),0))</f>
        <v/>
      </c>
      <c r="K84" s="12">
        <f>IF(OR(G84="",F84=""),"",(F84*(1-Ayarlar!$B$6)-(F84*(1-Ayarlar!$B$6)*Ayarlar!$B$7+Ayarlar!$B$8)-(G84*Ayarlar!$B$3+Ayarlar!$B$4+Ayarlar!$B$5))/(F84*(1-Ayarlar!$B$6)))</f>
        <v/>
      </c>
      <c r="L84" s="9">
        <f>IF(G84="","GRAM EKSİK",IF(F84&gt;30000,"FİYAT ŞÜPHELİ",IF(K84&lt;0,"ZARARDA",IF(F84&lt;I84,"RİSKLİ","ok"))))</f>
        <v/>
      </c>
      <c r="M84" s="13" t="inlineStr">
        <is>
          <t>https://www.etsy.com/listing/4375720322</t>
        </is>
      </c>
    </row>
    <row r="85">
      <c r="A85" s="3" t="inlineStr">
        <is>
          <t>chains</t>
        </is>
      </c>
      <c r="B85" s="3" t="inlineStr">
        <is>
          <t>10K White Gold Rope Bracelet – Unisex Solid Chain</t>
        </is>
      </c>
      <c r="C85" s="3" t="n">
        <v>4375720322</v>
      </c>
      <c r="D85" s="3" t="inlineStr">
        <is>
          <t>BWR34-7</t>
        </is>
      </c>
      <c r="E85" s="3" t="inlineStr">
        <is>
          <t>description</t>
        </is>
      </c>
      <c r="F85" s="14" t="n">
        <v>747</v>
      </c>
      <c r="G85" s="17" t="n">
        <v>6.26</v>
      </c>
      <c r="H85" s="14">
        <f>IF(G85="","",G85*Ayarlar!$B$3+Ayarlar!$B$4+Ayarlar!$B$5)</f>
        <v/>
      </c>
      <c r="I85" s="14">
        <f>IF(G85="","",ROUNDUP(((G85*Ayarlar!$B$3+Ayarlar!$B$4+Ayarlar!$B$5)+Ayarlar!$B$8)/((1-Ayarlar!$B$6)*(1-Ayarlar!$B$7)),0))</f>
        <v/>
      </c>
      <c r="J85" s="14">
        <f>IF(G85="","",ROUNDUP(((G85*Ayarlar!$B$3+Ayarlar!$B$4+Ayarlar!$B$5)+Ayarlar!$B$8)/((1-Ayarlar!$B$6)*(1-Ayarlar!$B$7-Ayarlar!$B$9)),0))</f>
        <v/>
      </c>
      <c r="K85" s="15">
        <f>IF(OR(G85="",F85=""),"",(F85*(1-Ayarlar!$B$6)-(F85*(1-Ayarlar!$B$6)*Ayarlar!$B$7+Ayarlar!$B$8)-(G85*Ayarlar!$B$3+Ayarlar!$B$4+Ayarlar!$B$5))/(F85*(1-Ayarlar!$B$6)))</f>
        <v/>
      </c>
      <c r="L85" s="3">
        <f>IF(G85="","GRAM EKSİK",IF(F85&gt;30000,"FİYAT ŞÜPHELİ",IF(K85&lt;0,"ZARARDA",IF(F85&lt;I85,"RİSKLİ","ok"))))</f>
        <v/>
      </c>
      <c r="M85" s="16" t="inlineStr">
        <is>
          <t>https://www.etsy.com/listing/4375720322</t>
        </is>
      </c>
    </row>
    <row r="86">
      <c r="A86" s="9" t="inlineStr">
        <is>
          <t>chains</t>
        </is>
      </c>
      <c r="B86" s="9" t="inlineStr">
        <is>
          <t>10K White Gold Rope Bracelet – Unisex Solid Chain</t>
        </is>
      </c>
      <c r="C86" s="9" t="n">
        <v>4375720322</v>
      </c>
      <c r="D86" s="9" t="inlineStr">
        <is>
          <t>BWR34-7.5</t>
        </is>
      </c>
      <c r="E86" s="9" t="inlineStr">
        <is>
          <t>description</t>
        </is>
      </c>
      <c r="F86" s="10" t="n">
        <v>807</v>
      </c>
      <c r="G86" s="18" t="n">
        <v>6.71</v>
      </c>
      <c r="H86" s="10">
        <f>IF(G86="","",G86*Ayarlar!$B$3+Ayarlar!$B$4+Ayarlar!$B$5)</f>
        <v/>
      </c>
      <c r="I86" s="10">
        <f>IF(G86="","",ROUNDUP(((G86*Ayarlar!$B$3+Ayarlar!$B$4+Ayarlar!$B$5)+Ayarlar!$B$8)/((1-Ayarlar!$B$6)*(1-Ayarlar!$B$7)),0))</f>
        <v/>
      </c>
      <c r="J86" s="10">
        <f>IF(G86="","",ROUNDUP(((G86*Ayarlar!$B$3+Ayarlar!$B$4+Ayarlar!$B$5)+Ayarlar!$B$8)/((1-Ayarlar!$B$6)*(1-Ayarlar!$B$7-Ayarlar!$B$9)),0))</f>
        <v/>
      </c>
      <c r="K86" s="12">
        <f>IF(OR(G86="",F86=""),"",(F86*(1-Ayarlar!$B$6)-(F86*(1-Ayarlar!$B$6)*Ayarlar!$B$7+Ayarlar!$B$8)-(G86*Ayarlar!$B$3+Ayarlar!$B$4+Ayarlar!$B$5))/(F86*(1-Ayarlar!$B$6)))</f>
        <v/>
      </c>
      <c r="L86" s="9">
        <f>IF(G86="","GRAM EKSİK",IF(F86&gt;30000,"FİYAT ŞÜPHELİ",IF(K86&lt;0,"ZARARDA",IF(F86&lt;I86,"RİSKLİ","ok"))))</f>
        <v/>
      </c>
      <c r="M86" s="13" t="inlineStr">
        <is>
          <t>https://www.etsy.com/listing/4375720322</t>
        </is>
      </c>
    </row>
    <row r="87">
      <c r="A87" s="3" t="inlineStr">
        <is>
          <t>chains</t>
        </is>
      </c>
      <c r="B87" s="3" t="inlineStr">
        <is>
          <t>10K White Gold Rope Bracelet – Unisex Solid Chain</t>
        </is>
      </c>
      <c r="C87" s="3" t="n">
        <v>4375720322</v>
      </c>
      <c r="D87" s="3" t="inlineStr">
        <is>
          <t>BWR34-8</t>
        </is>
      </c>
      <c r="E87" s="3" t="inlineStr">
        <is>
          <t>description</t>
        </is>
      </c>
      <c r="F87" s="14" t="n">
        <v>867</v>
      </c>
      <c r="G87" s="17" t="n">
        <v>7.15</v>
      </c>
      <c r="H87" s="14">
        <f>IF(G87="","",G87*Ayarlar!$B$3+Ayarlar!$B$4+Ayarlar!$B$5)</f>
        <v/>
      </c>
      <c r="I87" s="14">
        <f>IF(G87="","",ROUNDUP(((G87*Ayarlar!$B$3+Ayarlar!$B$4+Ayarlar!$B$5)+Ayarlar!$B$8)/((1-Ayarlar!$B$6)*(1-Ayarlar!$B$7)),0))</f>
        <v/>
      </c>
      <c r="J87" s="14">
        <f>IF(G87="","",ROUNDUP(((G87*Ayarlar!$B$3+Ayarlar!$B$4+Ayarlar!$B$5)+Ayarlar!$B$8)/((1-Ayarlar!$B$6)*(1-Ayarlar!$B$7-Ayarlar!$B$9)),0))</f>
        <v/>
      </c>
      <c r="K87" s="15">
        <f>IF(OR(G87="",F87=""),"",(F87*(1-Ayarlar!$B$6)-(F87*(1-Ayarlar!$B$6)*Ayarlar!$B$7+Ayarlar!$B$8)-(G87*Ayarlar!$B$3+Ayarlar!$B$4+Ayarlar!$B$5))/(F87*(1-Ayarlar!$B$6)))</f>
        <v/>
      </c>
      <c r="L87" s="3">
        <f>IF(G87="","GRAM EKSİK",IF(F87&gt;30000,"FİYAT ŞÜPHELİ",IF(K87&lt;0,"ZARARDA",IF(F87&lt;I87,"RİSKLİ","ok"))))</f>
        <v/>
      </c>
      <c r="M87" s="16" t="inlineStr">
        <is>
          <t>https://www.etsy.com/listing/4375720322</t>
        </is>
      </c>
    </row>
    <row r="88">
      <c r="A88" s="9" t="inlineStr">
        <is>
          <t>chains</t>
        </is>
      </c>
      <c r="B88" s="9" t="inlineStr">
        <is>
          <t>10K White Gold Rope Bracelet – Unisex Solid Chain</t>
        </is>
      </c>
      <c r="C88" s="9" t="n">
        <v>4375720322</v>
      </c>
      <c r="D88" s="9" t="inlineStr">
        <is>
          <t>BWR34-8.5</t>
        </is>
      </c>
      <c r="E88" s="9" t="inlineStr">
        <is>
          <t>description</t>
        </is>
      </c>
      <c r="F88" s="10" t="n">
        <v>1044</v>
      </c>
      <c r="G88" s="18" t="n">
        <v>7.6</v>
      </c>
      <c r="H88" s="10">
        <f>IF(G88="","",G88*Ayarlar!$B$3+Ayarlar!$B$4+Ayarlar!$B$5)</f>
        <v/>
      </c>
      <c r="I88" s="10">
        <f>IF(G88="","",ROUNDUP(((G88*Ayarlar!$B$3+Ayarlar!$B$4+Ayarlar!$B$5)+Ayarlar!$B$8)/((1-Ayarlar!$B$6)*(1-Ayarlar!$B$7)),0))</f>
        <v/>
      </c>
      <c r="J88" s="10">
        <f>IF(G88="","",ROUNDUP(((G88*Ayarlar!$B$3+Ayarlar!$B$4+Ayarlar!$B$5)+Ayarlar!$B$8)/((1-Ayarlar!$B$6)*(1-Ayarlar!$B$7-Ayarlar!$B$9)),0))</f>
        <v/>
      </c>
      <c r="K88" s="12">
        <f>IF(OR(G88="",F88=""),"",(F88*(1-Ayarlar!$B$6)-(F88*(1-Ayarlar!$B$6)*Ayarlar!$B$7+Ayarlar!$B$8)-(G88*Ayarlar!$B$3+Ayarlar!$B$4+Ayarlar!$B$5))/(F88*(1-Ayarlar!$B$6)))</f>
        <v/>
      </c>
      <c r="L88" s="9">
        <f>IF(G88="","GRAM EKSİK",IF(F88&gt;30000,"FİYAT ŞÜPHELİ",IF(K88&lt;0,"ZARARDA",IF(F88&lt;I88,"RİSKLİ","ok"))))</f>
        <v/>
      </c>
      <c r="M88" s="13" t="inlineStr">
        <is>
          <t>https://www.etsy.com/listing/4375720322</t>
        </is>
      </c>
    </row>
    <row r="89">
      <c r="A89" s="3" t="inlineStr">
        <is>
          <t>chains</t>
        </is>
      </c>
      <c r="B89" s="3" t="inlineStr">
        <is>
          <t>10K White Gold Rope Bracelet – Unisex Solid Chain</t>
        </is>
      </c>
      <c r="C89" s="3" t="n">
        <v>4375720322</v>
      </c>
      <c r="D89" s="3" t="inlineStr">
        <is>
          <t>BWR4-7</t>
        </is>
      </c>
      <c r="E89" s="3" t="inlineStr">
        <is>
          <t>description</t>
        </is>
      </c>
      <c r="F89" s="14" t="n">
        <v>1385</v>
      </c>
      <c r="G89" s="17" t="n">
        <v>11.15</v>
      </c>
      <c r="H89" s="14">
        <f>IF(G89="","",G89*Ayarlar!$B$3+Ayarlar!$B$4+Ayarlar!$B$5)</f>
        <v/>
      </c>
      <c r="I89" s="14">
        <f>IF(G89="","",ROUNDUP(((G89*Ayarlar!$B$3+Ayarlar!$B$4+Ayarlar!$B$5)+Ayarlar!$B$8)/((1-Ayarlar!$B$6)*(1-Ayarlar!$B$7)),0))</f>
        <v/>
      </c>
      <c r="J89" s="14">
        <f>IF(G89="","",ROUNDUP(((G89*Ayarlar!$B$3+Ayarlar!$B$4+Ayarlar!$B$5)+Ayarlar!$B$8)/((1-Ayarlar!$B$6)*(1-Ayarlar!$B$7-Ayarlar!$B$9)),0))</f>
        <v/>
      </c>
      <c r="K89" s="15">
        <f>IF(OR(G89="",F89=""),"",(F89*(1-Ayarlar!$B$6)-(F89*(1-Ayarlar!$B$6)*Ayarlar!$B$7+Ayarlar!$B$8)-(G89*Ayarlar!$B$3+Ayarlar!$B$4+Ayarlar!$B$5))/(F89*(1-Ayarlar!$B$6)))</f>
        <v/>
      </c>
      <c r="L89" s="3">
        <f>IF(G89="","GRAM EKSİK",IF(F89&gt;30000,"FİYAT ŞÜPHELİ",IF(K89&lt;0,"ZARARDA",IF(F89&lt;I89,"RİSKLİ","ok"))))</f>
        <v/>
      </c>
      <c r="M89" s="16" t="inlineStr">
        <is>
          <t>https://www.etsy.com/listing/4375720322</t>
        </is>
      </c>
    </row>
    <row r="90">
      <c r="A90" s="9" t="inlineStr">
        <is>
          <t>chains</t>
        </is>
      </c>
      <c r="B90" s="9" t="inlineStr">
        <is>
          <t>10K White Gold Rope Bracelet – Unisex Solid Chain</t>
        </is>
      </c>
      <c r="C90" s="9" t="n">
        <v>4375720322</v>
      </c>
      <c r="D90" s="9" t="inlineStr">
        <is>
          <t>BWR4-7.5</t>
        </is>
      </c>
      <c r="E90" s="9" t="inlineStr">
        <is>
          <t>description</t>
        </is>
      </c>
      <c r="F90" s="10" t="n">
        <v>1505</v>
      </c>
      <c r="G90" s="18" t="n">
        <v>11.94</v>
      </c>
      <c r="H90" s="10">
        <f>IF(G90="","",G90*Ayarlar!$B$3+Ayarlar!$B$4+Ayarlar!$B$5)</f>
        <v/>
      </c>
      <c r="I90" s="10">
        <f>IF(G90="","",ROUNDUP(((G90*Ayarlar!$B$3+Ayarlar!$B$4+Ayarlar!$B$5)+Ayarlar!$B$8)/((1-Ayarlar!$B$6)*(1-Ayarlar!$B$7)),0))</f>
        <v/>
      </c>
      <c r="J90" s="10">
        <f>IF(G90="","",ROUNDUP(((G90*Ayarlar!$B$3+Ayarlar!$B$4+Ayarlar!$B$5)+Ayarlar!$B$8)/((1-Ayarlar!$B$6)*(1-Ayarlar!$B$7-Ayarlar!$B$9)),0))</f>
        <v/>
      </c>
      <c r="K90" s="12">
        <f>IF(OR(G90="",F90=""),"",(F90*(1-Ayarlar!$B$6)-(F90*(1-Ayarlar!$B$6)*Ayarlar!$B$7+Ayarlar!$B$8)-(G90*Ayarlar!$B$3+Ayarlar!$B$4+Ayarlar!$B$5))/(F90*(1-Ayarlar!$B$6)))</f>
        <v/>
      </c>
      <c r="L90" s="9">
        <f>IF(G90="","GRAM EKSİK",IF(F90&gt;30000,"FİYAT ŞÜPHELİ",IF(K90&lt;0,"ZARARDA",IF(F90&lt;I90,"RİSKLİ","ok"))))</f>
        <v/>
      </c>
      <c r="M90" s="13" t="inlineStr">
        <is>
          <t>https://www.etsy.com/listing/4375720322</t>
        </is>
      </c>
    </row>
    <row r="91">
      <c r="A91" s="3" t="inlineStr">
        <is>
          <t>chains</t>
        </is>
      </c>
      <c r="B91" s="3" t="inlineStr">
        <is>
          <t>10K White Gold Rope Bracelet – Unisex Solid Chain</t>
        </is>
      </c>
      <c r="C91" s="3" t="n">
        <v>4375720322</v>
      </c>
      <c r="D91" s="3" t="inlineStr">
        <is>
          <t>BWR4-8</t>
        </is>
      </c>
      <c r="E91" s="3" t="inlineStr">
        <is>
          <t>description</t>
        </is>
      </c>
      <c r="F91" s="14" t="n">
        <v>1624</v>
      </c>
      <c r="G91" s="17" t="n">
        <v>12.74</v>
      </c>
      <c r="H91" s="14">
        <f>IF(G91="","",G91*Ayarlar!$B$3+Ayarlar!$B$4+Ayarlar!$B$5)</f>
        <v/>
      </c>
      <c r="I91" s="14">
        <f>IF(G91="","",ROUNDUP(((G91*Ayarlar!$B$3+Ayarlar!$B$4+Ayarlar!$B$5)+Ayarlar!$B$8)/((1-Ayarlar!$B$6)*(1-Ayarlar!$B$7)),0))</f>
        <v/>
      </c>
      <c r="J91" s="14">
        <f>IF(G91="","",ROUNDUP(((G91*Ayarlar!$B$3+Ayarlar!$B$4+Ayarlar!$B$5)+Ayarlar!$B$8)/((1-Ayarlar!$B$6)*(1-Ayarlar!$B$7-Ayarlar!$B$9)),0))</f>
        <v/>
      </c>
      <c r="K91" s="15">
        <f>IF(OR(G91="",F91=""),"",(F91*(1-Ayarlar!$B$6)-(F91*(1-Ayarlar!$B$6)*Ayarlar!$B$7+Ayarlar!$B$8)-(G91*Ayarlar!$B$3+Ayarlar!$B$4+Ayarlar!$B$5))/(F91*(1-Ayarlar!$B$6)))</f>
        <v/>
      </c>
      <c r="L91" s="3">
        <f>IF(G91="","GRAM EKSİK",IF(F91&gt;30000,"FİYAT ŞÜPHELİ",IF(K91&lt;0,"ZARARDA",IF(F91&lt;I91,"RİSKLİ","ok"))))</f>
        <v/>
      </c>
      <c r="M91" s="16" t="inlineStr">
        <is>
          <t>https://www.etsy.com/listing/4375720322</t>
        </is>
      </c>
    </row>
    <row r="92">
      <c r="A92" s="9" t="inlineStr">
        <is>
          <t>chains</t>
        </is>
      </c>
      <c r="B92" s="9" t="inlineStr">
        <is>
          <t>10K White Gold Rope Bracelet – Unisex Solid Chain</t>
        </is>
      </c>
      <c r="C92" s="9" t="n">
        <v>4375720322</v>
      </c>
      <c r="D92" s="9" t="inlineStr">
        <is>
          <t>BWR4-8.5</t>
        </is>
      </c>
      <c r="E92" s="9" t="inlineStr">
        <is>
          <t>description</t>
        </is>
      </c>
      <c r="F92" s="10" t="n">
        <v>1744</v>
      </c>
      <c r="G92" s="18" t="n">
        <v>13.54</v>
      </c>
      <c r="H92" s="10">
        <f>IF(G92="","",G92*Ayarlar!$B$3+Ayarlar!$B$4+Ayarlar!$B$5)</f>
        <v/>
      </c>
      <c r="I92" s="10">
        <f>IF(G92="","",ROUNDUP(((G92*Ayarlar!$B$3+Ayarlar!$B$4+Ayarlar!$B$5)+Ayarlar!$B$8)/((1-Ayarlar!$B$6)*(1-Ayarlar!$B$7)),0))</f>
        <v/>
      </c>
      <c r="J92" s="10">
        <f>IF(G92="","",ROUNDUP(((G92*Ayarlar!$B$3+Ayarlar!$B$4+Ayarlar!$B$5)+Ayarlar!$B$8)/((1-Ayarlar!$B$6)*(1-Ayarlar!$B$7-Ayarlar!$B$9)),0))</f>
        <v/>
      </c>
      <c r="K92" s="12">
        <f>IF(OR(G92="",F92=""),"",(F92*(1-Ayarlar!$B$6)-(F92*(1-Ayarlar!$B$6)*Ayarlar!$B$7+Ayarlar!$B$8)-(G92*Ayarlar!$B$3+Ayarlar!$B$4+Ayarlar!$B$5))/(F92*(1-Ayarlar!$B$6)))</f>
        <v/>
      </c>
      <c r="L92" s="9">
        <f>IF(G92="","GRAM EKSİK",IF(F92&gt;30000,"FİYAT ŞÜPHELİ",IF(K92&lt;0,"ZARARDA",IF(F92&lt;I92,"RİSKLİ","ok"))))</f>
        <v/>
      </c>
      <c r="M92" s="13" t="inlineStr">
        <is>
          <t>https://www.etsy.com/listing/4375720322</t>
        </is>
      </c>
    </row>
    <row r="93">
      <c r="A93" s="3" t="inlineStr">
        <is>
          <t>chains</t>
        </is>
      </c>
      <c r="B93" s="3" t="inlineStr">
        <is>
          <t>10K White Gold Rope Bracelet – Unisex Solid Chain</t>
        </is>
      </c>
      <c r="C93" s="3" t="n">
        <v>4375720322</v>
      </c>
      <c r="D93" s="3" t="inlineStr">
        <is>
          <t>BWR5-7</t>
        </is>
      </c>
      <c r="E93" s="3" t="inlineStr">
        <is>
          <t>description</t>
        </is>
      </c>
      <c r="F93" s="14" t="n">
        <v>1346</v>
      </c>
      <c r="G93" s="17" t="n">
        <v>15.52</v>
      </c>
      <c r="H93" s="14">
        <f>IF(G93="","",G93*Ayarlar!$B$3+Ayarlar!$B$4+Ayarlar!$B$5)</f>
        <v/>
      </c>
      <c r="I93" s="14">
        <f>IF(G93="","",ROUNDUP(((G93*Ayarlar!$B$3+Ayarlar!$B$4+Ayarlar!$B$5)+Ayarlar!$B$8)/((1-Ayarlar!$B$6)*(1-Ayarlar!$B$7)),0))</f>
        <v/>
      </c>
      <c r="J93" s="14">
        <f>IF(G93="","",ROUNDUP(((G93*Ayarlar!$B$3+Ayarlar!$B$4+Ayarlar!$B$5)+Ayarlar!$B$8)/((1-Ayarlar!$B$6)*(1-Ayarlar!$B$7-Ayarlar!$B$9)),0))</f>
        <v/>
      </c>
      <c r="K93" s="15">
        <f>IF(OR(G93="",F93=""),"",(F93*(1-Ayarlar!$B$6)-(F93*(1-Ayarlar!$B$6)*Ayarlar!$B$7+Ayarlar!$B$8)-(G93*Ayarlar!$B$3+Ayarlar!$B$4+Ayarlar!$B$5))/(F93*(1-Ayarlar!$B$6)))</f>
        <v/>
      </c>
      <c r="L93" s="3">
        <f>IF(G93="","GRAM EKSİK",IF(F93&gt;30000,"FİYAT ŞÜPHELİ",IF(K93&lt;0,"ZARARDA",IF(F93&lt;I93,"RİSKLİ","ok"))))</f>
        <v/>
      </c>
      <c r="M93" s="16" t="inlineStr">
        <is>
          <t>https://www.etsy.com/listing/4375720322</t>
        </is>
      </c>
    </row>
    <row r="94">
      <c r="A94" s="9" t="inlineStr">
        <is>
          <t>chains</t>
        </is>
      </c>
      <c r="B94" s="9" t="inlineStr">
        <is>
          <t>10K White Gold Rope Bracelet – Unisex Solid Chain</t>
        </is>
      </c>
      <c r="C94" s="9" t="n">
        <v>4375720322</v>
      </c>
      <c r="D94" s="9" t="inlineStr">
        <is>
          <t>BWR5-7.5</t>
        </is>
      </c>
      <c r="E94" s="9" t="inlineStr">
        <is>
          <t>description</t>
        </is>
      </c>
      <c r="F94" s="10" t="n">
        <v>1467</v>
      </c>
      <c r="G94" s="18" t="n">
        <v>16.62</v>
      </c>
      <c r="H94" s="10">
        <f>IF(G94="","",G94*Ayarlar!$B$3+Ayarlar!$B$4+Ayarlar!$B$5)</f>
        <v/>
      </c>
      <c r="I94" s="10">
        <f>IF(G94="","",ROUNDUP(((G94*Ayarlar!$B$3+Ayarlar!$B$4+Ayarlar!$B$5)+Ayarlar!$B$8)/((1-Ayarlar!$B$6)*(1-Ayarlar!$B$7)),0))</f>
        <v/>
      </c>
      <c r="J94" s="10">
        <f>IF(G94="","",ROUNDUP(((G94*Ayarlar!$B$3+Ayarlar!$B$4+Ayarlar!$B$5)+Ayarlar!$B$8)/((1-Ayarlar!$B$6)*(1-Ayarlar!$B$7-Ayarlar!$B$9)),0))</f>
        <v/>
      </c>
      <c r="K94" s="12">
        <f>IF(OR(G94="",F94=""),"",(F94*(1-Ayarlar!$B$6)-(F94*(1-Ayarlar!$B$6)*Ayarlar!$B$7+Ayarlar!$B$8)-(G94*Ayarlar!$B$3+Ayarlar!$B$4+Ayarlar!$B$5))/(F94*(1-Ayarlar!$B$6)))</f>
        <v/>
      </c>
      <c r="L94" s="9">
        <f>IF(G94="","GRAM EKSİK",IF(F94&gt;30000,"FİYAT ŞÜPHELİ",IF(K94&lt;0,"ZARARDA",IF(F94&lt;I94,"RİSKLİ","ok"))))</f>
        <v/>
      </c>
      <c r="M94" s="13" t="inlineStr">
        <is>
          <t>https://www.etsy.com/listing/4375720322</t>
        </is>
      </c>
    </row>
    <row r="95">
      <c r="A95" s="3" t="inlineStr">
        <is>
          <t>chains</t>
        </is>
      </c>
      <c r="B95" s="3" t="inlineStr">
        <is>
          <t>10K White Gold Rope Bracelet – Unisex Solid Chain</t>
        </is>
      </c>
      <c r="C95" s="3" t="n">
        <v>4375720322</v>
      </c>
      <c r="D95" s="3" t="inlineStr">
        <is>
          <t>BWR5-8</t>
        </is>
      </c>
      <c r="E95" s="3" t="inlineStr">
        <is>
          <t>description</t>
        </is>
      </c>
      <c r="F95" s="14" t="n">
        <v>1588</v>
      </c>
      <c r="G95" s="17" t="n">
        <v>17.73</v>
      </c>
      <c r="H95" s="14">
        <f>IF(G95="","",G95*Ayarlar!$B$3+Ayarlar!$B$4+Ayarlar!$B$5)</f>
        <v/>
      </c>
      <c r="I95" s="14">
        <f>IF(G95="","",ROUNDUP(((G95*Ayarlar!$B$3+Ayarlar!$B$4+Ayarlar!$B$5)+Ayarlar!$B$8)/((1-Ayarlar!$B$6)*(1-Ayarlar!$B$7)),0))</f>
        <v/>
      </c>
      <c r="J95" s="14">
        <f>IF(G95="","",ROUNDUP(((G95*Ayarlar!$B$3+Ayarlar!$B$4+Ayarlar!$B$5)+Ayarlar!$B$8)/((1-Ayarlar!$B$6)*(1-Ayarlar!$B$7-Ayarlar!$B$9)),0))</f>
        <v/>
      </c>
      <c r="K95" s="15">
        <f>IF(OR(G95="",F95=""),"",(F95*(1-Ayarlar!$B$6)-(F95*(1-Ayarlar!$B$6)*Ayarlar!$B$7+Ayarlar!$B$8)-(G95*Ayarlar!$B$3+Ayarlar!$B$4+Ayarlar!$B$5))/(F95*(1-Ayarlar!$B$6)))</f>
        <v/>
      </c>
      <c r="L95" s="3">
        <f>IF(G95="","GRAM EKSİK",IF(F95&gt;30000,"FİYAT ŞÜPHELİ",IF(K95&lt;0,"ZARARDA",IF(F95&lt;I95,"RİSKLİ","ok"))))</f>
        <v/>
      </c>
      <c r="M95" s="16" t="inlineStr">
        <is>
          <t>https://www.etsy.com/listing/4375720322</t>
        </is>
      </c>
    </row>
    <row r="96">
      <c r="A96" s="9" t="inlineStr">
        <is>
          <t>chains</t>
        </is>
      </c>
      <c r="B96" s="9" t="inlineStr">
        <is>
          <t>10K White Gold Rope Bracelet – Unisex Solid Chain</t>
        </is>
      </c>
      <c r="C96" s="9" t="n">
        <v>4375720322</v>
      </c>
      <c r="D96" s="9" t="inlineStr">
        <is>
          <t>BWR5-8.5</t>
        </is>
      </c>
      <c r="E96" s="9" t="inlineStr">
        <is>
          <t>description</t>
        </is>
      </c>
      <c r="F96" s="10" t="n">
        <v>2289</v>
      </c>
      <c r="G96" s="18" t="n">
        <v>18.84</v>
      </c>
      <c r="H96" s="10">
        <f>IF(G96="","",G96*Ayarlar!$B$3+Ayarlar!$B$4+Ayarlar!$B$5)</f>
        <v/>
      </c>
      <c r="I96" s="10">
        <f>IF(G96="","",ROUNDUP(((G96*Ayarlar!$B$3+Ayarlar!$B$4+Ayarlar!$B$5)+Ayarlar!$B$8)/((1-Ayarlar!$B$6)*(1-Ayarlar!$B$7)),0))</f>
        <v/>
      </c>
      <c r="J96" s="10">
        <f>IF(G96="","",ROUNDUP(((G96*Ayarlar!$B$3+Ayarlar!$B$4+Ayarlar!$B$5)+Ayarlar!$B$8)/((1-Ayarlar!$B$6)*(1-Ayarlar!$B$7-Ayarlar!$B$9)),0))</f>
        <v/>
      </c>
      <c r="K96" s="12">
        <f>IF(OR(G96="",F96=""),"",(F96*(1-Ayarlar!$B$6)-(F96*(1-Ayarlar!$B$6)*Ayarlar!$B$7+Ayarlar!$B$8)-(G96*Ayarlar!$B$3+Ayarlar!$B$4+Ayarlar!$B$5))/(F96*(1-Ayarlar!$B$6)))</f>
        <v/>
      </c>
      <c r="L96" s="9">
        <f>IF(G96="","GRAM EKSİK",IF(F96&gt;30000,"FİYAT ŞÜPHELİ",IF(K96&lt;0,"ZARARDA",IF(F96&lt;I96,"RİSKLİ","ok"))))</f>
        <v/>
      </c>
      <c r="M96" s="13" t="inlineStr">
        <is>
          <t>https://www.etsy.com/listing/4375720322</t>
        </is>
      </c>
    </row>
    <row r="97">
      <c r="A97" s="3" t="inlineStr">
        <is>
          <t>chains</t>
        </is>
      </c>
      <c r="B97" s="3" t="inlineStr">
        <is>
          <t>10K White Gold Rope Bracelet – Unisex Solid Chain</t>
        </is>
      </c>
      <c r="C97" s="3" t="n">
        <v>4375720322</v>
      </c>
      <c r="D97" s="3" t="inlineStr">
        <is>
          <t>BWR7-7</t>
        </is>
      </c>
      <c r="E97" s="3" t="inlineStr">
        <is>
          <t>description</t>
        </is>
      </c>
      <c r="F97" s="14" t="n">
        <v>3968</v>
      </c>
      <c r="G97" s="17" t="n">
        <v>30.86</v>
      </c>
      <c r="H97" s="14">
        <f>IF(G97="","",G97*Ayarlar!$B$3+Ayarlar!$B$4+Ayarlar!$B$5)</f>
        <v/>
      </c>
      <c r="I97" s="14">
        <f>IF(G97="","",ROUNDUP(((G97*Ayarlar!$B$3+Ayarlar!$B$4+Ayarlar!$B$5)+Ayarlar!$B$8)/((1-Ayarlar!$B$6)*(1-Ayarlar!$B$7)),0))</f>
        <v/>
      </c>
      <c r="J97" s="14">
        <f>IF(G97="","",ROUNDUP(((G97*Ayarlar!$B$3+Ayarlar!$B$4+Ayarlar!$B$5)+Ayarlar!$B$8)/((1-Ayarlar!$B$6)*(1-Ayarlar!$B$7-Ayarlar!$B$9)),0))</f>
        <v/>
      </c>
      <c r="K97" s="15">
        <f>IF(OR(G97="",F97=""),"",(F97*(1-Ayarlar!$B$6)-(F97*(1-Ayarlar!$B$6)*Ayarlar!$B$7+Ayarlar!$B$8)-(G97*Ayarlar!$B$3+Ayarlar!$B$4+Ayarlar!$B$5))/(F97*(1-Ayarlar!$B$6)))</f>
        <v/>
      </c>
      <c r="L97" s="3">
        <f>IF(G97="","GRAM EKSİK",IF(F97&gt;30000,"FİYAT ŞÜPHELİ",IF(K97&lt;0,"ZARARDA",IF(F97&lt;I97,"RİSKLİ","ok"))))</f>
        <v/>
      </c>
      <c r="M97" s="16" t="inlineStr">
        <is>
          <t>https://www.etsy.com/listing/4375720322</t>
        </is>
      </c>
    </row>
    <row r="98">
      <c r="A98" s="9" t="inlineStr">
        <is>
          <t>chains</t>
        </is>
      </c>
      <c r="B98" s="9" t="inlineStr">
        <is>
          <t>10K White Gold Rope Bracelet – Unisex Solid Chain</t>
        </is>
      </c>
      <c r="C98" s="9" t="n">
        <v>4375720322</v>
      </c>
      <c r="D98" s="9" t="inlineStr">
        <is>
          <t>BWR7-7.5</t>
        </is>
      </c>
      <c r="E98" s="9" t="inlineStr">
        <is>
          <t>description</t>
        </is>
      </c>
      <c r="F98" s="10" t="n">
        <v>4211</v>
      </c>
      <c r="G98" s="18" t="n">
        <v>33.06</v>
      </c>
      <c r="H98" s="10">
        <f>IF(G98="","",G98*Ayarlar!$B$3+Ayarlar!$B$4+Ayarlar!$B$5)</f>
        <v/>
      </c>
      <c r="I98" s="10">
        <f>IF(G98="","",ROUNDUP(((G98*Ayarlar!$B$3+Ayarlar!$B$4+Ayarlar!$B$5)+Ayarlar!$B$8)/((1-Ayarlar!$B$6)*(1-Ayarlar!$B$7)),0))</f>
        <v/>
      </c>
      <c r="J98" s="10">
        <f>IF(G98="","",ROUNDUP(((G98*Ayarlar!$B$3+Ayarlar!$B$4+Ayarlar!$B$5)+Ayarlar!$B$8)/((1-Ayarlar!$B$6)*(1-Ayarlar!$B$7-Ayarlar!$B$9)),0))</f>
        <v/>
      </c>
      <c r="K98" s="12">
        <f>IF(OR(G98="",F98=""),"",(F98*(1-Ayarlar!$B$6)-(F98*(1-Ayarlar!$B$6)*Ayarlar!$B$7+Ayarlar!$B$8)-(G98*Ayarlar!$B$3+Ayarlar!$B$4+Ayarlar!$B$5))/(F98*(1-Ayarlar!$B$6)))</f>
        <v/>
      </c>
      <c r="L98" s="9">
        <f>IF(G98="","GRAM EKSİK",IF(F98&gt;30000,"FİYAT ŞÜPHELİ",IF(K98&lt;0,"ZARARDA",IF(F98&lt;I98,"RİSKLİ","ok"))))</f>
        <v/>
      </c>
      <c r="M98" s="13" t="inlineStr">
        <is>
          <t>https://www.etsy.com/listing/4375720322</t>
        </is>
      </c>
    </row>
    <row r="99">
      <c r="A99" s="3" t="inlineStr">
        <is>
          <t>chains</t>
        </is>
      </c>
      <c r="B99" s="3" t="inlineStr">
        <is>
          <t>10K White Gold Rope Bracelet – Unisex Solid Chain</t>
        </is>
      </c>
      <c r="C99" s="3" t="n">
        <v>4375720322</v>
      </c>
      <c r="D99" s="3" t="inlineStr">
        <is>
          <t>BWR7-8</t>
        </is>
      </c>
      <c r="E99" s="3" t="inlineStr">
        <is>
          <t>description</t>
        </is>
      </c>
      <c r="F99" s="14" t="n">
        <v>4453</v>
      </c>
      <c r="G99" s="17" t="n">
        <v>35.27</v>
      </c>
      <c r="H99" s="14">
        <f>IF(G99="","",G99*Ayarlar!$B$3+Ayarlar!$B$4+Ayarlar!$B$5)</f>
        <v/>
      </c>
      <c r="I99" s="14">
        <f>IF(G99="","",ROUNDUP(((G99*Ayarlar!$B$3+Ayarlar!$B$4+Ayarlar!$B$5)+Ayarlar!$B$8)/((1-Ayarlar!$B$6)*(1-Ayarlar!$B$7)),0))</f>
        <v/>
      </c>
      <c r="J99" s="14">
        <f>IF(G99="","",ROUNDUP(((G99*Ayarlar!$B$3+Ayarlar!$B$4+Ayarlar!$B$5)+Ayarlar!$B$8)/((1-Ayarlar!$B$6)*(1-Ayarlar!$B$7-Ayarlar!$B$9)),0))</f>
        <v/>
      </c>
      <c r="K99" s="15">
        <f>IF(OR(G99="",F99=""),"",(F99*(1-Ayarlar!$B$6)-(F99*(1-Ayarlar!$B$6)*Ayarlar!$B$7+Ayarlar!$B$8)-(G99*Ayarlar!$B$3+Ayarlar!$B$4+Ayarlar!$B$5))/(F99*(1-Ayarlar!$B$6)))</f>
        <v/>
      </c>
      <c r="L99" s="3">
        <f>IF(G99="","GRAM EKSİK",IF(F99&gt;30000,"FİYAT ŞÜPHELİ",IF(K99&lt;0,"ZARARDA",IF(F99&lt;I99,"RİSKLİ","ok"))))</f>
        <v/>
      </c>
      <c r="M99" s="16" t="inlineStr">
        <is>
          <t>https://www.etsy.com/listing/4375720322</t>
        </is>
      </c>
    </row>
    <row r="100">
      <c r="A100" s="9" t="inlineStr">
        <is>
          <t>chains</t>
        </is>
      </c>
      <c r="B100" s="9" t="inlineStr">
        <is>
          <t>10K White Gold Rope Bracelet – Unisex Solid Chain</t>
        </is>
      </c>
      <c r="C100" s="9" t="n">
        <v>4375720322</v>
      </c>
      <c r="D100" s="9" t="inlineStr">
        <is>
          <t>BWR7-8.5</t>
        </is>
      </c>
      <c r="E100" s="9" t="inlineStr">
        <is>
          <t>description</t>
        </is>
      </c>
      <c r="F100" s="10" t="n">
        <v>4694</v>
      </c>
      <c r="G100" s="18" t="n">
        <v>37.47</v>
      </c>
      <c r="H100" s="10">
        <f>IF(G100="","",G100*Ayarlar!$B$3+Ayarlar!$B$4+Ayarlar!$B$5)</f>
        <v/>
      </c>
      <c r="I100" s="10">
        <f>IF(G100="","",ROUNDUP(((G100*Ayarlar!$B$3+Ayarlar!$B$4+Ayarlar!$B$5)+Ayarlar!$B$8)/((1-Ayarlar!$B$6)*(1-Ayarlar!$B$7)),0))</f>
        <v/>
      </c>
      <c r="J100" s="10">
        <f>IF(G100="","",ROUNDUP(((G100*Ayarlar!$B$3+Ayarlar!$B$4+Ayarlar!$B$5)+Ayarlar!$B$8)/((1-Ayarlar!$B$6)*(1-Ayarlar!$B$7-Ayarlar!$B$9)),0))</f>
        <v/>
      </c>
      <c r="K100" s="12">
        <f>IF(OR(G100="",F100=""),"",(F100*(1-Ayarlar!$B$6)-(F100*(1-Ayarlar!$B$6)*Ayarlar!$B$7+Ayarlar!$B$8)-(G100*Ayarlar!$B$3+Ayarlar!$B$4+Ayarlar!$B$5))/(F100*(1-Ayarlar!$B$6)))</f>
        <v/>
      </c>
      <c r="L100" s="9">
        <f>IF(G100="","GRAM EKSİK",IF(F100&gt;30000,"FİYAT ŞÜPHELİ",IF(K100&lt;0,"ZARARDA",IF(F100&lt;I100,"RİSKLİ","ok"))))</f>
        <v/>
      </c>
      <c r="M100" s="13" t="inlineStr">
        <is>
          <t>https://www.etsy.com/listing/4375720322</t>
        </is>
      </c>
    </row>
    <row r="101">
      <c r="A101" s="3" t="inlineStr">
        <is>
          <t>chains</t>
        </is>
      </c>
      <c r="B101" s="3" t="inlineStr">
        <is>
          <t>10K Yellow Gold Figaro Link Chain / Polished Finish</t>
        </is>
      </c>
      <c r="C101" s="3" t="n">
        <v>1849001180</v>
      </c>
      <c r="D101" s="3" t="inlineStr">
        <is>
          <t>CFIG1-16</t>
        </is>
      </c>
      <c r="E101" s="3" t="inlineStr">
        <is>
          <t>description</t>
        </is>
      </c>
      <c r="F101" s="14" t="n">
        <v>156</v>
      </c>
      <c r="G101" s="17" t="n">
        <v>1.2</v>
      </c>
      <c r="H101" s="14">
        <f>IF(G101="","",G101*Ayarlar!$B$3+Ayarlar!$B$4+Ayarlar!$B$5)</f>
        <v/>
      </c>
      <c r="I101" s="14">
        <f>IF(G101="","",ROUNDUP(((G101*Ayarlar!$B$3+Ayarlar!$B$4+Ayarlar!$B$5)+Ayarlar!$B$8)/((1-Ayarlar!$B$6)*(1-Ayarlar!$B$7)),0))</f>
        <v/>
      </c>
      <c r="J101" s="14">
        <f>IF(G101="","",ROUNDUP(((G101*Ayarlar!$B$3+Ayarlar!$B$4+Ayarlar!$B$5)+Ayarlar!$B$8)/((1-Ayarlar!$B$6)*(1-Ayarlar!$B$7-Ayarlar!$B$9)),0))</f>
        <v/>
      </c>
      <c r="K101" s="15">
        <f>IF(OR(G101="",F101=""),"",(F101*(1-Ayarlar!$B$6)-(F101*(1-Ayarlar!$B$6)*Ayarlar!$B$7+Ayarlar!$B$8)-(G101*Ayarlar!$B$3+Ayarlar!$B$4+Ayarlar!$B$5))/(F101*(1-Ayarlar!$B$6)))</f>
        <v/>
      </c>
      <c r="L101" s="3">
        <f>IF(G101="","GRAM EKSİK",IF(F101&gt;30000,"FİYAT ŞÜPHELİ",IF(K101&lt;0,"ZARARDA",IF(F101&lt;I101,"RİSKLİ","ok"))))</f>
        <v/>
      </c>
      <c r="M101" s="16" t="inlineStr">
        <is>
          <t>https://www.etsy.com/listing/1849001180</t>
        </is>
      </c>
    </row>
    <row r="102">
      <c r="A102" s="9" t="inlineStr">
        <is>
          <t>chains</t>
        </is>
      </c>
      <c r="B102" s="9" t="inlineStr">
        <is>
          <t>10K Yellow Gold Figaro Link Chain / Polished Finish</t>
        </is>
      </c>
      <c r="C102" s="9" t="n">
        <v>1849001180</v>
      </c>
      <c r="D102" s="9" t="inlineStr">
        <is>
          <t>CFIG1-18</t>
        </is>
      </c>
      <c r="E102" s="9" t="inlineStr">
        <is>
          <t>shipstation</t>
        </is>
      </c>
      <c r="F102" s="10" t="n">
        <v>192</v>
      </c>
      <c r="G102" s="18" t="n">
        <v>1.35</v>
      </c>
      <c r="H102" s="10">
        <f>IF(G102="","",G102*Ayarlar!$B$3+Ayarlar!$B$4+Ayarlar!$B$5)</f>
        <v/>
      </c>
      <c r="I102" s="10">
        <f>IF(G102="","",ROUNDUP(((G102*Ayarlar!$B$3+Ayarlar!$B$4+Ayarlar!$B$5)+Ayarlar!$B$8)/((1-Ayarlar!$B$6)*(1-Ayarlar!$B$7)),0))</f>
        <v/>
      </c>
      <c r="J102" s="10">
        <f>IF(G102="","",ROUNDUP(((G102*Ayarlar!$B$3+Ayarlar!$B$4+Ayarlar!$B$5)+Ayarlar!$B$8)/((1-Ayarlar!$B$6)*(1-Ayarlar!$B$7-Ayarlar!$B$9)),0))</f>
        <v/>
      </c>
      <c r="K102" s="12">
        <f>IF(OR(G102="",F102=""),"",(F102*(1-Ayarlar!$B$6)-(F102*(1-Ayarlar!$B$6)*Ayarlar!$B$7+Ayarlar!$B$8)-(G102*Ayarlar!$B$3+Ayarlar!$B$4+Ayarlar!$B$5))/(F102*(1-Ayarlar!$B$6)))</f>
        <v/>
      </c>
      <c r="L102" s="9">
        <f>IF(G102="","GRAM EKSİK",IF(F102&gt;30000,"FİYAT ŞÜPHELİ",IF(K102&lt;0,"ZARARDA",IF(F102&lt;I102,"RİSKLİ","ok"))))</f>
        <v/>
      </c>
      <c r="M102" s="13" t="inlineStr">
        <is>
          <t>https://www.etsy.com/listing/1849001180</t>
        </is>
      </c>
    </row>
    <row r="103">
      <c r="A103" s="3" t="inlineStr">
        <is>
          <t>chains</t>
        </is>
      </c>
      <c r="B103" s="3" t="inlineStr">
        <is>
          <t>10K Yellow Gold Figaro Link Chain / Polished Finish</t>
        </is>
      </c>
      <c r="C103" s="3" t="n">
        <v>1849001180</v>
      </c>
      <c r="D103" s="3" t="inlineStr">
        <is>
          <t>CFIG1-20</t>
        </is>
      </c>
      <c r="E103" s="3" t="inlineStr">
        <is>
          <t>description</t>
        </is>
      </c>
      <c r="F103" s="14" t="n">
        <v>216</v>
      </c>
      <c r="G103" s="17" t="n">
        <v>1.5</v>
      </c>
      <c r="H103" s="14">
        <f>IF(G103="","",G103*Ayarlar!$B$3+Ayarlar!$B$4+Ayarlar!$B$5)</f>
        <v/>
      </c>
      <c r="I103" s="14">
        <f>IF(G103="","",ROUNDUP(((G103*Ayarlar!$B$3+Ayarlar!$B$4+Ayarlar!$B$5)+Ayarlar!$B$8)/((1-Ayarlar!$B$6)*(1-Ayarlar!$B$7)),0))</f>
        <v/>
      </c>
      <c r="J103" s="14">
        <f>IF(G103="","",ROUNDUP(((G103*Ayarlar!$B$3+Ayarlar!$B$4+Ayarlar!$B$5)+Ayarlar!$B$8)/((1-Ayarlar!$B$6)*(1-Ayarlar!$B$7-Ayarlar!$B$9)),0))</f>
        <v/>
      </c>
      <c r="K103" s="15">
        <f>IF(OR(G103="",F103=""),"",(F103*(1-Ayarlar!$B$6)-(F103*(1-Ayarlar!$B$6)*Ayarlar!$B$7+Ayarlar!$B$8)-(G103*Ayarlar!$B$3+Ayarlar!$B$4+Ayarlar!$B$5))/(F103*(1-Ayarlar!$B$6)))</f>
        <v/>
      </c>
      <c r="L103" s="3">
        <f>IF(G103="","GRAM EKSİK",IF(F103&gt;30000,"FİYAT ŞÜPHELİ",IF(K103&lt;0,"ZARARDA",IF(F103&lt;I103,"RİSKLİ","ok"))))</f>
        <v/>
      </c>
      <c r="M103" s="16" t="inlineStr">
        <is>
          <t>https://www.etsy.com/listing/1849001180</t>
        </is>
      </c>
    </row>
    <row r="104">
      <c r="A104" s="9" t="inlineStr">
        <is>
          <t>chains</t>
        </is>
      </c>
      <c r="B104" s="9" t="inlineStr">
        <is>
          <t>10K Yellow Gold Figaro Link Chain / Polished Finish</t>
        </is>
      </c>
      <c r="C104" s="9" t="n">
        <v>1849001180</v>
      </c>
      <c r="D104" s="9" t="inlineStr">
        <is>
          <t>CFIG1-22</t>
        </is>
      </c>
      <c r="E104" s="9" t="inlineStr">
        <is>
          <t>description</t>
        </is>
      </c>
      <c r="F104" s="10" t="n">
        <v>228</v>
      </c>
      <c r="G104" s="18" t="n">
        <v>1.65</v>
      </c>
      <c r="H104" s="10">
        <f>IF(G104="","",G104*Ayarlar!$B$3+Ayarlar!$B$4+Ayarlar!$B$5)</f>
        <v/>
      </c>
      <c r="I104" s="10">
        <f>IF(G104="","",ROUNDUP(((G104*Ayarlar!$B$3+Ayarlar!$B$4+Ayarlar!$B$5)+Ayarlar!$B$8)/((1-Ayarlar!$B$6)*(1-Ayarlar!$B$7)),0))</f>
        <v/>
      </c>
      <c r="J104" s="10">
        <f>IF(G104="","",ROUNDUP(((G104*Ayarlar!$B$3+Ayarlar!$B$4+Ayarlar!$B$5)+Ayarlar!$B$8)/((1-Ayarlar!$B$6)*(1-Ayarlar!$B$7-Ayarlar!$B$9)),0))</f>
        <v/>
      </c>
      <c r="K104" s="12">
        <f>IF(OR(G104="",F104=""),"",(F104*(1-Ayarlar!$B$6)-(F104*(1-Ayarlar!$B$6)*Ayarlar!$B$7+Ayarlar!$B$8)-(G104*Ayarlar!$B$3+Ayarlar!$B$4+Ayarlar!$B$5))/(F104*(1-Ayarlar!$B$6)))</f>
        <v/>
      </c>
      <c r="L104" s="9">
        <f>IF(G104="","GRAM EKSİK",IF(F104&gt;30000,"FİYAT ŞÜPHELİ",IF(K104&lt;0,"ZARARDA",IF(F104&lt;I104,"RİSKLİ","ok"))))</f>
        <v/>
      </c>
      <c r="M104" s="13" t="inlineStr">
        <is>
          <t>https://www.etsy.com/listing/1849001180</t>
        </is>
      </c>
    </row>
    <row r="105">
      <c r="A105" s="3" t="inlineStr">
        <is>
          <t>chains</t>
        </is>
      </c>
      <c r="B105" s="3" t="inlineStr">
        <is>
          <t>10K Yellow Gold Figaro Link Chain / Polished Finish</t>
        </is>
      </c>
      <c r="C105" s="3" t="n">
        <v>1849001180</v>
      </c>
      <c r="D105" s="3" t="inlineStr">
        <is>
          <t>CFIG1-24</t>
        </is>
      </c>
      <c r="E105" s="3" t="inlineStr">
        <is>
          <t>description</t>
        </is>
      </c>
      <c r="F105" s="14" t="n">
        <v>240</v>
      </c>
      <c r="G105" s="17" t="n">
        <v>1.8</v>
      </c>
      <c r="H105" s="14">
        <f>IF(G105="","",G105*Ayarlar!$B$3+Ayarlar!$B$4+Ayarlar!$B$5)</f>
        <v/>
      </c>
      <c r="I105" s="14">
        <f>IF(G105="","",ROUNDUP(((G105*Ayarlar!$B$3+Ayarlar!$B$4+Ayarlar!$B$5)+Ayarlar!$B$8)/((1-Ayarlar!$B$6)*(1-Ayarlar!$B$7)),0))</f>
        <v/>
      </c>
      <c r="J105" s="14">
        <f>IF(G105="","",ROUNDUP(((G105*Ayarlar!$B$3+Ayarlar!$B$4+Ayarlar!$B$5)+Ayarlar!$B$8)/((1-Ayarlar!$B$6)*(1-Ayarlar!$B$7-Ayarlar!$B$9)),0))</f>
        <v/>
      </c>
      <c r="K105" s="15">
        <f>IF(OR(G105="",F105=""),"",(F105*(1-Ayarlar!$B$6)-(F105*(1-Ayarlar!$B$6)*Ayarlar!$B$7+Ayarlar!$B$8)-(G105*Ayarlar!$B$3+Ayarlar!$B$4+Ayarlar!$B$5))/(F105*(1-Ayarlar!$B$6)))</f>
        <v/>
      </c>
      <c r="L105" s="3">
        <f>IF(G105="","GRAM EKSİK",IF(F105&gt;30000,"FİYAT ŞÜPHELİ",IF(K105&lt;0,"ZARARDA",IF(F105&lt;I105,"RİSKLİ","ok"))))</f>
        <v/>
      </c>
      <c r="M105" s="16" t="inlineStr">
        <is>
          <t>https://www.etsy.com/listing/1849001180</t>
        </is>
      </c>
    </row>
    <row r="106">
      <c r="A106" s="9" t="inlineStr">
        <is>
          <t>chains</t>
        </is>
      </c>
      <c r="B106" s="9" t="inlineStr">
        <is>
          <t>10K Yellow Gold Figaro Link Chain / Polished Finish</t>
        </is>
      </c>
      <c r="C106" s="9" t="n">
        <v>1849001180</v>
      </c>
      <c r="D106" s="9" t="inlineStr">
        <is>
          <t>CFIG2-16</t>
        </is>
      </c>
      <c r="E106" s="9" t="inlineStr">
        <is>
          <t>shipstation</t>
        </is>
      </c>
      <c r="F106" s="10" t="n">
        <v>216</v>
      </c>
      <c r="G106" s="18" t="n">
        <v>1.74</v>
      </c>
      <c r="H106" s="10">
        <f>IF(G106="","",G106*Ayarlar!$B$3+Ayarlar!$B$4+Ayarlar!$B$5)</f>
        <v/>
      </c>
      <c r="I106" s="10">
        <f>IF(G106="","",ROUNDUP(((G106*Ayarlar!$B$3+Ayarlar!$B$4+Ayarlar!$B$5)+Ayarlar!$B$8)/((1-Ayarlar!$B$6)*(1-Ayarlar!$B$7)),0))</f>
        <v/>
      </c>
      <c r="J106" s="10">
        <f>IF(G106="","",ROUNDUP(((G106*Ayarlar!$B$3+Ayarlar!$B$4+Ayarlar!$B$5)+Ayarlar!$B$8)/((1-Ayarlar!$B$6)*(1-Ayarlar!$B$7-Ayarlar!$B$9)),0))</f>
        <v/>
      </c>
      <c r="K106" s="12">
        <f>IF(OR(G106="",F106=""),"",(F106*(1-Ayarlar!$B$6)-(F106*(1-Ayarlar!$B$6)*Ayarlar!$B$7+Ayarlar!$B$8)-(G106*Ayarlar!$B$3+Ayarlar!$B$4+Ayarlar!$B$5))/(F106*(1-Ayarlar!$B$6)))</f>
        <v/>
      </c>
      <c r="L106" s="9">
        <f>IF(G106="","GRAM EKSİK",IF(F106&gt;30000,"FİYAT ŞÜPHELİ",IF(K106&lt;0,"ZARARDA",IF(F106&lt;I106,"RİSKLİ","ok"))))</f>
        <v/>
      </c>
      <c r="M106" s="13" t="inlineStr">
        <is>
          <t>https://www.etsy.com/listing/1849001180</t>
        </is>
      </c>
    </row>
    <row r="107">
      <c r="A107" s="3" t="inlineStr">
        <is>
          <t>chains</t>
        </is>
      </c>
      <c r="B107" s="3" t="inlineStr">
        <is>
          <t>10K Yellow Gold Figaro Link Chain / Polished Finish</t>
        </is>
      </c>
      <c r="C107" s="3" t="n">
        <v>1849001180</v>
      </c>
      <c r="D107" s="3" t="inlineStr">
        <is>
          <t>CFIG2-18</t>
        </is>
      </c>
      <c r="E107" s="3" t="inlineStr">
        <is>
          <t>description</t>
        </is>
      </c>
      <c r="F107" s="14" t="n">
        <v>234</v>
      </c>
      <c r="G107" s="17" t="n">
        <v>1.8</v>
      </c>
      <c r="H107" s="14">
        <f>IF(G107="","",G107*Ayarlar!$B$3+Ayarlar!$B$4+Ayarlar!$B$5)</f>
        <v/>
      </c>
      <c r="I107" s="14">
        <f>IF(G107="","",ROUNDUP(((G107*Ayarlar!$B$3+Ayarlar!$B$4+Ayarlar!$B$5)+Ayarlar!$B$8)/((1-Ayarlar!$B$6)*(1-Ayarlar!$B$7)),0))</f>
        <v/>
      </c>
      <c r="J107" s="14">
        <f>IF(G107="","",ROUNDUP(((G107*Ayarlar!$B$3+Ayarlar!$B$4+Ayarlar!$B$5)+Ayarlar!$B$8)/((1-Ayarlar!$B$6)*(1-Ayarlar!$B$7-Ayarlar!$B$9)),0))</f>
        <v/>
      </c>
      <c r="K107" s="15">
        <f>IF(OR(G107="",F107=""),"",(F107*(1-Ayarlar!$B$6)-(F107*(1-Ayarlar!$B$6)*Ayarlar!$B$7+Ayarlar!$B$8)-(G107*Ayarlar!$B$3+Ayarlar!$B$4+Ayarlar!$B$5))/(F107*(1-Ayarlar!$B$6)))</f>
        <v/>
      </c>
      <c r="L107" s="3">
        <f>IF(G107="","GRAM EKSİK",IF(F107&gt;30000,"FİYAT ŞÜPHELİ",IF(K107&lt;0,"ZARARDA",IF(F107&lt;I107,"RİSKLİ","ok"))))</f>
        <v/>
      </c>
      <c r="M107" s="16" t="inlineStr">
        <is>
          <t>https://www.etsy.com/listing/1849001180</t>
        </is>
      </c>
    </row>
    <row r="108">
      <c r="A108" s="9" t="inlineStr">
        <is>
          <t>chains</t>
        </is>
      </c>
      <c r="B108" s="9" t="inlineStr">
        <is>
          <t>10K Yellow Gold Figaro Link Chain / Polished Finish</t>
        </is>
      </c>
      <c r="C108" s="9" t="n">
        <v>1849001180</v>
      </c>
      <c r="D108" s="9" t="inlineStr">
        <is>
          <t>CFIG2-20</t>
        </is>
      </c>
      <c r="E108" s="9" t="inlineStr">
        <is>
          <t>description</t>
        </is>
      </c>
      <c r="F108" s="10" t="n">
        <v>253</v>
      </c>
      <c r="G108" s="18" t="n">
        <v>2</v>
      </c>
      <c r="H108" s="10">
        <f>IF(G108="","",G108*Ayarlar!$B$3+Ayarlar!$B$4+Ayarlar!$B$5)</f>
        <v/>
      </c>
      <c r="I108" s="10">
        <f>IF(G108="","",ROUNDUP(((G108*Ayarlar!$B$3+Ayarlar!$B$4+Ayarlar!$B$5)+Ayarlar!$B$8)/((1-Ayarlar!$B$6)*(1-Ayarlar!$B$7)),0))</f>
        <v/>
      </c>
      <c r="J108" s="10">
        <f>IF(G108="","",ROUNDUP(((G108*Ayarlar!$B$3+Ayarlar!$B$4+Ayarlar!$B$5)+Ayarlar!$B$8)/((1-Ayarlar!$B$6)*(1-Ayarlar!$B$7-Ayarlar!$B$9)),0))</f>
        <v/>
      </c>
      <c r="K108" s="12">
        <f>IF(OR(G108="",F108=""),"",(F108*(1-Ayarlar!$B$6)-(F108*(1-Ayarlar!$B$6)*Ayarlar!$B$7+Ayarlar!$B$8)-(G108*Ayarlar!$B$3+Ayarlar!$B$4+Ayarlar!$B$5))/(F108*(1-Ayarlar!$B$6)))</f>
        <v/>
      </c>
      <c r="L108" s="9">
        <f>IF(G108="","GRAM EKSİK",IF(F108&gt;30000,"FİYAT ŞÜPHELİ",IF(K108&lt;0,"ZARARDA",IF(F108&lt;I108,"RİSKLİ","ok"))))</f>
        <v/>
      </c>
      <c r="M108" s="13" t="inlineStr">
        <is>
          <t>https://www.etsy.com/listing/1849001180</t>
        </is>
      </c>
    </row>
    <row r="109">
      <c r="A109" s="3" t="inlineStr">
        <is>
          <t>chains</t>
        </is>
      </c>
      <c r="B109" s="3" t="inlineStr">
        <is>
          <t>10K Yellow Gold Figaro Link Chain / Polished Finish</t>
        </is>
      </c>
      <c r="C109" s="3" t="n">
        <v>1849001180</v>
      </c>
      <c r="D109" s="3" t="inlineStr">
        <is>
          <t>CFIG2-22</t>
        </is>
      </c>
      <c r="E109" s="3" t="inlineStr">
        <is>
          <t>shipstation</t>
        </is>
      </c>
      <c r="F109" s="14" t="n">
        <v>272</v>
      </c>
      <c r="G109" s="17" t="n">
        <v>2.2</v>
      </c>
      <c r="H109" s="14">
        <f>IF(G109="","",G109*Ayarlar!$B$3+Ayarlar!$B$4+Ayarlar!$B$5)</f>
        <v/>
      </c>
      <c r="I109" s="14">
        <f>IF(G109="","",ROUNDUP(((G109*Ayarlar!$B$3+Ayarlar!$B$4+Ayarlar!$B$5)+Ayarlar!$B$8)/((1-Ayarlar!$B$6)*(1-Ayarlar!$B$7)),0))</f>
        <v/>
      </c>
      <c r="J109" s="14">
        <f>IF(G109="","",ROUNDUP(((G109*Ayarlar!$B$3+Ayarlar!$B$4+Ayarlar!$B$5)+Ayarlar!$B$8)/((1-Ayarlar!$B$6)*(1-Ayarlar!$B$7-Ayarlar!$B$9)),0))</f>
        <v/>
      </c>
      <c r="K109" s="15">
        <f>IF(OR(G109="",F109=""),"",(F109*(1-Ayarlar!$B$6)-(F109*(1-Ayarlar!$B$6)*Ayarlar!$B$7+Ayarlar!$B$8)-(G109*Ayarlar!$B$3+Ayarlar!$B$4+Ayarlar!$B$5))/(F109*(1-Ayarlar!$B$6)))</f>
        <v/>
      </c>
      <c r="L109" s="3">
        <f>IF(G109="","GRAM EKSİK",IF(F109&gt;30000,"FİYAT ŞÜPHELİ",IF(K109&lt;0,"ZARARDA",IF(F109&lt;I109,"RİSKLİ","ok"))))</f>
        <v/>
      </c>
      <c r="M109" s="16" t="inlineStr">
        <is>
          <t>https://www.etsy.com/listing/1849001180</t>
        </is>
      </c>
    </row>
    <row r="110">
      <c r="A110" s="9" t="inlineStr">
        <is>
          <t>chains</t>
        </is>
      </c>
      <c r="B110" s="9" t="inlineStr">
        <is>
          <t>10K Yellow Gold Figaro Link Chain / Polished Finish</t>
        </is>
      </c>
      <c r="C110" s="9" t="n">
        <v>1849001180</v>
      </c>
      <c r="D110" s="9" t="inlineStr">
        <is>
          <t>CFIG2-24</t>
        </is>
      </c>
      <c r="E110" s="9" t="inlineStr">
        <is>
          <t>shipstation</t>
        </is>
      </c>
      <c r="F110" s="10" t="n">
        <v>290</v>
      </c>
      <c r="G110" s="18" t="n">
        <v>2.44</v>
      </c>
      <c r="H110" s="10">
        <f>IF(G110="","",G110*Ayarlar!$B$3+Ayarlar!$B$4+Ayarlar!$B$5)</f>
        <v/>
      </c>
      <c r="I110" s="10">
        <f>IF(G110="","",ROUNDUP(((G110*Ayarlar!$B$3+Ayarlar!$B$4+Ayarlar!$B$5)+Ayarlar!$B$8)/((1-Ayarlar!$B$6)*(1-Ayarlar!$B$7)),0))</f>
        <v/>
      </c>
      <c r="J110" s="10">
        <f>IF(G110="","",ROUNDUP(((G110*Ayarlar!$B$3+Ayarlar!$B$4+Ayarlar!$B$5)+Ayarlar!$B$8)/((1-Ayarlar!$B$6)*(1-Ayarlar!$B$7-Ayarlar!$B$9)),0))</f>
        <v/>
      </c>
      <c r="K110" s="12">
        <f>IF(OR(G110="",F110=""),"",(F110*(1-Ayarlar!$B$6)-(F110*(1-Ayarlar!$B$6)*Ayarlar!$B$7+Ayarlar!$B$8)-(G110*Ayarlar!$B$3+Ayarlar!$B$4+Ayarlar!$B$5))/(F110*(1-Ayarlar!$B$6)))</f>
        <v/>
      </c>
      <c r="L110" s="9">
        <f>IF(G110="","GRAM EKSİK",IF(F110&gt;30000,"FİYAT ŞÜPHELİ",IF(K110&lt;0,"ZARARDA",IF(F110&lt;I110,"RİSKLİ","ok"))))</f>
        <v/>
      </c>
      <c r="M110" s="13" t="inlineStr">
        <is>
          <t>https://www.etsy.com/listing/1849001180</t>
        </is>
      </c>
    </row>
    <row r="111">
      <c r="A111" s="3" t="inlineStr">
        <is>
          <t>chains</t>
        </is>
      </c>
      <c r="B111" s="3" t="inlineStr">
        <is>
          <t>10K Yellow Gold Figaro Link Chain / Polished Finish</t>
        </is>
      </c>
      <c r="C111" s="3" t="n">
        <v>1849001180</v>
      </c>
      <c r="D111" s="3" t="inlineStr">
        <is>
          <t>CFIG3-16</t>
        </is>
      </c>
      <c r="E111" s="3" t="inlineStr">
        <is>
          <t>description</t>
        </is>
      </c>
      <c r="F111" s="14" t="n">
        <v>389</v>
      </c>
      <c r="G111" s="17" t="n">
        <v>2.89</v>
      </c>
      <c r="H111" s="14">
        <f>IF(G111="","",G111*Ayarlar!$B$3+Ayarlar!$B$4+Ayarlar!$B$5)</f>
        <v/>
      </c>
      <c r="I111" s="14">
        <f>IF(G111="","",ROUNDUP(((G111*Ayarlar!$B$3+Ayarlar!$B$4+Ayarlar!$B$5)+Ayarlar!$B$8)/((1-Ayarlar!$B$6)*(1-Ayarlar!$B$7)),0))</f>
        <v/>
      </c>
      <c r="J111" s="14">
        <f>IF(G111="","",ROUNDUP(((G111*Ayarlar!$B$3+Ayarlar!$B$4+Ayarlar!$B$5)+Ayarlar!$B$8)/((1-Ayarlar!$B$6)*(1-Ayarlar!$B$7-Ayarlar!$B$9)),0))</f>
        <v/>
      </c>
      <c r="K111" s="15">
        <f>IF(OR(G111="",F111=""),"",(F111*(1-Ayarlar!$B$6)-(F111*(1-Ayarlar!$B$6)*Ayarlar!$B$7+Ayarlar!$B$8)-(G111*Ayarlar!$B$3+Ayarlar!$B$4+Ayarlar!$B$5))/(F111*(1-Ayarlar!$B$6)))</f>
        <v/>
      </c>
      <c r="L111" s="3">
        <f>IF(G111="","GRAM EKSİK",IF(F111&gt;30000,"FİYAT ŞÜPHELİ",IF(K111&lt;0,"ZARARDA",IF(F111&lt;I111,"RİSKLİ","ok"))))</f>
        <v/>
      </c>
      <c r="M111" s="16" t="inlineStr">
        <is>
          <t>https://www.etsy.com/listing/1849001180</t>
        </is>
      </c>
    </row>
    <row r="112">
      <c r="A112" s="9" t="inlineStr">
        <is>
          <t>chains</t>
        </is>
      </c>
      <c r="B112" s="9" t="inlineStr">
        <is>
          <t>10K Yellow Gold Figaro Link Chain / Polished Finish</t>
        </is>
      </c>
      <c r="C112" s="9" t="n">
        <v>1849001180</v>
      </c>
      <c r="D112" s="9" t="inlineStr">
        <is>
          <t>CFIG3-18</t>
        </is>
      </c>
      <c r="E112" s="9" t="inlineStr">
        <is>
          <t>description</t>
        </is>
      </c>
      <c r="F112" s="10" t="n">
        <v>427</v>
      </c>
      <c r="G112" s="18" t="n">
        <v>3.25</v>
      </c>
      <c r="H112" s="10">
        <f>IF(G112="","",G112*Ayarlar!$B$3+Ayarlar!$B$4+Ayarlar!$B$5)</f>
        <v/>
      </c>
      <c r="I112" s="10">
        <f>IF(G112="","",ROUNDUP(((G112*Ayarlar!$B$3+Ayarlar!$B$4+Ayarlar!$B$5)+Ayarlar!$B$8)/((1-Ayarlar!$B$6)*(1-Ayarlar!$B$7)),0))</f>
        <v/>
      </c>
      <c r="J112" s="10">
        <f>IF(G112="","",ROUNDUP(((G112*Ayarlar!$B$3+Ayarlar!$B$4+Ayarlar!$B$5)+Ayarlar!$B$8)/((1-Ayarlar!$B$6)*(1-Ayarlar!$B$7-Ayarlar!$B$9)),0))</f>
        <v/>
      </c>
      <c r="K112" s="12">
        <f>IF(OR(G112="",F112=""),"",(F112*(1-Ayarlar!$B$6)-(F112*(1-Ayarlar!$B$6)*Ayarlar!$B$7+Ayarlar!$B$8)-(G112*Ayarlar!$B$3+Ayarlar!$B$4+Ayarlar!$B$5))/(F112*(1-Ayarlar!$B$6)))</f>
        <v/>
      </c>
      <c r="L112" s="9">
        <f>IF(G112="","GRAM EKSİK",IF(F112&gt;30000,"FİYAT ŞÜPHELİ",IF(K112&lt;0,"ZARARDA",IF(F112&lt;I112,"RİSKLİ","ok"))))</f>
        <v/>
      </c>
      <c r="M112" s="13" t="inlineStr">
        <is>
          <t>https://www.etsy.com/listing/1849001180</t>
        </is>
      </c>
    </row>
    <row r="113">
      <c r="A113" s="3" t="inlineStr">
        <is>
          <t>chains</t>
        </is>
      </c>
      <c r="B113" s="3" t="inlineStr">
        <is>
          <t>10K Yellow Gold Figaro Link Chain / Polished Finish</t>
        </is>
      </c>
      <c r="C113" s="3" t="n">
        <v>1849001180</v>
      </c>
      <c r="D113" s="3" t="inlineStr">
        <is>
          <t>CFIG3-20</t>
        </is>
      </c>
      <c r="E113" s="3" t="inlineStr">
        <is>
          <t>description</t>
        </is>
      </c>
      <c r="F113" s="14" t="n">
        <v>457</v>
      </c>
      <c r="G113" s="17" t="n">
        <v>3.61</v>
      </c>
      <c r="H113" s="14">
        <f>IF(G113="","",G113*Ayarlar!$B$3+Ayarlar!$B$4+Ayarlar!$B$5)</f>
        <v/>
      </c>
      <c r="I113" s="14">
        <f>IF(G113="","",ROUNDUP(((G113*Ayarlar!$B$3+Ayarlar!$B$4+Ayarlar!$B$5)+Ayarlar!$B$8)/((1-Ayarlar!$B$6)*(1-Ayarlar!$B$7)),0))</f>
        <v/>
      </c>
      <c r="J113" s="14">
        <f>IF(G113="","",ROUNDUP(((G113*Ayarlar!$B$3+Ayarlar!$B$4+Ayarlar!$B$5)+Ayarlar!$B$8)/((1-Ayarlar!$B$6)*(1-Ayarlar!$B$7-Ayarlar!$B$9)),0))</f>
        <v/>
      </c>
      <c r="K113" s="15">
        <f>IF(OR(G113="",F113=""),"",(F113*(1-Ayarlar!$B$6)-(F113*(1-Ayarlar!$B$6)*Ayarlar!$B$7+Ayarlar!$B$8)-(G113*Ayarlar!$B$3+Ayarlar!$B$4+Ayarlar!$B$5))/(F113*(1-Ayarlar!$B$6)))</f>
        <v/>
      </c>
      <c r="L113" s="3">
        <f>IF(G113="","GRAM EKSİK",IF(F113&gt;30000,"FİYAT ŞÜPHELİ",IF(K113&lt;0,"ZARARDA",IF(F113&lt;I113,"RİSKLİ","ok"))))</f>
        <v/>
      </c>
      <c r="M113" s="16" t="inlineStr">
        <is>
          <t>https://www.etsy.com/listing/1849001180</t>
        </is>
      </c>
    </row>
    <row r="114">
      <c r="A114" s="9" t="inlineStr">
        <is>
          <t>chains</t>
        </is>
      </c>
      <c r="B114" s="9" t="inlineStr">
        <is>
          <t>10K Yellow Gold Figaro Link Chain / Polished Finish</t>
        </is>
      </c>
      <c r="C114" s="9" t="n">
        <v>1849001180</v>
      </c>
      <c r="D114" s="9" t="inlineStr">
        <is>
          <t>CFIG3-22</t>
        </is>
      </c>
      <c r="E114" s="9" t="inlineStr">
        <is>
          <t>shipstation</t>
        </is>
      </c>
      <c r="F114" s="10" t="n">
        <v>476</v>
      </c>
      <c r="G114" s="18" t="n">
        <v>4</v>
      </c>
      <c r="H114" s="10">
        <f>IF(G114="","",G114*Ayarlar!$B$3+Ayarlar!$B$4+Ayarlar!$B$5)</f>
        <v/>
      </c>
      <c r="I114" s="10">
        <f>IF(G114="","",ROUNDUP(((G114*Ayarlar!$B$3+Ayarlar!$B$4+Ayarlar!$B$5)+Ayarlar!$B$8)/((1-Ayarlar!$B$6)*(1-Ayarlar!$B$7)),0))</f>
        <v/>
      </c>
      <c r="J114" s="10">
        <f>IF(G114="","",ROUNDUP(((G114*Ayarlar!$B$3+Ayarlar!$B$4+Ayarlar!$B$5)+Ayarlar!$B$8)/((1-Ayarlar!$B$6)*(1-Ayarlar!$B$7-Ayarlar!$B$9)),0))</f>
        <v/>
      </c>
      <c r="K114" s="12">
        <f>IF(OR(G114="",F114=""),"",(F114*(1-Ayarlar!$B$6)-(F114*(1-Ayarlar!$B$6)*Ayarlar!$B$7+Ayarlar!$B$8)-(G114*Ayarlar!$B$3+Ayarlar!$B$4+Ayarlar!$B$5))/(F114*(1-Ayarlar!$B$6)))</f>
        <v/>
      </c>
      <c r="L114" s="9">
        <f>IF(G114="","GRAM EKSİK",IF(F114&gt;30000,"FİYAT ŞÜPHELİ",IF(K114&lt;0,"ZARARDA",IF(F114&lt;I114,"RİSKLİ","ok"))))</f>
        <v/>
      </c>
      <c r="M114" s="13" t="inlineStr">
        <is>
          <t>https://www.etsy.com/listing/1849001180</t>
        </is>
      </c>
    </row>
    <row r="115">
      <c r="A115" s="3" t="inlineStr">
        <is>
          <t>chains</t>
        </is>
      </c>
      <c r="B115" s="3" t="inlineStr">
        <is>
          <t>10K Yellow Gold Figaro Link Chain / Polished Finish</t>
        </is>
      </c>
      <c r="C115" s="3" t="n">
        <v>1849001180</v>
      </c>
      <c r="D115" s="3" t="inlineStr">
        <is>
          <t>CFIG3-24</t>
        </is>
      </c>
      <c r="E115" s="3" t="inlineStr">
        <is>
          <t>description</t>
        </is>
      </c>
      <c r="F115" s="14" t="n">
        <v>530</v>
      </c>
      <c r="G115" s="17" t="n">
        <v>4.33</v>
      </c>
      <c r="H115" s="14">
        <f>IF(G115="","",G115*Ayarlar!$B$3+Ayarlar!$B$4+Ayarlar!$B$5)</f>
        <v/>
      </c>
      <c r="I115" s="14">
        <f>IF(G115="","",ROUNDUP(((G115*Ayarlar!$B$3+Ayarlar!$B$4+Ayarlar!$B$5)+Ayarlar!$B$8)/((1-Ayarlar!$B$6)*(1-Ayarlar!$B$7)),0))</f>
        <v/>
      </c>
      <c r="J115" s="14">
        <f>IF(G115="","",ROUNDUP(((G115*Ayarlar!$B$3+Ayarlar!$B$4+Ayarlar!$B$5)+Ayarlar!$B$8)/((1-Ayarlar!$B$6)*(1-Ayarlar!$B$7-Ayarlar!$B$9)),0))</f>
        <v/>
      </c>
      <c r="K115" s="15">
        <f>IF(OR(G115="",F115=""),"",(F115*(1-Ayarlar!$B$6)-(F115*(1-Ayarlar!$B$6)*Ayarlar!$B$7+Ayarlar!$B$8)-(G115*Ayarlar!$B$3+Ayarlar!$B$4+Ayarlar!$B$5))/(F115*(1-Ayarlar!$B$6)))</f>
        <v/>
      </c>
      <c r="L115" s="3">
        <f>IF(G115="","GRAM EKSİK",IF(F115&gt;30000,"FİYAT ŞÜPHELİ",IF(K115&lt;0,"ZARARDA",IF(F115&lt;I115,"RİSKLİ","ok"))))</f>
        <v/>
      </c>
      <c r="M115" s="16" t="inlineStr">
        <is>
          <t>https://www.etsy.com/listing/1849001180</t>
        </is>
      </c>
    </row>
    <row r="116">
      <c r="A116" s="9" t="inlineStr">
        <is>
          <t>chains</t>
        </is>
      </c>
      <c r="B116" s="9" t="inlineStr">
        <is>
          <t>10K Yellow Gold Figaro Link Chain / Polished Finish</t>
        </is>
      </c>
      <c r="C116" s="9" t="n">
        <v>1849001180</v>
      </c>
      <c r="D116" s="9" t="inlineStr">
        <is>
          <t>CFIG4-16</t>
        </is>
      </c>
      <c r="E116" s="9" t="inlineStr">
        <is>
          <t>description</t>
        </is>
      </c>
      <c r="F116" s="10" t="n">
        <v>581</v>
      </c>
      <c r="G116" s="18" t="n">
        <v>4.16</v>
      </c>
      <c r="H116" s="10">
        <f>IF(G116="","",G116*Ayarlar!$B$3+Ayarlar!$B$4+Ayarlar!$B$5)</f>
        <v/>
      </c>
      <c r="I116" s="10">
        <f>IF(G116="","",ROUNDUP(((G116*Ayarlar!$B$3+Ayarlar!$B$4+Ayarlar!$B$5)+Ayarlar!$B$8)/((1-Ayarlar!$B$6)*(1-Ayarlar!$B$7)),0))</f>
        <v/>
      </c>
      <c r="J116" s="10">
        <f>IF(G116="","",ROUNDUP(((G116*Ayarlar!$B$3+Ayarlar!$B$4+Ayarlar!$B$5)+Ayarlar!$B$8)/((1-Ayarlar!$B$6)*(1-Ayarlar!$B$7-Ayarlar!$B$9)),0))</f>
        <v/>
      </c>
      <c r="K116" s="12">
        <f>IF(OR(G116="",F116=""),"",(F116*(1-Ayarlar!$B$6)-(F116*(1-Ayarlar!$B$6)*Ayarlar!$B$7+Ayarlar!$B$8)-(G116*Ayarlar!$B$3+Ayarlar!$B$4+Ayarlar!$B$5))/(F116*(1-Ayarlar!$B$6)))</f>
        <v/>
      </c>
      <c r="L116" s="9">
        <f>IF(G116="","GRAM EKSİK",IF(F116&gt;30000,"FİYAT ŞÜPHELİ",IF(K116&lt;0,"ZARARDA",IF(F116&lt;I116,"RİSKLİ","ok"))))</f>
        <v/>
      </c>
      <c r="M116" s="13" t="inlineStr">
        <is>
          <t>https://www.etsy.com/listing/1849001180</t>
        </is>
      </c>
    </row>
    <row r="117">
      <c r="A117" s="3" t="inlineStr">
        <is>
          <t>chains</t>
        </is>
      </c>
      <c r="B117" s="3" t="inlineStr">
        <is>
          <t>10K Yellow Gold Figaro Link Chain / Polished Finish</t>
        </is>
      </c>
      <c r="C117" s="3" t="n">
        <v>1849001180</v>
      </c>
      <c r="D117" s="3" t="inlineStr">
        <is>
          <t>CFIG4-18</t>
        </is>
      </c>
      <c r="E117" s="3" t="inlineStr">
        <is>
          <t>description</t>
        </is>
      </c>
      <c r="F117" s="14" t="n">
        <v>619</v>
      </c>
      <c r="G117" s="17" t="n">
        <v>4.68</v>
      </c>
      <c r="H117" s="14">
        <f>IF(G117="","",G117*Ayarlar!$B$3+Ayarlar!$B$4+Ayarlar!$B$5)</f>
        <v/>
      </c>
      <c r="I117" s="14">
        <f>IF(G117="","",ROUNDUP(((G117*Ayarlar!$B$3+Ayarlar!$B$4+Ayarlar!$B$5)+Ayarlar!$B$8)/((1-Ayarlar!$B$6)*(1-Ayarlar!$B$7)),0))</f>
        <v/>
      </c>
      <c r="J117" s="14">
        <f>IF(G117="","",ROUNDUP(((G117*Ayarlar!$B$3+Ayarlar!$B$4+Ayarlar!$B$5)+Ayarlar!$B$8)/((1-Ayarlar!$B$6)*(1-Ayarlar!$B$7-Ayarlar!$B$9)),0))</f>
        <v/>
      </c>
      <c r="K117" s="15">
        <f>IF(OR(G117="",F117=""),"",(F117*(1-Ayarlar!$B$6)-(F117*(1-Ayarlar!$B$6)*Ayarlar!$B$7+Ayarlar!$B$8)-(G117*Ayarlar!$B$3+Ayarlar!$B$4+Ayarlar!$B$5))/(F117*(1-Ayarlar!$B$6)))</f>
        <v/>
      </c>
      <c r="L117" s="3">
        <f>IF(G117="","GRAM EKSİK",IF(F117&gt;30000,"FİYAT ŞÜPHELİ",IF(K117&lt;0,"ZARARDA",IF(F117&lt;I117,"RİSKLİ","ok"))))</f>
        <v/>
      </c>
      <c r="M117" s="16" t="inlineStr">
        <is>
          <t>https://www.etsy.com/listing/1849001180</t>
        </is>
      </c>
    </row>
    <row r="118">
      <c r="A118" s="9" t="inlineStr">
        <is>
          <t>chains</t>
        </is>
      </c>
      <c r="B118" s="9" t="inlineStr">
        <is>
          <t>10K Yellow Gold Figaro Link Chain / Polished Finish</t>
        </is>
      </c>
      <c r="C118" s="9" t="n">
        <v>1849001180</v>
      </c>
      <c r="D118" s="9" t="inlineStr">
        <is>
          <t>CFIG4-20</t>
        </is>
      </c>
      <c r="E118" s="9" t="inlineStr">
        <is>
          <t>description</t>
        </is>
      </c>
      <c r="F118" s="10" t="n">
        <v>702</v>
      </c>
      <c r="G118" s="18" t="n">
        <v>5.2</v>
      </c>
      <c r="H118" s="10">
        <f>IF(G118="","",G118*Ayarlar!$B$3+Ayarlar!$B$4+Ayarlar!$B$5)</f>
        <v/>
      </c>
      <c r="I118" s="10">
        <f>IF(G118="","",ROUNDUP(((G118*Ayarlar!$B$3+Ayarlar!$B$4+Ayarlar!$B$5)+Ayarlar!$B$8)/((1-Ayarlar!$B$6)*(1-Ayarlar!$B$7)),0))</f>
        <v/>
      </c>
      <c r="J118" s="10">
        <f>IF(G118="","",ROUNDUP(((G118*Ayarlar!$B$3+Ayarlar!$B$4+Ayarlar!$B$5)+Ayarlar!$B$8)/((1-Ayarlar!$B$6)*(1-Ayarlar!$B$7-Ayarlar!$B$9)),0))</f>
        <v/>
      </c>
      <c r="K118" s="12">
        <f>IF(OR(G118="",F118=""),"",(F118*(1-Ayarlar!$B$6)-(F118*(1-Ayarlar!$B$6)*Ayarlar!$B$7+Ayarlar!$B$8)-(G118*Ayarlar!$B$3+Ayarlar!$B$4+Ayarlar!$B$5))/(F118*(1-Ayarlar!$B$6)))</f>
        <v/>
      </c>
      <c r="L118" s="9">
        <f>IF(G118="","GRAM EKSİK",IF(F118&gt;30000,"FİYAT ŞÜPHELİ",IF(K118&lt;0,"ZARARDA",IF(F118&lt;I118,"RİSKLİ","ok"))))</f>
        <v/>
      </c>
      <c r="M118" s="13" t="inlineStr">
        <is>
          <t>https://www.etsy.com/listing/1849001180</t>
        </is>
      </c>
    </row>
    <row r="119">
      <c r="A119" s="3" t="inlineStr">
        <is>
          <t>chains</t>
        </is>
      </c>
      <c r="B119" s="3" t="inlineStr">
        <is>
          <t>10K Yellow Gold Figaro Link Chain / Polished Finish</t>
        </is>
      </c>
      <c r="C119" s="3" t="n">
        <v>1849001180</v>
      </c>
      <c r="D119" s="3" t="inlineStr">
        <is>
          <t>CFIG4-22</t>
        </is>
      </c>
      <c r="E119" s="3" t="inlineStr">
        <is>
          <t>description</t>
        </is>
      </c>
      <c r="F119" s="14" t="n">
        <v>763</v>
      </c>
      <c r="G119" s="17" t="n">
        <v>5.72</v>
      </c>
      <c r="H119" s="14">
        <f>IF(G119="","",G119*Ayarlar!$B$3+Ayarlar!$B$4+Ayarlar!$B$5)</f>
        <v/>
      </c>
      <c r="I119" s="14">
        <f>IF(G119="","",ROUNDUP(((G119*Ayarlar!$B$3+Ayarlar!$B$4+Ayarlar!$B$5)+Ayarlar!$B$8)/((1-Ayarlar!$B$6)*(1-Ayarlar!$B$7)),0))</f>
        <v/>
      </c>
      <c r="J119" s="14">
        <f>IF(G119="","",ROUNDUP(((G119*Ayarlar!$B$3+Ayarlar!$B$4+Ayarlar!$B$5)+Ayarlar!$B$8)/((1-Ayarlar!$B$6)*(1-Ayarlar!$B$7-Ayarlar!$B$9)),0))</f>
        <v/>
      </c>
      <c r="K119" s="15">
        <f>IF(OR(G119="",F119=""),"",(F119*(1-Ayarlar!$B$6)-(F119*(1-Ayarlar!$B$6)*Ayarlar!$B$7+Ayarlar!$B$8)-(G119*Ayarlar!$B$3+Ayarlar!$B$4+Ayarlar!$B$5))/(F119*(1-Ayarlar!$B$6)))</f>
        <v/>
      </c>
      <c r="L119" s="3">
        <f>IF(G119="","GRAM EKSİK",IF(F119&gt;30000,"FİYAT ŞÜPHELİ",IF(K119&lt;0,"ZARARDA",IF(F119&lt;I119,"RİSKLİ","ok"))))</f>
        <v/>
      </c>
      <c r="M119" s="16" t="inlineStr">
        <is>
          <t>https://www.etsy.com/listing/1849001180</t>
        </is>
      </c>
    </row>
    <row r="120">
      <c r="A120" s="9" t="inlineStr">
        <is>
          <t>chains</t>
        </is>
      </c>
      <c r="B120" s="9" t="inlineStr">
        <is>
          <t>10K Yellow Gold Figaro Link Chain / Polished Finish</t>
        </is>
      </c>
      <c r="C120" s="9" t="n">
        <v>1849001180</v>
      </c>
      <c r="D120" s="9" t="inlineStr">
        <is>
          <t>CFIG4-24</t>
        </is>
      </c>
      <c r="E120" s="9" t="inlineStr">
        <is>
          <t>description</t>
        </is>
      </c>
      <c r="F120" s="10" t="n">
        <v>823</v>
      </c>
      <c r="G120" s="18" t="n">
        <v>6.24</v>
      </c>
      <c r="H120" s="10">
        <f>IF(G120="","",G120*Ayarlar!$B$3+Ayarlar!$B$4+Ayarlar!$B$5)</f>
        <v/>
      </c>
      <c r="I120" s="10">
        <f>IF(G120="","",ROUNDUP(((G120*Ayarlar!$B$3+Ayarlar!$B$4+Ayarlar!$B$5)+Ayarlar!$B$8)/((1-Ayarlar!$B$6)*(1-Ayarlar!$B$7)),0))</f>
        <v/>
      </c>
      <c r="J120" s="10">
        <f>IF(G120="","",ROUNDUP(((G120*Ayarlar!$B$3+Ayarlar!$B$4+Ayarlar!$B$5)+Ayarlar!$B$8)/((1-Ayarlar!$B$6)*(1-Ayarlar!$B$7-Ayarlar!$B$9)),0))</f>
        <v/>
      </c>
      <c r="K120" s="12">
        <f>IF(OR(G120="",F120=""),"",(F120*(1-Ayarlar!$B$6)-(F120*(1-Ayarlar!$B$6)*Ayarlar!$B$7+Ayarlar!$B$8)-(G120*Ayarlar!$B$3+Ayarlar!$B$4+Ayarlar!$B$5))/(F120*(1-Ayarlar!$B$6)))</f>
        <v/>
      </c>
      <c r="L120" s="9">
        <f>IF(G120="","GRAM EKSİK",IF(F120&gt;30000,"FİYAT ŞÜPHELİ",IF(K120&lt;0,"ZARARDA",IF(F120&lt;I120,"RİSKLİ","ok"))))</f>
        <v/>
      </c>
      <c r="M120" s="13" t="inlineStr">
        <is>
          <t>https://www.etsy.com/listing/1849001180</t>
        </is>
      </c>
    </row>
    <row r="121">
      <c r="A121" s="3" t="inlineStr">
        <is>
          <t>chains</t>
        </is>
      </c>
      <c r="B121" s="3" t="inlineStr">
        <is>
          <t>10K Yellow Gold Figaro Link Chain / Polished Finish</t>
        </is>
      </c>
      <c r="C121" s="3" t="n">
        <v>1849001180</v>
      </c>
      <c r="D121" s="3" t="inlineStr">
        <is>
          <t>CFIG5-16</t>
        </is>
      </c>
      <c r="E121" s="3" t="inlineStr">
        <is>
          <t>description</t>
        </is>
      </c>
      <c r="F121" s="14" t="n">
        <v>900</v>
      </c>
      <c r="G121" s="17" t="n">
        <v>6.74</v>
      </c>
      <c r="H121" s="14">
        <f>IF(G121="","",G121*Ayarlar!$B$3+Ayarlar!$B$4+Ayarlar!$B$5)</f>
        <v/>
      </c>
      <c r="I121" s="14">
        <f>IF(G121="","",ROUNDUP(((G121*Ayarlar!$B$3+Ayarlar!$B$4+Ayarlar!$B$5)+Ayarlar!$B$8)/((1-Ayarlar!$B$6)*(1-Ayarlar!$B$7)),0))</f>
        <v/>
      </c>
      <c r="J121" s="14">
        <f>IF(G121="","",ROUNDUP(((G121*Ayarlar!$B$3+Ayarlar!$B$4+Ayarlar!$B$5)+Ayarlar!$B$8)/((1-Ayarlar!$B$6)*(1-Ayarlar!$B$7-Ayarlar!$B$9)),0))</f>
        <v/>
      </c>
      <c r="K121" s="15">
        <f>IF(OR(G121="",F121=""),"",(F121*(1-Ayarlar!$B$6)-(F121*(1-Ayarlar!$B$6)*Ayarlar!$B$7+Ayarlar!$B$8)-(G121*Ayarlar!$B$3+Ayarlar!$B$4+Ayarlar!$B$5))/(F121*(1-Ayarlar!$B$6)))</f>
        <v/>
      </c>
      <c r="L121" s="3">
        <f>IF(G121="","GRAM EKSİK",IF(F121&gt;30000,"FİYAT ŞÜPHELİ",IF(K121&lt;0,"ZARARDA",IF(F121&lt;I121,"RİSKLİ","ok"))))</f>
        <v/>
      </c>
      <c r="M121" s="16" t="inlineStr">
        <is>
          <t>https://www.etsy.com/listing/1849001180</t>
        </is>
      </c>
    </row>
    <row r="122">
      <c r="A122" s="9" t="inlineStr">
        <is>
          <t>chains</t>
        </is>
      </c>
      <c r="B122" s="9" t="inlineStr">
        <is>
          <t>10K Yellow Gold Figaro Link Chain / Polished Finish</t>
        </is>
      </c>
      <c r="C122" s="9" t="n">
        <v>1849001180</v>
      </c>
      <c r="D122" s="9" t="inlineStr">
        <is>
          <t>CFIG5-18</t>
        </is>
      </c>
      <c r="E122" s="9" t="inlineStr">
        <is>
          <t>description</t>
        </is>
      </c>
      <c r="F122" s="10" t="n">
        <v>968</v>
      </c>
      <c r="G122" s="18" t="n">
        <v>7.58</v>
      </c>
      <c r="H122" s="10">
        <f>IF(G122="","",G122*Ayarlar!$B$3+Ayarlar!$B$4+Ayarlar!$B$5)</f>
        <v/>
      </c>
      <c r="I122" s="10">
        <f>IF(G122="","",ROUNDUP(((G122*Ayarlar!$B$3+Ayarlar!$B$4+Ayarlar!$B$5)+Ayarlar!$B$8)/((1-Ayarlar!$B$6)*(1-Ayarlar!$B$7)),0))</f>
        <v/>
      </c>
      <c r="J122" s="10">
        <f>IF(G122="","",ROUNDUP(((G122*Ayarlar!$B$3+Ayarlar!$B$4+Ayarlar!$B$5)+Ayarlar!$B$8)/((1-Ayarlar!$B$6)*(1-Ayarlar!$B$7-Ayarlar!$B$9)),0))</f>
        <v/>
      </c>
      <c r="K122" s="12">
        <f>IF(OR(G122="",F122=""),"",(F122*(1-Ayarlar!$B$6)-(F122*(1-Ayarlar!$B$6)*Ayarlar!$B$7+Ayarlar!$B$8)-(G122*Ayarlar!$B$3+Ayarlar!$B$4+Ayarlar!$B$5))/(F122*(1-Ayarlar!$B$6)))</f>
        <v/>
      </c>
      <c r="L122" s="9">
        <f>IF(G122="","GRAM EKSİK",IF(F122&gt;30000,"FİYAT ŞÜPHELİ",IF(K122&lt;0,"ZARARDA",IF(F122&lt;I122,"RİSKLİ","ok"))))</f>
        <v/>
      </c>
      <c r="M122" s="13" t="inlineStr">
        <is>
          <t>https://www.etsy.com/listing/1849001180</t>
        </is>
      </c>
    </row>
    <row r="123">
      <c r="A123" s="3" t="inlineStr">
        <is>
          <t>chains</t>
        </is>
      </c>
      <c r="B123" s="3" t="inlineStr">
        <is>
          <t>10K Yellow Gold Figaro Link Chain / Polished Finish</t>
        </is>
      </c>
      <c r="C123" s="3" t="n">
        <v>1849001180</v>
      </c>
      <c r="D123" s="3" t="inlineStr">
        <is>
          <t>CFIG5-20</t>
        </is>
      </c>
      <c r="E123" s="3" t="inlineStr">
        <is>
          <t>description</t>
        </is>
      </c>
      <c r="F123" s="14" t="n">
        <v>1036</v>
      </c>
      <c r="G123" s="17" t="n">
        <v>8.42</v>
      </c>
      <c r="H123" s="14">
        <f>IF(G123="","",G123*Ayarlar!$B$3+Ayarlar!$B$4+Ayarlar!$B$5)</f>
        <v/>
      </c>
      <c r="I123" s="14">
        <f>IF(G123="","",ROUNDUP(((G123*Ayarlar!$B$3+Ayarlar!$B$4+Ayarlar!$B$5)+Ayarlar!$B$8)/((1-Ayarlar!$B$6)*(1-Ayarlar!$B$7)),0))</f>
        <v/>
      </c>
      <c r="J123" s="14">
        <f>IF(G123="","",ROUNDUP(((G123*Ayarlar!$B$3+Ayarlar!$B$4+Ayarlar!$B$5)+Ayarlar!$B$8)/((1-Ayarlar!$B$6)*(1-Ayarlar!$B$7-Ayarlar!$B$9)),0))</f>
        <v/>
      </c>
      <c r="K123" s="15">
        <f>IF(OR(G123="",F123=""),"",(F123*(1-Ayarlar!$B$6)-(F123*(1-Ayarlar!$B$6)*Ayarlar!$B$7+Ayarlar!$B$8)-(G123*Ayarlar!$B$3+Ayarlar!$B$4+Ayarlar!$B$5))/(F123*(1-Ayarlar!$B$6)))</f>
        <v/>
      </c>
      <c r="L123" s="3">
        <f>IF(G123="","GRAM EKSİK",IF(F123&gt;30000,"FİYAT ŞÜPHELİ",IF(K123&lt;0,"ZARARDA",IF(F123&lt;I123,"RİSKLİ","ok"))))</f>
        <v/>
      </c>
      <c r="M123" s="16" t="inlineStr">
        <is>
          <t>https://www.etsy.com/listing/1849001180</t>
        </is>
      </c>
    </row>
    <row r="124">
      <c r="A124" s="9" t="inlineStr">
        <is>
          <t>chains</t>
        </is>
      </c>
      <c r="B124" s="9" t="inlineStr">
        <is>
          <t>10K Yellow Gold Figaro Link Chain / Polished Finish</t>
        </is>
      </c>
      <c r="C124" s="9" t="n">
        <v>1849001180</v>
      </c>
      <c r="D124" s="9" t="inlineStr">
        <is>
          <t>CFIG5-22</t>
        </is>
      </c>
      <c r="E124" s="9" t="inlineStr">
        <is>
          <t>description</t>
        </is>
      </c>
      <c r="F124" s="10" t="n">
        <v>1104</v>
      </c>
      <c r="G124" s="18" t="n">
        <v>9.27</v>
      </c>
      <c r="H124" s="10">
        <f>IF(G124="","",G124*Ayarlar!$B$3+Ayarlar!$B$4+Ayarlar!$B$5)</f>
        <v/>
      </c>
      <c r="I124" s="10">
        <f>IF(G124="","",ROUNDUP(((G124*Ayarlar!$B$3+Ayarlar!$B$4+Ayarlar!$B$5)+Ayarlar!$B$8)/((1-Ayarlar!$B$6)*(1-Ayarlar!$B$7)),0))</f>
        <v/>
      </c>
      <c r="J124" s="10">
        <f>IF(G124="","",ROUNDUP(((G124*Ayarlar!$B$3+Ayarlar!$B$4+Ayarlar!$B$5)+Ayarlar!$B$8)/((1-Ayarlar!$B$6)*(1-Ayarlar!$B$7-Ayarlar!$B$9)),0))</f>
        <v/>
      </c>
      <c r="K124" s="12">
        <f>IF(OR(G124="",F124=""),"",(F124*(1-Ayarlar!$B$6)-(F124*(1-Ayarlar!$B$6)*Ayarlar!$B$7+Ayarlar!$B$8)-(G124*Ayarlar!$B$3+Ayarlar!$B$4+Ayarlar!$B$5))/(F124*(1-Ayarlar!$B$6)))</f>
        <v/>
      </c>
      <c r="L124" s="9">
        <f>IF(G124="","GRAM EKSİK",IF(F124&gt;30000,"FİYAT ŞÜPHELİ",IF(K124&lt;0,"ZARARDA",IF(F124&lt;I124,"RİSKLİ","ok"))))</f>
        <v/>
      </c>
      <c r="M124" s="13" t="inlineStr">
        <is>
          <t>https://www.etsy.com/listing/1849001180</t>
        </is>
      </c>
    </row>
    <row r="125">
      <c r="A125" s="3" t="inlineStr">
        <is>
          <t>chains</t>
        </is>
      </c>
      <c r="B125" s="3" t="inlineStr">
        <is>
          <t>10K Yellow Gold Figaro Link Chain / Polished Finish</t>
        </is>
      </c>
      <c r="C125" s="3" t="n">
        <v>1849001180</v>
      </c>
      <c r="D125" s="3" t="inlineStr">
        <is>
          <t>CFIG5-24</t>
        </is>
      </c>
      <c r="E125" s="3" t="inlineStr">
        <is>
          <t>description</t>
        </is>
      </c>
      <c r="F125" s="14" t="n">
        <v>1171</v>
      </c>
      <c r="G125" s="17" t="n">
        <v>10.11</v>
      </c>
      <c r="H125" s="14">
        <f>IF(G125="","",G125*Ayarlar!$B$3+Ayarlar!$B$4+Ayarlar!$B$5)</f>
        <v/>
      </c>
      <c r="I125" s="14">
        <f>IF(G125="","",ROUNDUP(((G125*Ayarlar!$B$3+Ayarlar!$B$4+Ayarlar!$B$5)+Ayarlar!$B$8)/((1-Ayarlar!$B$6)*(1-Ayarlar!$B$7)),0))</f>
        <v/>
      </c>
      <c r="J125" s="14">
        <f>IF(G125="","",ROUNDUP(((G125*Ayarlar!$B$3+Ayarlar!$B$4+Ayarlar!$B$5)+Ayarlar!$B$8)/((1-Ayarlar!$B$6)*(1-Ayarlar!$B$7-Ayarlar!$B$9)),0))</f>
        <v/>
      </c>
      <c r="K125" s="15">
        <f>IF(OR(G125="",F125=""),"",(F125*(1-Ayarlar!$B$6)-(F125*(1-Ayarlar!$B$6)*Ayarlar!$B$7+Ayarlar!$B$8)-(G125*Ayarlar!$B$3+Ayarlar!$B$4+Ayarlar!$B$5))/(F125*(1-Ayarlar!$B$6)))</f>
        <v/>
      </c>
      <c r="L125" s="3">
        <f>IF(G125="","GRAM EKSİK",IF(F125&gt;30000,"FİYAT ŞÜPHELİ",IF(K125&lt;0,"ZARARDA",IF(F125&lt;I125,"RİSKLİ","ok"))))</f>
        <v/>
      </c>
      <c r="M125" s="16" t="inlineStr">
        <is>
          <t>https://www.etsy.com/listing/1849001180</t>
        </is>
      </c>
    </row>
    <row r="126">
      <c r="A126" s="9" t="inlineStr">
        <is>
          <t>chains</t>
        </is>
      </c>
      <c r="B126" s="9" t="inlineStr">
        <is>
          <t>10K Yellow Gold Figaro Link Chain / Polished Finish</t>
        </is>
      </c>
      <c r="C126" s="9" t="n">
        <v>1849001180</v>
      </c>
      <c r="D126" s="9" t="inlineStr">
        <is>
          <t>CFIG6-16</t>
        </is>
      </c>
      <c r="E126" s="9" t="inlineStr">
        <is>
          <t>description</t>
        </is>
      </c>
      <c r="F126" s="10" t="n">
        <v>1656</v>
      </c>
      <c r="G126" s="18" t="n">
        <v>15.89</v>
      </c>
      <c r="H126" s="10">
        <f>IF(G126="","",G126*Ayarlar!$B$3+Ayarlar!$B$4+Ayarlar!$B$5)</f>
        <v/>
      </c>
      <c r="I126" s="10">
        <f>IF(G126="","",ROUNDUP(((G126*Ayarlar!$B$3+Ayarlar!$B$4+Ayarlar!$B$5)+Ayarlar!$B$8)/((1-Ayarlar!$B$6)*(1-Ayarlar!$B$7)),0))</f>
        <v/>
      </c>
      <c r="J126" s="10">
        <f>IF(G126="","",ROUNDUP(((G126*Ayarlar!$B$3+Ayarlar!$B$4+Ayarlar!$B$5)+Ayarlar!$B$8)/((1-Ayarlar!$B$6)*(1-Ayarlar!$B$7-Ayarlar!$B$9)),0))</f>
        <v/>
      </c>
      <c r="K126" s="12">
        <f>IF(OR(G126="",F126=""),"",(F126*(1-Ayarlar!$B$6)-(F126*(1-Ayarlar!$B$6)*Ayarlar!$B$7+Ayarlar!$B$8)-(G126*Ayarlar!$B$3+Ayarlar!$B$4+Ayarlar!$B$5))/(F126*(1-Ayarlar!$B$6)))</f>
        <v/>
      </c>
      <c r="L126" s="9">
        <f>IF(G126="","GRAM EKSİK",IF(F126&gt;30000,"FİYAT ŞÜPHELİ",IF(K126&lt;0,"ZARARDA",IF(F126&lt;I126,"RİSKLİ","ok"))))</f>
        <v/>
      </c>
      <c r="M126" s="13" t="inlineStr">
        <is>
          <t>https://www.etsy.com/listing/1849001180</t>
        </is>
      </c>
    </row>
    <row r="127">
      <c r="A127" s="3" t="inlineStr">
        <is>
          <t>chains</t>
        </is>
      </c>
      <c r="B127" s="3" t="inlineStr">
        <is>
          <t>10K Yellow Gold Figaro Link Chain / Polished Finish</t>
        </is>
      </c>
      <c r="C127" s="3" t="n">
        <v>1849001180</v>
      </c>
      <c r="D127" s="3" t="inlineStr">
        <is>
          <t>CFIG6-18</t>
        </is>
      </c>
      <c r="E127" s="3" t="inlineStr">
        <is>
          <t>description</t>
        </is>
      </c>
      <c r="F127" s="14" t="n">
        <v>1897</v>
      </c>
      <c r="G127" s="17" t="n">
        <v>17.88</v>
      </c>
      <c r="H127" s="14">
        <f>IF(G127="","",G127*Ayarlar!$B$3+Ayarlar!$B$4+Ayarlar!$B$5)</f>
        <v/>
      </c>
      <c r="I127" s="14">
        <f>IF(G127="","",ROUNDUP(((G127*Ayarlar!$B$3+Ayarlar!$B$4+Ayarlar!$B$5)+Ayarlar!$B$8)/((1-Ayarlar!$B$6)*(1-Ayarlar!$B$7)),0))</f>
        <v/>
      </c>
      <c r="J127" s="14">
        <f>IF(G127="","",ROUNDUP(((G127*Ayarlar!$B$3+Ayarlar!$B$4+Ayarlar!$B$5)+Ayarlar!$B$8)/((1-Ayarlar!$B$6)*(1-Ayarlar!$B$7-Ayarlar!$B$9)),0))</f>
        <v/>
      </c>
      <c r="K127" s="15">
        <f>IF(OR(G127="",F127=""),"",(F127*(1-Ayarlar!$B$6)-(F127*(1-Ayarlar!$B$6)*Ayarlar!$B$7+Ayarlar!$B$8)-(G127*Ayarlar!$B$3+Ayarlar!$B$4+Ayarlar!$B$5))/(F127*(1-Ayarlar!$B$6)))</f>
        <v/>
      </c>
      <c r="L127" s="3">
        <f>IF(G127="","GRAM EKSİK",IF(F127&gt;30000,"FİYAT ŞÜPHELİ",IF(K127&lt;0,"ZARARDA",IF(F127&lt;I127,"RİSKLİ","ok"))))</f>
        <v/>
      </c>
      <c r="M127" s="16" t="inlineStr">
        <is>
          <t>https://www.etsy.com/listing/1849001180</t>
        </is>
      </c>
    </row>
    <row r="128">
      <c r="A128" s="9" t="inlineStr">
        <is>
          <t>chains</t>
        </is>
      </c>
      <c r="B128" s="9" t="inlineStr">
        <is>
          <t>10K Yellow Gold Figaro Link Chain / Polished Finish</t>
        </is>
      </c>
      <c r="C128" s="9" t="n">
        <v>1849001180</v>
      </c>
      <c r="D128" s="9" t="inlineStr">
        <is>
          <t>CFIG6-20</t>
        </is>
      </c>
      <c r="E128" s="9" t="inlineStr">
        <is>
          <t>description</t>
        </is>
      </c>
      <c r="F128" s="10" t="n">
        <v>2079</v>
      </c>
      <c r="G128" s="18" t="n">
        <v>19.87</v>
      </c>
      <c r="H128" s="10">
        <f>IF(G128="","",G128*Ayarlar!$B$3+Ayarlar!$B$4+Ayarlar!$B$5)</f>
        <v/>
      </c>
      <c r="I128" s="10">
        <f>IF(G128="","",ROUNDUP(((G128*Ayarlar!$B$3+Ayarlar!$B$4+Ayarlar!$B$5)+Ayarlar!$B$8)/((1-Ayarlar!$B$6)*(1-Ayarlar!$B$7)),0))</f>
        <v/>
      </c>
      <c r="J128" s="10">
        <f>IF(G128="","",ROUNDUP(((G128*Ayarlar!$B$3+Ayarlar!$B$4+Ayarlar!$B$5)+Ayarlar!$B$8)/((1-Ayarlar!$B$6)*(1-Ayarlar!$B$7-Ayarlar!$B$9)),0))</f>
        <v/>
      </c>
      <c r="K128" s="12">
        <f>IF(OR(G128="",F128=""),"",(F128*(1-Ayarlar!$B$6)-(F128*(1-Ayarlar!$B$6)*Ayarlar!$B$7+Ayarlar!$B$8)-(G128*Ayarlar!$B$3+Ayarlar!$B$4+Ayarlar!$B$5))/(F128*(1-Ayarlar!$B$6)))</f>
        <v/>
      </c>
      <c r="L128" s="9">
        <f>IF(G128="","GRAM EKSİK",IF(F128&gt;30000,"FİYAT ŞÜPHELİ",IF(K128&lt;0,"ZARARDA",IF(F128&lt;I128,"RİSKLİ","ok"))))</f>
        <v/>
      </c>
      <c r="M128" s="13" t="inlineStr">
        <is>
          <t>https://www.etsy.com/listing/1849001180</t>
        </is>
      </c>
    </row>
    <row r="129">
      <c r="A129" s="3" t="inlineStr">
        <is>
          <t>chains</t>
        </is>
      </c>
      <c r="B129" s="3" t="inlineStr">
        <is>
          <t>10K Yellow Gold Figaro Link Chain / Polished Finish</t>
        </is>
      </c>
      <c r="C129" s="3" t="n">
        <v>1849001180</v>
      </c>
      <c r="D129" s="3" t="inlineStr">
        <is>
          <t>CFIG6-22</t>
        </is>
      </c>
      <c r="E129" s="3" t="inlineStr">
        <is>
          <t>description</t>
        </is>
      </c>
      <c r="F129" s="14" t="n">
        <v>2321</v>
      </c>
      <c r="G129" s="17" t="n">
        <v>21.85</v>
      </c>
      <c r="H129" s="14">
        <f>IF(G129="","",G129*Ayarlar!$B$3+Ayarlar!$B$4+Ayarlar!$B$5)</f>
        <v/>
      </c>
      <c r="I129" s="14">
        <f>IF(G129="","",ROUNDUP(((G129*Ayarlar!$B$3+Ayarlar!$B$4+Ayarlar!$B$5)+Ayarlar!$B$8)/((1-Ayarlar!$B$6)*(1-Ayarlar!$B$7)),0))</f>
        <v/>
      </c>
      <c r="J129" s="14">
        <f>IF(G129="","",ROUNDUP(((G129*Ayarlar!$B$3+Ayarlar!$B$4+Ayarlar!$B$5)+Ayarlar!$B$8)/((1-Ayarlar!$B$6)*(1-Ayarlar!$B$7-Ayarlar!$B$9)),0))</f>
        <v/>
      </c>
      <c r="K129" s="15">
        <f>IF(OR(G129="",F129=""),"",(F129*(1-Ayarlar!$B$6)-(F129*(1-Ayarlar!$B$6)*Ayarlar!$B$7+Ayarlar!$B$8)-(G129*Ayarlar!$B$3+Ayarlar!$B$4+Ayarlar!$B$5))/(F129*(1-Ayarlar!$B$6)))</f>
        <v/>
      </c>
      <c r="L129" s="3">
        <f>IF(G129="","GRAM EKSİK",IF(F129&gt;30000,"FİYAT ŞÜPHELİ",IF(K129&lt;0,"ZARARDA",IF(F129&lt;I129,"RİSKLİ","ok"))))</f>
        <v/>
      </c>
      <c r="M129" s="16" t="inlineStr">
        <is>
          <t>https://www.etsy.com/listing/1849001180</t>
        </is>
      </c>
    </row>
    <row r="130">
      <c r="A130" s="9" t="inlineStr">
        <is>
          <t>chains</t>
        </is>
      </c>
      <c r="B130" s="9" t="inlineStr">
        <is>
          <t>10K Yellow Gold Figaro Link Chain / Polished Finish</t>
        </is>
      </c>
      <c r="C130" s="9" t="n">
        <v>1849001180</v>
      </c>
      <c r="D130" s="9" t="inlineStr">
        <is>
          <t>CFIG6-24</t>
        </is>
      </c>
      <c r="E130" s="9" t="inlineStr">
        <is>
          <t>description</t>
        </is>
      </c>
      <c r="F130" s="10" t="n">
        <v>2561</v>
      </c>
      <c r="G130" s="18" t="n">
        <v>23.84</v>
      </c>
      <c r="H130" s="10">
        <f>IF(G130="","",G130*Ayarlar!$B$3+Ayarlar!$B$4+Ayarlar!$B$5)</f>
        <v/>
      </c>
      <c r="I130" s="10">
        <f>IF(G130="","",ROUNDUP(((G130*Ayarlar!$B$3+Ayarlar!$B$4+Ayarlar!$B$5)+Ayarlar!$B$8)/((1-Ayarlar!$B$6)*(1-Ayarlar!$B$7)),0))</f>
        <v/>
      </c>
      <c r="J130" s="10">
        <f>IF(G130="","",ROUNDUP(((G130*Ayarlar!$B$3+Ayarlar!$B$4+Ayarlar!$B$5)+Ayarlar!$B$8)/((1-Ayarlar!$B$6)*(1-Ayarlar!$B$7-Ayarlar!$B$9)),0))</f>
        <v/>
      </c>
      <c r="K130" s="12">
        <f>IF(OR(G130="",F130=""),"",(F130*(1-Ayarlar!$B$6)-(F130*(1-Ayarlar!$B$6)*Ayarlar!$B$7+Ayarlar!$B$8)-(G130*Ayarlar!$B$3+Ayarlar!$B$4+Ayarlar!$B$5))/(F130*(1-Ayarlar!$B$6)))</f>
        <v/>
      </c>
      <c r="L130" s="9">
        <f>IF(G130="","GRAM EKSİK",IF(F130&gt;30000,"FİYAT ŞÜPHELİ",IF(K130&lt;0,"ZARARDA",IF(F130&lt;I130,"RİSKLİ","ok"))))</f>
        <v/>
      </c>
      <c r="M130" s="13" t="inlineStr">
        <is>
          <t>https://www.etsy.com/listing/1849001180</t>
        </is>
      </c>
    </row>
    <row r="131">
      <c r="A131" s="3" t="inlineStr">
        <is>
          <t>chains</t>
        </is>
      </c>
      <c r="B131" s="3" t="inlineStr">
        <is>
          <t>14K Gold Bracelet, Round Box Chain Design in Yellow</t>
        </is>
      </c>
      <c r="C131" s="3" t="n">
        <v>1863553142</v>
      </c>
      <c r="D131" s="3" t="inlineStr">
        <is>
          <t>BWRD1F-7</t>
        </is>
      </c>
      <c r="E131" s="3" t="inlineStr">
        <is>
          <t>manual</t>
        </is>
      </c>
      <c r="F131" s="14" t="n">
        <v>196</v>
      </c>
      <c r="G131" s="17" t="n">
        <v>1.19</v>
      </c>
      <c r="H131" s="14">
        <f>IF(G131="","",G131*Ayarlar!$B$3+Ayarlar!$B$4+Ayarlar!$B$5)</f>
        <v/>
      </c>
      <c r="I131" s="14">
        <f>IF(G131="","",ROUNDUP(((G131*Ayarlar!$B$3+Ayarlar!$B$4+Ayarlar!$B$5)+Ayarlar!$B$8)/((1-Ayarlar!$B$6)*(1-Ayarlar!$B$7)),0))</f>
        <v/>
      </c>
      <c r="J131" s="14">
        <f>IF(G131="","",ROUNDUP(((G131*Ayarlar!$B$3+Ayarlar!$B$4+Ayarlar!$B$5)+Ayarlar!$B$8)/((1-Ayarlar!$B$6)*(1-Ayarlar!$B$7-Ayarlar!$B$9)),0))</f>
        <v/>
      </c>
      <c r="K131" s="15">
        <f>IF(OR(G131="",F131=""),"",(F131*(1-Ayarlar!$B$6)-(F131*(1-Ayarlar!$B$6)*Ayarlar!$B$7+Ayarlar!$B$8)-(G131*Ayarlar!$B$3+Ayarlar!$B$4+Ayarlar!$B$5))/(F131*(1-Ayarlar!$B$6)))</f>
        <v/>
      </c>
      <c r="L131" s="3">
        <f>IF(G131="","GRAM EKSİK",IF(F131&gt;30000,"FİYAT ŞÜPHELİ",IF(K131&lt;0,"ZARARDA",IF(F131&lt;I131,"RİSKLİ","ok"))))</f>
        <v/>
      </c>
      <c r="M131" s="16" t="inlineStr">
        <is>
          <t>https://www.etsy.com/listing/1863553142</t>
        </is>
      </c>
    </row>
    <row r="132">
      <c r="A132" s="9" t="inlineStr">
        <is>
          <t>chains</t>
        </is>
      </c>
      <c r="B132" s="9" t="inlineStr">
        <is>
          <t>14K Gold Bracelet, Round Box Chain Design in Yellow</t>
        </is>
      </c>
      <c r="C132" s="9" t="n">
        <v>1863553142</v>
      </c>
      <c r="D132" s="9" t="inlineStr">
        <is>
          <t>BWRD1F-7.5</t>
        </is>
      </c>
      <c r="E132" s="9" t="inlineStr">
        <is>
          <t>manual</t>
        </is>
      </c>
      <c r="F132" s="10" t="n">
        <v>209</v>
      </c>
      <c r="G132" s="18" t="n">
        <v>1.27</v>
      </c>
      <c r="H132" s="10">
        <f>IF(G132="","",G132*Ayarlar!$B$3+Ayarlar!$B$4+Ayarlar!$B$5)</f>
        <v/>
      </c>
      <c r="I132" s="10">
        <f>IF(G132="","",ROUNDUP(((G132*Ayarlar!$B$3+Ayarlar!$B$4+Ayarlar!$B$5)+Ayarlar!$B$8)/((1-Ayarlar!$B$6)*(1-Ayarlar!$B$7)),0))</f>
        <v/>
      </c>
      <c r="J132" s="10">
        <f>IF(G132="","",ROUNDUP(((G132*Ayarlar!$B$3+Ayarlar!$B$4+Ayarlar!$B$5)+Ayarlar!$B$8)/((1-Ayarlar!$B$6)*(1-Ayarlar!$B$7-Ayarlar!$B$9)),0))</f>
        <v/>
      </c>
      <c r="K132" s="12">
        <f>IF(OR(G132="",F132=""),"",(F132*(1-Ayarlar!$B$6)-(F132*(1-Ayarlar!$B$6)*Ayarlar!$B$7+Ayarlar!$B$8)-(G132*Ayarlar!$B$3+Ayarlar!$B$4+Ayarlar!$B$5))/(F132*(1-Ayarlar!$B$6)))</f>
        <v/>
      </c>
      <c r="L132" s="9">
        <f>IF(G132="","GRAM EKSİK",IF(F132&gt;30000,"FİYAT ŞÜPHELİ",IF(K132&lt;0,"ZARARDA",IF(F132&lt;I132,"RİSKLİ","ok"))))</f>
        <v/>
      </c>
      <c r="M132" s="13" t="inlineStr">
        <is>
          <t>https://www.etsy.com/listing/1863553142</t>
        </is>
      </c>
    </row>
    <row r="133">
      <c r="A133" s="3" t="inlineStr">
        <is>
          <t>chains</t>
        </is>
      </c>
      <c r="B133" s="3" t="inlineStr">
        <is>
          <t>14K Gold Bracelet, Round Box Chain Design in Yellow</t>
        </is>
      </c>
      <c r="C133" s="3" t="n">
        <v>1863553142</v>
      </c>
      <c r="D133" s="3" t="inlineStr">
        <is>
          <t>BWRD1F-8</t>
        </is>
      </c>
      <c r="E133" s="3" t="inlineStr">
        <is>
          <t>manual</t>
        </is>
      </c>
      <c r="F133" s="14" t="n">
        <v>224</v>
      </c>
      <c r="G133" s="17" t="n">
        <v>1.4</v>
      </c>
      <c r="H133" s="14">
        <f>IF(G133="","",G133*Ayarlar!$B$3+Ayarlar!$B$4+Ayarlar!$B$5)</f>
        <v/>
      </c>
      <c r="I133" s="14">
        <f>IF(G133="","",ROUNDUP(((G133*Ayarlar!$B$3+Ayarlar!$B$4+Ayarlar!$B$5)+Ayarlar!$B$8)/((1-Ayarlar!$B$6)*(1-Ayarlar!$B$7)),0))</f>
        <v/>
      </c>
      <c r="J133" s="14">
        <f>IF(G133="","",ROUNDUP(((G133*Ayarlar!$B$3+Ayarlar!$B$4+Ayarlar!$B$5)+Ayarlar!$B$8)/((1-Ayarlar!$B$6)*(1-Ayarlar!$B$7-Ayarlar!$B$9)),0))</f>
        <v/>
      </c>
      <c r="K133" s="15">
        <f>IF(OR(G133="",F133=""),"",(F133*(1-Ayarlar!$B$6)-(F133*(1-Ayarlar!$B$6)*Ayarlar!$B$7+Ayarlar!$B$8)-(G133*Ayarlar!$B$3+Ayarlar!$B$4+Ayarlar!$B$5))/(F133*(1-Ayarlar!$B$6)))</f>
        <v/>
      </c>
      <c r="L133" s="3">
        <f>IF(G133="","GRAM EKSİK",IF(F133&gt;30000,"FİYAT ŞÜPHELİ",IF(K133&lt;0,"ZARARDA",IF(F133&lt;I133,"RİSKLİ","ok"))))</f>
        <v/>
      </c>
      <c r="M133" s="16" t="inlineStr">
        <is>
          <t>https://www.etsy.com/listing/1863553142</t>
        </is>
      </c>
    </row>
    <row r="134">
      <c r="A134" s="9" t="inlineStr">
        <is>
          <t>chains</t>
        </is>
      </c>
      <c r="B134" s="9" t="inlineStr">
        <is>
          <t>14K Gold Bracelet, Round Box Chain Design in Yellow</t>
        </is>
      </c>
      <c r="C134" s="9" t="n">
        <v>1863553142</v>
      </c>
      <c r="D134" s="9" t="inlineStr">
        <is>
          <t>BWRD2-7</t>
        </is>
      </c>
      <c r="E134" s="9" t="inlineStr">
        <is>
          <t>manual</t>
        </is>
      </c>
      <c r="F134" s="10" t="n">
        <v>269</v>
      </c>
      <c r="G134" s="18" t="n">
        <v>1.66</v>
      </c>
      <c r="H134" s="10">
        <f>IF(G134="","",G134*Ayarlar!$B$3+Ayarlar!$B$4+Ayarlar!$B$5)</f>
        <v/>
      </c>
      <c r="I134" s="10">
        <f>IF(G134="","",ROUNDUP(((G134*Ayarlar!$B$3+Ayarlar!$B$4+Ayarlar!$B$5)+Ayarlar!$B$8)/((1-Ayarlar!$B$6)*(1-Ayarlar!$B$7)),0))</f>
        <v/>
      </c>
      <c r="J134" s="10">
        <f>IF(G134="","",ROUNDUP(((G134*Ayarlar!$B$3+Ayarlar!$B$4+Ayarlar!$B$5)+Ayarlar!$B$8)/((1-Ayarlar!$B$6)*(1-Ayarlar!$B$7-Ayarlar!$B$9)),0))</f>
        <v/>
      </c>
      <c r="K134" s="12">
        <f>IF(OR(G134="",F134=""),"",(F134*(1-Ayarlar!$B$6)-(F134*(1-Ayarlar!$B$6)*Ayarlar!$B$7+Ayarlar!$B$8)-(G134*Ayarlar!$B$3+Ayarlar!$B$4+Ayarlar!$B$5))/(F134*(1-Ayarlar!$B$6)))</f>
        <v/>
      </c>
      <c r="L134" s="9">
        <f>IF(G134="","GRAM EKSİK",IF(F134&gt;30000,"FİYAT ŞÜPHELİ",IF(K134&lt;0,"ZARARDA",IF(F134&lt;I134,"RİSKLİ","ok"))))</f>
        <v/>
      </c>
      <c r="M134" s="13" t="inlineStr">
        <is>
          <t>https://www.etsy.com/listing/1863553142</t>
        </is>
      </c>
    </row>
    <row r="135">
      <c r="A135" s="3" t="inlineStr">
        <is>
          <t>chains</t>
        </is>
      </c>
      <c r="B135" s="3" t="inlineStr">
        <is>
          <t>14K Gold Bracelet, Round Box Chain Design in Yellow</t>
        </is>
      </c>
      <c r="C135" s="3" t="n">
        <v>1863553142</v>
      </c>
      <c r="D135" s="3" t="inlineStr">
        <is>
          <t>BWRD2-7.5</t>
        </is>
      </c>
      <c r="E135" s="3" t="inlineStr">
        <is>
          <t>manual</t>
        </is>
      </c>
      <c r="F135" s="14" t="n">
        <v>295</v>
      </c>
      <c r="G135" s="17" t="n">
        <v>1.7</v>
      </c>
      <c r="H135" s="14">
        <f>IF(G135="","",G135*Ayarlar!$B$3+Ayarlar!$B$4+Ayarlar!$B$5)</f>
        <v/>
      </c>
      <c r="I135" s="14">
        <f>IF(G135="","",ROUNDUP(((G135*Ayarlar!$B$3+Ayarlar!$B$4+Ayarlar!$B$5)+Ayarlar!$B$8)/((1-Ayarlar!$B$6)*(1-Ayarlar!$B$7)),0))</f>
        <v/>
      </c>
      <c r="J135" s="14">
        <f>IF(G135="","",ROUNDUP(((G135*Ayarlar!$B$3+Ayarlar!$B$4+Ayarlar!$B$5)+Ayarlar!$B$8)/((1-Ayarlar!$B$6)*(1-Ayarlar!$B$7-Ayarlar!$B$9)),0))</f>
        <v/>
      </c>
      <c r="K135" s="15">
        <f>IF(OR(G135="",F135=""),"",(F135*(1-Ayarlar!$B$6)-(F135*(1-Ayarlar!$B$6)*Ayarlar!$B$7+Ayarlar!$B$8)-(G135*Ayarlar!$B$3+Ayarlar!$B$4+Ayarlar!$B$5))/(F135*(1-Ayarlar!$B$6)))</f>
        <v/>
      </c>
      <c r="L135" s="3">
        <f>IF(G135="","GRAM EKSİK",IF(F135&gt;30000,"FİYAT ŞÜPHELİ",IF(K135&lt;0,"ZARARDA",IF(F135&lt;I135,"RİSKLİ","ok"))))</f>
        <v/>
      </c>
      <c r="M135" s="16" t="inlineStr">
        <is>
          <t>https://www.etsy.com/listing/1863553142</t>
        </is>
      </c>
    </row>
    <row r="136">
      <c r="A136" s="9" t="inlineStr">
        <is>
          <t>chains</t>
        </is>
      </c>
      <c r="B136" s="9" t="inlineStr">
        <is>
          <t>14K Gold Bracelet, Round Box Chain Design in Yellow</t>
        </is>
      </c>
      <c r="C136" s="9" t="n">
        <v>1863553142</v>
      </c>
      <c r="D136" s="9" t="inlineStr">
        <is>
          <t>BWRD2-8</t>
        </is>
      </c>
      <c r="E136" s="9" t="inlineStr">
        <is>
          <t>manual</t>
        </is>
      </c>
      <c r="F136" s="10" t="n">
        <v>312</v>
      </c>
      <c r="G136" s="18" t="n">
        <v>1.89</v>
      </c>
      <c r="H136" s="10">
        <f>IF(G136="","",G136*Ayarlar!$B$3+Ayarlar!$B$4+Ayarlar!$B$5)</f>
        <v/>
      </c>
      <c r="I136" s="10">
        <f>IF(G136="","",ROUNDUP(((G136*Ayarlar!$B$3+Ayarlar!$B$4+Ayarlar!$B$5)+Ayarlar!$B$8)/((1-Ayarlar!$B$6)*(1-Ayarlar!$B$7)),0))</f>
        <v/>
      </c>
      <c r="J136" s="10">
        <f>IF(G136="","",ROUNDUP(((G136*Ayarlar!$B$3+Ayarlar!$B$4+Ayarlar!$B$5)+Ayarlar!$B$8)/((1-Ayarlar!$B$6)*(1-Ayarlar!$B$7-Ayarlar!$B$9)),0))</f>
        <v/>
      </c>
      <c r="K136" s="12">
        <f>IF(OR(G136="",F136=""),"",(F136*(1-Ayarlar!$B$6)-(F136*(1-Ayarlar!$B$6)*Ayarlar!$B$7+Ayarlar!$B$8)-(G136*Ayarlar!$B$3+Ayarlar!$B$4+Ayarlar!$B$5))/(F136*(1-Ayarlar!$B$6)))</f>
        <v/>
      </c>
      <c r="L136" s="9">
        <f>IF(G136="","GRAM EKSİK",IF(F136&gt;30000,"FİYAT ŞÜPHELİ",IF(K136&lt;0,"ZARARDA",IF(F136&lt;I136,"RİSKLİ","ok"))))</f>
        <v/>
      </c>
      <c r="M136" s="13" t="inlineStr">
        <is>
          <t>https://www.etsy.com/listing/1863553142</t>
        </is>
      </c>
    </row>
    <row r="137">
      <c r="A137" s="3" t="inlineStr">
        <is>
          <t>chains</t>
        </is>
      </c>
      <c r="B137" s="3" t="inlineStr">
        <is>
          <t>14K Gold Bracelet, Round Box Chain Design in Yellow</t>
        </is>
      </c>
      <c r="C137" s="3" t="n">
        <v>1863553142</v>
      </c>
      <c r="D137" s="3" t="inlineStr">
        <is>
          <t>BWRD3F-7</t>
        </is>
      </c>
      <c r="E137" s="3" t="inlineStr">
        <is>
          <t>manual</t>
        </is>
      </c>
      <c r="F137" s="14" t="n">
        <v>413</v>
      </c>
      <c r="G137" s="17" t="n">
        <v>2.77</v>
      </c>
      <c r="H137" s="14">
        <f>IF(G137="","",G137*Ayarlar!$B$3+Ayarlar!$B$4+Ayarlar!$B$5)</f>
        <v/>
      </c>
      <c r="I137" s="14">
        <f>IF(G137="","",ROUNDUP(((G137*Ayarlar!$B$3+Ayarlar!$B$4+Ayarlar!$B$5)+Ayarlar!$B$8)/((1-Ayarlar!$B$6)*(1-Ayarlar!$B$7)),0))</f>
        <v/>
      </c>
      <c r="J137" s="14">
        <f>IF(G137="","",ROUNDUP(((G137*Ayarlar!$B$3+Ayarlar!$B$4+Ayarlar!$B$5)+Ayarlar!$B$8)/((1-Ayarlar!$B$6)*(1-Ayarlar!$B$7-Ayarlar!$B$9)),0))</f>
        <v/>
      </c>
      <c r="K137" s="15">
        <f>IF(OR(G137="",F137=""),"",(F137*(1-Ayarlar!$B$6)-(F137*(1-Ayarlar!$B$6)*Ayarlar!$B$7+Ayarlar!$B$8)-(G137*Ayarlar!$B$3+Ayarlar!$B$4+Ayarlar!$B$5))/(F137*(1-Ayarlar!$B$6)))</f>
        <v/>
      </c>
      <c r="L137" s="3">
        <f>IF(G137="","GRAM EKSİK",IF(F137&gt;30000,"FİYAT ŞÜPHELİ",IF(K137&lt;0,"ZARARDA",IF(F137&lt;I137,"RİSKLİ","ok"))))</f>
        <v/>
      </c>
      <c r="M137" s="16" t="inlineStr">
        <is>
          <t>https://www.etsy.com/listing/1863553142</t>
        </is>
      </c>
    </row>
    <row r="138">
      <c r="A138" s="9" t="inlineStr">
        <is>
          <t>chains</t>
        </is>
      </c>
      <c r="B138" s="9" t="inlineStr">
        <is>
          <t>14K Gold Bracelet, Round Box Chain Design in Yellow</t>
        </is>
      </c>
      <c r="C138" s="9" t="n">
        <v>1863553142</v>
      </c>
      <c r="D138" s="9" t="inlineStr">
        <is>
          <t>BWRD3F-7.5</t>
        </is>
      </c>
      <c r="E138" s="9" t="inlineStr">
        <is>
          <t>manual</t>
        </is>
      </c>
      <c r="F138" s="10" t="n">
        <v>448</v>
      </c>
      <c r="G138" s="18" t="n">
        <v>2.77</v>
      </c>
      <c r="H138" s="10">
        <f>IF(G138="","",G138*Ayarlar!$B$3+Ayarlar!$B$4+Ayarlar!$B$5)</f>
        <v/>
      </c>
      <c r="I138" s="10">
        <f>IF(G138="","",ROUNDUP(((G138*Ayarlar!$B$3+Ayarlar!$B$4+Ayarlar!$B$5)+Ayarlar!$B$8)/((1-Ayarlar!$B$6)*(1-Ayarlar!$B$7)),0))</f>
        <v/>
      </c>
      <c r="J138" s="10">
        <f>IF(G138="","",ROUNDUP(((G138*Ayarlar!$B$3+Ayarlar!$B$4+Ayarlar!$B$5)+Ayarlar!$B$8)/((1-Ayarlar!$B$6)*(1-Ayarlar!$B$7-Ayarlar!$B$9)),0))</f>
        <v/>
      </c>
      <c r="K138" s="12">
        <f>IF(OR(G138="",F138=""),"",(F138*(1-Ayarlar!$B$6)-(F138*(1-Ayarlar!$B$6)*Ayarlar!$B$7+Ayarlar!$B$8)-(G138*Ayarlar!$B$3+Ayarlar!$B$4+Ayarlar!$B$5))/(F138*(1-Ayarlar!$B$6)))</f>
        <v/>
      </c>
      <c r="L138" s="9">
        <f>IF(G138="","GRAM EKSİK",IF(F138&gt;30000,"FİYAT ŞÜPHELİ",IF(K138&lt;0,"ZARARDA",IF(F138&lt;I138,"RİSKLİ","ok"))))</f>
        <v/>
      </c>
      <c r="M138" s="13" t="inlineStr">
        <is>
          <t>https://www.etsy.com/listing/1863553142</t>
        </is>
      </c>
    </row>
    <row r="139">
      <c r="A139" s="3" t="inlineStr">
        <is>
          <t>chains</t>
        </is>
      </c>
      <c r="B139" s="3" t="inlineStr">
        <is>
          <t>14K Gold Bracelet, Round Box Chain Design in Yellow</t>
        </is>
      </c>
      <c r="C139" s="3" t="n">
        <v>1863553142</v>
      </c>
      <c r="D139" s="3" t="inlineStr">
        <is>
          <t>BWRD3F-8</t>
        </is>
      </c>
      <c r="E139" s="3" t="inlineStr">
        <is>
          <t>manual</t>
        </is>
      </c>
      <c r="F139" s="14" t="n">
        <v>483</v>
      </c>
      <c r="G139" s="17" t="n">
        <v>2.96</v>
      </c>
      <c r="H139" s="14">
        <f>IF(G139="","",G139*Ayarlar!$B$3+Ayarlar!$B$4+Ayarlar!$B$5)</f>
        <v/>
      </c>
      <c r="I139" s="14">
        <f>IF(G139="","",ROUNDUP(((G139*Ayarlar!$B$3+Ayarlar!$B$4+Ayarlar!$B$5)+Ayarlar!$B$8)/((1-Ayarlar!$B$6)*(1-Ayarlar!$B$7)),0))</f>
        <v/>
      </c>
      <c r="J139" s="14">
        <f>IF(G139="","",ROUNDUP(((G139*Ayarlar!$B$3+Ayarlar!$B$4+Ayarlar!$B$5)+Ayarlar!$B$8)/((1-Ayarlar!$B$6)*(1-Ayarlar!$B$7-Ayarlar!$B$9)),0))</f>
        <v/>
      </c>
      <c r="K139" s="15">
        <f>IF(OR(G139="",F139=""),"",(F139*(1-Ayarlar!$B$6)-(F139*(1-Ayarlar!$B$6)*Ayarlar!$B$7+Ayarlar!$B$8)-(G139*Ayarlar!$B$3+Ayarlar!$B$4+Ayarlar!$B$5))/(F139*(1-Ayarlar!$B$6)))</f>
        <v/>
      </c>
      <c r="L139" s="3">
        <f>IF(G139="","GRAM EKSİK",IF(F139&gt;30000,"FİYAT ŞÜPHELİ",IF(K139&lt;0,"ZARARDA",IF(F139&lt;I139,"RİSKLİ","ok"))))</f>
        <v/>
      </c>
      <c r="M139" s="16" t="inlineStr">
        <is>
          <t>https://www.etsy.com/listing/1863553142</t>
        </is>
      </c>
    </row>
    <row r="140">
      <c r="A140" s="9" t="inlineStr">
        <is>
          <t>chains</t>
        </is>
      </c>
      <c r="B140" s="9" t="inlineStr">
        <is>
          <t>14K Gold Bracelet, Round Box Chain Design in Yellow</t>
        </is>
      </c>
      <c r="C140" s="9" t="n">
        <v>1863553142</v>
      </c>
      <c r="D140" s="9" t="inlineStr">
        <is>
          <t>BWRD4F-7</t>
        </is>
      </c>
      <c r="E140" s="9" t="inlineStr">
        <is>
          <t>manual</t>
        </is>
      </c>
      <c r="F140" s="10" t="n">
        <v>859</v>
      </c>
      <c r="G140" s="18" t="n">
        <v>5.32</v>
      </c>
      <c r="H140" s="10">
        <f>IF(G140="","",G140*Ayarlar!$B$3+Ayarlar!$B$4+Ayarlar!$B$5)</f>
        <v/>
      </c>
      <c r="I140" s="10">
        <f>IF(G140="","",ROUNDUP(((G140*Ayarlar!$B$3+Ayarlar!$B$4+Ayarlar!$B$5)+Ayarlar!$B$8)/((1-Ayarlar!$B$6)*(1-Ayarlar!$B$7)),0))</f>
        <v/>
      </c>
      <c r="J140" s="10">
        <f>IF(G140="","",ROUNDUP(((G140*Ayarlar!$B$3+Ayarlar!$B$4+Ayarlar!$B$5)+Ayarlar!$B$8)/((1-Ayarlar!$B$6)*(1-Ayarlar!$B$7-Ayarlar!$B$9)),0))</f>
        <v/>
      </c>
      <c r="K140" s="12">
        <f>IF(OR(G140="",F140=""),"",(F140*(1-Ayarlar!$B$6)-(F140*(1-Ayarlar!$B$6)*Ayarlar!$B$7+Ayarlar!$B$8)-(G140*Ayarlar!$B$3+Ayarlar!$B$4+Ayarlar!$B$5))/(F140*(1-Ayarlar!$B$6)))</f>
        <v/>
      </c>
      <c r="L140" s="9">
        <f>IF(G140="","GRAM EKSİK",IF(F140&gt;30000,"FİYAT ŞÜPHELİ",IF(K140&lt;0,"ZARARDA",IF(F140&lt;I140,"RİSKLİ","ok"))))</f>
        <v/>
      </c>
      <c r="M140" s="13" t="inlineStr">
        <is>
          <t>https://www.etsy.com/listing/1863553142</t>
        </is>
      </c>
    </row>
    <row r="141">
      <c r="A141" s="3" t="inlineStr">
        <is>
          <t>chains</t>
        </is>
      </c>
      <c r="B141" s="3" t="inlineStr">
        <is>
          <t>14K Gold Bracelet, Round Box Chain Design in Yellow</t>
        </is>
      </c>
      <c r="C141" s="3" t="n">
        <v>1863553142</v>
      </c>
      <c r="D141" s="3" t="inlineStr">
        <is>
          <t>BWRD4F-7.5</t>
        </is>
      </c>
      <c r="E141" s="3" t="inlineStr">
        <is>
          <t>manual</t>
        </is>
      </c>
      <c r="F141" s="14" t="n">
        <v>936</v>
      </c>
      <c r="G141" s="17" t="n">
        <v>5.32</v>
      </c>
      <c r="H141" s="14">
        <f>IF(G141="","",G141*Ayarlar!$B$3+Ayarlar!$B$4+Ayarlar!$B$5)</f>
        <v/>
      </c>
      <c r="I141" s="14">
        <f>IF(G141="","",ROUNDUP(((G141*Ayarlar!$B$3+Ayarlar!$B$4+Ayarlar!$B$5)+Ayarlar!$B$8)/((1-Ayarlar!$B$6)*(1-Ayarlar!$B$7)),0))</f>
        <v/>
      </c>
      <c r="J141" s="14">
        <f>IF(G141="","",ROUNDUP(((G141*Ayarlar!$B$3+Ayarlar!$B$4+Ayarlar!$B$5)+Ayarlar!$B$8)/((1-Ayarlar!$B$6)*(1-Ayarlar!$B$7-Ayarlar!$B$9)),0))</f>
        <v/>
      </c>
      <c r="K141" s="15">
        <f>IF(OR(G141="",F141=""),"",(F141*(1-Ayarlar!$B$6)-(F141*(1-Ayarlar!$B$6)*Ayarlar!$B$7+Ayarlar!$B$8)-(G141*Ayarlar!$B$3+Ayarlar!$B$4+Ayarlar!$B$5))/(F141*(1-Ayarlar!$B$6)))</f>
        <v/>
      </c>
      <c r="L141" s="3">
        <f>IF(G141="","GRAM EKSİK",IF(F141&gt;30000,"FİYAT ŞÜPHELİ",IF(K141&lt;0,"ZARARDA",IF(F141&lt;I141,"RİSKLİ","ok"))))</f>
        <v/>
      </c>
      <c r="M141" s="16" t="inlineStr">
        <is>
          <t>https://www.etsy.com/listing/1863553142</t>
        </is>
      </c>
    </row>
    <row r="142">
      <c r="A142" s="9" t="inlineStr">
        <is>
          <t>chains</t>
        </is>
      </c>
      <c r="B142" s="9" t="inlineStr">
        <is>
          <t>14K Gold Bracelet, Round Box Chain Design in Yellow</t>
        </is>
      </c>
      <c r="C142" s="9" t="n">
        <v>1863553142</v>
      </c>
      <c r="D142" s="9" t="inlineStr">
        <is>
          <t>BWRD4F-8</t>
        </is>
      </c>
      <c r="E142" s="9" t="inlineStr">
        <is>
          <t>manual</t>
        </is>
      </c>
      <c r="F142" s="10" t="n">
        <v>984</v>
      </c>
      <c r="G142" s="18" t="n">
        <v>6.13</v>
      </c>
      <c r="H142" s="10">
        <f>IF(G142="","",G142*Ayarlar!$B$3+Ayarlar!$B$4+Ayarlar!$B$5)</f>
        <v/>
      </c>
      <c r="I142" s="10">
        <f>IF(G142="","",ROUNDUP(((G142*Ayarlar!$B$3+Ayarlar!$B$4+Ayarlar!$B$5)+Ayarlar!$B$8)/((1-Ayarlar!$B$6)*(1-Ayarlar!$B$7)),0))</f>
        <v/>
      </c>
      <c r="J142" s="10">
        <f>IF(G142="","",ROUNDUP(((G142*Ayarlar!$B$3+Ayarlar!$B$4+Ayarlar!$B$5)+Ayarlar!$B$8)/((1-Ayarlar!$B$6)*(1-Ayarlar!$B$7-Ayarlar!$B$9)),0))</f>
        <v/>
      </c>
      <c r="K142" s="12">
        <f>IF(OR(G142="",F142=""),"",(F142*(1-Ayarlar!$B$6)-(F142*(1-Ayarlar!$B$6)*Ayarlar!$B$7+Ayarlar!$B$8)-(G142*Ayarlar!$B$3+Ayarlar!$B$4+Ayarlar!$B$5))/(F142*(1-Ayarlar!$B$6)))</f>
        <v/>
      </c>
      <c r="L142" s="9">
        <f>IF(G142="","GRAM EKSİK",IF(F142&gt;30000,"FİYAT ŞÜPHELİ",IF(K142&lt;0,"ZARARDA",IF(F142&lt;I142,"RİSKLİ","ok"))))</f>
        <v/>
      </c>
      <c r="M142" s="13" t="inlineStr">
        <is>
          <t>https://www.etsy.com/listing/1863553142</t>
        </is>
      </c>
    </row>
    <row r="143">
      <c r="A143" s="3" t="inlineStr">
        <is>
          <t>chains</t>
        </is>
      </c>
      <c r="B143" s="3" t="inlineStr">
        <is>
          <t>14K Gold Bracelet, Round Box Chain Design in Yellow</t>
        </is>
      </c>
      <c r="C143" s="3" t="n">
        <v>1863553142</v>
      </c>
      <c r="D143" s="3" t="inlineStr">
        <is>
          <t>BWRD5-7</t>
        </is>
      </c>
      <c r="E143" s="3" t="inlineStr">
        <is>
          <t>manual</t>
        </is>
      </c>
      <c r="F143" s="14" t="n">
        <v>1027</v>
      </c>
      <c r="G143" s="17" t="n">
        <v>6.16</v>
      </c>
      <c r="H143" s="14">
        <f>IF(G143="","",G143*Ayarlar!$B$3+Ayarlar!$B$4+Ayarlar!$B$5)</f>
        <v/>
      </c>
      <c r="I143" s="14">
        <f>IF(G143="","",ROUNDUP(((G143*Ayarlar!$B$3+Ayarlar!$B$4+Ayarlar!$B$5)+Ayarlar!$B$8)/((1-Ayarlar!$B$6)*(1-Ayarlar!$B$7)),0))</f>
        <v/>
      </c>
      <c r="J143" s="14">
        <f>IF(G143="","",ROUNDUP(((G143*Ayarlar!$B$3+Ayarlar!$B$4+Ayarlar!$B$5)+Ayarlar!$B$8)/((1-Ayarlar!$B$6)*(1-Ayarlar!$B$7-Ayarlar!$B$9)),0))</f>
        <v/>
      </c>
      <c r="K143" s="15">
        <f>IF(OR(G143="",F143=""),"",(F143*(1-Ayarlar!$B$6)-(F143*(1-Ayarlar!$B$6)*Ayarlar!$B$7+Ayarlar!$B$8)-(G143*Ayarlar!$B$3+Ayarlar!$B$4+Ayarlar!$B$5))/(F143*(1-Ayarlar!$B$6)))</f>
        <v/>
      </c>
      <c r="L143" s="3">
        <f>IF(G143="","GRAM EKSİK",IF(F143&gt;30000,"FİYAT ŞÜPHELİ",IF(K143&lt;0,"ZARARDA",IF(F143&lt;I143,"RİSKLİ","ok"))))</f>
        <v/>
      </c>
      <c r="M143" s="16" t="inlineStr">
        <is>
          <t>https://www.etsy.com/listing/1863553142</t>
        </is>
      </c>
    </row>
    <row r="144">
      <c r="A144" s="9" t="inlineStr">
        <is>
          <t>chains</t>
        </is>
      </c>
      <c r="B144" s="9" t="inlineStr">
        <is>
          <t>14K Gold Bracelet, Round Box Chain Design in Yellow</t>
        </is>
      </c>
      <c r="C144" s="9" t="n">
        <v>1863553142</v>
      </c>
      <c r="D144" s="9" t="inlineStr">
        <is>
          <t>BWRD5-7.5</t>
        </is>
      </c>
      <c r="E144" s="9" t="inlineStr">
        <is>
          <t>manual</t>
        </is>
      </c>
      <c r="F144" s="10" t="n">
        <v>1073</v>
      </c>
      <c r="G144" s="18" t="n">
        <v>6.6</v>
      </c>
      <c r="H144" s="10">
        <f>IF(G144="","",G144*Ayarlar!$B$3+Ayarlar!$B$4+Ayarlar!$B$5)</f>
        <v/>
      </c>
      <c r="I144" s="10">
        <f>IF(G144="","",ROUNDUP(((G144*Ayarlar!$B$3+Ayarlar!$B$4+Ayarlar!$B$5)+Ayarlar!$B$8)/((1-Ayarlar!$B$6)*(1-Ayarlar!$B$7)),0))</f>
        <v/>
      </c>
      <c r="J144" s="10">
        <f>IF(G144="","",ROUNDUP(((G144*Ayarlar!$B$3+Ayarlar!$B$4+Ayarlar!$B$5)+Ayarlar!$B$8)/((1-Ayarlar!$B$6)*(1-Ayarlar!$B$7-Ayarlar!$B$9)),0))</f>
        <v/>
      </c>
      <c r="K144" s="12">
        <f>IF(OR(G144="",F144=""),"",(F144*(1-Ayarlar!$B$6)-(F144*(1-Ayarlar!$B$6)*Ayarlar!$B$7+Ayarlar!$B$8)-(G144*Ayarlar!$B$3+Ayarlar!$B$4+Ayarlar!$B$5))/(F144*(1-Ayarlar!$B$6)))</f>
        <v/>
      </c>
      <c r="L144" s="9">
        <f>IF(G144="","GRAM EKSİK",IF(F144&gt;30000,"FİYAT ŞÜPHELİ",IF(K144&lt;0,"ZARARDA",IF(F144&lt;I144,"RİSKLİ","ok"))))</f>
        <v/>
      </c>
      <c r="M144" s="13" t="inlineStr">
        <is>
          <t>https://www.etsy.com/listing/1863553142</t>
        </is>
      </c>
    </row>
    <row r="145">
      <c r="A145" s="3" t="inlineStr">
        <is>
          <t>chains</t>
        </is>
      </c>
      <c r="B145" s="3" t="inlineStr">
        <is>
          <t>14K Gold Bracelet, Round Box Chain Design in Yellow</t>
        </is>
      </c>
      <c r="C145" s="3" t="n">
        <v>1863553142</v>
      </c>
      <c r="D145" s="3" t="inlineStr">
        <is>
          <t>BWRD5-8</t>
        </is>
      </c>
      <c r="E145" s="3" t="inlineStr">
        <is>
          <t>manual</t>
        </is>
      </c>
      <c r="F145" s="14" t="n">
        <v>1118</v>
      </c>
      <c r="G145" s="17" t="n">
        <v>6.9</v>
      </c>
      <c r="H145" s="14">
        <f>IF(G145="","",G145*Ayarlar!$B$3+Ayarlar!$B$4+Ayarlar!$B$5)</f>
        <v/>
      </c>
      <c r="I145" s="14">
        <f>IF(G145="","",ROUNDUP(((G145*Ayarlar!$B$3+Ayarlar!$B$4+Ayarlar!$B$5)+Ayarlar!$B$8)/((1-Ayarlar!$B$6)*(1-Ayarlar!$B$7)),0))</f>
        <v/>
      </c>
      <c r="J145" s="14">
        <f>IF(G145="","",ROUNDUP(((G145*Ayarlar!$B$3+Ayarlar!$B$4+Ayarlar!$B$5)+Ayarlar!$B$8)/((1-Ayarlar!$B$6)*(1-Ayarlar!$B$7-Ayarlar!$B$9)),0))</f>
        <v/>
      </c>
      <c r="K145" s="15">
        <f>IF(OR(G145="",F145=""),"",(F145*(1-Ayarlar!$B$6)-(F145*(1-Ayarlar!$B$6)*Ayarlar!$B$7+Ayarlar!$B$8)-(G145*Ayarlar!$B$3+Ayarlar!$B$4+Ayarlar!$B$5))/(F145*(1-Ayarlar!$B$6)))</f>
        <v/>
      </c>
      <c r="L145" s="3">
        <f>IF(G145="","GRAM EKSİK",IF(F145&gt;30000,"FİYAT ŞÜPHELİ",IF(K145&lt;0,"ZARARDA",IF(F145&lt;I145,"RİSKLİ","ok"))))</f>
        <v/>
      </c>
      <c r="M145" s="16" t="inlineStr">
        <is>
          <t>https://www.etsy.com/listing/1863553142</t>
        </is>
      </c>
    </row>
    <row r="146">
      <c r="A146" s="9" t="inlineStr">
        <is>
          <t>chains</t>
        </is>
      </c>
      <c r="B146" s="9" t="inlineStr">
        <is>
          <t>14K Gold Necklace, Solid White Bead Ball Chain Design</t>
        </is>
      </c>
      <c r="C146" s="9" t="n">
        <v>4546907749</v>
      </c>
      <c r="D146" s="9" t="inlineStr">
        <is>
          <t>CWM42F-16</t>
        </is>
      </c>
      <c r="E146" s="9" t="inlineStr">
        <is>
          <t>—</t>
        </is>
      </c>
      <c r="F146" s="10" t="n">
        <v>812.7</v>
      </c>
      <c r="G146" s="11" t="n"/>
      <c r="H146" s="10">
        <f>IF(G146="","",G146*Ayarlar!$B$3+Ayarlar!$B$4+Ayarlar!$B$5)</f>
        <v/>
      </c>
      <c r="I146" s="10">
        <f>IF(G146="","",ROUNDUP(((G146*Ayarlar!$B$3+Ayarlar!$B$4+Ayarlar!$B$5)+Ayarlar!$B$8)/((1-Ayarlar!$B$6)*(1-Ayarlar!$B$7)),0))</f>
        <v/>
      </c>
      <c r="J146" s="10">
        <f>IF(G146="","",ROUNDUP(((G146*Ayarlar!$B$3+Ayarlar!$B$4+Ayarlar!$B$5)+Ayarlar!$B$8)/((1-Ayarlar!$B$6)*(1-Ayarlar!$B$7-Ayarlar!$B$9)),0))</f>
        <v/>
      </c>
      <c r="K146" s="12">
        <f>IF(OR(G146="",F146=""),"",(F146*(1-Ayarlar!$B$6)-(F146*(1-Ayarlar!$B$6)*Ayarlar!$B$7+Ayarlar!$B$8)-(G146*Ayarlar!$B$3+Ayarlar!$B$4+Ayarlar!$B$5))/(F146*(1-Ayarlar!$B$6)))</f>
        <v/>
      </c>
      <c r="L146" s="9">
        <f>IF(G146="","GRAM EKSİK",IF(F146&gt;30000,"FİYAT ŞÜPHELİ",IF(K146&lt;0,"ZARARDA",IF(F146&lt;I146,"RİSKLİ","ok"))))</f>
        <v/>
      </c>
      <c r="M146" s="13" t="inlineStr">
        <is>
          <t>https://www.etsy.com/listing/4546907749</t>
        </is>
      </c>
    </row>
    <row r="147">
      <c r="A147" s="3" t="inlineStr">
        <is>
          <t>chains</t>
        </is>
      </c>
      <c r="B147" s="3" t="inlineStr">
        <is>
          <t>14K Gold Necklace, Solid White Bead Ball Chain Design</t>
        </is>
      </c>
      <c r="C147" s="3" t="n">
        <v>4546907749</v>
      </c>
      <c r="D147" s="3" t="inlineStr">
        <is>
          <t>CWM42F-18</t>
        </is>
      </c>
      <c r="E147" s="3" t="inlineStr">
        <is>
          <t>—</t>
        </is>
      </c>
      <c r="F147" s="14" t="n">
        <v>914.28</v>
      </c>
      <c r="G147" s="11" t="n"/>
      <c r="H147" s="14">
        <f>IF(G147="","",G147*Ayarlar!$B$3+Ayarlar!$B$4+Ayarlar!$B$5)</f>
        <v/>
      </c>
      <c r="I147" s="14">
        <f>IF(G147="","",ROUNDUP(((G147*Ayarlar!$B$3+Ayarlar!$B$4+Ayarlar!$B$5)+Ayarlar!$B$8)/((1-Ayarlar!$B$6)*(1-Ayarlar!$B$7)),0))</f>
        <v/>
      </c>
      <c r="J147" s="14">
        <f>IF(G147="","",ROUNDUP(((G147*Ayarlar!$B$3+Ayarlar!$B$4+Ayarlar!$B$5)+Ayarlar!$B$8)/((1-Ayarlar!$B$6)*(1-Ayarlar!$B$7-Ayarlar!$B$9)),0))</f>
        <v/>
      </c>
      <c r="K147" s="15">
        <f>IF(OR(G147="",F147=""),"",(F147*(1-Ayarlar!$B$6)-(F147*(1-Ayarlar!$B$6)*Ayarlar!$B$7+Ayarlar!$B$8)-(G147*Ayarlar!$B$3+Ayarlar!$B$4+Ayarlar!$B$5))/(F147*(1-Ayarlar!$B$6)))</f>
        <v/>
      </c>
      <c r="L147" s="3">
        <f>IF(G147="","GRAM EKSİK",IF(F147&gt;30000,"FİYAT ŞÜPHELİ",IF(K147&lt;0,"ZARARDA",IF(F147&lt;I147,"RİSKLİ","ok"))))</f>
        <v/>
      </c>
      <c r="M147" s="16" t="inlineStr">
        <is>
          <t>https://www.etsy.com/listing/4546907749</t>
        </is>
      </c>
    </row>
    <row r="148">
      <c r="A148" s="9" t="inlineStr">
        <is>
          <t>chains</t>
        </is>
      </c>
      <c r="B148" s="9" t="inlineStr">
        <is>
          <t>14K Gold Necklace, Solid White Bead Ball Chain Design</t>
        </is>
      </c>
      <c r="C148" s="9" t="n">
        <v>4546907749</v>
      </c>
      <c r="D148" s="9" t="inlineStr">
        <is>
          <t>CWM42F-20</t>
        </is>
      </c>
      <c r="E148" s="9" t="inlineStr">
        <is>
          <t>—</t>
        </is>
      </c>
      <c r="F148" s="10" t="n">
        <v>1015.87</v>
      </c>
      <c r="G148" s="11" t="n"/>
      <c r="H148" s="10">
        <f>IF(G148="","",G148*Ayarlar!$B$3+Ayarlar!$B$4+Ayarlar!$B$5)</f>
        <v/>
      </c>
      <c r="I148" s="10">
        <f>IF(G148="","",ROUNDUP(((G148*Ayarlar!$B$3+Ayarlar!$B$4+Ayarlar!$B$5)+Ayarlar!$B$8)/((1-Ayarlar!$B$6)*(1-Ayarlar!$B$7)),0))</f>
        <v/>
      </c>
      <c r="J148" s="10">
        <f>IF(G148="","",ROUNDUP(((G148*Ayarlar!$B$3+Ayarlar!$B$4+Ayarlar!$B$5)+Ayarlar!$B$8)/((1-Ayarlar!$B$6)*(1-Ayarlar!$B$7-Ayarlar!$B$9)),0))</f>
        <v/>
      </c>
      <c r="K148" s="12">
        <f>IF(OR(G148="",F148=""),"",(F148*(1-Ayarlar!$B$6)-(F148*(1-Ayarlar!$B$6)*Ayarlar!$B$7+Ayarlar!$B$8)-(G148*Ayarlar!$B$3+Ayarlar!$B$4+Ayarlar!$B$5))/(F148*(1-Ayarlar!$B$6)))</f>
        <v/>
      </c>
      <c r="L148" s="9">
        <f>IF(G148="","GRAM EKSİK",IF(F148&gt;30000,"FİYAT ŞÜPHELİ",IF(K148&lt;0,"ZARARDA",IF(F148&lt;I148,"RİSKLİ","ok"))))</f>
        <v/>
      </c>
      <c r="M148" s="13" t="inlineStr">
        <is>
          <t>https://www.etsy.com/listing/4546907749</t>
        </is>
      </c>
    </row>
    <row r="149">
      <c r="A149" s="3" t="inlineStr">
        <is>
          <t>chains</t>
        </is>
      </c>
      <c r="B149" s="3" t="inlineStr">
        <is>
          <t>14K Gold Necklace, Solid White Bead Ball Chain Design</t>
        </is>
      </c>
      <c r="C149" s="3" t="n">
        <v>4546907749</v>
      </c>
      <c r="D149" s="3" t="inlineStr">
        <is>
          <t>CWM42F-22</t>
        </is>
      </c>
      <c r="E149" s="3" t="inlineStr">
        <is>
          <t>—</t>
        </is>
      </c>
      <c r="F149" s="14" t="n">
        <v>1117.46</v>
      </c>
      <c r="G149" s="11" t="n"/>
      <c r="H149" s="14">
        <f>IF(G149="","",G149*Ayarlar!$B$3+Ayarlar!$B$4+Ayarlar!$B$5)</f>
        <v/>
      </c>
      <c r="I149" s="14">
        <f>IF(G149="","",ROUNDUP(((G149*Ayarlar!$B$3+Ayarlar!$B$4+Ayarlar!$B$5)+Ayarlar!$B$8)/((1-Ayarlar!$B$6)*(1-Ayarlar!$B$7)),0))</f>
        <v/>
      </c>
      <c r="J149" s="14">
        <f>IF(G149="","",ROUNDUP(((G149*Ayarlar!$B$3+Ayarlar!$B$4+Ayarlar!$B$5)+Ayarlar!$B$8)/((1-Ayarlar!$B$6)*(1-Ayarlar!$B$7-Ayarlar!$B$9)),0))</f>
        <v/>
      </c>
      <c r="K149" s="15">
        <f>IF(OR(G149="",F149=""),"",(F149*(1-Ayarlar!$B$6)-(F149*(1-Ayarlar!$B$6)*Ayarlar!$B$7+Ayarlar!$B$8)-(G149*Ayarlar!$B$3+Ayarlar!$B$4+Ayarlar!$B$5))/(F149*(1-Ayarlar!$B$6)))</f>
        <v/>
      </c>
      <c r="L149" s="3">
        <f>IF(G149="","GRAM EKSİK",IF(F149&gt;30000,"FİYAT ŞÜPHELİ",IF(K149&lt;0,"ZARARDA",IF(F149&lt;I149,"RİSKLİ","ok"))))</f>
        <v/>
      </c>
      <c r="M149" s="16" t="inlineStr">
        <is>
          <t>https://www.etsy.com/listing/4546907749</t>
        </is>
      </c>
    </row>
    <row r="150">
      <c r="A150" s="9" t="inlineStr">
        <is>
          <t>chains</t>
        </is>
      </c>
      <c r="B150" s="9" t="inlineStr">
        <is>
          <t>14K Gold Necklace, Solid White Bead Ball Chain Design</t>
        </is>
      </c>
      <c r="C150" s="9" t="n">
        <v>4546907749</v>
      </c>
      <c r="D150" s="9" t="inlineStr">
        <is>
          <t>CWM42F-24</t>
        </is>
      </c>
      <c r="E150" s="9" t="inlineStr">
        <is>
          <t>—</t>
        </is>
      </c>
      <c r="F150" s="10" t="n">
        <v>1219.05</v>
      </c>
      <c r="G150" s="11" t="n"/>
      <c r="H150" s="10">
        <f>IF(G150="","",G150*Ayarlar!$B$3+Ayarlar!$B$4+Ayarlar!$B$5)</f>
        <v/>
      </c>
      <c r="I150" s="10">
        <f>IF(G150="","",ROUNDUP(((G150*Ayarlar!$B$3+Ayarlar!$B$4+Ayarlar!$B$5)+Ayarlar!$B$8)/((1-Ayarlar!$B$6)*(1-Ayarlar!$B$7)),0))</f>
        <v/>
      </c>
      <c r="J150" s="10">
        <f>IF(G150="","",ROUNDUP(((G150*Ayarlar!$B$3+Ayarlar!$B$4+Ayarlar!$B$5)+Ayarlar!$B$8)/((1-Ayarlar!$B$6)*(1-Ayarlar!$B$7-Ayarlar!$B$9)),0))</f>
        <v/>
      </c>
      <c r="K150" s="12">
        <f>IF(OR(G150="",F150=""),"",(F150*(1-Ayarlar!$B$6)-(F150*(1-Ayarlar!$B$6)*Ayarlar!$B$7+Ayarlar!$B$8)-(G150*Ayarlar!$B$3+Ayarlar!$B$4+Ayarlar!$B$5))/(F150*(1-Ayarlar!$B$6)))</f>
        <v/>
      </c>
      <c r="L150" s="9">
        <f>IF(G150="","GRAM EKSİK",IF(F150&gt;30000,"FİYAT ŞÜPHELİ",IF(K150&lt;0,"ZARARDA",IF(F150&lt;I150,"RİSKLİ","ok"))))</f>
        <v/>
      </c>
      <c r="M150" s="13" t="inlineStr">
        <is>
          <t>https://www.etsy.com/listing/4546907749</t>
        </is>
      </c>
    </row>
    <row r="151">
      <c r="A151" s="3" t="inlineStr">
        <is>
          <t>chains</t>
        </is>
      </c>
      <c r="B151" s="3" t="inlineStr">
        <is>
          <t>14K Gold Necklace, Solid White Bead Ball Chain Design</t>
        </is>
      </c>
      <c r="C151" s="3" t="n">
        <v>4546907749</v>
      </c>
      <c r="D151" s="3" t="inlineStr">
        <is>
          <t>CWM43F-16</t>
        </is>
      </c>
      <c r="E151" s="3" t="inlineStr">
        <is>
          <t>—</t>
        </is>
      </c>
      <c r="F151" s="14" t="n">
        <v>1741.5</v>
      </c>
      <c r="G151" s="11" t="n"/>
      <c r="H151" s="14">
        <f>IF(G151="","",G151*Ayarlar!$B$3+Ayarlar!$B$4+Ayarlar!$B$5)</f>
        <v/>
      </c>
      <c r="I151" s="14">
        <f>IF(G151="","",ROUNDUP(((G151*Ayarlar!$B$3+Ayarlar!$B$4+Ayarlar!$B$5)+Ayarlar!$B$8)/((1-Ayarlar!$B$6)*(1-Ayarlar!$B$7)),0))</f>
        <v/>
      </c>
      <c r="J151" s="14">
        <f>IF(G151="","",ROUNDUP(((G151*Ayarlar!$B$3+Ayarlar!$B$4+Ayarlar!$B$5)+Ayarlar!$B$8)/((1-Ayarlar!$B$6)*(1-Ayarlar!$B$7-Ayarlar!$B$9)),0))</f>
        <v/>
      </c>
      <c r="K151" s="15">
        <f>IF(OR(G151="",F151=""),"",(F151*(1-Ayarlar!$B$6)-(F151*(1-Ayarlar!$B$6)*Ayarlar!$B$7+Ayarlar!$B$8)-(G151*Ayarlar!$B$3+Ayarlar!$B$4+Ayarlar!$B$5))/(F151*(1-Ayarlar!$B$6)))</f>
        <v/>
      </c>
      <c r="L151" s="3">
        <f>IF(G151="","GRAM EKSİK",IF(F151&gt;30000,"FİYAT ŞÜPHELİ",IF(K151&lt;0,"ZARARDA",IF(F151&lt;I151,"RİSKLİ","ok"))))</f>
        <v/>
      </c>
      <c r="M151" s="16" t="inlineStr">
        <is>
          <t>https://www.etsy.com/listing/4546907749</t>
        </is>
      </c>
    </row>
    <row r="152">
      <c r="A152" s="9" t="inlineStr">
        <is>
          <t>chains</t>
        </is>
      </c>
      <c r="B152" s="9" t="inlineStr">
        <is>
          <t>14K Gold Necklace, Solid White Bead Ball Chain Design</t>
        </is>
      </c>
      <c r="C152" s="9" t="n">
        <v>4546907749</v>
      </c>
      <c r="D152" s="9" t="inlineStr">
        <is>
          <t>CWM43F-18</t>
        </is>
      </c>
      <c r="E152" s="9" t="inlineStr">
        <is>
          <t>—</t>
        </is>
      </c>
      <c r="F152" s="10" t="n">
        <v>1950.48</v>
      </c>
      <c r="G152" s="11" t="n"/>
      <c r="H152" s="10">
        <f>IF(G152="","",G152*Ayarlar!$B$3+Ayarlar!$B$4+Ayarlar!$B$5)</f>
        <v/>
      </c>
      <c r="I152" s="10">
        <f>IF(G152="","",ROUNDUP(((G152*Ayarlar!$B$3+Ayarlar!$B$4+Ayarlar!$B$5)+Ayarlar!$B$8)/((1-Ayarlar!$B$6)*(1-Ayarlar!$B$7)),0))</f>
        <v/>
      </c>
      <c r="J152" s="10">
        <f>IF(G152="","",ROUNDUP(((G152*Ayarlar!$B$3+Ayarlar!$B$4+Ayarlar!$B$5)+Ayarlar!$B$8)/((1-Ayarlar!$B$6)*(1-Ayarlar!$B$7-Ayarlar!$B$9)),0))</f>
        <v/>
      </c>
      <c r="K152" s="12">
        <f>IF(OR(G152="",F152=""),"",(F152*(1-Ayarlar!$B$6)-(F152*(1-Ayarlar!$B$6)*Ayarlar!$B$7+Ayarlar!$B$8)-(G152*Ayarlar!$B$3+Ayarlar!$B$4+Ayarlar!$B$5))/(F152*(1-Ayarlar!$B$6)))</f>
        <v/>
      </c>
      <c r="L152" s="9">
        <f>IF(G152="","GRAM EKSİK",IF(F152&gt;30000,"FİYAT ŞÜPHELİ",IF(K152&lt;0,"ZARARDA",IF(F152&lt;I152,"RİSKLİ","ok"))))</f>
        <v/>
      </c>
      <c r="M152" s="13" t="inlineStr">
        <is>
          <t>https://www.etsy.com/listing/4546907749</t>
        </is>
      </c>
    </row>
    <row r="153">
      <c r="A153" s="3" t="inlineStr">
        <is>
          <t>chains</t>
        </is>
      </c>
      <c r="B153" s="3" t="inlineStr">
        <is>
          <t>14K Gold Necklace, Solid White Bead Ball Chain Design</t>
        </is>
      </c>
      <c r="C153" s="3" t="n">
        <v>4546907749</v>
      </c>
      <c r="D153" s="3" t="inlineStr">
        <is>
          <t>CWM43F-20</t>
        </is>
      </c>
      <c r="E153" s="3" t="inlineStr">
        <is>
          <t>—</t>
        </is>
      </c>
      <c r="F153" s="14" t="n">
        <v>2147.85</v>
      </c>
      <c r="G153" s="11" t="n"/>
      <c r="H153" s="14">
        <f>IF(G153="","",G153*Ayarlar!$B$3+Ayarlar!$B$4+Ayarlar!$B$5)</f>
        <v/>
      </c>
      <c r="I153" s="14">
        <f>IF(G153="","",ROUNDUP(((G153*Ayarlar!$B$3+Ayarlar!$B$4+Ayarlar!$B$5)+Ayarlar!$B$8)/((1-Ayarlar!$B$6)*(1-Ayarlar!$B$7)),0))</f>
        <v/>
      </c>
      <c r="J153" s="14">
        <f>IF(G153="","",ROUNDUP(((G153*Ayarlar!$B$3+Ayarlar!$B$4+Ayarlar!$B$5)+Ayarlar!$B$8)/((1-Ayarlar!$B$6)*(1-Ayarlar!$B$7-Ayarlar!$B$9)),0))</f>
        <v/>
      </c>
      <c r="K153" s="15">
        <f>IF(OR(G153="",F153=""),"",(F153*(1-Ayarlar!$B$6)-(F153*(1-Ayarlar!$B$6)*Ayarlar!$B$7+Ayarlar!$B$8)-(G153*Ayarlar!$B$3+Ayarlar!$B$4+Ayarlar!$B$5))/(F153*(1-Ayarlar!$B$6)))</f>
        <v/>
      </c>
      <c r="L153" s="3">
        <f>IF(G153="","GRAM EKSİK",IF(F153&gt;30000,"FİYAT ŞÜPHELİ",IF(K153&lt;0,"ZARARDA",IF(F153&lt;I153,"RİSKLİ","ok"))))</f>
        <v/>
      </c>
      <c r="M153" s="16" t="inlineStr">
        <is>
          <t>https://www.etsy.com/listing/4546907749</t>
        </is>
      </c>
    </row>
    <row r="154">
      <c r="A154" s="9" t="inlineStr">
        <is>
          <t>chains</t>
        </is>
      </c>
      <c r="B154" s="9" t="inlineStr">
        <is>
          <t>14K Gold Necklace, Solid White Bead Ball Chain Design</t>
        </is>
      </c>
      <c r="C154" s="9" t="n">
        <v>4546907749</v>
      </c>
      <c r="D154" s="9" t="inlineStr">
        <is>
          <t>CWM43F-22</t>
        </is>
      </c>
      <c r="E154" s="9" t="inlineStr">
        <is>
          <t>—</t>
        </is>
      </c>
      <c r="F154" s="10" t="n">
        <v>2322</v>
      </c>
      <c r="G154" s="11" t="n"/>
      <c r="H154" s="10">
        <f>IF(G154="","",G154*Ayarlar!$B$3+Ayarlar!$B$4+Ayarlar!$B$5)</f>
        <v/>
      </c>
      <c r="I154" s="10">
        <f>IF(G154="","",ROUNDUP(((G154*Ayarlar!$B$3+Ayarlar!$B$4+Ayarlar!$B$5)+Ayarlar!$B$8)/((1-Ayarlar!$B$6)*(1-Ayarlar!$B$7)),0))</f>
        <v/>
      </c>
      <c r="J154" s="10">
        <f>IF(G154="","",ROUNDUP(((G154*Ayarlar!$B$3+Ayarlar!$B$4+Ayarlar!$B$5)+Ayarlar!$B$8)/((1-Ayarlar!$B$6)*(1-Ayarlar!$B$7-Ayarlar!$B$9)),0))</f>
        <v/>
      </c>
      <c r="K154" s="12">
        <f>IF(OR(G154="",F154=""),"",(F154*(1-Ayarlar!$B$6)-(F154*(1-Ayarlar!$B$6)*Ayarlar!$B$7+Ayarlar!$B$8)-(G154*Ayarlar!$B$3+Ayarlar!$B$4+Ayarlar!$B$5))/(F154*(1-Ayarlar!$B$6)))</f>
        <v/>
      </c>
      <c r="L154" s="9">
        <f>IF(G154="","GRAM EKSİK",IF(F154&gt;30000,"FİYAT ŞÜPHELİ",IF(K154&lt;0,"ZARARDA",IF(F154&lt;I154,"RİSKLİ","ok"))))</f>
        <v/>
      </c>
      <c r="M154" s="13" t="inlineStr">
        <is>
          <t>https://www.etsy.com/listing/4546907749</t>
        </is>
      </c>
    </row>
    <row r="155">
      <c r="A155" s="3" t="inlineStr">
        <is>
          <t>chains</t>
        </is>
      </c>
      <c r="B155" s="3" t="inlineStr">
        <is>
          <t>14K Gold Necklace, Solid White Bead Ball Chain Design</t>
        </is>
      </c>
      <c r="C155" s="3" t="n">
        <v>4546907749</v>
      </c>
      <c r="D155" s="3" t="inlineStr">
        <is>
          <t>CWM43F-24</t>
        </is>
      </c>
      <c r="E155" s="3" t="inlineStr">
        <is>
          <t>—</t>
        </is>
      </c>
      <c r="F155" s="14" t="n">
        <v>2554.2</v>
      </c>
      <c r="G155" s="11" t="n"/>
      <c r="H155" s="14">
        <f>IF(G155="","",G155*Ayarlar!$B$3+Ayarlar!$B$4+Ayarlar!$B$5)</f>
        <v/>
      </c>
      <c r="I155" s="14">
        <f>IF(G155="","",ROUNDUP(((G155*Ayarlar!$B$3+Ayarlar!$B$4+Ayarlar!$B$5)+Ayarlar!$B$8)/((1-Ayarlar!$B$6)*(1-Ayarlar!$B$7)),0))</f>
        <v/>
      </c>
      <c r="J155" s="14">
        <f>IF(G155="","",ROUNDUP(((G155*Ayarlar!$B$3+Ayarlar!$B$4+Ayarlar!$B$5)+Ayarlar!$B$8)/((1-Ayarlar!$B$6)*(1-Ayarlar!$B$7-Ayarlar!$B$9)),0))</f>
        <v/>
      </c>
      <c r="K155" s="15">
        <f>IF(OR(G155="",F155=""),"",(F155*(1-Ayarlar!$B$6)-(F155*(1-Ayarlar!$B$6)*Ayarlar!$B$7+Ayarlar!$B$8)-(G155*Ayarlar!$B$3+Ayarlar!$B$4+Ayarlar!$B$5))/(F155*(1-Ayarlar!$B$6)))</f>
        <v/>
      </c>
      <c r="L155" s="3">
        <f>IF(G155="","GRAM EKSİK",IF(F155&gt;30000,"FİYAT ŞÜPHELİ",IF(K155&lt;0,"ZARARDA",IF(F155&lt;I155,"RİSKLİ","ok"))))</f>
        <v/>
      </c>
      <c r="M155" s="16" t="inlineStr">
        <is>
          <t>https://www.etsy.com/listing/4546907749</t>
        </is>
      </c>
    </row>
    <row r="156">
      <c r="A156" s="9" t="inlineStr">
        <is>
          <t>chains</t>
        </is>
      </c>
      <c r="B156" s="9" t="inlineStr">
        <is>
          <t>14K Gold Necklace, Solid White Bead Ball Chain Design</t>
        </is>
      </c>
      <c r="C156" s="9" t="n">
        <v>4546907749</v>
      </c>
      <c r="D156" s="9" t="inlineStr">
        <is>
          <t>CWM44F-16</t>
        </is>
      </c>
      <c r="E156" s="9" t="inlineStr">
        <is>
          <t>—</t>
        </is>
      </c>
      <c r="F156" s="10" t="n">
        <v>2902.5</v>
      </c>
      <c r="G156" s="11" t="n"/>
      <c r="H156" s="10">
        <f>IF(G156="","",G156*Ayarlar!$B$3+Ayarlar!$B$4+Ayarlar!$B$5)</f>
        <v/>
      </c>
      <c r="I156" s="10">
        <f>IF(G156="","",ROUNDUP(((G156*Ayarlar!$B$3+Ayarlar!$B$4+Ayarlar!$B$5)+Ayarlar!$B$8)/((1-Ayarlar!$B$6)*(1-Ayarlar!$B$7)),0))</f>
        <v/>
      </c>
      <c r="J156" s="10">
        <f>IF(G156="","",ROUNDUP(((G156*Ayarlar!$B$3+Ayarlar!$B$4+Ayarlar!$B$5)+Ayarlar!$B$8)/((1-Ayarlar!$B$6)*(1-Ayarlar!$B$7-Ayarlar!$B$9)),0))</f>
        <v/>
      </c>
      <c r="K156" s="12">
        <f>IF(OR(G156="",F156=""),"",(F156*(1-Ayarlar!$B$6)-(F156*(1-Ayarlar!$B$6)*Ayarlar!$B$7+Ayarlar!$B$8)-(G156*Ayarlar!$B$3+Ayarlar!$B$4+Ayarlar!$B$5))/(F156*(1-Ayarlar!$B$6)))</f>
        <v/>
      </c>
      <c r="L156" s="9">
        <f>IF(G156="","GRAM EKSİK",IF(F156&gt;30000,"FİYAT ŞÜPHELİ",IF(K156&lt;0,"ZARARDA",IF(F156&lt;I156,"RİSKLİ","ok"))))</f>
        <v/>
      </c>
      <c r="M156" s="13" t="inlineStr">
        <is>
          <t>https://www.etsy.com/listing/4546907749</t>
        </is>
      </c>
    </row>
    <row r="157">
      <c r="A157" s="3" t="inlineStr">
        <is>
          <t>chains</t>
        </is>
      </c>
      <c r="B157" s="3" t="inlineStr">
        <is>
          <t>14K Gold Necklace, Solid White Bead Ball Chain Design</t>
        </is>
      </c>
      <c r="C157" s="3" t="n">
        <v>4546907749</v>
      </c>
      <c r="D157" s="3" t="inlineStr">
        <is>
          <t>CWM44F-18</t>
        </is>
      </c>
      <c r="E157" s="3" t="inlineStr">
        <is>
          <t>—</t>
        </is>
      </c>
      <c r="F157" s="14" t="n">
        <v>3250.8</v>
      </c>
      <c r="G157" s="11" t="n"/>
      <c r="H157" s="14">
        <f>IF(G157="","",G157*Ayarlar!$B$3+Ayarlar!$B$4+Ayarlar!$B$5)</f>
        <v/>
      </c>
      <c r="I157" s="14">
        <f>IF(G157="","",ROUNDUP(((G157*Ayarlar!$B$3+Ayarlar!$B$4+Ayarlar!$B$5)+Ayarlar!$B$8)/((1-Ayarlar!$B$6)*(1-Ayarlar!$B$7)),0))</f>
        <v/>
      </c>
      <c r="J157" s="14">
        <f>IF(G157="","",ROUNDUP(((G157*Ayarlar!$B$3+Ayarlar!$B$4+Ayarlar!$B$5)+Ayarlar!$B$8)/((1-Ayarlar!$B$6)*(1-Ayarlar!$B$7-Ayarlar!$B$9)),0))</f>
        <v/>
      </c>
      <c r="K157" s="15">
        <f>IF(OR(G157="",F157=""),"",(F157*(1-Ayarlar!$B$6)-(F157*(1-Ayarlar!$B$6)*Ayarlar!$B$7+Ayarlar!$B$8)-(G157*Ayarlar!$B$3+Ayarlar!$B$4+Ayarlar!$B$5))/(F157*(1-Ayarlar!$B$6)))</f>
        <v/>
      </c>
      <c r="L157" s="3">
        <f>IF(G157="","GRAM EKSİK",IF(F157&gt;30000,"FİYAT ŞÜPHELİ",IF(K157&lt;0,"ZARARDA",IF(F157&lt;I157,"RİSKLİ","ok"))))</f>
        <v/>
      </c>
      <c r="M157" s="16" t="inlineStr">
        <is>
          <t>https://www.etsy.com/listing/4546907749</t>
        </is>
      </c>
    </row>
    <row r="158">
      <c r="A158" s="9" t="inlineStr">
        <is>
          <t>chains</t>
        </is>
      </c>
      <c r="B158" s="9" t="inlineStr">
        <is>
          <t>14K Gold Necklace, Solid White Bead Ball Chain Design</t>
        </is>
      </c>
      <c r="C158" s="9" t="n">
        <v>4546907749</v>
      </c>
      <c r="D158" s="9" t="inlineStr">
        <is>
          <t>CWM44F-20</t>
        </is>
      </c>
      <c r="E158" s="9" t="inlineStr">
        <is>
          <t>—</t>
        </is>
      </c>
      <c r="F158" s="10" t="n">
        <v>3599.1</v>
      </c>
      <c r="G158" s="11" t="n"/>
      <c r="H158" s="10">
        <f>IF(G158="","",G158*Ayarlar!$B$3+Ayarlar!$B$4+Ayarlar!$B$5)</f>
        <v/>
      </c>
      <c r="I158" s="10">
        <f>IF(G158="","",ROUNDUP(((G158*Ayarlar!$B$3+Ayarlar!$B$4+Ayarlar!$B$5)+Ayarlar!$B$8)/((1-Ayarlar!$B$6)*(1-Ayarlar!$B$7)),0))</f>
        <v/>
      </c>
      <c r="J158" s="10">
        <f>IF(G158="","",ROUNDUP(((G158*Ayarlar!$B$3+Ayarlar!$B$4+Ayarlar!$B$5)+Ayarlar!$B$8)/((1-Ayarlar!$B$6)*(1-Ayarlar!$B$7-Ayarlar!$B$9)),0))</f>
        <v/>
      </c>
      <c r="K158" s="12">
        <f>IF(OR(G158="",F158=""),"",(F158*(1-Ayarlar!$B$6)-(F158*(1-Ayarlar!$B$6)*Ayarlar!$B$7+Ayarlar!$B$8)-(G158*Ayarlar!$B$3+Ayarlar!$B$4+Ayarlar!$B$5))/(F158*(1-Ayarlar!$B$6)))</f>
        <v/>
      </c>
      <c r="L158" s="9">
        <f>IF(G158="","GRAM EKSİK",IF(F158&gt;30000,"FİYAT ŞÜPHELİ",IF(K158&lt;0,"ZARARDA",IF(F158&lt;I158,"RİSKLİ","ok"))))</f>
        <v/>
      </c>
      <c r="M158" s="13" t="inlineStr">
        <is>
          <t>https://www.etsy.com/listing/4546907749</t>
        </is>
      </c>
    </row>
    <row r="159">
      <c r="A159" s="3" t="inlineStr">
        <is>
          <t>chains</t>
        </is>
      </c>
      <c r="B159" s="3" t="inlineStr">
        <is>
          <t>14K Gold Necklace, Solid White Bead Ball Chain Design</t>
        </is>
      </c>
      <c r="C159" s="3" t="n">
        <v>4546907749</v>
      </c>
      <c r="D159" s="3" t="inlineStr">
        <is>
          <t>CWM44F-22</t>
        </is>
      </c>
      <c r="E159" s="3" t="inlineStr">
        <is>
          <t>—</t>
        </is>
      </c>
      <c r="F159" s="14" t="n">
        <v>3947.4</v>
      </c>
      <c r="G159" s="11" t="n"/>
      <c r="H159" s="14">
        <f>IF(G159="","",G159*Ayarlar!$B$3+Ayarlar!$B$4+Ayarlar!$B$5)</f>
        <v/>
      </c>
      <c r="I159" s="14">
        <f>IF(G159="","",ROUNDUP(((G159*Ayarlar!$B$3+Ayarlar!$B$4+Ayarlar!$B$5)+Ayarlar!$B$8)/((1-Ayarlar!$B$6)*(1-Ayarlar!$B$7)),0))</f>
        <v/>
      </c>
      <c r="J159" s="14">
        <f>IF(G159="","",ROUNDUP(((G159*Ayarlar!$B$3+Ayarlar!$B$4+Ayarlar!$B$5)+Ayarlar!$B$8)/((1-Ayarlar!$B$6)*(1-Ayarlar!$B$7-Ayarlar!$B$9)),0))</f>
        <v/>
      </c>
      <c r="K159" s="15">
        <f>IF(OR(G159="",F159=""),"",(F159*(1-Ayarlar!$B$6)-(F159*(1-Ayarlar!$B$6)*Ayarlar!$B$7+Ayarlar!$B$8)-(G159*Ayarlar!$B$3+Ayarlar!$B$4+Ayarlar!$B$5))/(F159*(1-Ayarlar!$B$6)))</f>
        <v/>
      </c>
      <c r="L159" s="3">
        <f>IF(G159="","GRAM EKSİK",IF(F159&gt;30000,"FİYAT ŞÜPHELİ",IF(K159&lt;0,"ZARARDA",IF(F159&lt;I159,"RİSKLİ","ok"))))</f>
        <v/>
      </c>
      <c r="M159" s="16" t="inlineStr">
        <is>
          <t>https://www.etsy.com/listing/4546907749</t>
        </is>
      </c>
    </row>
    <row r="160">
      <c r="A160" s="9" t="inlineStr">
        <is>
          <t>chains</t>
        </is>
      </c>
      <c r="B160" s="9" t="inlineStr">
        <is>
          <t>14K Gold Necklace, Solid White Bead Ball Chain Design</t>
        </is>
      </c>
      <c r="C160" s="9" t="n">
        <v>4546907749</v>
      </c>
      <c r="D160" s="9" t="inlineStr">
        <is>
          <t>CWM44F-24</t>
        </is>
      </c>
      <c r="E160" s="9" t="inlineStr">
        <is>
          <t>—</t>
        </is>
      </c>
      <c r="F160" s="10" t="n">
        <v>4295.7</v>
      </c>
      <c r="G160" s="11" t="n"/>
      <c r="H160" s="10">
        <f>IF(G160="","",G160*Ayarlar!$B$3+Ayarlar!$B$4+Ayarlar!$B$5)</f>
        <v/>
      </c>
      <c r="I160" s="10">
        <f>IF(G160="","",ROUNDUP(((G160*Ayarlar!$B$3+Ayarlar!$B$4+Ayarlar!$B$5)+Ayarlar!$B$8)/((1-Ayarlar!$B$6)*(1-Ayarlar!$B$7)),0))</f>
        <v/>
      </c>
      <c r="J160" s="10">
        <f>IF(G160="","",ROUNDUP(((G160*Ayarlar!$B$3+Ayarlar!$B$4+Ayarlar!$B$5)+Ayarlar!$B$8)/((1-Ayarlar!$B$6)*(1-Ayarlar!$B$7-Ayarlar!$B$9)),0))</f>
        <v/>
      </c>
      <c r="K160" s="12">
        <f>IF(OR(G160="",F160=""),"",(F160*(1-Ayarlar!$B$6)-(F160*(1-Ayarlar!$B$6)*Ayarlar!$B$7+Ayarlar!$B$8)-(G160*Ayarlar!$B$3+Ayarlar!$B$4+Ayarlar!$B$5))/(F160*(1-Ayarlar!$B$6)))</f>
        <v/>
      </c>
      <c r="L160" s="9">
        <f>IF(G160="","GRAM EKSİK",IF(F160&gt;30000,"FİYAT ŞÜPHELİ",IF(K160&lt;0,"ZARARDA",IF(F160&lt;I160,"RİSKLİ","ok"))))</f>
        <v/>
      </c>
      <c r="M160" s="13" t="inlineStr">
        <is>
          <t>https://www.etsy.com/listing/4546907749</t>
        </is>
      </c>
    </row>
    <row r="161">
      <c r="A161" s="3" t="inlineStr">
        <is>
          <t>chains</t>
        </is>
      </c>
      <c r="B161" s="3" t="inlineStr">
        <is>
          <t>14K Gold Rope Bracelet – Twisted Diamond Cut, Unisex Luxury</t>
        </is>
      </c>
      <c r="C161" s="3" t="n">
        <v>1296896712</v>
      </c>
      <c r="D161" s="3" t="inlineStr">
        <is>
          <t>BRP1F-7</t>
        </is>
      </c>
      <c r="E161" s="3" t="inlineStr">
        <is>
          <t>inferred</t>
        </is>
      </c>
      <c r="F161" s="14" t="n">
        <v>181</v>
      </c>
      <c r="G161" s="17" t="n">
        <v>1.22</v>
      </c>
      <c r="H161" s="14">
        <f>IF(G161="","",G161*Ayarlar!$B$3+Ayarlar!$B$4+Ayarlar!$B$5)</f>
        <v/>
      </c>
      <c r="I161" s="14">
        <f>IF(G161="","",ROUNDUP(((G161*Ayarlar!$B$3+Ayarlar!$B$4+Ayarlar!$B$5)+Ayarlar!$B$8)/((1-Ayarlar!$B$6)*(1-Ayarlar!$B$7)),0))</f>
        <v/>
      </c>
      <c r="J161" s="14">
        <f>IF(G161="","",ROUNDUP(((G161*Ayarlar!$B$3+Ayarlar!$B$4+Ayarlar!$B$5)+Ayarlar!$B$8)/((1-Ayarlar!$B$6)*(1-Ayarlar!$B$7-Ayarlar!$B$9)),0))</f>
        <v/>
      </c>
      <c r="K161" s="15">
        <f>IF(OR(G161="",F161=""),"",(F161*(1-Ayarlar!$B$6)-(F161*(1-Ayarlar!$B$6)*Ayarlar!$B$7+Ayarlar!$B$8)-(G161*Ayarlar!$B$3+Ayarlar!$B$4+Ayarlar!$B$5))/(F161*(1-Ayarlar!$B$6)))</f>
        <v/>
      </c>
      <c r="L161" s="3">
        <f>IF(G161="","GRAM EKSİK",IF(F161&gt;30000,"FİYAT ŞÜPHELİ",IF(K161&lt;0,"ZARARDA",IF(F161&lt;I161,"RİSKLİ","ok"))))</f>
        <v/>
      </c>
      <c r="M161" s="16" t="inlineStr">
        <is>
          <t>https://www.etsy.com/listing/1296896712</t>
        </is>
      </c>
    </row>
    <row r="162">
      <c r="A162" s="9" t="inlineStr">
        <is>
          <t>chains</t>
        </is>
      </c>
      <c r="B162" s="9" t="inlineStr">
        <is>
          <t>14K Gold Rope Bracelet – Twisted Diamond Cut, Unisex Luxury</t>
        </is>
      </c>
      <c r="C162" s="9" t="n">
        <v>1296896712</v>
      </c>
      <c r="D162" s="9" t="inlineStr">
        <is>
          <t>BRP1F-7.5</t>
        </is>
      </c>
      <c r="E162" s="9" t="inlineStr">
        <is>
          <t>shipstation</t>
        </is>
      </c>
      <c r="F162" s="10" t="n">
        <v>251</v>
      </c>
      <c r="G162" s="18" t="n">
        <v>1.22</v>
      </c>
      <c r="H162" s="10">
        <f>IF(G162="","",G162*Ayarlar!$B$3+Ayarlar!$B$4+Ayarlar!$B$5)</f>
        <v/>
      </c>
      <c r="I162" s="10">
        <f>IF(G162="","",ROUNDUP(((G162*Ayarlar!$B$3+Ayarlar!$B$4+Ayarlar!$B$5)+Ayarlar!$B$8)/((1-Ayarlar!$B$6)*(1-Ayarlar!$B$7)),0))</f>
        <v/>
      </c>
      <c r="J162" s="10">
        <f>IF(G162="","",ROUNDUP(((G162*Ayarlar!$B$3+Ayarlar!$B$4+Ayarlar!$B$5)+Ayarlar!$B$8)/((1-Ayarlar!$B$6)*(1-Ayarlar!$B$7-Ayarlar!$B$9)),0))</f>
        <v/>
      </c>
      <c r="K162" s="12">
        <f>IF(OR(G162="",F162=""),"",(F162*(1-Ayarlar!$B$6)-(F162*(1-Ayarlar!$B$6)*Ayarlar!$B$7+Ayarlar!$B$8)-(G162*Ayarlar!$B$3+Ayarlar!$B$4+Ayarlar!$B$5))/(F162*(1-Ayarlar!$B$6)))</f>
        <v/>
      </c>
      <c r="L162" s="9">
        <f>IF(G162="","GRAM EKSİK",IF(F162&gt;30000,"FİYAT ŞÜPHELİ",IF(K162&lt;0,"ZARARDA",IF(F162&lt;I162,"RİSKLİ","ok"))))</f>
        <v/>
      </c>
      <c r="M162" s="13" t="inlineStr">
        <is>
          <t>https://www.etsy.com/listing/1296896712</t>
        </is>
      </c>
    </row>
    <row r="163">
      <c r="A163" s="3" t="inlineStr">
        <is>
          <t>chains</t>
        </is>
      </c>
      <c r="B163" s="3" t="inlineStr">
        <is>
          <t>14K Gold Rope Bracelet – Twisted Diamond Cut, Unisex Luxury</t>
        </is>
      </c>
      <c r="C163" s="3" t="n">
        <v>1296896712</v>
      </c>
      <c r="D163" s="3" t="inlineStr">
        <is>
          <t>BRP1F-8</t>
        </is>
      </c>
      <c r="E163" s="3" t="inlineStr">
        <is>
          <t>shipstation</t>
        </is>
      </c>
      <c r="F163" s="14" t="n">
        <v>263</v>
      </c>
      <c r="G163" s="17" t="n">
        <v>1.22</v>
      </c>
      <c r="H163" s="14">
        <f>IF(G163="","",G163*Ayarlar!$B$3+Ayarlar!$B$4+Ayarlar!$B$5)</f>
        <v/>
      </c>
      <c r="I163" s="14">
        <f>IF(G163="","",ROUNDUP(((G163*Ayarlar!$B$3+Ayarlar!$B$4+Ayarlar!$B$5)+Ayarlar!$B$8)/((1-Ayarlar!$B$6)*(1-Ayarlar!$B$7)),0))</f>
        <v/>
      </c>
      <c r="J163" s="14">
        <f>IF(G163="","",ROUNDUP(((G163*Ayarlar!$B$3+Ayarlar!$B$4+Ayarlar!$B$5)+Ayarlar!$B$8)/((1-Ayarlar!$B$6)*(1-Ayarlar!$B$7-Ayarlar!$B$9)),0))</f>
        <v/>
      </c>
      <c r="K163" s="15">
        <f>IF(OR(G163="",F163=""),"",(F163*(1-Ayarlar!$B$6)-(F163*(1-Ayarlar!$B$6)*Ayarlar!$B$7+Ayarlar!$B$8)-(G163*Ayarlar!$B$3+Ayarlar!$B$4+Ayarlar!$B$5))/(F163*(1-Ayarlar!$B$6)))</f>
        <v/>
      </c>
      <c r="L163" s="3">
        <f>IF(G163="","GRAM EKSİK",IF(F163&gt;30000,"FİYAT ŞÜPHELİ",IF(K163&lt;0,"ZARARDA",IF(F163&lt;I163,"RİSKLİ","ok"))))</f>
        <v/>
      </c>
      <c r="M163" s="16" t="inlineStr">
        <is>
          <t>https://www.etsy.com/listing/1296896712</t>
        </is>
      </c>
    </row>
    <row r="164">
      <c r="A164" s="9" t="inlineStr">
        <is>
          <t>chains</t>
        </is>
      </c>
      <c r="B164" s="9" t="inlineStr">
        <is>
          <t>14K Gold Rope Bracelet – Twisted Diamond Cut, Unisex Luxury</t>
        </is>
      </c>
      <c r="C164" s="9" t="n">
        <v>1296896712</v>
      </c>
      <c r="D164" s="9" t="inlineStr">
        <is>
          <t>BRP2F-7</t>
        </is>
      </c>
      <c r="E164" s="9" t="inlineStr">
        <is>
          <t>shipstation</t>
        </is>
      </c>
      <c r="F164" s="10" t="n">
        <v>263</v>
      </c>
      <c r="G164" s="18" t="n">
        <v>1.32</v>
      </c>
      <c r="H164" s="10">
        <f>IF(G164="","",G164*Ayarlar!$B$3+Ayarlar!$B$4+Ayarlar!$B$5)</f>
        <v/>
      </c>
      <c r="I164" s="10">
        <f>IF(G164="","",ROUNDUP(((G164*Ayarlar!$B$3+Ayarlar!$B$4+Ayarlar!$B$5)+Ayarlar!$B$8)/((1-Ayarlar!$B$6)*(1-Ayarlar!$B$7)),0))</f>
        <v/>
      </c>
      <c r="J164" s="10">
        <f>IF(G164="","",ROUNDUP(((G164*Ayarlar!$B$3+Ayarlar!$B$4+Ayarlar!$B$5)+Ayarlar!$B$8)/((1-Ayarlar!$B$6)*(1-Ayarlar!$B$7-Ayarlar!$B$9)),0))</f>
        <v/>
      </c>
      <c r="K164" s="12">
        <f>IF(OR(G164="",F164=""),"",(F164*(1-Ayarlar!$B$6)-(F164*(1-Ayarlar!$B$6)*Ayarlar!$B$7+Ayarlar!$B$8)-(G164*Ayarlar!$B$3+Ayarlar!$B$4+Ayarlar!$B$5))/(F164*(1-Ayarlar!$B$6)))</f>
        <v/>
      </c>
      <c r="L164" s="9">
        <f>IF(G164="","GRAM EKSİK",IF(F164&gt;30000,"FİYAT ŞÜPHELİ",IF(K164&lt;0,"ZARARDA",IF(F164&lt;I164,"RİSKLİ","ok"))))</f>
        <v/>
      </c>
      <c r="M164" s="13" t="inlineStr">
        <is>
          <t>https://www.etsy.com/listing/1296896712</t>
        </is>
      </c>
    </row>
    <row r="165">
      <c r="A165" s="3" t="inlineStr">
        <is>
          <t>chains</t>
        </is>
      </c>
      <c r="B165" s="3" t="inlineStr">
        <is>
          <t>14K Gold Rope Bracelet – Twisted Diamond Cut, Unisex Luxury</t>
        </is>
      </c>
      <c r="C165" s="3" t="n">
        <v>1296896712</v>
      </c>
      <c r="D165" s="3" t="inlineStr">
        <is>
          <t>BRP2F-7.5</t>
        </is>
      </c>
      <c r="E165" s="3" t="inlineStr">
        <is>
          <t>inferred</t>
        </is>
      </c>
      <c r="F165" s="14" t="n">
        <v>276</v>
      </c>
      <c r="G165" s="17" t="n">
        <v>1.41</v>
      </c>
      <c r="H165" s="14">
        <f>IF(G165="","",G165*Ayarlar!$B$3+Ayarlar!$B$4+Ayarlar!$B$5)</f>
        <v/>
      </c>
      <c r="I165" s="14">
        <f>IF(G165="","",ROUNDUP(((G165*Ayarlar!$B$3+Ayarlar!$B$4+Ayarlar!$B$5)+Ayarlar!$B$8)/((1-Ayarlar!$B$6)*(1-Ayarlar!$B$7)),0))</f>
        <v/>
      </c>
      <c r="J165" s="14">
        <f>IF(G165="","",ROUNDUP(((G165*Ayarlar!$B$3+Ayarlar!$B$4+Ayarlar!$B$5)+Ayarlar!$B$8)/((1-Ayarlar!$B$6)*(1-Ayarlar!$B$7-Ayarlar!$B$9)),0))</f>
        <v/>
      </c>
      <c r="K165" s="15">
        <f>IF(OR(G165="",F165=""),"",(F165*(1-Ayarlar!$B$6)-(F165*(1-Ayarlar!$B$6)*Ayarlar!$B$7+Ayarlar!$B$8)-(G165*Ayarlar!$B$3+Ayarlar!$B$4+Ayarlar!$B$5))/(F165*(1-Ayarlar!$B$6)))</f>
        <v/>
      </c>
      <c r="L165" s="3">
        <f>IF(G165="","GRAM EKSİK",IF(F165&gt;30000,"FİYAT ŞÜPHELİ",IF(K165&lt;0,"ZARARDA",IF(F165&lt;I165,"RİSKLİ","ok"))))</f>
        <v/>
      </c>
      <c r="M165" s="16" t="inlineStr">
        <is>
          <t>https://www.etsy.com/listing/1296896712</t>
        </is>
      </c>
    </row>
    <row r="166">
      <c r="A166" s="9" t="inlineStr">
        <is>
          <t>chains</t>
        </is>
      </c>
      <c r="B166" s="9" t="inlineStr">
        <is>
          <t>14K Gold Rope Bracelet – Twisted Diamond Cut, Unisex Luxury</t>
        </is>
      </c>
      <c r="C166" s="9" t="n">
        <v>1296896712</v>
      </c>
      <c r="D166" s="9" t="inlineStr">
        <is>
          <t>BRP2F-8</t>
        </is>
      </c>
      <c r="E166" s="9" t="inlineStr">
        <is>
          <t>inferred</t>
        </is>
      </c>
      <c r="F166" s="10" t="n">
        <v>288</v>
      </c>
      <c r="G166" s="18" t="n">
        <v>1.51</v>
      </c>
      <c r="H166" s="10">
        <f>IF(G166="","",G166*Ayarlar!$B$3+Ayarlar!$B$4+Ayarlar!$B$5)</f>
        <v/>
      </c>
      <c r="I166" s="10">
        <f>IF(G166="","",ROUNDUP(((G166*Ayarlar!$B$3+Ayarlar!$B$4+Ayarlar!$B$5)+Ayarlar!$B$8)/((1-Ayarlar!$B$6)*(1-Ayarlar!$B$7)),0))</f>
        <v/>
      </c>
      <c r="J166" s="10">
        <f>IF(G166="","",ROUNDUP(((G166*Ayarlar!$B$3+Ayarlar!$B$4+Ayarlar!$B$5)+Ayarlar!$B$8)/((1-Ayarlar!$B$6)*(1-Ayarlar!$B$7-Ayarlar!$B$9)),0))</f>
        <v/>
      </c>
      <c r="K166" s="12">
        <f>IF(OR(G166="",F166=""),"",(F166*(1-Ayarlar!$B$6)-(F166*(1-Ayarlar!$B$6)*Ayarlar!$B$7+Ayarlar!$B$8)-(G166*Ayarlar!$B$3+Ayarlar!$B$4+Ayarlar!$B$5))/(F166*(1-Ayarlar!$B$6)))</f>
        <v/>
      </c>
      <c r="L166" s="9">
        <f>IF(G166="","GRAM EKSİK",IF(F166&gt;30000,"FİYAT ŞÜPHELİ",IF(K166&lt;0,"ZARARDA",IF(F166&lt;I166,"RİSKLİ","ok"))))</f>
        <v/>
      </c>
      <c r="M166" s="13" t="inlineStr">
        <is>
          <t>https://www.etsy.com/listing/1296896712</t>
        </is>
      </c>
    </row>
    <row r="167">
      <c r="A167" s="3" t="inlineStr">
        <is>
          <t>chains</t>
        </is>
      </c>
      <c r="B167" s="3" t="inlineStr">
        <is>
          <t>14K Gold Rope Bracelet – Twisted Diamond Cut, Unisex Luxury</t>
        </is>
      </c>
      <c r="C167" s="3" t="n">
        <v>1296896712</v>
      </c>
      <c r="D167" s="3" t="inlineStr">
        <is>
          <t>BRP3F-7</t>
        </is>
      </c>
      <c r="E167" s="3" t="inlineStr">
        <is>
          <t>inferred</t>
        </is>
      </c>
      <c r="F167" s="14" t="n">
        <v>270</v>
      </c>
      <c r="G167" s="17" t="n">
        <v>1.42</v>
      </c>
      <c r="H167" s="14">
        <f>IF(G167="","",G167*Ayarlar!$B$3+Ayarlar!$B$4+Ayarlar!$B$5)</f>
        <v/>
      </c>
      <c r="I167" s="14">
        <f>IF(G167="","",ROUNDUP(((G167*Ayarlar!$B$3+Ayarlar!$B$4+Ayarlar!$B$5)+Ayarlar!$B$8)/((1-Ayarlar!$B$6)*(1-Ayarlar!$B$7)),0))</f>
        <v/>
      </c>
      <c r="J167" s="14">
        <f>IF(G167="","",ROUNDUP(((G167*Ayarlar!$B$3+Ayarlar!$B$4+Ayarlar!$B$5)+Ayarlar!$B$8)/((1-Ayarlar!$B$6)*(1-Ayarlar!$B$7-Ayarlar!$B$9)),0))</f>
        <v/>
      </c>
      <c r="K167" s="15">
        <f>IF(OR(G167="",F167=""),"",(F167*(1-Ayarlar!$B$6)-(F167*(1-Ayarlar!$B$6)*Ayarlar!$B$7+Ayarlar!$B$8)-(G167*Ayarlar!$B$3+Ayarlar!$B$4+Ayarlar!$B$5))/(F167*(1-Ayarlar!$B$6)))</f>
        <v/>
      </c>
      <c r="L167" s="3">
        <f>IF(G167="","GRAM EKSİK",IF(F167&gt;30000,"FİYAT ŞÜPHELİ",IF(K167&lt;0,"ZARARDA",IF(F167&lt;I167,"RİSKLİ","ok"))))</f>
        <v/>
      </c>
      <c r="M167" s="16" t="inlineStr">
        <is>
          <t>https://www.etsy.com/listing/1296896712</t>
        </is>
      </c>
    </row>
    <row r="168">
      <c r="A168" s="9" t="inlineStr">
        <is>
          <t>chains</t>
        </is>
      </c>
      <c r="B168" s="9" t="inlineStr">
        <is>
          <t>14K Gold Rope Bracelet – Twisted Diamond Cut, Unisex Luxury</t>
        </is>
      </c>
      <c r="C168" s="9" t="n">
        <v>1296896712</v>
      </c>
      <c r="D168" s="9" t="inlineStr">
        <is>
          <t>BRP3F-7.5</t>
        </is>
      </c>
      <c r="E168" s="9" t="inlineStr">
        <is>
          <t>shipstation</t>
        </is>
      </c>
      <c r="F168" s="10" t="n">
        <v>283</v>
      </c>
      <c r="G168" s="18" t="n">
        <v>1.52</v>
      </c>
      <c r="H168" s="10">
        <f>IF(G168="","",G168*Ayarlar!$B$3+Ayarlar!$B$4+Ayarlar!$B$5)</f>
        <v/>
      </c>
      <c r="I168" s="10">
        <f>IF(G168="","",ROUNDUP(((G168*Ayarlar!$B$3+Ayarlar!$B$4+Ayarlar!$B$5)+Ayarlar!$B$8)/((1-Ayarlar!$B$6)*(1-Ayarlar!$B$7)),0))</f>
        <v/>
      </c>
      <c r="J168" s="10">
        <f>IF(G168="","",ROUNDUP(((G168*Ayarlar!$B$3+Ayarlar!$B$4+Ayarlar!$B$5)+Ayarlar!$B$8)/((1-Ayarlar!$B$6)*(1-Ayarlar!$B$7-Ayarlar!$B$9)),0))</f>
        <v/>
      </c>
      <c r="K168" s="12">
        <f>IF(OR(G168="",F168=""),"",(F168*(1-Ayarlar!$B$6)-(F168*(1-Ayarlar!$B$6)*Ayarlar!$B$7+Ayarlar!$B$8)-(G168*Ayarlar!$B$3+Ayarlar!$B$4+Ayarlar!$B$5))/(F168*(1-Ayarlar!$B$6)))</f>
        <v/>
      </c>
      <c r="L168" s="9">
        <f>IF(G168="","GRAM EKSİK",IF(F168&gt;30000,"FİYAT ŞÜPHELİ",IF(K168&lt;0,"ZARARDA",IF(F168&lt;I168,"RİSKLİ","ok"))))</f>
        <v/>
      </c>
      <c r="M168" s="13" t="inlineStr">
        <is>
          <t>https://www.etsy.com/listing/1296896712</t>
        </is>
      </c>
    </row>
    <row r="169">
      <c r="A169" s="3" t="inlineStr">
        <is>
          <t>chains</t>
        </is>
      </c>
      <c r="B169" s="3" t="inlineStr">
        <is>
          <t>14K Gold Rope Bracelet – Twisted Diamond Cut, Unisex Luxury</t>
        </is>
      </c>
      <c r="C169" s="3" t="n">
        <v>1296896712</v>
      </c>
      <c r="D169" s="3" t="inlineStr">
        <is>
          <t>BRP3F-8</t>
        </is>
      </c>
      <c r="E169" s="3" t="inlineStr">
        <is>
          <t>inferred</t>
        </is>
      </c>
      <c r="F169" s="14" t="n">
        <v>289</v>
      </c>
      <c r="G169" s="17" t="n">
        <v>1.62</v>
      </c>
      <c r="H169" s="14">
        <f>IF(G169="","",G169*Ayarlar!$B$3+Ayarlar!$B$4+Ayarlar!$B$5)</f>
        <v/>
      </c>
      <c r="I169" s="14">
        <f>IF(G169="","",ROUNDUP(((G169*Ayarlar!$B$3+Ayarlar!$B$4+Ayarlar!$B$5)+Ayarlar!$B$8)/((1-Ayarlar!$B$6)*(1-Ayarlar!$B$7)),0))</f>
        <v/>
      </c>
      <c r="J169" s="14">
        <f>IF(G169="","",ROUNDUP(((G169*Ayarlar!$B$3+Ayarlar!$B$4+Ayarlar!$B$5)+Ayarlar!$B$8)/((1-Ayarlar!$B$6)*(1-Ayarlar!$B$7-Ayarlar!$B$9)),0))</f>
        <v/>
      </c>
      <c r="K169" s="15">
        <f>IF(OR(G169="",F169=""),"",(F169*(1-Ayarlar!$B$6)-(F169*(1-Ayarlar!$B$6)*Ayarlar!$B$7+Ayarlar!$B$8)-(G169*Ayarlar!$B$3+Ayarlar!$B$4+Ayarlar!$B$5))/(F169*(1-Ayarlar!$B$6)))</f>
        <v/>
      </c>
      <c r="L169" s="3">
        <f>IF(G169="","GRAM EKSİK",IF(F169&gt;30000,"FİYAT ŞÜPHELİ",IF(K169&lt;0,"ZARARDA",IF(F169&lt;I169,"RİSKLİ","ok"))))</f>
        <v/>
      </c>
      <c r="M169" s="16" t="inlineStr">
        <is>
          <t>https://www.etsy.com/listing/1296896712</t>
        </is>
      </c>
    </row>
    <row r="170">
      <c r="A170" s="9" t="inlineStr">
        <is>
          <t>chains</t>
        </is>
      </c>
      <c r="B170" s="9" t="inlineStr">
        <is>
          <t>14K Gold Rope Bracelet – Twisted Diamond Cut, Unisex Luxury</t>
        </is>
      </c>
      <c r="C170" s="9" t="n">
        <v>1296896712</v>
      </c>
      <c r="D170" s="9" t="inlineStr">
        <is>
          <t>BRP4F-7</t>
        </is>
      </c>
      <c r="E170" s="9" t="inlineStr">
        <is>
          <t>inferred</t>
        </is>
      </c>
      <c r="F170" s="10" t="n">
        <v>433</v>
      </c>
      <c r="G170" s="18" t="n">
        <v>2.31</v>
      </c>
      <c r="H170" s="10">
        <f>IF(G170="","",G170*Ayarlar!$B$3+Ayarlar!$B$4+Ayarlar!$B$5)</f>
        <v/>
      </c>
      <c r="I170" s="10">
        <f>IF(G170="","",ROUNDUP(((G170*Ayarlar!$B$3+Ayarlar!$B$4+Ayarlar!$B$5)+Ayarlar!$B$8)/((1-Ayarlar!$B$6)*(1-Ayarlar!$B$7)),0))</f>
        <v/>
      </c>
      <c r="J170" s="10">
        <f>IF(G170="","",ROUNDUP(((G170*Ayarlar!$B$3+Ayarlar!$B$4+Ayarlar!$B$5)+Ayarlar!$B$8)/((1-Ayarlar!$B$6)*(1-Ayarlar!$B$7-Ayarlar!$B$9)),0))</f>
        <v/>
      </c>
      <c r="K170" s="12">
        <f>IF(OR(G170="",F170=""),"",(F170*(1-Ayarlar!$B$6)-(F170*(1-Ayarlar!$B$6)*Ayarlar!$B$7+Ayarlar!$B$8)-(G170*Ayarlar!$B$3+Ayarlar!$B$4+Ayarlar!$B$5))/(F170*(1-Ayarlar!$B$6)))</f>
        <v/>
      </c>
      <c r="L170" s="9">
        <f>IF(G170="","GRAM EKSİK",IF(F170&gt;30000,"FİYAT ŞÜPHELİ",IF(K170&lt;0,"ZARARDA",IF(F170&lt;I170,"RİSKLİ","ok"))))</f>
        <v/>
      </c>
      <c r="M170" s="13" t="inlineStr">
        <is>
          <t>https://www.etsy.com/listing/1296896712</t>
        </is>
      </c>
    </row>
    <row r="171">
      <c r="A171" s="3" t="inlineStr">
        <is>
          <t>chains</t>
        </is>
      </c>
      <c r="B171" s="3" t="inlineStr">
        <is>
          <t>14K Gold Rope Bracelet – Twisted Diamond Cut, Unisex Luxury</t>
        </is>
      </c>
      <c r="C171" s="3" t="n">
        <v>1296896712</v>
      </c>
      <c r="D171" s="3" t="inlineStr">
        <is>
          <t>BRP4F-7.5</t>
        </is>
      </c>
      <c r="E171" s="3" t="inlineStr">
        <is>
          <t>shipstation</t>
        </is>
      </c>
      <c r="F171" s="14" t="n">
        <v>462</v>
      </c>
      <c r="G171" s="17" t="n">
        <v>2.48</v>
      </c>
      <c r="H171" s="14">
        <f>IF(G171="","",G171*Ayarlar!$B$3+Ayarlar!$B$4+Ayarlar!$B$5)</f>
        <v/>
      </c>
      <c r="I171" s="14">
        <f>IF(G171="","",ROUNDUP(((G171*Ayarlar!$B$3+Ayarlar!$B$4+Ayarlar!$B$5)+Ayarlar!$B$8)/((1-Ayarlar!$B$6)*(1-Ayarlar!$B$7)),0))</f>
        <v/>
      </c>
      <c r="J171" s="14">
        <f>IF(G171="","",ROUNDUP(((G171*Ayarlar!$B$3+Ayarlar!$B$4+Ayarlar!$B$5)+Ayarlar!$B$8)/((1-Ayarlar!$B$6)*(1-Ayarlar!$B$7-Ayarlar!$B$9)),0))</f>
        <v/>
      </c>
      <c r="K171" s="15">
        <f>IF(OR(G171="",F171=""),"",(F171*(1-Ayarlar!$B$6)-(F171*(1-Ayarlar!$B$6)*Ayarlar!$B$7+Ayarlar!$B$8)-(G171*Ayarlar!$B$3+Ayarlar!$B$4+Ayarlar!$B$5))/(F171*(1-Ayarlar!$B$6)))</f>
        <v/>
      </c>
      <c r="L171" s="3">
        <f>IF(G171="","GRAM EKSİK",IF(F171&gt;30000,"FİYAT ŞÜPHELİ",IF(K171&lt;0,"ZARARDA",IF(F171&lt;I171,"RİSKLİ","ok"))))</f>
        <v/>
      </c>
      <c r="M171" s="16" t="inlineStr">
        <is>
          <t>https://www.etsy.com/listing/1296896712</t>
        </is>
      </c>
    </row>
    <row r="172">
      <c r="A172" s="9" t="inlineStr">
        <is>
          <t>chains</t>
        </is>
      </c>
      <c r="B172" s="9" t="inlineStr">
        <is>
          <t>14K Gold Rope Bracelet – Twisted Diamond Cut, Unisex Luxury</t>
        </is>
      </c>
      <c r="C172" s="9" t="n">
        <v>1296896712</v>
      </c>
      <c r="D172" s="9" t="inlineStr">
        <is>
          <t>BRP4F-8</t>
        </is>
      </c>
      <c r="E172" s="9" t="inlineStr">
        <is>
          <t>inferred</t>
        </is>
      </c>
      <c r="F172" s="10" t="n">
        <v>492</v>
      </c>
      <c r="G172" s="18" t="n">
        <v>2.65</v>
      </c>
      <c r="H172" s="10">
        <f>IF(G172="","",G172*Ayarlar!$B$3+Ayarlar!$B$4+Ayarlar!$B$5)</f>
        <v/>
      </c>
      <c r="I172" s="10">
        <f>IF(G172="","",ROUNDUP(((G172*Ayarlar!$B$3+Ayarlar!$B$4+Ayarlar!$B$5)+Ayarlar!$B$8)/((1-Ayarlar!$B$6)*(1-Ayarlar!$B$7)),0))</f>
        <v/>
      </c>
      <c r="J172" s="10">
        <f>IF(G172="","",ROUNDUP(((G172*Ayarlar!$B$3+Ayarlar!$B$4+Ayarlar!$B$5)+Ayarlar!$B$8)/((1-Ayarlar!$B$6)*(1-Ayarlar!$B$7-Ayarlar!$B$9)),0))</f>
        <v/>
      </c>
      <c r="K172" s="12">
        <f>IF(OR(G172="",F172=""),"",(F172*(1-Ayarlar!$B$6)-(F172*(1-Ayarlar!$B$6)*Ayarlar!$B$7+Ayarlar!$B$8)-(G172*Ayarlar!$B$3+Ayarlar!$B$4+Ayarlar!$B$5))/(F172*(1-Ayarlar!$B$6)))</f>
        <v/>
      </c>
      <c r="L172" s="9">
        <f>IF(G172="","GRAM EKSİK",IF(F172&gt;30000,"FİYAT ŞÜPHELİ",IF(K172&lt;0,"ZARARDA",IF(F172&lt;I172,"RİSKLİ","ok"))))</f>
        <v/>
      </c>
      <c r="M172" s="13" t="inlineStr">
        <is>
          <t>https://www.etsy.com/listing/1296896712</t>
        </is>
      </c>
    </row>
    <row r="173">
      <c r="A173" s="3" t="inlineStr">
        <is>
          <t>chains</t>
        </is>
      </c>
      <c r="B173" s="3" t="inlineStr">
        <is>
          <t>14K Gold Rope Bracelet – Twisted Diamond Cut, Unisex Luxury</t>
        </is>
      </c>
      <c r="C173" s="3" t="n">
        <v>1296896712</v>
      </c>
      <c r="D173" s="3" t="inlineStr">
        <is>
          <t>BRP5F-7</t>
        </is>
      </c>
      <c r="E173" s="3" t="inlineStr">
        <is>
          <t>inferred</t>
        </is>
      </c>
      <c r="F173" s="14" t="n">
        <v>509</v>
      </c>
      <c r="G173" s="17" t="n">
        <v>2.56</v>
      </c>
      <c r="H173" s="14">
        <f>IF(G173="","",G173*Ayarlar!$B$3+Ayarlar!$B$4+Ayarlar!$B$5)</f>
        <v/>
      </c>
      <c r="I173" s="14">
        <f>IF(G173="","",ROUNDUP(((G173*Ayarlar!$B$3+Ayarlar!$B$4+Ayarlar!$B$5)+Ayarlar!$B$8)/((1-Ayarlar!$B$6)*(1-Ayarlar!$B$7)),0))</f>
        <v/>
      </c>
      <c r="J173" s="14">
        <f>IF(G173="","",ROUNDUP(((G173*Ayarlar!$B$3+Ayarlar!$B$4+Ayarlar!$B$5)+Ayarlar!$B$8)/((1-Ayarlar!$B$6)*(1-Ayarlar!$B$7-Ayarlar!$B$9)),0))</f>
        <v/>
      </c>
      <c r="K173" s="15">
        <f>IF(OR(G173="",F173=""),"",(F173*(1-Ayarlar!$B$6)-(F173*(1-Ayarlar!$B$6)*Ayarlar!$B$7+Ayarlar!$B$8)-(G173*Ayarlar!$B$3+Ayarlar!$B$4+Ayarlar!$B$5))/(F173*(1-Ayarlar!$B$6)))</f>
        <v/>
      </c>
      <c r="L173" s="3">
        <f>IF(G173="","GRAM EKSİK",IF(F173&gt;30000,"FİYAT ŞÜPHELİ",IF(K173&lt;0,"ZARARDA",IF(F173&lt;I173,"RİSKLİ","ok"))))</f>
        <v/>
      </c>
      <c r="M173" s="16" t="inlineStr">
        <is>
          <t>https://www.etsy.com/listing/1296896712</t>
        </is>
      </c>
    </row>
    <row r="174">
      <c r="A174" s="9" t="inlineStr">
        <is>
          <t>chains</t>
        </is>
      </c>
      <c r="B174" s="9" t="inlineStr">
        <is>
          <t>14K Gold Rope Bracelet – Twisted Diamond Cut, Unisex Luxury</t>
        </is>
      </c>
      <c r="C174" s="9" t="n">
        <v>1296896712</v>
      </c>
      <c r="D174" s="9" t="inlineStr">
        <is>
          <t>BRP5F-7.5</t>
        </is>
      </c>
      <c r="E174" s="9" t="inlineStr">
        <is>
          <t>shipstation</t>
        </is>
      </c>
      <c r="F174" s="10" t="n">
        <v>523</v>
      </c>
      <c r="G174" s="18" t="n">
        <v>2.78</v>
      </c>
      <c r="H174" s="10">
        <f>IF(G174="","",G174*Ayarlar!$B$3+Ayarlar!$B$4+Ayarlar!$B$5)</f>
        <v/>
      </c>
      <c r="I174" s="10">
        <f>IF(G174="","",ROUNDUP(((G174*Ayarlar!$B$3+Ayarlar!$B$4+Ayarlar!$B$5)+Ayarlar!$B$8)/((1-Ayarlar!$B$6)*(1-Ayarlar!$B$7)),0))</f>
        <v/>
      </c>
      <c r="J174" s="10">
        <f>IF(G174="","",ROUNDUP(((G174*Ayarlar!$B$3+Ayarlar!$B$4+Ayarlar!$B$5)+Ayarlar!$B$8)/((1-Ayarlar!$B$6)*(1-Ayarlar!$B$7-Ayarlar!$B$9)),0))</f>
        <v/>
      </c>
      <c r="K174" s="12">
        <f>IF(OR(G174="",F174=""),"",(F174*(1-Ayarlar!$B$6)-(F174*(1-Ayarlar!$B$6)*Ayarlar!$B$7+Ayarlar!$B$8)-(G174*Ayarlar!$B$3+Ayarlar!$B$4+Ayarlar!$B$5))/(F174*(1-Ayarlar!$B$6)))</f>
        <v/>
      </c>
      <c r="L174" s="9">
        <f>IF(G174="","GRAM EKSİK",IF(F174&gt;30000,"FİYAT ŞÜPHELİ",IF(K174&lt;0,"ZARARDA",IF(F174&lt;I174,"RİSKLİ","ok"))))</f>
        <v/>
      </c>
      <c r="M174" s="13" t="inlineStr">
        <is>
          <t>https://www.etsy.com/listing/1296896712</t>
        </is>
      </c>
    </row>
    <row r="175">
      <c r="A175" s="3" t="inlineStr">
        <is>
          <t>chains</t>
        </is>
      </c>
      <c r="B175" s="3" t="inlineStr">
        <is>
          <t>14K Gold Rope Bracelet – Twisted Diamond Cut, Unisex Luxury</t>
        </is>
      </c>
      <c r="C175" s="3" t="n">
        <v>1296896712</v>
      </c>
      <c r="D175" s="3" t="inlineStr">
        <is>
          <t>BRP5F-8</t>
        </is>
      </c>
      <c r="E175" s="3" t="inlineStr">
        <is>
          <t>shipstation</t>
        </is>
      </c>
      <c r="F175" s="14" t="n">
        <v>535</v>
      </c>
      <c r="G175" s="17" t="n">
        <v>3</v>
      </c>
      <c r="H175" s="14">
        <f>IF(G175="","",G175*Ayarlar!$B$3+Ayarlar!$B$4+Ayarlar!$B$5)</f>
        <v/>
      </c>
      <c r="I175" s="14">
        <f>IF(G175="","",ROUNDUP(((G175*Ayarlar!$B$3+Ayarlar!$B$4+Ayarlar!$B$5)+Ayarlar!$B$8)/((1-Ayarlar!$B$6)*(1-Ayarlar!$B$7)),0))</f>
        <v/>
      </c>
      <c r="J175" s="14">
        <f>IF(G175="","",ROUNDUP(((G175*Ayarlar!$B$3+Ayarlar!$B$4+Ayarlar!$B$5)+Ayarlar!$B$8)/((1-Ayarlar!$B$6)*(1-Ayarlar!$B$7-Ayarlar!$B$9)),0))</f>
        <v/>
      </c>
      <c r="K175" s="15">
        <f>IF(OR(G175="",F175=""),"",(F175*(1-Ayarlar!$B$6)-(F175*(1-Ayarlar!$B$6)*Ayarlar!$B$7+Ayarlar!$B$8)-(G175*Ayarlar!$B$3+Ayarlar!$B$4+Ayarlar!$B$5))/(F175*(1-Ayarlar!$B$6)))</f>
        <v/>
      </c>
      <c r="L175" s="3">
        <f>IF(G175="","GRAM EKSİK",IF(F175&gt;30000,"FİYAT ŞÜPHELİ",IF(K175&lt;0,"ZARARDA",IF(F175&lt;I175,"RİSKLİ","ok"))))</f>
        <v/>
      </c>
      <c r="M175" s="16" t="inlineStr">
        <is>
          <t>https://www.etsy.com/listing/1296896712</t>
        </is>
      </c>
    </row>
    <row r="176">
      <c r="A176" s="9" t="inlineStr">
        <is>
          <t>chains</t>
        </is>
      </c>
      <c r="B176" s="9" t="inlineStr">
        <is>
          <t>14K Gold Rope Bracelet – Twisted Diamond Cut, Unisex Luxury</t>
        </is>
      </c>
      <c r="C176" s="9" t="n">
        <v>1296896712</v>
      </c>
      <c r="D176" s="9" t="inlineStr">
        <is>
          <t>BRP6F-7</t>
        </is>
      </c>
      <c r="E176" s="9" t="inlineStr">
        <is>
          <t>description-scaled</t>
        </is>
      </c>
      <c r="F176" s="10" t="n">
        <v>511</v>
      </c>
      <c r="G176" s="18" t="n">
        <v>2.89</v>
      </c>
      <c r="H176" s="10">
        <f>IF(G176="","",G176*Ayarlar!$B$3+Ayarlar!$B$4+Ayarlar!$B$5)</f>
        <v/>
      </c>
      <c r="I176" s="10">
        <f>IF(G176="","",ROUNDUP(((G176*Ayarlar!$B$3+Ayarlar!$B$4+Ayarlar!$B$5)+Ayarlar!$B$8)/((1-Ayarlar!$B$6)*(1-Ayarlar!$B$7)),0))</f>
        <v/>
      </c>
      <c r="J176" s="10">
        <f>IF(G176="","",ROUNDUP(((G176*Ayarlar!$B$3+Ayarlar!$B$4+Ayarlar!$B$5)+Ayarlar!$B$8)/((1-Ayarlar!$B$6)*(1-Ayarlar!$B$7-Ayarlar!$B$9)),0))</f>
        <v/>
      </c>
      <c r="K176" s="12">
        <f>IF(OR(G176="",F176=""),"",(F176*(1-Ayarlar!$B$6)-(F176*(1-Ayarlar!$B$6)*Ayarlar!$B$7+Ayarlar!$B$8)-(G176*Ayarlar!$B$3+Ayarlar!$B$4+Ayarlar!$B$5))/(F176*(1-Ayarlar!$B$6)))</f>
        <v/>
      </c>
      <c r="L176" s="9">
        <f>IF(G176="","GRAM EKSİK",IF(F176&gt;30000,"FİYAT ŞÜPHELİ",IF(K176&lt;0,"ZARARDA",IF(F176&lt;I176,"RİSKLİ","ok"))))</f>
        <v/>
      </c>
      <c r="M176" s="13" t="inlineStr">
        <is>
          <t>https://www.etsy.com/listing/1296896712</t>
        </is>
      </c>
    </row>
    <row r="177">
      <c r="A177" s="3" t="inlineStr">
        <is>
          <t>chains</t>
        </is>
      </c>
      <c r="B177" s="3" t="inlineStr">
        <is>
          <t>14K Gold Rope Bracelet – Twisted Diamond Cut, Unisex Luxury</t>
        </is>
      </c>
      <c r="C177" s="3" t="n">
        <v>1296896712</v>
      </c>
      <c r="D177" s="3" t="inlineStr">
        <is>
          <t>BRP6F-7.5</t>
        </is>
      </c>
      <c r="E177" s="3" t="inlineStr">
        <is>
          <t>description-scaled</t>
        </is>
      </c>
      <c r="F177" s="14" t="n">
        <v>542</v>
      </c>
      <c r="G177" s="17" t="n">
        <v>3.09</v>
      </c>
      <c r="H177" s="14">
        <f>IF(G177="","",G177*Ayarlar!$B$3+Ayarlar!$B$4+Ayarlar!$B$5)</f>
        <v/>
      </c>
      <c r="I177" s="14">
        <f>IF(G177="","",ROUNDUP(((G177*Ayarlar!$B$3+Ayarlar!$B$4+Ayarlar!$B$5)+Ayarlar!$B$8)/((1-Ayarlar!$B$6)*(1-Ayarlar!$B$7)),0))</f>
        <v/>
      </c>
      <c r="J177" s="14">
        <f>IF(G177="","",ROUNDUP(((G177*Ayarlar!$B$3+Ayarlar!$B$4+Ayarlar!$B$5)+Ayarlar!$B$8)/((1-Ayarlar!$B$6)*(1-Ayarlar!$B$7-Ayarlar!$B$9)),0))</f>
        <v/>
      </c>
      <c r="K177" s="15">
        <f>IF(OR(G177="",F177=""),"",(F177*(1-Ayarlar!$B$6)-(F177*(1-Ayarlar!$B$6)*Ayarlar!$B$7+Ayarlar!$B$8)-(G177*Ayarlar!$B$3+Ayarlar!$B$4+Ayarlar!$B$5))/(F177*(1-Ayarlar!$B$6)))</f>
        <v/>
      </c>
      <c r="L177" s="3">
        <f>IF(G177="","GRAM EKSİK",IF(F177&gt;30000,"FİYAT ŞÜPHELİ",IF(K177&lt;0,"ZARARDA",IF(F177&lt;I177,"RİSKLİ","ok"))))</f>
        <v/>
      </c>
      <c r="M177" s="16" t="inlineStr">
        <is>
          <t>https://www.etsy.com/listing/1296896712</t>
        </is>
      </c>
    </row>
    <row r="178">
      <c r="A178" s="9" t="inlineStr">
        <is>
          <t>chains</t>
        </is>
      </c>
      <c r="B178" s="9" t="inlineStr">
        <is>
          <t>14K Gold Rope Bracelet – Twisted Diamond Cut, Unisex Luxury</t>
        </is>
      </c>
      <c r="C178" s="9" t="n">
        <v>1296896712</v>
      </c>
      <c r="D178" s="9" t="inlineStr">
        <is>
          <t>BRP6F-8</t>
        </is>
      </c>
      <c r="E178" s="9" t="inlineStr">
        <is>
          <t>description</t>
        </is>
      </c>
      <c r="F178" s="10" t="n">
        <v>572</v>
      </c>
      <c r="G178" s="18" t="n">
        <v>3.3</v>
      </c>
      <c r="H178" s="10">
        <f>IF(G178="","",G178*Ayarlar!$B$3+Ayarlar!$B$4+Ayarlar!$B$5)</f>
        <v/>
      </c>
      <c r="I178" s="10">
        <f>IF(G178="","",ROUNDUP(((G178*Ayarlar!$B$3+Ayarlar!$B$4+Ayarlar!$B$5)+Ayarlar!$B$8)/((1-Ayarlar!$B$6)*(1-Ayarlar!$B$7)),0))</f>
        <v/>
      </c>
      <c r="J178" s="10">
        <f>IF(G178="","",ROUNDUP(((G178*Ayarlar!$B$3+Ayarlar!$B$4+Ayarlar!$B$5)+Ayarlar!$B$8)/((1-Ayarlar!$B$6)*(1-Ayarlar!$B$7-Ayarlar!$B$9)),0))</f>
        <v/>
      </c>
      <c r="K178" s="12">
        <f>IF(OR(G178="",F178=""),"",(F178*(1-Ayarlar!$B$6)-(F178*(1-Ayarlar!$B$6)*Ayarlar!$B$7+Ayarlar!$B$8)-(G178*Ayarlar!$B$3+Ayarlar!$B$4+Ayarlar!$B$5))/(F178*(1-Ayarlar!$B$6)))</f>
        <v/>
      </c>
      <c r="L178" s="9">
        <f>IF(G178="","GRAM EKSİK",IF(F178&gt;30000,"FİYAT ŞÜPHELİ",IF(K178&lt;0,"ZARARDA",IF(F178&lt;I178,"RİSKLİ","ok"))))</f>
        <v/>
      </c>
      <c r="M178" s="13" t="inlineStr">
        <is>
          <t>https://www.etsy.com/listing/1296896712</t>
        </is>
      </c>
    </row>
    <row r="179">
      <c r="A179" s="3" t="inlineStr">
        <is>
          <t>chains</t>
        </is>
      </c>
      <c r="B179" s="3" t="inlineStr">
        <is>
          <t>14K Gold Rope Bracelet – Twisted Diamond Cut, Unisex Luxury</t>
        </is>
      </c>
      <c r="C179" s="3" t="n">
        <v>1296896712</v>
      </c>
      <c r="D179" s="3" t="inlineStr">
        <is>
          <t>BRP7F-7</t>
        </is>
      </c>
      <c r="E179" s="3" t="inlineStr">
        <is>
          <t>inferred</t>
        </is>
      </c>
      <c r="F179" s="14" t="n">
        <v>655</v>
      </c>
      <c r="G179" s="17" t="n">
        <v>3.66</v>
      </c>
      <c r="H179" s="14">
        <f>IF(G179="","",G179*Ayarlar!$B$3+Ayarlar!$B$4+Ayarlar!$B$5)</f>
        <v/>
      </c>
      <c r="I179" s="14">
        <f>IF(G179="","",ROUNDUP(((G179*Ayarlar!$B$3+Ayarlar!$B$4+Ayarlar!$B$5)+Ayarlar!$B$8)/((1-Ayarlar!$B$6)*(1-Ayarlar!$B$7)),0))</f>
        <v/>
      </c>
      <c r="J179" s="14">
        <f>IF(G179="","",ROUNDUP(((G179*Ayarlar!$B$3+Ayarlar!$B$4+Ayarlar!$B$5)+Ayarlar!$B$8)/((1-Ayarlar!$B$6)*(1-Ayarlar!$B$7-Ayarlar!$B$9)),0))</f>
        <v/>
      </c>
      <c r="K179" s="15">
        <f>IF(OR(G179="",F179=""),"",(F179*(1-Ayarlar!$B$6)-(F179*(1-Ayarlar!$B$6)*Ayarlar!$B$7+Ayarlar!$B$8)-(G179*Ayarlar!$B$3+Ayarlar!$B$4+Ayarlar!$B$5))/(F179*(1-Ayarlar!$B$6)))</f>
        <v/>
      </c>
      <c r="L179" s="3">
        <f>IF(G179="","GRAM EKSİK",IF(F179&gt;30000,"FİYAT ŞÜPHELİ",IF(K179&lt;0,"ZARARDA",IF(F179&lt;I179,"RİSKLİ","ok"))))</f>
        <v/>
      </c>
      <c r="M179" s="16" t="inlineStr">
        <is>
          <t>https://www.etsy.com/listing/1296896712</t>
        </is>
      </c>
    </row>
    <row r="180">
      <c r="A180" s="9" t="inlineStr">
        <is>
          <t>chains</t>
        </is>
      </c>
      <c r="B180" s="9" t="inlineStr">
        <is>
          <t>14K Gold Rope Bracelet – Twisted Diamond Cut, Unisex Luxury</t>
        </is>
      </c>
      <c r="C180" s="9" t="n">
        <v>1296896712</v>
      </c>
      <c r="D180" s="9" t="inlineStr">
        <is>
          <t>BRP7F-7.5</t>
        </is>
      </c>
      <c r="E180" s="9" t="inlineStr">
        <is>
          <t>shipstation</t>
        </is>
      </c>
      <c r="F180" s="10" t="n">
        <v>674</v>
      </c>
      <c r="G180" s="18" t="n">
        <v>3.92</v>
      </c>
      <c r="H180" s="10">
        <f>IF(G180="","",G180*Ayarlar!$B$3+Ayarlar!$B$4+Ayarlar!$B$5)</f>
        <v/>
      </c>
      <c r="I180" s="10">
        <f>IF(G180="","",ROUNDUP(((G180*Ayarlar!$B$3+Ayarlar!$B$4+Ayarlar!$B$5)+Ayarlar!$B$8)/((1-Ayarlar!$B$6)*(1-Ayarlar!$B$7)),0))</f>
        <v/>
      </c>
      <c r="J180" s="10">
        <f>IF(G180="","",ROUNDUP(((G180*Ayarlar!$B$3+Ayarlar!$B$4+Ayarlar!$B$5)+Ayarlar!$B$8)/((1-Ayarlar!$B$6)*(1-Ayarlar!$B$7-Ayarlar!$B$9)),0))</f>
        <v/>
      </c>
      <c r="K180" s="12">
        <f>IF(OR(G180="",F180=""),"",(F180*(1-Ayarlar!$B$6)-(F180*(1-Ayarlar!$B$6)*Ayarlar!$B$7+Ayarlar!$B$8)-(G180*Ayarlar!$B$3+Ayarlar!$B$4+Ayarlar!$B$5))/(F180*(1-Ayarlar!$B$6)))</f>
        <v/>
      </c>
      <c r="L180" s="9">
        <f>IF(G180="","GRAM EKSİK",IF(F180&gt;30000,"FİYAT ŞÜPHELİ",IF(K180&lt;0,"ZARARDA",IF(F180&lt;I180,"RİSKLİ","ok"))))</f>
        <v/>
      </c>
      <c r="M180" s="13" t="inlineStr">
        <is>
          <t>https://www.etsy.com/listing/1296896712</t>
        </is>
      </c>
    </row>
    <row r="181">
      <c r="A181" s="3" t="inlineStr">
        <is>
          <t>chains</t>
        </is>
      </c>
      <c r="B181" s="3" t="inlineStr">
        <is>
          <t>14K Gold Rope Bracelet – Twisted Diamond Cut, Unisex Luxury</t>
        </is>
      </c>
      <c r="C181" s="3" t="n">
        <v>1296896712</v>
      </c>
      <c r="D181" s="3" t="inlineStr">
        <is>
          <t>BRP7F-8</t>
        </is>
      </c>
      <c r="E181" s="3" t="inlineStr">
        <is>
          <t>inferred</t>
        </is>
      </c>
      <c r="F181" s="14" t="n">
        <v>723</v>
      </c>
      <c r="G181" s="17" t="n">
        <v>4.18</v>
      </c>
      <c r="H181" s="14">
        <f>IF(G181="","",G181*Ayarlar!$B$3+Ayarlar!$B$4+Ayarlar!$B$5)</f>
        <v/>
      </c>
      <c r="I181" s="14">
        <f>IF(G181="","",ROUNDUP(((G181*Ayarlar!$B$3+Ayarlar!$B$4+Ayarlar!$B$5)+Ayarlar!$B$8)/((1-Ayarlar!$B$6)*(1-Ayarlar!$B$7)),0))</f>
        <v/>
      </c>
      <c r="J181" s="14">
        <f>IF(G181="","",ROUNDUP(((G181*Ayarlar!$B$3+Ayarlar!$B$4+Ayarlar!$B$5)+Ayarlar!$B$8)/((1-Ayarlar!$B$6)*(1-Ayarlar!$B$7-Ayarlar!$B$9)),0))</f>
        <v/>
      </c>
      <c r="K181" s="15">
        <f>IF(OR(G181="",F181=""),"",(F181*(1-Ayarlar!$B$6)-(F181*(1-Ayarlar!$B$6)*Ayarlar!$B$7+Ayarlar!$B$8)-(G181*Ayarlar!$B$3+Ayarlar!$B$4+Ayarlar!$B$5))/(F181*(1-Ayarlar!$B$6)))</f>
        <v/>
      </c>
      <c r="L181" s="3">
        <f>IF(G181="","GRAM EKSİK",IF(F181&gt;30000,"FİYAT ŞÜPHELİ",IF(K181&lt;0,"ZARARDA",IF(F181&lt;I181,"RİSKLİ","ok"))))</f>
        <v/>
      </c>
      <c r="M181" s="16" t="inlineStr">
        <is>
          <t>https://www.etsy.com/listing/1296896712</t>
        </is>
      </c>
    </row>
    <row r="182">
      <c r="A182" s="9" t="inlineStr">
        <is>
          <t>chains</t>
        </is>
      </c>
      <c r="B182" s="9" t="inlineStr">
        <is>
          <t>14K Gold Rope Bracelet – Twisted Diamond Cut, Unisex Luxury</t>
        </is>
      </c>
      <c r="C182" s="9" t="n">
        <v>1296896712</v>
      </c>
      <c r="D182" s="9" t="inlineStr">
        <is>
          <t>BRP8F-7</t>
        </is>
      </c>
      <c r="E182" s="9" t="inlineStr">
        <is>
          <t>description-scaled</t>
        </is>
      </c>
      <c r="F182" s="10" t="n">
        <v>818</v>
      </c>
      <c r="G182" s="18" t="n">
        <v>4.62</v>
      </c>
      <c r="H182" s="10">
        <f>IF(G182="","",G182*Ayarlar!$B$3+Ayarlar!$B$4+Ayarlar!$B$5)</f>
        <v/>
      </c>
      <c r="I182" s="10">
        <f>IF(G182="","",ROUNDUP(((G182*Ayarlar!$B$3+Ayarlar!$B$4+Ayarlar!$B$5)+Ayarlar!$B$8)/((1-Ayarlar!$B$6)*(1-Ayarlar!$B$7)),0))</f>
        <v/>
      </c>
      <c r="J182" s="10">
        <f>IF(G182="","",ROUNDUP(((G182*Ayarlar!$B$3+Ayarlar!$B$4+Ayarlar!$B$5)+Ayarlar!$B$8)/((1-Ayarlar!$B$6)*(1-Ayarlar!$B$7-Ayarlar!$B$9)),0))</f>
        <v/>
      </c>
      <c r="K182" s="12">
        <f>IF(OR(G182="",F182=""),"",(F182*(1-Ayarlar!$B$6)-(F182*(1-Ayarlar!$B$6)*Ayarlar!$B$7+Ayarlar!$B$8)-(G182*Ayarlar!$B$3+Ayarlar!$B$4+Ayarlar!$B$5))/(F182*(1-Ayarlar!$B$6)))</f>
        <v/>
      </c>
      <c r="L182" s="9">
        <f>IF(G182="","GRAM EKSİK",IF(F182&gt;30000,"FİYAT ŞÜPHELİ",IF(K182&lt;0,"ZARARDA",IF(F182&lt;I182,"RİSKLİ","ok"))))</f>
        <v/>
      </c>
      <c r="M182" s="13" t="inlineStr">
        <is>
          <t>https://www.etsy.com/listing/1296896712</t>
        </is>
      </c>
    </row>
    <row r="183">
      <c r="A183" s="3" t="inlineStr">
        <is>
          <t>chains</t>
        </is>
      </c>
      <c r="B183" s="3" t="inlineStr">
        <is>
          <t>14K Gold Rope Bracelet – Twisted Diamond Cut, Unisex Luxury</t>
        </is>
      </c>
      <c r="C183" s="3" t="n">
        <v>1296896712</v>
      </c>
      <c r="D183" s="3" t="inlineStr">
        <is>
          <t>BRP8F-7.5</t>
        </is>
      </c>
      <c r="E183" s="3" t="inlineStr">
        <is>
          <t>description-scaled</t>
        </is>
      </c>
      <c r="F183" s="14" t="n">
        <v>890</v>
      </c>
      <c r="G183" s="17" t="n">
        <v>4.95</v>
      </c>
      <c r="H183" s="14">
        <f>IF(G183="","",G183*Ayarlar!$B$3+Ayarlar!$B$4+Ayarlar!$B$5)</f>
        <v/>
      </c>
      <c r="I183" s="14">
        <f>IF(G183="","",ROUNDUP(((G183*Ayarlar!$B$3+Ayarlar!$B$4+Ayarlar!$B$5)+Ayarlar!$B$8)/((1-Ayarlar!$B$6)*(1-Ayarlar!$B$7)),0))</f>
        <v/>
      </c>
      <c r="J183" s="14">
        <f>IF(G183="","",ROUNDUP(((G183*Ayarlar!$B$3+Ayarlar!$B$4+Ayarlar!$B$5)+Ayarlar!$B$8)/((1-Ayarlar!$B$6)*(1-Ayarlar!$B$7-Ayarlar!$B$9)),0))</f>
        <v/>
      </c>
      <c r="K183" s="15">
        <f>IF(OR(G183="",F183=""),"",(F183*(1-Ayarlar!$B$6)-(F183*(1-Ayarlar!$B$6)*Ayarlar!$B$7+Ayarlar!$B$8)-(G183*Ayarlar!$B$3+Ayarlar!$B$4+Ayarlar!$B$5))/(F183*(1-Ayarlar!$B$6)))</f>
        <v/>
      </c>
      <c r="L183" s="3">
        <f>IF(G183="","GRAM EKSİK",IF(F183&gt;30000,"FİYAT ŞÜPHELİ",IF(K183&lt;0,"ZARARDA",IF(F183&lt;I183,"RİSKLİ","ok"))))</f>
        <v/>
      </c>
      <c r="M183" s="16" t="inlineStr">
        <is>
          <t>https://www.etsy.com/listing/1296896712</t>
        </is>
      </c>
    </row>
    <row r="184">
      <c r="A184" s="9" t="inlineStr">
        <is>
          <t>chains</t>
        </is>
      </c>
      <c r="B184" s="9" t="inlineStr">
        <is>
          <t>14K Gold Rope Bracelet – Twisted Diamond Cut, Unisex Luxury</t>
        </is>
      </c>
      <c r="C184" s="9" t="n">
        <v>1296896712</v>
      </c>
      <c r="D184" s="9" t="inlineStr">
        <is>
          <t>BRP8F-8</t>
        </is>
      </c>
      <c r="E184" s="9" t="inlineStr">
        <is>
          <t>description</t>
        </is>
      </c>
      <c r="F184" s="10" t="n">
        <v>962</v>
      </c>
      <c r="G184" s="18" t="n">
        <v>5.28</v>
      </c>
      <c r="H184" s="10">
        <f>IF(G184="","",G184*Ayarlar!$B$3+Ayarlar!$B$4+Ayarlar!$B$5)</f>
        <v/>
      </c>
      <c r="I184" s="10">
        <f>IF(G184="","",ROUNDUP(((G184*Ayarlar!$B$3+Ayarlar!$B$4+Ayarlar!$B$5)+Ayarlar!$B$8)/((1-Ayarlar!$B$6)*(1-Ayarlar!$B$7)),0))</f>
        <v/>
      </c>
      <c r="J184" s="10">
        <f>IF(G184="","",ROUNDUP(((G184*Ayarlar!$B$3+Ayarlar!$B$4+Ayarlar!$B$5)+Ayarlar!$B$8)/((1-Ayarlar!$B$6)*(1-Ayarlar!$B$7-Ayarlar!$B$9)),0))</f>
        <v/>
      </c>
      <c r="K184" s="12">
        <f>IF(OR(G184="",F184=""),"",(F184*(1-Ayarlar!$B$6)-(F184*(1-Ayarlar!$B$6)*Ayarlar!$B$7+Ayarlar!$B$8)-(G184*Ayarlar!$B$3+Ayarlar!$B$4+Ayarlar!$B$5))/(F184*(1-Ayarlar!$B$6)))</f>
        <v/>
      </c>
      <c r="L184" s="9">
        <f>IF(G184="","GRAM EKSİK",IF(F184&gt;30000,"FİYAT ŞÜPHELİ",IF(K184&lt;0,"ZARARDA",IF(F184&lt;I184,"RİSKLİ","ok"))))</f>
        <v/>
      </c>
      <c r="M184" s="13" t="inlineStr">
        <is>
          <t>https://www.etsy.com/listing/1296896712</t>
        </is>
      </c>
    </row>
    <row r="185">
      <c r="A185" s="3" t="inlineStr">
        <is>
          <t>chains</t>
        </is>
      </c>
      <c r="B185" s="3" t="inlineStr">
        <is>
          <t>14K Real Gold Paperclip Chain Bracelet – Italian Link</t>
        </is>
      </c>
      <c r="C185" s="3" t="n">
        <v>1195517566</v>
      </c>
      <c r="D185" s="3" t="inlineStr">
        <is>
          <t>BPF1-7</t>
        </is>
      </c>
      <c r="E185" s="3" t="inlineStr">
        <is>
          <t>description</t>
        </is>
      </c>
      <c r="F185" s="14" t="n">
        <v>382</v>
      </c>
      <c r="G185" s="17" t="n">
        <v>2.1</v>
      </c>
      <c r="H185" s="14">
        <f>IF(G185="","",G185*Ayarlar!$B$3+Ayarlar!$B$4+Ayarlar!$B$5)</f>
        <v/>
      </c>
      <c r="I185" s="14">
        <f>IF(G185="","",ROUNDUP(((G185*Ayarlar!$B$3+Ayarlar!$B$4+Ayarlar!$B$5)+Ayarlar!$B$8)/((1-Ayarlar!$B$6)*(1-Ayarlar!$B$7)),0))</f>
        <v/>
      </c>
      <c r="J185" s="14">
        <f>IF(G185="","",ROUNDUP(((G185*Ayarlar!$B$3+Ayarlar!$B$4+Ayarlar!$B$5)+Ayarlar!$B$8)/((1-Ayarlar!$B$6)*(1-Ayarlar!$B$7-Ayarlar!$B$9)),0))</f>
        <v/>
      </c>
      <c r="K185" s="15">
        <f>IF(OR(G185="",F185=""),"",(F185*(1-Ayarlar!$B$6)-(F185*(1-Ayarlar!$B$6)*Ayarlar!$B$7+Ayarlar!$B$8)-(G185*Ayarlar!$B$3+Ayarlar!$B$4+Ayarlar!$B$5))/(F185*(1-Ayarlar!$B$6)))</f>
        <v/>
      </c>
      <c r="L185" s="3">
        <f>IF(G185="","GRAM EKSİK",IF(F185&gt;30000,"FİYAT ŞÜPHELİ",IF(K185&lt;0,"ZARARDA",IF(F185&lt;I185,"RİSKLİ","ok"))))</f>
        <v/>
      </c>
      <c r="M185" s="16" t="inlineStr">
        <is>
          <t>https://www.etsy.com/listing/1195517566</t>
        </is>
      </c>
    </row>
    <row r="186">
      <c r="A186" s="9" t="inlineStr">
        <is>
          <t>chains</t>
        </is>
      </c>
      <c r="B186" s="9" t="inlineStr">
        <is>
          <t>14K Real Gold Paperclip Chain Bracelet – Italian Link</t>
        </is>
      </c>
      <c r="C186" s="9" t="n">
        <v>1195517566</v>
      </c>
      <c r="D186" s="9" t="inlineStr">
        <is>
          <t>BPF1-7.5</t>
        </is>
      </c>
      <c r="E186" s="9" t="inlineStr">
        <is>
          <t>description</t>
        </is>
      </c>
      <c r="F186" s="10" t="n">
        <v>410</v>
      </c>
      <c r="G186" s="18" t="n">
        <v>2.25</v>
      </c>
      <c r="H186" s="10">
        <f>IF(G186="","",G186*Ayarlar!$B$3+Ayarlar!$B$4+Ayarlar!$B$5)</f>
        <v/>
      </c>
      <c r="I186" s="10">
        <f>IF(G186="","",ROUNDUP(((G186*Ayarlar!$B$3+Ayarlar!$B$4+Ayarlar!$B$5)+Ayarlar!$B$8)/((1-Ayarlar!$B$6)*(1-Ayarlar!$B$7)),0))</f>
        <v/>
      </c>
      <c r="J186" s="10">
        <f>IF(G186="","",ROUNDUP(((G186*Ayarlar!$B$3+Ayarlar!$B$4+Ayarlar!$B$5)+Ayarlar!$B$8)/((1-Ayarlar!$B$6)*(1-Ayarlar!$B$7-Ayarlar!$B$9)),0))</f>
        <v/>
      </c>
      <c r="K186" s="12">
        <f>IF(OR(G186="",F186=""),"",(F186*(1-Ayarlar!$B$6)-(F186*(1-Ayarlar!$B$6)*Ayarlar!$B$7+Ayarlar!$B$8)-(G186*Ayarlar!$B$3+Ayarlar!$B$4+Ayarlar!$B$5))/(F186*(1-Ayarlar!$B$6)))</f>
        <v/>
      </c>
      <c r="L186" s="9">
        <f>IF(G186="","GRAM EKSİK",IF(F186&gt;30000,"FİYAT ŞÜPHELİ",IF(K186&lt;0,"ZARARDA",IF(F186&lt;I186,"RİSKLİ","ok"))))</f>
        <v/>
      </c>
      <c r="M186" s="13" t="inlineStr">
        <is>
          <t>https://www.etsy.com/listing/1195517566</t>
        </is>
      </c>
    </row>
    <row r="187">
      <c r="A187" s="3" t="inlineStr">
        <is>
          <t>chains</t>
        </is>
      </c>
      <c r="B187" s="3" t="inlineStr">
        <is>
          <t>14K Real Gold Paperclip Chain Bracelet – Italian Link</t>
        </is>
      </c>
      <c r="C187" s="3" t="n">
        <v>1195517566</v>
      </c>
      <c r="D187" s="3" t="inlineStr">
        <is>
          <t>BPF1-8</t>
        </is>
      </c>
      <c r="E187" s="3" t="inlineStr">
        <is>
          <t>description</t>
        </is>
      </c>
      <c r="F187" s="14" t="n">
        <v>435</v>
      </c>
      <c r="G187" s="17" t="n">
        <v>2.4</v>
      </c>
      <c r="H187" s="14">
        <f>IF(G187="","",G187*Ayarlar!$B$3+Ayarlar!$B$4+Ayarlar!$B$5)</f>
        <v/>
      </c>
      <c r="I187" s="14">
        <f>IF(G187="","",ROUNDUP(((G187*Ayarlar!$B$3+Ayarlar!$B$4+Ayarlar!$B$5)+Ayarlar!$B$8)/((1-Ayarlar!$B$6)*(1-Ayarlar!$B$7)),0))</f>
        <v/>
      </c>
      <c r="J187" s="14">
        <f>IF(G187="","",ROUNDUP(((G187*Ayarlar!$B$3+Ayarlar!$B$4+Ayarlar!$B$5)+Ayarlar!$B$8)/((1-Ayarlar!$B$6)*(1-Ayarlar!$B$7-Ayarlar!$B$9)),0))</f>
        <v/>
      </c>
      <c r="K187" s="15">
        <f>IF(OR(G187="",F187=""),"",(F187*(1-Ayarlar!$B$6)-(F187*(1-Ayarlar!$B$6)*Ayarlar!$B$7+Ayarlar!$B$8)-(G187*Ayarlar!$B$3+Ayarlar!$B$4+Ayarlar!$B$5))/(F187*(1-Ayarlar!$B$6)))</f>
        <v/>
      </c>
      <c r="L187" s="3">
        <f>IF(G187="","GRAM EKSİK",IF(F187&gt;30000,"FİYAT ŞÜPHELİ",IF(K187&lt;0,"ZARARDA",IF(F187&lt;I187,"RİSKLİ","ok"))))</f>
        <v/>
      </c>
      <c r="M187" s="16" t="inlineStr">
        <is>
          <t>https://www.etsy.com/listing/1195517566</t>
        </is>
      </c>
    </row>
    <row r="188">
      <c r="A188" s="9" t="inlineStr">
        <is>
          <t>chains</t>
        </is>
      </c>
      <c r="B188" s="9" t="inlineStr">
        <is>
          <t>14K Real Gold Paperclip Chain Bracelet – Italian Link</t>
        </is>
      </c>
      <c r="C188" s="9" t="n">
        <v>1195517566</v>
      </c>
      <c r="D188" s="9" t="inlineStr">
        <is>
          <t>BPF2-7</t>
        </is>
      </c>
      <c r="E188" s="9" t="inlineStr">
        <is>
          <t>description</t>
        </is>
      </c>
      <c r="F188" s="10" t="n">
        <v>403</v>
      </c>
      <c r="G188" s="18" t="n">
        <v>2.14</v>
      </c>
      <c r="H188" s="10">
        <f>IF(G188="","",G188*Ayarlar!$B$3+Ayarlar!$B$4+Ayarlar!$B$5)</f>
        <v/>
      </c>
      <c r="I188" s="10">
        <f>IF(G188="","",ROUNDUP(((G188*Ayarlar!$B$3+Ayarlar!$B$4+Ayarlar!$B$5)+Ayarlar!$B$8)/((1-Ayarlar!$B$6)*(1-Ayarlar!$B$7)),0))</f>
        <v/>
      </c>
      <c r="J188" s="10">
        <f>IF(G188="","",ROUNDUP(((G188*Ayarlar!$B$3+Ayarlar!$B$4+Ayarlar!$B$5)+Ayarlar!$B$8)/((1-Ayarlar!$B$6)*(1-Ayarlar!$B$7-Ayarlar!$B$9)),0))</f>
        <v/>
      </c>
      <c r="K188" s="12">
        <f>IF(OR(G188="",F188=""),"",(F188*(1-Ayarlar!$B$6)-(F188*(1-Ayarlar!$B$6)*Ayarlar!$B$7+Ayarlar!$B$8)-(G188*Ayarlar!$B$3+Ayarlar!$B$4+Ayarlar!$B$5))/(F188*(1-Ayarlar!$B$6)))</f>
        <v/>
      </c>
      <c r="L188" s="9">
        <f>IF(G188="","GRAM EKSİK",IF(F188&gt;30000,"FİYAT ŞÜPHELİ",IF(K188&lt;0,"ZARARDA",IF(F188&lt;I188,"RİSKLİ","ok"))))</f>
        <v/>
      </c>
      <c r="M188" s="13" t="inlineStr">
        <is>
          <t>https://www.etsy.com/listing/1195517566</t>
        </is>
      </c>
    </row>
    <row r="189">
      <c r="A189" s="3" t="inlineStr">
        <is>
          <t>chains</t>
        </is>
      </c>
      <c r="B189" s="3" t="inlineStr">
        <is>
          <t>14K Real Gold Paperclip Chain Bracelet – Italian Link</t>
        </is>
      </c>
      <c r="C189" s="3" t="n">
        <v>1195517566</v>
      </c>
      <c r="D189" s="3" t="inlineStr">
        <is>
          <t>BPF2-7.5</t>
        </is>
      </c>
      <c r="E189" s="3" t="inlineStr">
        <is>
          <t>description</t>
        </is>
      </c>
      <c r="F189" s="14" t="n">
        <v>430</v>
      </c>
      <c r="G189" s="17" t="n">
        <v>2.29</v>
      </c>
      <c r="H189" s="14">
        <f>IF(G189="","",G189*Ayarlar!$B$3+Ayarlar!$B$4+Ayarlar!$B$5)</f>
        <v/>
      </c>
      <c r="I189" s="14">
        <f>IF(G189="","",ROUNDUP(((G189*Ayarlar!$B$3+Ayarlar!$B$4+Ayarlar!$B$5)+Ayarlar!$B$8)/((1-Ayarlar!$B$6)*(1-Ayarlar!$B$7)),0))</f>
        <v/>
      </c>
      <c r="J189" s="14">
        <f>IF(G189="","",ROUNDUP(((G189*Ayarlar!$B$3+Ayarlar!$B$4+Ayarlar!$B$5)+Ayarlar!$B$8)/((1-Ayarlar!$B$6)*(1-Ayarlar!$B$7-Ayarlar!$B$9)),0))</f>
        <v/>
      </c>
      <c r="K189" s="15">
        <f>IF(OR(G189="",F189=""),"",(F189*(1-Ayarlar!$B$6)-(F189*(1-Ayarlar!$B$6)*Ayarlar!$B$7+Ayarlar!$B$8)-(G189*Ayarlar!$B$3+Ayarlar!$B$4+Ayarlar!$B$5))/(F189*(1-Ayarlar!$B$6)))</f>
        <v/>
      </c>
      <c r="L189" s="3">
        <f>IF(G189="","GRAM EKSİK",IF(F189&gt;30000,"FİYAT ŞÜPHELİ",IF(K189&lt;0,"ZARARDA",IF(F189&lt;I189,"RİSKLİ","ok"))))</f>
        <v/>
      </c>
      <c r="M189" s="16" t="inlineStr">
        <is>
          <t>https://www.etsy.com/listing/1195517566</t>
        </is>
      </c>
    </row>
    <row r="190">
      <c r="A190" s="9" t="inlineStr">
        <is>
          <t>chains</t>
        </is>
      </c>
      <c r="B190" s="9" t="inlineStr">
        <is>
          <t>14K Real Gold Paperclip Chain Bracelet – Italian Link</t>
        </is>
      </c>
      <c r="C190" s="9" t="n">
        <v>1195517566</v>
      </c>
      <c r="D190" s="9" t="inlineStr">
        <is>
          <t>BPF2-8</t>
        </is>
      </c>
      <c r="E190" s="9" t="inlineStr">
        <is>
          <t>description</t>
        </is>
      </c>
      <c r="F190" s="10" t="n">
        <v>450</v>
      </c>
      <c r="G190" s="18" t="n">
        <v>2.44</v>
      </c>
      <c r="H190" s="10">
        <f>IF(G190="","",G190*Ayarlar!$B$3+Ayarlar!$B$4+Ayarlar!$B$5)</f>
        <v/>
      </c>
      <c r="I190" s="10">
        <f>IF(G190="","",ROUNDUP(((G190*Ayarlar!$B$3+Ayarlar!$B$4+Ayarlar!$B$5)+Ayarlar!$B$8)/((1-Ayarlar!$B$6)*(1-Ayarlar!$B$7)),0))</f>
        <v/>
      </c>
      <c r="J190" s="10">
        <f>IF(G190="","",ROUNDUP(((G190*Ayarlar!$B$3+Ayarlar!$B$4+Ayarlar!$B$5)+Ayarlar!$B$8)/((1-Ayarlar!$B$6)*(1-Ayarlar!$B$7-Ayarlar!$B$9)),0))</f>
        <v/>
      </c>
      <c r="K190" s="12">
        <f>IF(OR(G190="",F190=""),"",(F190*(1-Ayarlar!$B$6)-(F190*(1-Ayarlar!$B$6)*Ayarlar!$B$7+Ayarlar!$B$8)-(G190*Ayarlar!$B$3+Ayarlar!$B$4+Ayarlar!$B$5))/(F190*(1-Ayarlar!$B$6)))</f>
        <v/>
      </c>
      <c r="L190" s="9">
        <f>IF(G190="","GRAM EKSİK",IF(F190&gt;30000,"FİYAT ŞÜPHELİ",IF(K190&lt;0,"ZARARDA",IF(F190&lt;I190,"RİSKLİ","ok"))))</f>
        <v/>
      </c>
      <c r="M190" s="13" t="inlineStr">
        <is>
          <t>https://www.etsy.com/listing/1195517566</t>
        </is>
      </c>
    </row>
    <row r="191">
      <c r="A191" s="3" t="inlineStr">
        <is>
          <t>chains</t>
        </is>
      </c>
      <c r="B191" s="3" t="inlineStr">
        <is>
          <t>14K Real Gold Paperclip Chain Bracelet – Italian Link</t>
        </is>
      </c>
      <c r="C191" s="3" t="n">
        <v>1195517566</v>
      </c>
      <c r="D191" s="3" t="inlineStr">
        <is>
          <t>BPF3-7</t>
        </is>
      </c>
      <c r="E191" s="3" t="inlineStr">
        <is>
          <t>description</t>
        </is>
      </c>
      <c r="F191" s="14" t="n">
        <v>582</v>
      </c>
      <c r="G191" s="17" t="n">
        <v>3.5</v>
      </c>
      <c r="H191" s="14">
        <f>IF(G191="","",G191*Ayarlar!$B$3+Ayarlar!$B$4+Ayarlar!$B$5)</f>
        <v/>
      </c>
      <c r="I191" s="14">
        <f>IF(G191="","",ROUNDUP(((G191*Ayarlar!$B$3+Ayarlar!$B$4+Ayarlar!$B$5)+Ayarlar!$B$8)/((1-Ayarlar!$B$6)*(1-Ayarlar!$B$7)),0))</f>
        <v/>
      </c>
      <c r="J191" s="14">
        <f>IF(G191="","",ROUNDUP(((G191*Ayarlar!$B$3+Ayarlar!$B$4+Ayarlar!$B$5)+Ayarlar!$B$8)/((1-Ayarlar!$B$6)*(1-Ayarlar!$B$7-Ayarlar!$B$9)),0))</f>
        <v/>
      </c>
      <c r="K191" s="15">
        <f>IF(OR(G191="",F191=""),"",(F191*(1-Ayarlar!$B$6)-(F191*(1-Ayarlar!$B$6)*Ayarlar!$B$7+Ayarlar!$B$8)-(G191*Ayarlar!$B$3+Ayarlar!$B$4+Ayarlar!$B$5))/(F191*(1-Ayarlar!$B$6)))</f>
        <v/>
      </c>
      <c r="L191" s="3">
        <f>IF(G191="","GRAM EKSİK",IF(F191&gt;30000,"FİYAT ŞÜPHELİ",IF(K191&lt;0,"ZARARDA",IF(F191&lt;I191,"RİSKLİ","ok"))))</f>
        <v/>
      </c>
      <c r="M191" s="16" t="inlineStr">
        <is>
          <t>https://www.etsy.com/listing/1195517566</t>
        </is>
      </c>
    </row>
    <row r="192">
      <c r="A192" s="9" t="inlineStr">
        <is>
          <t>chains</t>
        </is>
      </c>
      <c r="B192" s="9" t="inlineStr">
        <is>
          <t>14K Real Gold Paperclip Chain Bracelet – Italian Link</t>
        </is>
      </c>
      <c r="C192" s="9" t="n">
        <v>1195517566</v>
      </c>
      <c r="D192" s="9" t="inlineStr">
        <is>
          <t>BPF3-7.5</t>
        </is>
      </c>
      <c r="E192" s="9" t="inlineStr">
        <is>
          <t>description</t>
        </is>
      </c>
      <c r="F192" s="10" t="n">
        <v>623</v>
      </c>
      <c r="G192" s="18" t="n">
        <v>3.75</v>
      </c>
      <c r="H192" s="10">
        <f>IF(G192="","",G192*Ayarlar!$B$3+Ayarlar!$B$4+Ayarlar!$B$5)</f>
        <v/>
      </c>
      <c r="I192" s="10">
        <f>IF(G192="","",ROUNDUP(((G192*Ayarlar!$B$3+Ayarlar!$B$4+Ayarlar!$B$5)+Ayarlar!$B$8)/((1-Ayarlar!$B$6)*(1-Ayarlar!$B$7)),0))</f>
        <v/>
      </c>
      <c r="J192" s="10">
        <f>IF(G192="","",ROUNDUP(((G192*Ayarlar!$B$3+Ayarlar!$B$4+Ayarlar!$B$5)+Ayarlar!$B$8)/((1-Ayarlar!$B$6)*(1-Ayarlar!$B$7-Ayarlar!$B$9)),0))</f>
        <v/>
      </c>
      <c r="K192" s="12">
        <f>IF(OR(G192="",F192=""),"",(F192*(1-Ayarlar!$B$6)-(F192*(1-Ayarlar!$B$6)*Ayarlar!$B$7+Ayarlar!$B$8)-(G192*Ayarlar!$B$3+Ayarlar!$B$4+Ayarlar!$B$5))/(F192*(1-Ayarlar!$B$6)))</f>
        <v/>
      </c>
      <c r="L192" s="9">
        <f>IF(G192="","GRAM EKSİK",IF(F192&gt;30000,"FİYAT ŞÜPHELİ",IF(K192&lt;0,"ZARARDA",IF(F192&lt;I192,"RİSKLİ","ok"))))</f>
        <v/>
      </c>
      <c r="M192" s="13" t="inlineStr">
        <is>
          <t>https://www.etsy.com/listing/1195517566</t>
        </is>
      </c>
    </row>
    <row r="193">
      <c r="A193" s="3" t="inlineStr">
        <is>
          <t>chains</t>
        </is>
      </c>
      <c r="B193" s="3" t="inlineStr">
        <is>
          <t>14K Real Gold Paperclip Chain Bracelet – Italian Link</t>
        </is>
      </c>
      <c r="C193" s="3" t="n">
        <v>1195517566</v>
      </c>
      <c r="D193" s="3" t="inlineStr">
        <is>
          <t>BPF3-8</t>
        </is>
      </c>
      <c r="E193" s="3" t="inlineStr">
        <is>
          <t>description</t>
        </is>
      </c>
      <c r="F193" s="14" t="n">
        <v>666</v>
      </c>
      <c r="G193" s="17" t="n">
        <v>4</v>
      </c>
      <c r="H193" s="14">
        <f>IF(G193="","",G193*Ayarlar!$B$3+Ayarlar!$B$4+Ayarlar!$B$5)</f>
        <v/>
      </c>
      <c r="I193" s="14">
        <f>IF(G193="","",ROUNDUP(((G193*Ayarlar!$B$3+Ayarlar!$B$4+Ayarlar!$B$5)+Ayarlar!$B$8)/((1-Ayarlar!$B$6)*(1-Ayarlar!$B$7)),0))</f>
        <v/>
      </c>
      <c r="J193" s="14">
        <f>IF(G193="","",ROUNDUP(((G193*Ayarlar!$B$3+Ayarlar!$B$4+Ayarlar!$B$5)+Ayarlar!$B$8)/((1-Ayarlar!$B$6)*(1-Ayarlar!$B$7-Ayarlar!$B$9)),0))</f>
        <v/>
      </c>
      <c r="K193" s="15">
        <f>IF(OR(G193="",F193=""),"",(F193*(1-Ayarlar!$B$6)-(F193*(1-Ayarlar!$B$6)*Ayarlar!$B$7+Ayarlar!$B$8)-(G193*Ayarlar!$B$3+Ayarlar!$B$4+Ayarlar!$B$5))/(F193*(1-Ayarlar!$B$6)))</f>
        <v/>
      </c>
      <c r="L193" s="3">
        <f>IF(G193="","GRAM EKSİK",IF(F193&gt;30000,"FİYAT ŞÜPHELİ",IF(K193&lt;0,"ZARARDA",IF(F193&lt;I193,"RİSKLİ","ok"))))</f>
        <v/>
      </c>
      <c r="M193" s="16" t="inlineStr">
        <is>
          <t>https://www.etsy.com/listing/1195517566</t>
        </is>
      </c>
    </row>
    <row r="194">
      <c r="A194" s="9" t="inlineStr">
        <is>
          <t>chains</t>
        </is>
      </c>
      <c r="B194" s="9" t="inlineStr">
        <is>
          <t>14K Real Gold Paperclip Chain Bracelet – Italian Link</t>
        </is>
      </c>
      <c r="C194" s="9" t="n">
        <v>1195517566</v>
      </c>
      <c r="D194" s="9" t="inlineStr">
        <is>
          <t>BPF4-7</t>
        </is>
      </c>
      <c r="E194" s="9" t="inlineStr">
        <is>
          <t>description</t>
        </is>
      </c>
      <c r="F194" s="10" t="n">
        <v>436</v>
      </c>
      <c r="G194" s="18" t="n">
        <v>2.49</v>
      </c>
      <c r="H194" s="10">
        <f>IF(G194="","",G194*Ayarlar!$B$3+Ayarlar!$B$4+Ayarlar!$B$5)</f>
        <v/>
      </c>
      <c r="I194" s="10">
        <f>IF(G194="","",ROUNDUP(((G194*Ayarlar!$B$3+Ayarlar!$B$4+Ayarlar!$B$5)+Ayarlar!$B$8)/((1-Ayarlar!$B$6)*(1-Ayarlar!$B$7)),0))</f>
        <v/>
      </c>
      <c r="J194" s="10">
        <f>IF(G194="","",ROUNDUP(((G194*Ayarlar!$B$3+Ayarlar!$B$4+Ayarlar!$B$5)+Ayarlar!$B$8)/((1-Ayarlar!$B$6)*(1-Ayarlar!$B$7-Ayarlar!$B$9)),0))</f>
        <v/>
      </c>
      <c r="K194" s="12">
        <f>IF(OR(G194="",F194=""),"",(F194*(1-Ayarlar!$B$6)-(F194*(1-Ayarlar!$B$6)*Ayarlar!$B$7+Ayarlar!$B$8)-(G194*Ayarlar!$B$3+Ayarlar!$B$4+Ayarlar!$B$5))/(F194*(1-Ayarlar!$B$6)))</f>
        <v/>
      </c>
      <c r="L194" s="9">
        <f>IF(G194="","GRAM EKSİK",IF(F194&gt;30000,"FİYAT ŞÜPHELİ",IF(K194&lt;0,"ZARARDA",IF(F194&lt;I194,"RİSKLİ","ok"))))</f>
        <v/>
      </c>
      <c r="M194" s="13" t="inlineStr">
        <is>
          <t>https://www.etsy.com/listing/1195517566</t>
        </is>
      </c>
    </row>
    <row r="195">
      <c r="A195" s="3" t="inlineStr">
        <is>
          <t>chains</t>
        </is>
      </c>
      <c r="B195" s="3" t="inlineStr">
        <is>
          <t>14K Real Gold Paperclip Chain Bracelet – Italian Link</t>
        </is>
      </c>
      <c r="C195" s="3" t="n">
        <v>1195517566</v>
      </c>
      <c r="D195" s="3" t="inlineStr">
        <is>
          <t>BPF4-7.5</t>
        </is>
      </c>
      <c r="E195" s="3" t="inlineStr">
        <is>
          <t>description</t>
        </is>
      </c>
      <c r="F195" s="14" t="n">
        <v>456</v>
      </c>
      <c r="G195" s="17" t="n">
        <v>2.67</v>
      </c>
      <c r="H195" s="14">
        <f>IF(G195="","",G195*Ayarlar!$B$3+Ayarlar!$B$4+Ayarlar!$B$5)</f>
        <v/>
      </c>
      <c r="I195" s="14">
        <f>IF(G195="","",ROUNDUP(((G195*Ayarlar!$B$3+Ayarlar!$B$4+Ayarlar!$B$5)+Ayarlar!$B$8)/((1-Ayarlar!$B$6)*(1-Ayarlar!$B$7)),0))</f>
        <v/>
      </c>
      <c r="J195" s="14">
        <f>IF(G195="","",ROUNDUP(((G195*Ayarlar!$B$3+Ayarlar!$B$4+Ayarlar!$B$5)+Ayarlar!$B$8)/((1-Ayarlar!$B$6)*(1-Ayarlar!$B$7-Ayarlar!$B$9)),0))</f>
        <v/>
      </c>
      <c r="K195" s="15">
        <f>IF(OR(G195="",F195=""),"",(F195*(1-Ayarlar!$B$6)-(F195*(1-Ayarlar!$B$6)*Ayarlar!$B$7+Ayarlar!$B$8)-(G195*Ayarlar!$B$3+Ayarlar!$B$4+Ayarlar!$B$5))/(F195*(1-Ayarlar!$B$6)))</f>
        <v/>
      </c>
      <c r="L195" s="3">
        <f>IF(G195="","GRAM EKSİK",IF(F195&gt;30000,"FİYAT ŞÜPHELİ",IF(K195&lt;0,"ZARARDA",IF(F195&lt;I195,"RİSKLİ","ok"))))</f>
        <v/>
      </c>
      <c r="M195" s="16" t="inlineStr">
        <is>
          <t>https://www.etsy.com/listing/1195517566</t>
        </is>
      </c>
    </row>
    <row r="196">
      <c r="A196" s="9" t="inlineStr">
        <is>
          <t>chains</t>
        </is>
      </c>
      <c r="B196" s="9" t="inlineStr">
        <is>
          <t>14K Real Gold Paperclip Chain Bracelet – Italian Link</t>
        </is>
      </c>
      <c r="C196" s="9" t="n">
        <v>1195517566</v>
      </c>
      <c r="D196" s="9" t="inlineStr">
        <is>
          <t>BPF4-8</t>
        </is>
      </c>
      <c r="E196" s="9" t="inlineStr">
        <is>
          <t>description</t>
        </is>
      </c>
      <c r="F196" s="10" t="n">
        <v>478</v>
      </c>
      <c r="G196" s="18" t="n">
        <v>2.84</v>
      </c>
      <c r="H196" s="10">
        <f>IF(G196="","",G196*Ayarlar!$B$3+Ayarlar!$B$4+Ayarlar!$B$5)</f>
        <v/>
      </c>
      <c r="I196" s="10">
        <f>IF(G196="","",ROUNDUP(((G196*Ayarlar!$B$3+Ayarlar!$B$4+Ayarlar!$B$5)+Ayarlar!$B$8)/((1-Ayarlar!$B$6)*(1-Ayarlar!$B$7)),0))</f>
        <v/>
      </c>
      <c r="J196" s="10">
        <f>IF(G196="","",ROUNDUP(((G196*Ayarlar!$B$3+Ayarlar!$B$4+Ayarlar!$B$5)+Ayarlar!$B$8)/((1-Ayarlar!$B$6)*(1-Ayarlar!$B$7-Ayarlar!$B$9)),0))</f>
        <v/>
      </c>
      <c r="K196" s="12">
        <f>IF(OR(G196="",F196=""),"",(F196*(1-Ayarlar!$B$6)-(F196*(1-Ayarlar!$B$6)*Ayarlar!$B$7+Ayarlar!$B$8)-(G196*Ayarlar!$B$3+Ayarlar!$B$4+Ayarlar!$B$5))/(F196*(1-Ayarlar!$B$6)))</f>
        <v/>
      </c>
      <c r="L196" s="9">
        <f>IF(G196="","GRAM EKSİK",IF(F196&gt;30000,"FİYAT ŞÜPHELİ",IF(K196&lt;0,"ZARARDA",IF(F196&lt;I196,"RİSKLİ","ok"))))</f>
        <v/>
      </c>
      <c r="M196" s="13" t="inlineStr">
        <is>
          <t>https://www.etsy.com/listing/1195517566</t>
        </is>
      </c>
    </row>
    <row r="197">
      <c r="A197" s="3" t="inlineStr">
        <is>
          <t>chains</t>
        </is>
      </c>
      <c r="B197" s="3" t="inlineStr">
        <is>
          <t>14K Real Gold Paperclip Chain Bracelet – Italian Link</t>
        </is>
      </c>
      <c r="C197" s="3" t="n">
        <v>1195517566</v>
      </c>
      <c r="D197" s="3" t="inlineStr">
        <is>
          <t>BPF5-7</t>
        </is>
      </c>
      <c r="E197" s="3" t="inlineStr">
        <is>
          <t>description</t>
        </is>
      </c>
      <c r="F197" s="14" t="n">
        <v>458</v>
      </c>
      <c r="G197" s="17" t="n">
        <v>2.91</v>
      </c>
      <c r="H197" s="14">
        <f>IF(G197="","",G197*Ayarlar!$B$3+Ayarlar!$B$4+Ayarlar!$B$5)</f>
        <v/>
      </c>
      <c r="I197" s="14">
        <f>IF(G197="","",ROUNDUP(((G197*Ayarlar!$B$3+Ayarlar!$B$4+Ayarlar!$B$5)+Ayarlar!$B$8)/((1-Ayarlar!$B$6)*(1-Ayarlar!$B$7)),0))</f>
        <v/>
      </c>
      <c r="J197" s="14">
        <f>IF(G197="","",ROUNDUP(((G197*Ayarlar!$B$3+Ayarlar!$B$4+Ayarlar!$B$5)+Ayarlar!$B$8)/((1-Ayarlar!$B$6)*(1-Ayarlar!$B$7-Ayarlar!$B$9)),0))</f>
        <v/>
      </c>
      <c r="K197" s="15">
        <f>IF(OR(G197="",F197=""),"",(F197*(1-Ayarlar!$B$6)-(F197*(1-Ayarlar!$B$6)*Ayarlar!$B$7+Ayarlar!$B$8)-(G197*Ayarlar!$B$3+Ayarlar!$B$4+Ayarlar!$B$5))/(F197*(1-Ayarlar!$B$6)))</f>
        <v/>
      </c>
      <c r="L197" s="3">
        <f>IF(G197="","GRAM EKSİK",IF(F197&gt;30000,"FİYAT ŞÜPHELİ",IF(K197&lt;0,"ZARARDA",IF(F197&lt;I197,"RİSKLİ","ok"))))</f>
        <v/>
      </c>
      <c r="M197" s="16" t="inlineStr">
        <is>
          <t>https://www.etsy.com/listing/1195517566</t>
        </is>
      </c>
    </row>
    <row r="198">
      <c r="A198" s="9" t="inlineStr">
        <is>
          <t>chains</t>
        </is>
      </c>
      <c r="B198" s="9" t="inlineStr">
        <is>
          <t>14K Real Gold Paperclip Chain Bracelet – Italian Link</t>
        </is>
      </c>
      <c r="C198" s="9" t="n">
        <v>1195517566</v>
      </c>
      <c r="D198" s="9" t="inlineStr">
        <is>
          <t>BPF5-7.5</t>
        </is>
      </c>
      <c r="E198" s="9" t="inlineStr">
        <is>
          <t>description</t>
        </is>
      </c>
      <c r="F198" s="10" t="n">
        <v>480</v>
      </c>
      <c r="G198" s="18" t="n">
        <v>3.12</v>
      </c>
      <c r="H198" s="10">
        <f>IF(G198="","",G198*Ayarlar!$B$3+Ayarlar!$B$4+Ayarlar!$B$5)</f>
        <v/>
      </c>
      <c r="I198" s="10">
        <f>IF(G198="","",ROUNDUP(((G198*Ayarlar!$B$3+Ayarlar!$B$4+Ayarlar!$B$5)+Ayarlar!$B$8)/((1-Ayarlar!$B$6)*(1-Ayarlar!$B$7)),0))</f>
        <v/>
      </c>
      <c r="J198" s="10">
        <f>IF(G198="","",ROUNDUP(((G198*Ayarlar!$B$3+Ayarlar!$B$4+Ayarlar!$B$5)+Ayarlar!$B$8)/((1-Ayarlar!$B$6)*(1-Ayarlar!$B$7-Ayarlar!$B$9)),0))</f>
        <v/>
      </c>
      <c r="K198" s="12">
        <f>IF(OR(G198="",F198=""),"",(F198*(1-Ayarlar!$B$6)-(F198*(1-Ayarlar!$B$6)*Ayarlar!$B$7+Ayarlar!$B$8)-(G198*Ayarlar!$B$3+Ayarlar!$B$4+Ayarlar!$B$5))/(F198*(1-Ayarlar!$B$6)))</f>
        <v/>
      </c>
      <c r="L198" s="9">
        <f>IF(G198="","GRAM EKSİK",IF(F198&gt;30000,"FİYAT ŞÜPHELİ",IF(K198&lt;0,"ZARARDA",IF(F198&lt;I198,"RİSKLİ","ok"))))</f>
        <v/>
      </c>
      <c r="M198" s="13" t="inlineStr">
        <is>
          <t>https://www.etsy.com/listing/1195517566</t>
        </is>
      </c>
    </row>
    <row r="199">
      <c r="A199" s="3" t="inlineStr">
        <is>
          <t>chains</t>
        </is>
      </c>
      <c r="B199" s="3" t="inlineStr">
        <is>
          <t>14K Real Gold Paperclip Chain Bracelet – Italian Link</t>
        </is>
      </c>
      <c r="C199" s="3" t="n">
        <v>1195517566</v>
      </c>
      <c r="D199" s="3" t="inlineStr">
        <is>
          <t>BPF5-8</t>
        </is>
      </c>
      <c r="E199" s="3" t="inlineStr">
        <is>
          <t>description</t>
        </is>
      </c>
      <c r="F199" s="14" t="n">
        <v>500</v>
      </c>
      <c r="G199" s="17" t="n">
        <v>3.33</v>
      </c>
      <c r="H199" s="14">
        <f>IF(G199="","",G199*Ayarlar!$B$3+Ayarlar!$B$4+Ayarlar!$B$5)</f>
        <v/>
      </c>
      <c r="I199" s="14">
        <f>IF(G199="","",ROUNDUP(((G199*Ayarlar!$B$3+Ayarlar!$B$4+Ayarlar!$B$5)+Ayarlar!$B$8)/((1-Ayarlar!$B$6)*(1-Ayarlar!$B$7)),0))</f>
        <v/>
      </c>
      <c r="J199" s="14">
        <f>IF(G199="","",ROUNDUP(((G199*Ayarlar!$B$3+Ayarlar!$B$4+Ayarlar!$B$5)+Ayarlar!$B$8)/((1-Ayarlar!$B$6)*(1-Ayarlar!$B$7-Ayarlar!$B$9)),0))</f>
        <v/>
      </c>
      <c r="K199" s="15">
        <f>IF(OR(G199="",F199=""),"",(F199*(1-Ayarlar!$B$6)-(F199*(1-Ayarlar!$B$6)*Ayarlar!$B$7+Ayarlar!$B$8)-(G199*Ayarlar!$B$3+Ayarlar!$B$4+Ayarlar!$B$5))/(F199*(1-Ayarlar!$B$6)))</f>
        <v/>
      </c>
      <c r="L199" s="3">
        <f>IF(G199="","GRAM EKSİK",IF(F199&gt;30000,"FİYAT ŞÜPHELİ",IF(K199&lt;0,"ZARARDA",IF(F199&lt;I199,"RİSKLİ","ok"))))</f>
        <v/>
      </c>
      <c r="M199" s="16" t="inlineStr">
        <is>
          <t>https://www.etsy.com/listing/1195517566</t>
        </is>
      </c>
    </row>
    <row r="200">
      <c r="A200" s="9" t="inlineStr">
        <is>
          <t>chains</t>
        </is>
      </c>
      <c r="B200" s="9" t="inlineStr">
        <is>
          <t>14K Real Gold Paperclip Chain Bracelet – Italian Link</t>
        </is>
      </c>
      <c r="C200" s="9" t="n">
        <v>1195517566</v>
      </c>
      <c r="D200" s="9" t="inlineStr">
        <is>
          <t>BPF6-7</t>
        </is>
      </c>
      <c r="E200" s="9" t="inlineStr">
        <is>
          <t>description</t>
        </is>
      </c>
      <c r="F200" s="10" t="n">
        <v>522</v>
      </c>
      <c r="G200" s="18" t="n">
        <v>3.43</v>
      </c>
      <c r="H200" s="10">
        <f>IF(G200="","",G200*Ayarlar!$B$3+Ayarlar!$B$4+Ayarlar!$B$5)</f>
        <v/>
      </c>
      <c r="I200" s="10">
        <f>IF(G200="","",ROUNDUP(((G200*Ayarlar!$B$3+Ayarlar!$B$4+Ayarlar!$B$5)+Ayarlar!$B$8)/((1-Ayarlar!$B$6)*(1-Ayarlar!$B$7)),0))</f>
        <v/>
      </c>
      <c r="J200" s="10">
        <f>IF(G200="","",ROUNDUP(((G200*Ayarlar!$B$3+Ayarlar!$B$4+Ayarlar!$B$5)+Ayarlar!$B$8)/((1-Ayarlar!$B$6)*(1-Ayarlar!$B$7-Ayarlar!$B$9)),0))</f>
        <v/>
      </c>
      <c r="K200" s="12">
        <f>IF(OR(G200="",F200=""),"",(F200*(1-Ayarlar!$B$6)-(F200*(1-Ayarlar!$B$6)*Ayarlar!$B$7+Ayarlar!$B$8)-(G200*Ayarlar!$B$3+Ayarlar!$B$4+Ayarlar!$B$5))/(F200*(1-Ayarlar!$B$6)))</f>
        <v/>
      </c>
      <c r="L200" s="9">
        <f>IF(G200="","GRAM EKSİK",IF(F200&gt;30000,"FİYAT ŞÜPHELİ",IF(K200&lt;0,"ZARARDA",IF(F200&lt;I200,"RİSKLİ","ok"))))</f>
        <v/>
      </c>
      <c r="M200" s="13" t="inlineStr">
        <is>
          <t>https://www.etsy.com/listing/1195517566</t>
        </is>
      </c>
    </row>
    <row r="201">
      <c r="A201" s="3" t="inlineStr">
        <is>
          <t>chains</t>
        </is>
      </c>
      <c r="B201" s="3" t="inlineStr">
        <is>
          <t>14K Real Gold Paperclip Chain Bracelet – Italian Link</t>
        </is>
      </c>
      <c r="C201" s="3" t="n">
        <v>1195517566</v>
      </c>
      <c r="D201" s="3" t="inlineStr">
        <is>
          <t>BPF6-7.5</t>
        </is>
      </c>
      <c r="E201" s="3" t="inlineStr">
        <is>
          <t>description</t>
        </is>
      </c>
      <c r="F201" s="14" t="n">
        <v>563</v>
      </c>
      <c r="G201" s="17" t="n">
        <v>3.68</v>
      </c>
      <c r="H201" s="14">
        <f>IF(G201="","",G201*Ayarlar!$B$3+Ayarlar!$B$4+Ayarlar!$B$5)</f>
        <v/>
      </c>
      <c r="I201" s="14">
        <f>IF(G201="","",ROUNDUP(((G201*Ayarlar!$B$3+Ayarlar!$B$4+Ayarlar!$B$5)+Ayarlar!$B$8)/((1-Ayarlar!$B$6)*(1-Ayarlar!$B$7)),0))</f>
        <v/>
      </c>
      <c r="J201" s="14">
        <f>IF(G201="","",ROUNDUP(((G201*Ayarlar!$B$3+Ayarlar!$B$4+Ayarlar!$B$5)+Ayarlar!$B$8)/((1-Ayarlar!$B$6)*(1-Ayarlar!$B$7-Ayarlar!$B$9)),0))</f>
        <v/>
      </c>
      <c r="K201" s="15">
        <f>IF(OR(G201="",F201=""),"",(F201*(1-Ayarlar!$B$6)-(F201*(1-Ayarlar!$B$6)*Ayarlar!$B$7+Ayarlar!$B$8)-(G201*Ayarlar!$B$3+Ayarlar!$B$4+Ayarlar!$B$5))/(F201*(1-Ayarlar!$B$6)))</f>
        <v/>
      </c>
      <c r="L201" s="3">
        <f>IF(G201="","GRAM EKSİK",IF(F201&gt;30000,"FİYAT ŞÜPHELİ",IF(K201&lt;0,"ZARARDA",IF(F201&lt;I201,"RİSKLİ","ok"))))</f>
        <v/>
      </c>
      <c r="M201" s="16" t="inlineStr">
        <is>
          <t>https://www.etsy.com/listing/1195517566</t>
        </is>
      </c>
    </row>
    <row r="202">
      <c r="A202" s="9" t="inlineStr">
        <is>
          <t>chains</t>
        </is>
      </c>
      <c r="B202" s="9" t="inlineStr">
        <is>
          <t>14K Real Gold Paperclip Chain Bracelet – Italian Link</t>
        </is>
      </c>
      <c r="C202" s="9" t="n">
        <v>1195517566</v>
      </c>
      <c r="D202" s="9" t="inlineStr">
        <is>
          <t>BPF6-8</t>
        </is>
      </c>
      <c r="E202" s="9" t="inlineStr">
        <is>
          <t>description</t>
        </is>
      </c>
      <c r="F202" s="10" t="n">
        <v>603</v>
      </c>
      <c r="G202" s="18" t="n">
        <v>3.93</v>
      </c>
      <c r="H202" s="10">
        <f>IF(G202="","",G202*Ayarlar!$B$3+Ayarlar!$B$4+Ayarlar!$B$5)</f>
        <v/>
      </c>
      <c r="I202" s="10">
        <f>IF(G202="","",ROUNDUP(((G202*Ayarlar!$B$3+Ayarlar!$B$4+Ayarlar!$B$5)+Ayarlar!$B$8)/((1-Ayarlar!$B$6)*(1-Ayarlar!$B$7)),0))</f>
        <v/>
      </c>
      <c r="J202" s="10">
        <f>IF(G202="","",ROUNDUP(((G202*Ayarlar!$B$3+Ayarlar!$B$4+Ayarlar!$B$5)+Ayarlar!$B$8)/((1-Ayarlar!$B$6)*(1-Ayarlar!$B$7-Ayarlar!$B$9)),0))</f>
        <v/>
      </c>
      <c r="K202" s="12">
        <f>IF(OR(G202="",F202=""),"",(F202*(1-Ayarlar!$B$6)-(F202*(1-Ayarlar!$B$6)*Ayarlar!$B$7+Ayarlar!$B$8)-(G202*Ayarlar!$B$3+Ayarlar!$B$4+Ayarlar!$B$5))/(F202*(1-Ayarlar!$B$6)))</f>
        <v/>
      </c>
      <c r="L202" s="9">
        <f>IF(G202="","GRAM EKSİK",IF(F202&gt;30000,"FİYAT ŞÜPHELİ",IF(K202&lt;0,"ZARARDA",IF(F202&lt;I202,"RİSKLİ","ok"))))</f>
        <v/>
      </c>
      <c r="M202" s="13" t="inlineStr">
        <is>
          <t>https://www.etsy.com/listing/1195517566</t>
        </is>
      </c>
    </row>
    <row r="203">
      <c r="A203" s="3" t="inlineStr">
        <is>
          <t>chains</t>
        </is>
      </c>
      <c r="B203" s="3" t="inlineStr">
        <is>
          <t>14K Real Gold Paperclip Chain Necklace, Rectangle Link Jewel</t>
        </is>
      </c>
      <c r="C203" s="3" t="n">
        <v>1199715763</v>
      </c>
      <c r="D203" s="3" t="inlineStr">
        <is>
          <t>CP1F-16</t>
        </is>
      </c>
      <c r="E203" s="3" t="inlineStr">
        <is>
          <t>description-scaled</t>
        </is>
      </c>
      <c r="F203" s="14" t="n">
        <v>395</v>
      </c>
      <c r="G203" s="17" t="n">
        <v>3.84</v>
      </c>
      <c r="H203" s="14">
        <f>IF(G203="","",G203*Ayarlar!$B$3+Ayarlar!$B$4+Ayarlar!$B$5)</f>
        <v/>
      </c>
      <c r="I203" s="14">
        <f>IF(G203="","",ROUNDUP(((G203*Ayarlar!$B$3+Ayarlar!$B$4+Ayarlar!$B$5)+Ayarlar!$B$8)/((1-Ayarlar!$B$6)*(1-Ayarlar!$B$7)),0))</f>
        <v/>
      </c>
      <c r="J203" s="14">
        <f>IF(G203="","",ROUNDUP(((G203*Ayarlar!$B$3+Ayarlar!$B$4+Ayarlar!$B$5)+Ayarlar!$B$8)/((1-Ayarlar!$B$6)*(1-Ayarlar!$B$7-Ayarlar!$B$9)),0))</f>
        <v/>
      </c>
      <c r="K203" s="15">
        <f>IF(OR(G203="",F203=""),"",(F203*(1-Ayarlar!$B$6)-(F203*(1-Ayarlar!$B$6)*Ayarlar!$B$7+Ayarlar!$B$8)-(G203*Ayarlar!$B$3+Ayarlar!$B$4+Ayarlar!$B$5))/(F203*(1-Ayarlar!$B$6)))</f>
        <v/>
      </c>
      <c r="L203" s="3">
        <f>IF(G203="","GRAM EKSİK",IF(F203&gt;30000,"FİYAT ŞÜPHELİ",IF(K203&lt;0,"ZARARDA",IF(F203&lt;I203,"RİSKLİ","ok"))))</f>
        <v/>
      </c>
      <c r="M203" s="16" t="inlineStr">
        <is>
          <t>https://www.etsy.com/listing/1199715763</t>
        </is>
      </c>
    </row>
    <row r="204">
      <c r="A204" s="9" t="inlineStr">
        <is>
          <t>chains</t>
        </is>
      </c>
      <c r="B204" s="9" t="inlineStr">
        <is>
          <t>14K Real Gold Paperclip Chain Necklace, Rectangle Link Jewel</t>
        </is>
      </c>
      <c r="C204" s="9" t="n">
        <v>1199715763</v>
      </c>
      <c r="D204" s="9" t="inlineStr">
        <is>
          <t>CP1F-18</t>
        </is>
      </c>
      <c r="E204" s="9" t="inlineStr">
        <is>
          <t>description-scaled</t>
        </is>
      </c>
      <c r="F204" s="10" t="n">
        <v>433</v>
      </c>
      <c r="G204" s="18" t="n">
        <v>4.32</v>
      </c>
      <c r="H204" s="10">
        <f>IF(G204="","",G204*Ayarlar!$B$3+Ayarlar!$B$4+Ayarlar!$B$5)</f>
        <v/>
      </c>
      <c r="I204" s="10">
        <f>IF(G204="","",ROUNDUP(((G204*Ayarlar!$B$3+Ayarlar!$B$4+Ayarlar!$B$5)+Ayarlar!$B$8)/((1-Ayarlar!$B$6)*(1-Ayarlar!$B$7)),0))</f>
        <v/>
      </c>
      <c r="J204" s="10">
        <f>IF(G204="","",ROUNDUP(((G204*Ayarlar!$B$3+Ayarlar!$B$4+Ayarlar!$B$5)+Ayarlar!$B$8)/((1-Ayarlar!$B$6)*(1-Ayarlar!$B$7-Ayarlar!$B$9)),0))</f>
        <v/>
      </c>
      <c r="K204" s="12">
        <f>IF(OR(G204="",F204=""),"",(F204*(1-Ayarlar!$B$6)-(F204*(1-Ayarlar!$B$6)*Ayarlar!$B$7+Ayarlar!$B$8)-(G204*Ayarlar!$B$3+Ayarlar!$B$4+Ayarlar!$B$5))/(F204*(1-Ayarlar!$B$6)))</f>
        <v/>
      </c>
      <c r="L204" s="9">
        <f>IF(G204="","GRAM EKSİK",IF(F204&gt;30000,"FİYAT ŞÜPHELİ",IF(K204&lt;0,"ZARARDA",IF(F204&lt;I204,"RİSKLİ","ok"))))</f>
        <v/>
      </c>
      <c r="M204" s="13" t="inlineStr">
        <is>
          <t>https://www.etsy.com/listing/1199715763</t>
        </is>
      </c>
    </row>
    <row r="205">
      <c r="A205" s="3" t="inlineStr">
        <is>
          <t>chains</t>
        </is>
      </c>
      <c r="B205" s="3" t="inlineStr">
        <is>
          <t>14K Real Gold Paperclip Chain Necklace, Rectangle Link Jewel</t>
        </is>
      </c>
      <c r="C205" s="3" t="n">
        <v>1199715763</v>
      </c>
      <c r="D205" s="3" t="inlineStr">
        <is>
          <t>CP1F-20</t>
        </is>
      </c>
      <c r="E205" s="3" t="inlineStr">
        <is>
          <t>description</t>
        </is>
      </c>
      <c r="F205" s="14" t="n">
        <v>482</v>
      </c>
      <c r="G205" s="17" t="n">
        <v>4.8</v>
      </c>
      <c r="H205" s="14">
        <f>IF(G205="","",G205*Ayarlar!$B$3+Ayarlar!$B$4+Ayarlar!$B$5)</f>
        <v/>
      </c>
      <c r="I205" s="14">
        <f>IF(G205="","",ROUNDUP(((G205*Ayarlar!$B$3+Ayarlar!$B$4+Ayarlar!$B$5)+Ayarlar!$B$8)/((1-Ayarlar!$B$6)*(1-Ayarlar!$B$7)),0))</f>
        <v/>
      </c>
      <c r="J205" s="14">
        <f>IF(G205="","",ROUNDUP(((G205*Ayarlar!$B$3+Ayarlar!$B$4+Ayarlar!$B$5)+Ayarlar!$B$8)/((1-Ayarlar!$B$6)*(1-Ayarlar!$B$7-Ayarlar!$B$9)),0))</f>
        <v/>
      </c>
      <c r="K205" s="15">
        <f>IF(OR(G205="",F205=""),"",(F205*(1-Ayarlar!$B$6)-(F205*(1-Ayarlar!$B$6)*Ayarlar!$B$7+Ayarlar!$B$8)-(G205*Ayarlar!$B$3+Ayarlar!$B$4+Ayarlar!$B$5))/(F205*(1-Ayarlar!$B$6)))</f>
        <v/>
      </c>
      <c r="L205" s="3">
        <f>IF(G205="","GRAM EKSİK",IF(F205&gt;30000,"FİYAT ŞÜPHELİ",IF(K205&lt;0,"ZARARDA",IF(F205&lt;I205,"RİSKLİ","ok"))))</f>
        <v/>
      </c>
      <c r="M205" s="16" t="inlineStr">
        <is>
          <t>https://www.etsy.com/listing/1199715763</t>
        </is>
      </c>
    </row>
    <row r="206">
      <c r="A206" s="9" t="inlineStr">
        <is>
          <t>chains</t>
        </is>
      </c>
      <c r="B206" s="9" t="inlineStr">
        <is>
          <t>14K Real Gold Paperclip Chain Necklace, Rectangle Link Jewel</t>
        </is>
      </c>
      <c r="C206" s="9" t="n">
        <v>1199715763</v>
      </c>
      <c r="D206" s="9" t="inlineStr">
        <is>
          <t>CP1F-22</t>
        </is>
      </c>
      <c r="E206" s="9" t="inlineStr">
        <is>
          <t>description-scaled</t>
        </is>
      </c>
      <c r="F206" s="10" t="n">
        <v>547</v>
      </c>
      <c r="G206" s="18" t="n">
        <v>5.28</v>
      </c>
      <c r="H206" s="10">
        <f>IF(G206="","",G206*Ayarlar!$B$3+Ayarlar!$B$4+Ayarlar!$B$5)</f>
        <v/>
      </c>
      <c r="I206" s="10">
        <f>IF(G206="","",ROUNDUP(((G206*Ayarlar!$B$3+Ayarlar!$B$4+Ayarlar!$B$5)+Ayarlar!$B$8)/((1-Ayarlar!$B$6)*(1-Ayarlar!$B$7)),0))</f>
        <v/>
      </c>
      <c r="J206" s="10">
        <f>IF(G206="","",ROUNDUP(((G206*Ayarlar!$B$3+Ayarlar!$B$4+Ayarlar!$B$5)+Ayarlar!$B$8)/((1-Ayarlar!$B$6)*(1-Ayarlar!$B$7-Ayarlar!$B$9)),0))</f>
        <v/>
      </c>
      <c r="K206" s="12">
        <f>IF(OR(G206="",F206=""),"",(F206*(1-Ayarlar!$B$6)-(F206*(1-Ayarlar!$B$6)*Ayarlar!$B$7+Ayarlar!$B$8)-(G206*Ayarlar!$B$3+Ayarlar!$B$4+Ayarlar!$B$5))/(F206*(1-Ayarlar!$B$6)))</f>
        <v/>
      </c>
      <c r="L206" s="9">
        <f>IF(G206="","GRAM EKSİK",IF(F206&gt;30000,"FİYAT ŞÜPHELİ",IF(K206&lt;0,"ZARARDA",IF(F206&lt;I206,"RİSKLİ","ok"))))</f>
        <v/>
      </c>
      <c r="M206" s="13" t="inlineStr">
        <is>
          <t>https://www.etsy.com/listing/1199715763</t>
        </is>
      </c>
    </row>
    <row r="207">
      <c r="A207" s="3" t="inlineStr">
        <is>
          <t>chains</t>
        </is>
      </c>
      <c r="B207" s="3" t="inlineStr">
        <is>
          <t>14K Real Gold Paperclip Chain Necklace, Rectangle Link Jewel</t>
        </is>
      </c>
      <c r="C207" s="3" t="n">
        <v>1199715763</v>
      </c>
      <c r="D207" s="3" t="inlineStr">
        <is>
          <t>CP1F-24</t>
        </is>
      </c>
      <c r="E207" s="3" t="inlineStr">
        <is>
          <t>description-scaled</t>
        </is>
      </c>
      <c r="F207" s="14" t="n">
        <v>573</v>
      </c>
      <c r="G207" s="17" t="n">
        <v>5.76</v>
      </c>
      <c r="H207" s="14">
        <f>IF(G207="","",G207*Ayarlar!$B$3+Ayarlar!$B$4+Ayarlar!$B$5)</f>
        <v/>
      </c>
      <c r="I207" s="14">
        <f>IF(G207="","",ROUNDUP(((G207*Ayarlar!$B$3+Ayarlar!$B$4+Ayarlar!$B$5)+Ayarlar!$B$8)/((1-Ayarlar!$B$6)*(1-Ayarlar!$B$7)),0))</f>
        <v/>
      </c>
      <c r="J207" s="14">
        <f>IF(G207="","",ROUNDUP(((G207*Ayarlar!$B$3+Ayarlar!$B$4+Ayarlar!$B$5)+Ayarlar!$B$8)/((1-Ayarlar!$B$6)*(1-Ayarlar!$B$7-Ayarlar!$B$9)),0))</f>
        <v/>
      </c>
      <c r="K207" s="15">
        <f>IF(OR(G207="",F207=""),"",(F207*(1-Ayarlar!$B$6)-(F207*(1-Ayarlar!$B$6)*Ayarlar!$B$7+Ayarlar!$B$8)-(G207*Ayarlar!$B$3+Ayarlar!$B$4+Ayarlar!$B$5))/(F207*(1-Ayarlar!$B$6)))</f>
        <v/>
      </c>
      <c r="L207" s="3">
        <f>IF(G207="","GRAM EKSİK",IF(F207&gt;30000,"FİYAT ŞÜPHELİ",IF(K207&lt;0,"ZARARDA",IF(F207&lt;I207,"RİSKLİ","ok"))))</f>
        <v/>
      </c>
      <c r="M207" s="16" t="inlineStr">
        <is>
          <t>https://www.etsy.com/listing/1199715763</t>
        </is>
      </c>
    </row>
    <row r="208">
      <c r="A208" s="9" t="inlineStr">
        <is>
          <t>chains</t>
        </is>
      </c>
      <c r="B208" s="9" t="inlineStr">
        <is>
          <t>14K Real Gold Paperclip Chain Necklace, Rectangle Link Jewel</t>
        </is>
      </c>
      <c r="C208" s="9" t="n">
        <v>1199715763</v>
      </c>
      <c r="D208" s="9" t="inlineStr">
        <is>
          <t>CP2F-16</t>
        </is>
      </c>
      <c r="E208" s="9" t="inlineStr">
        <is>
          <t>description</t>
        </is>
      </c>
      <c r="F208" s="10" t="n">
        <v>1322</v>
      </c>
      <c r="G208" s="18" t="n">
        <v>7.16</v>
      </c>
      <c r="H208" s="10">
        <f>IF(G208="","",G208*Ayarlar!$B$3+Ayarlar!$B$4+Ayarlar!$B$5)</f>
        <v/>
      </c>
      <c r="I208" s="10">
        <f>IF(G208="","",ROUNDUP(((G208*Ayarlar!$B$3+Ayarlar!$B$4+Ayarlar!$B$5)+Ayarlar!$B$8)/((1-Ayarlar!$B$6)*(1-Ayarlar!$B$7)),0))</f>
        <v/>
      </c>
      <c r="J208" s="10">
        <f>IF(G208="","",ROUNDUP(((G208*Ayarlar!$B$3+Ayarlar!$B$4+Ayarlar!$B$5)+Ayarlar!$B$8)/((1-Ayarlar!$B$6)*(1-Ayarlar!$B$7-Ayarlar!$B$9)),0))</f>
        <v/>
      </c>
      <c r="K208" s="12">
        <f>IF(OR(G208="",F208=""),"",(F208*(1-Ayarlar!$B$6)-(F208*(1-Ayarlar!$B$6)*Ayarlar!$B$7+Ayarlar!$B$8)-(G208*Ayarlar!$B$3+Ayarlar!$B$4+Ayarlar!$B$5))/(F208*(1-Ayarlar!$B$6)))</f>
        <v/>
      </c>
      <c r="L208" s="9">
        <f>IF(G208="","GRAM EKSİK",IF(F208&gt;30000,"FİYAT ŞÜPHELİ",IF(K208&lt;0,"ZARARDA",IF(F208&lt;I208,"RİSKLİ","ok"))))</f>
        <v/>
      </c>
      <c r="M208" s="13" t="inlineStr">
        <is>
          <t>https://www.etsy.com/listing/1199715763</t>
        </is>
      </c>
    </row>
    <row r="209">
      <c r="A209" s="3" t="inlineStr">
        <is>
          <t>chains</t>
        </is>
      </c>
      <c r="B209" s="3" t="inlineStr">
        <is>
          <t>14K Real Gold Paperclip Chain Necklace, Rectangle Link Jewel</t>
        </is>
      </c>
      <c r="C209" s="3" t="n">
        <v>1199715763</v>
      </c>
      <c r="D209" s="3" t="inlineStr">
        <is>
          <t>CP2F-18</t>
        </is>
      </c>
      <c r="E209" s="3" t="inlineStr">
        <is>
          <t>description</t>
        </is>
      </c>
      <c r="F209" s="14" t="n">
        <v>1489</v>
      </c>
      <c r="G209" s="17" t="n">
        <v>8.06</v>
      </c>
      <c r="H209" s="14">
        <f>IF(G209="","",G209*Ayarlar!$B$3+Ayarlar!$B$4+Ayarlar!$B$5)</f>
        <v/>
      </c>
      <c r="I209" s="14">
        <f>IF(G209="","",ROUNDUP(((G209*Ayarlar!$B$3+Ayarlar!$B$4+Ayarlar!$B$5)+Ayarlar!$B$8)/((1-Ayarlar!$B$6)*(1-Ayarlar!$B$7)),0))</f>
        <v/>
      </c>
      <c r="J209" s="14">
        <f>IF(G209="","",ROUNDUP(((G209*Ayarlar!$B$3+Ayarlar!$B$4+Ayarlar!$B$5)+Ayarlar!$B$8)/((1-Ayarlar!$B$6)*(1-Ayarlar!$B$7-Ayarlar!$B$9)),0))</f>
        <v/>
      </c>
      <c r="K209" s="15">
        <f>IF(OR(G209="",F209=""),"",(F209*(1-Ayarlar!$B$6)-(F209*(1-Ayarlar!$B$6)*Ayarlar!$B$7+Ayarlar!$B$8)-(G209*Ayarlar!$B$3+Ayarlar!$B$4+Ayarlar!$B$5))/(F209*(1-Ayarlar!$B$6)))</f>
        <v/>
      </c>
      <c r="L209" s="3">
        <f>IF(G209="","GRAM EKSİK",IF(F209&gt;30000,"FİYAT ŞÜPHELİ",IF(K209&lt;0,"ZARARDA",IF(F209&lt;I209,"RİSKLİ","ok"))))</f>
        <v/>
      </c>
      <c r="M209" s="16" t="inlineStr">
        <is>
          <t>https://www.etsy.com/listing/1199715763</t>
        </is>
      </c>
    </row>
    <row r="210">
      <c r="A210" s="9" t="inlineStr">
        <is>
          <t>chains</t>
        </is>
      </c>
      <c r="B210" s="9" t="inlineStr">
        <is>
          <t>14K Real Gold Paperclip Chain Necklace, Rectangle Link Jewel</t>
        </is>
      </c>
      <c r="C210" s="9" t="n">
        <v>1199715763</v>
      </c>
      <c r="D210" s="9" t="inlineStr">
        <is>
          <t>CP2F-20</t>
        </is>
      </c>
      <c r="E210" s="9" t="inlineStr">
        <is>
          <t>description</t>
        </is>
      </c>
      <c r="F210" s="10" t="n">
        <v>1658</v>
      </c>
      <c r="G210" s="18" t="n">
        <v>8.949999999999999</v>
      </c>
      <c r="H210" s="10">
        <f>IF(G210="","",G210*Ayarlar!$B$3+Ayarlar!$B$4+Ayarlar!$B$5)</f>
        <v/>
      </c>
      <c r="I210" s="10">
        <f>IF(G210="","",ROUNDUP(((G210*Ayarlar!$B$3+Ayarlar!$B$4+Ayarlar!$B$5)+Ayarlar!$B$8)/((1-Ayarlar!$B$6)*(1-Ayarlar!$B$7)),0))</f>
        <v/>
      </c>
      <c r="J210" s="10">
        <f>IF(G210="","",ROUNDUP(((G210*Ayarlar!$B$3+Ayarlar!$B$4+Ayarlar!$B$5)+Ayarlar!$B$8)/((1-Ayarlar!$B$6)*(1-Ayarlar!$B$7-Ayarlar!$B$9)),0))</f>
        <v/>
      </c>
      <c r="K210" s="12">
        <f>IF(OR(G210="",F210=""),"",(F210*(1-Ayarlar!$B$6)-(F210*(1-Ayarlar!$B$6)*Ayarlar!$B$7+Ayarlar!$B$8)-(G210*Ayarlar!$B$3+Ayarlar!$B$4+Ayarlar!$B$5))/(F210*(1-Ayarlar!$B$6)))</f>
        <v/>
      </c>
      <c r="L210" s="9">
        <f>IF(G210="","GRAM EKSİK",IF(F210&gt;30000,"FİYAT ŞÜPHELİ",IF(K210&lt;0,"ZARARDA",IF(F210&lt;I210,"RİSKLİ","ok"))))</f>
        <v/>
      </c>
      <c r="M210" s="13" t="inlineStr">
        <is>
          <t>https://www.etsy.com/listing/1199715763</t>
        </is>
      </c>
    </row>
    <row r="211">
      <c r="A211" s="3" t="inlineStr">
        <is>
          <t>chains</t>
        </is>
      </c>
      <c r="B211" s="3" t="inlineStr">
        <is>
          <t>14K Real Gold Paperclip Chain Necklace, Rectangle Link Jewel</t>
        </is>
      </c>
      <c r="C211" s="3" t="n">
        <v>1199715763</v>
      </c>
      <c r="D211" s="3" t="inlineStr">
        <is>
          <t>CP2F-22</t>
        </is>
      </c>
      <c r="E211" s="3" t="inlineStr">
        <is>
          <t>description</t>
        </is>
      </c>
      <c r="F211" s="14" t="n">
        <v>1826</v>
      </c>
      <c r="G211" s="17" t="n">
        <v>9.85</v>
      </c>
      <c r="H211" s="14">
        <f>IF(G211="","",G211*Ayarlar!$B$3+Ayarlar!$B$4+Ayarlar!$B$5)</f>
        <v/>
      </c>
      <c r="I211" s="14">
        <f>IF(G211="","",ROUNDUP(((G211*Ayarlar!$B$3+Ayarlar!$B$4+Ayarlar!$B$5)+Ayarlar!$B$8)/((1-Ayarlar!$B$6)*(1-Ayarlar!$B$7)),0))</f>
        <v/>
      </c>
      <c r="J211" s="14">
        <f>IF(G211="","",ROUNDUP(((G211*Ayarlar!$B$3+Ayarlar!$B$4+Ayarlar!$B$5)+Ayarlar!$B$8)/((1-Ayarlar!$B$6)*(1-Ayarlar!$B$7-Ayarlar!$B$9)),0))</f>
        <v/>
      </c>
      <c r="K211" s="15">
        <f>IF(OR(G211="",F211=""),"",(F211*(1-Ayarlar!$B$6)-(F211*(1-Ayarlar!$B$6)*Ayarlar!$B$7+Ayarlar!$B$8)-(G211*Ayarlar!$B$3+Ayarlar!$B$4+Ayarlar!$B$5))/(F211*(1-Ayarlar!$B$6)))</f>
        <v/>
      </c>
      <c r="L211" s="3">
        <f>IF(G211="","GRAM EKSİK",IF(F211&gt;30000,"FİYAT ŞÜPHELİ",IF(K211&lt;0,"ZARARDA",IF(F211&lt;I211,"RİSKLİ","ok"))))</f>
        <v/>
      </c>
      <c r="M211" s="16" t="inlineStr">
        <is>
          <t>https://www.etsy.com/listing/1199715763</t>
        </is>
      </c>
    </row>
    <row r="212">
      <c r="A212" s="9" t="inlineStr">
        <is>
          <t>chains</t>
        </is>
      </c>
      <c r="B212" s="9" t="inlineStr">
        <is>
          <t>14K Real Gold Paperclip Chain Necklace, Rectangle Link Jewel</t>
        </is>
      </c>
      <c r="C212" s="9" t="n">
        <v>1199715763</v>
      </c>
      <c r="D212" s="9" t="inlineStr">
        <is>
          <t>CP2F-24</t>
        </is>
      </c>
      <c r="E212" s="9" t="inlineStr">
        <is>
          <t>description</t>
        </is>
      </c>
      <c r="F212" s="10" t="n">
        <v>1994</v>
      </c>
      <c r="G212" s="18" t="n">
        <v>10.74</v>
      </c>
      <c r="H212" s="10">
        <f>IF(G212="","",G212*Ayarlar!$B$3+Ayarlar!$B$4+Ayarlar!$B$5)</f>
        <v/>
      </c>
      <c r="I212" s="10">
        <f>IF(G212="","",ROUNDUP(((G212*Ayarlar!$B$3+Ayarlar!$B$4+Ayarlar!$B$5)+Ayarlar!$B$8)/((1-Ayarlar!$B$6)*(1-Ayarlar!$B$7)),0))</f>
        <v/>
      </c>
      <c r="J212" s="10">
        <f>IF(G212="","",ROUNDUP(((G212*Ayarlar!$B$3+Ayarlar!$B$4+Ayarlar!$B$5)+Ayarlar!$B$8)/((1-Ayarlar!$B$6)*(1-Ayarlar!$B$7-Ayarlar!$B$9)),0))</f>
        <v/>
      </c>
      <c r="K212" s="12">
        <f>IF(OR(G212="",F212=""),"",(F212*(1-Ayarlar!$B$6)-(F212*(1-Ayarlar!$B$6)*Ayarlar!$B$7+Ayarlar!$B$8)-(G212*Ayarlar!$B$3+Ayarlar!$B$4+Ayarlar!$B$5))/(F212*(1-Ayarlar!$B$6)))</f>
        <v/>
      </c>
      <c r="L212" s="9">
        <f>IF(G212="","GRAM EKSİK",IF(F212&gt;30000,"FİYAT ŞÜPHELİ",IF(K212&lt;0,"ZARARDA",IF(F212&lt;I212,"RİSKLİ","ok"))))</f>
        <v/>
      </c>
      <c r="M212" s="13" t="inlineStr">
        <is>
          <t>https://www.etsy.com/listing/1199715763</t>
        </is>
      </c>
    </row>
    <row r="213">
      <c r="A213" s="3" t="inlineStr">
        <is>
          <t>chains</t>
        </is>
      </c>
      <c r="B213" s="3" t="inlineStr">
        <is>
          <t>14K Real Gold Paperclip Chain Necklace, Rectangle Link Jewel</t>
        </is>
      </c>
      <c r="C213" s="3" t="n">
        <v>1199715763</v>
      </c>
      <c r="D213" s="3" t="inlineStr">
        <is>
          <t>CP3F-16</t>
        </is>
      </c>
      <c r="E213" s="3" t="inlineStr">
        <is>
          <t>description</t>
        </is>
      </c>
      <c r="F213" s="14" t="n">
        <v>842</v>
      </c>
      <c r="G213" s="17" t="n">
        <v>4.67</v>
      </c>
      <c r="H213" s="14">
        <f>IF(G213="","",G213*Ayarlar!$B$3+Ayarlar!$B$4+Ayarlar!$B$5)</f>
        <v/>
      </c>
      <c r="I213" s="14">
        <f>IF(G213="","",ROUNDUP(((G213*Ayarlar!$B$3+Ayarlar!$B$4+Ayarlar!$B$5)+Ayarlar!$B$8)/((1-Ayarlar!$B$6)*(1-Ayarlar!$B$7)),0))</f>
        <v/>
      </c>
      <c r="J213" s="14">
        <f>IF(G213="","",ROUNDUP(((G213*Ayarlar!$B$3+Ayarlar!$B$4+Ayarlar!$B$5)+Ayarlar!$B$8)/((1-Ayarlar!$B$6)*(1-Ayarlar!$B$7-Ayarlar!$B$9)),0))</f>
        <v/>
      </c>
      <c r="K213" s="15">
        <f>IF(OR(G213="",F213=""),"",(F213*(1-Ayarlar!$B$6)-(F213*(1-Ayarlar!$B$6)*Ayarlar!$B$7+Ayarlar!$B$8)-(G213*Ayarlar!$B$3+Ayarlar!$B$4+Ayarlar!$B$5))/(F213*(1-Ayarlar!$B$6)))</f>
        <v/>
      </c>
      <c r="L213" s="3">
        <f>IF(G213="","GRAM EKSİK",IF(F213&gt;30000,"FİYAT ŞÜPHELİ",IF(K213&lt;0,"ZARARDA",IF(F213&lt;I213,"RİSKLİ","ok"))))</f>
        <v/>
      </c>
      <c r="M213" s="16" t="inlineStr">
        <is>
          <t>https://www.etsy.com/listing/1199715763</t>
        </is>
      </c>
    </row>
    <row r="214">
      <c r="A214" s="9" t="inlineStr">
        <is>
          <t>chains</t>
        </is>
      </c>
      <c r="B214" s="9" t="inlineStr">
        <is>
          <t>14K Real Gold Paperclip Chain Necklace, Rectangle Link Jewel</t>
        </is>
      </c>
      <c r="C214" s="9" t="n">
        <v>1199715763</v>
      </c>
      <c r="D214" s="9" t="inlineStr">
        <is>
          <t>CP3F-18</t>
        </is>
      </c>
      <c r="E214" s="9" t="inlineStr">
        <is>
          <t>description</t>
        </is>
      </c>
      <c r="F214" s="10" t="n">
        <v>950</v>
      </c>
      <c r="G214" s="18" t="n">
        <v>5.26</v>
      </c>
      <c r="H214" s="10">
        <f>IF(G214="","",G214*Ayarlar!$B$3+Ayarlar!$B$4+Ayarlar!$B$5)</f>
        <v/>
      </c>
      <c r="I214" s="10">
        <f>IF(G214="","",ROUNDUP(((G214*Ayarlar!$B$3+Ayarlar!$B$4+Ayarlar!$B$5)+Ayarlar!$B$8)/((1-Ayarlar!$B$6)*(1-Ayarlar!$B$7)),0))</f>
        <v/>
      </c>
      <c r="J214" s="10">
        <f>IF(G214="","",ROUNDUP(((G214*Ayarlar!$B$3+Ayarlar!$B$4+Ayarlar!$B$5)+Ayarlar!$B$8)/((1-Ayarlar!$B$6)*(1-Ayarlar!$B$7-Ayarlar!$B$9)),0))</f>
        <v/>
      </c>
      <c r="K214" s="12">
        <f>IF(OR(G214="",F214=""),"",(F214*(1-Ayarlar!$B$6)-(F214*(1-Ayarlar!$B$6)*Ayarlar!$B$7+Ayarlar!$B$8)-(G214*Ayarlar!$B$3+Ayarlar!$B$4+Ayarlar!$B$5))/(F214*(1-Ayarlar!$B$6)))</f>
        <v/>
      </c>
      <c r="L214" s="9">
        <f>IF(G214="","GRAM EKSİK",IF(F214&gt;30000,"FİYAT ŞÜPHELİ",IF(K214&lt;0,"ZARARDA",IF(F214&lt;I214,"RİSKLİ","ok"))))</f>
        <v/>
      </c>
      <c r="M214" s="13" t="inlineStr">
        <is>
          <t>https://www.etsy.com/listing/1199715763</t>
        </is>
      </c>
    </row>
    <row r="215">
      <c r="A215" s="3" t="inlineStr">
        <is>
          <t>chains</t>
        </is>
      </c>
      <c r="B215" s="3" t="inlineStr">
        <is>
          <t>14K Real Gold Paperclip Chain Necklace, Rectangle Link Jewel</t>
        </is>
      </c>
      <c r="C215" s="3" t="n">
        <v>1199715763</v>
      </c>
      <c r="D215" s="3" t="inlineStr">
        <is>
          <t>CP3F-20</t>
        </is>
      </c>
      <c r="E215" s="3" t="inlineStr">
        <is>
          <t>description</t>
        </is>
      </c>
      <c r="F215" s="14" t="n">
        <v>1059</v>
      </c>
      <c r="G215" s="17" t="n">
        <v>5.84</v>
      </c>
      <c r="H215" s="14">
        <f>IF(G215="","",G215*Ayarlar!$B$3+Ayarlar!$B$4+Ayarlar!$B$5)</f>
        <v/>
      </c>
      <c r="I215" s="14">
        <f>IF(G215="","",ROUNDUP(((G215*Ayarlar!$B$3+Ayarlar!$B$4+Ayarlar!$B$5)+Ayarlar!$B$8)/((1-Ayarlar!$B$6)*(1-Ayarlar!$B$7)),0))</f>
        <v/>
      </c>
      <c r="J215" s="14">
        <f>IF(G215="","",ROUNDUP(((G215*Ayarlar!$B$3+Ayarlar!$B$4+Ayarlar!$B$5)+Ayarlar!$B$8)/((1-Ayarlar!$B$6)*(1-Ayarlar!$B$7-Ayarlar!$B$9)),0))</f>
        <v/>
      </c>
      <c r="K215" s="15">
        <f>IF(OR(G215="",F215=""),"",(F215*(1-Ayarlar!$B$6)-(F215*(1-Ayarlar!$B$6)*Ayarlar!$B$7+Ayarlar!$B$8)-(G215*Ayarlar!$B$3+Ayarlar!$B$4+Ayarlar!$B$5))/(F215*(1-Ayarlar!$B$6)))</f>
        <v/>
      </c>
      <c r="L215" s="3">
        <f>IF(G215="","GRAM EKSİK",IF(F215&gt;30000,"FİYAT ŞÜPHELİ",IF(K215&lt;0,"ZARARDA",IF(F215&lt;I215,"RİSKLİ","ok"))))</f>
        <v/>
      </c>
      <c r="M215" s="16" t="inlineStr">
        <is>
          <t>https://www.etsy.com/listing/1199715763</t>
        </is>
      </c>
    </row>
    <row r="216">
      <c r="A216" s="9" t="inlineStr">
        <is>
          <t>chains</t>
        </is>
      </c>
      <c r="B216" s="9" t="inlineStr">
        <is>
          <t>14K Real Gold Paperclip Chain Necklace, Rectangle Link Jewel</t>
        </is>
      </c>
      <c r="C216" s="9" t="n">
        <v>1199715763</v>
      </c>
      <c r="D216" s="9" t="inlineStr">
        <is>
          <t>CP3F-22</t>
        </is>
      </c>
      <c r="E216" s="9" t="inlineStr">
        <is>
          <t>description</t>
        </is>
      </c>
      <c r="F216" s="10" t="n">
        <v>1166</v>
      </c>
      <c r="G216" s="18" t="n">
        <v>6.42</v>
      </c>
      <c r="H216" s="10">
        <f>IF(G216="","",G216*Ayarlar!$B$3+Ayarlar!$B$4+Ayarlar!$B$5)</f>
        <v/>
      </c>
      <c r="I216" s="10">
        <f>IF(G216="","",ROUNDUP(((G216*Ayarlar!$B$3+Ayarlar!$B$4+Ayarlar!$B$5)+Ayarlar!$B$8)/((1-Ayarlar!$B$6)*(1-Ayarlar!$B$7)),0))</f>
        <v/>
      </c>
      <c r="J216" s="10">
        <f>IF(G216="","",ROUNDUP(((G216*Ayarlar!$B$3+Ayarlar!$B$4+Ayarlar!$B$5)+Ayarlar!$B$8)/((1-Ayarlar!$B$6)*(1-Ayarlar!$B$7-Ayarlar!$B$9)),0))</f>
        <v/>
      </c>
      <c r="K216" s="12">
        <f>IF(OR(G216="",F216=""),"",(F216*(1-Ayarlar!$B$6)-(F216*(1-Ayarlar!$B$6)*Ayarlar!$B$7+Ayarlar!$B$8)-(G216*Ayarlar!$B$3+Ayarlar!$B$4+Ayarlar!$B$5))/(F216*(1-Ayarlar!$B$6)))</f>
        <v/>
      </c>
      <c r="L216" s="9">
        <f>IF(G216="","GRAM EKSİK",IF(F216&gt;30000,"FİYAT ŞÜPHELİ",IF(K216&lt;0,"ZARARDA",IF(F216&lt;I216,"RİSKLİ","ok"))))</f>
        <v/>
      </c>
      <c r="M216" s="13" t="inlineStr">
        <is>
          <t>https://www.etsy.com/listing/1199715763</t>
        </is>
      </c>
    </row>
    <row r="217">
      <c r="A217" s="3" t="inlineStr">
        <is>
          <t>chains</t>
        </is>
      </c>
      <c r="B217" s="3" t="inlineStr">
        <is>
          <t>14K Real Gold Paperclip Chain Necklace, Rectangle Link Jewel</t>
        </is>
      </c>
      <c r="C217" s="3" t="n">
        <v>1199715763</v>
      </c>
      <c r="D217" s="3" t="inlineStr">
        <is>
          <t>CP3F-24</t>
        </is>
      </c>
      <c r="E217" s="3" t="inlineStr">
        <is>
          <t>description</t>
        </is>
      </c>
      <c r="F217" s="14" t="n">
        <v>1275</v>
      </c>
      <c r="G217" s="17" t="n">
        <v>7.01</v>
      </c>
      <c r="H217" s="14">
        <f>IF(G217="","",G217*Ayarlar!$B$3+Ayarlar!$B$4+Ayarlar!$B$5)</f>
        <v/>
      </c>
      <c r="I217" s="14">
        <f>IF(G217="","",ROUNDUP(((G217*Ayarlar!$B$3+Ayarlar!$B$4+Ayarlar!$B$5)+Ayarlar!$B$8)/((1-Ayarlar!$B$6)*(1-Ayarlar!$B$7)),0))</f>
        <v/>
      </c>
      <c r="J217" s="14">
        <f>IF(G217="","",ROUNDUP(((G217*Ayarlar!$B$3+Ayarlar!$B$4+Ayarlar!$B$5)+Ayarlar!$B$8)/((1-Ayarlar!$B$6)*(1-Ayarlar!$B$7-Ayarlar!$B$9)),0))</f>
        <v/>
      </c>
      <c r="K217" s="15">
        <f>IF(OR(G217="",F217=""),"",(F217*(1-Ayarlar!$B$6)-(F217*(1-Ayarlar!$B$6)*Ayarlar!$B$7+Ayarlar!$B$8)-(G217*Ayarlar!$B$3+Ayarlar!$B$4+Ayarlar!$B$5))/(F217*(1-Ayarlar!$B$6)))</f>
        <v/>
      </c>
      <c r="L217" s="3">
        <f>IF(G217="","GRAM EKSİK",IF(F217&gt;30000,"FİYAT ŞÜPHELİ",IF(K217&lt;0,"ZARARDA",IF(F217&lt;I217,"RİSKLİ","ok"))))</f>
        <v/>
      </c>
      <c r="M217" s="16" t="inlineStr">
        <is>
          <t>https://www.etsy.com/listing/1199715763</t>
        </is>
      </c>
    </row>
    <row r="218">
      <c r="A218" s="9" t="inlineStr">
        <is>
          <t>chains</t>
        </is>
      </c>
      <c r="B218" s="9" t="inlineStr">
        <is>
          <t>14K Real Gold Paperclip Chain Necklace, Rectangle Link Jewel</t>
        </is>
      </c>
      <c r="C218" s="9" t="n">
        <v>1199715763</v>
      </c>
      <c r="D218" s="9" t="inlineStr">
        <is>
          <t>CP4F-16</t>
        </is>
      </c>
      <c r="E218" s="9" t="inlineStr">
        <is>
          <t>description</t>
        </is>
      </c>
      <c r="F218" s="10" t="n">
        <v>1263</v>
      </c>
      <c r="G218" s="18" t="n">
        <v>7</v>
      </c>
      <c r="H218" s="10">
        <f>IF(G218="","",G218*Ayarlar!$B$3+Ayarlar!$B$4+Ayarlar!$B$5)</f>
        <v/>
      </c>
      <c r="I218" s="10">
        <f>IF(G218="","",ROUNDUP(((G218*Ayarlar!$B$3+Ayarlar!$B$4+Ayarlar!$B$5)+Ayarlar!$B$8)/((1-Ayarlar!$B$6)*(1-Ayarlar!$B$7)),0))</f>
        <v/>
      </c>
      <c r="J218" s="10">
        <f>IF(G218="","",ROUNDUP(((G218*Ayarlar!$B$3+Ayarlar!$B$4+Ayarlar!$B$5)+Ayarlar!$B$8)/((1-Ayarlar!$B$6)*(1-Ayarlar!$B$7-Ayarlar!$B$9)),0))</f>
        <v/>
      </c>
      <c r="K218" s="12">
        <f>IF(OR(G218="",F218=""),"",(F218*(1-Ayarlar!$B$6)-(F218*(1-Ayarlar!$B$6)*Ayarlar!$B$7+Ayarlar!$B$8)-(G218*Ayarlar!$B$3+Ayarlar!$B$4+Ayarlar!$B$5))/(F218*(1-Ayarlar!$B$6)))</f>
        <v/>
      </c>
      <c r="L218" s="9">
        <f>IF(G218="","GRAM EKSİK",IF(F218&gt;30000,"FİYAT ŞÜPHELİ",IF(K218&lt;0,"ZARARDA",IF(F218&lt;I218,"RİSKLİ","ok"))))</f>
        <v/>
      </c>
      <c r="M218" s="13" t="inlineStr">
        <is>
          <t>https://www.etsy.com/listing/1199715763</t>
        </is>
      </c>
    </row>
    <row r="219">
      <c r="A219" s="3" t="inlineStr">
        <is>
          <t>chains</t>
        </is>
      </c>
      <c r="B219" s="3" t="inlineStr">
        <is>
          <t>14K Real Gold Paperclip Chain Necklace, Rectangle Link Jewel</t>
        </is>
      </c>
      <c r="C219" s="3" t="n">
        <v>1199715763</v>
      </c>
      <c r="D219" s="3" t="inlineStr">
        <is>
          <t>CP4F-18</t>
        </is>
      </c>
      <c r="E219" s="3" t="inlineStr">
        <is>
          <t>description</t>
        </is>
      </c>
      <c r="F219" s="14" t="n">
        <v>1442</v>
      </c>
      <c r="G219" s="17" t="n">
        <v>7.88</v>
      </c>
      <c r="H219" s="14">
        <f>IF(G219="","",G219*Ayarlar!$B$3+Ayarlar!$B$4+Ayarlar!$B$5)</f>
        <v/>
      </c>
      <c r="I219" s="14">
        <f>IF(G219="","",ROUNDUP(((G219*Ayarlar!$B$3+Ayarlar!$B$4+Ayarlar!$B$5)+Ayarlar!$B$8)/((1-Ayarlar!$B$6)*(1-Ayarlar!$B$7)),0))</f>
        <v/>
      </c>
      <c r="J219" s="14">
        <f>IF(G219="","",ROUNDUP(((G219*Ayarlar!$B$3+Ayarlar!$B$4+Ayarlar!$B$5)+Ayarlar!$B$8)/((1-Ayarlar!$B$6)*(1-Ayarlar!$B$7-Ayarlar!$B$9)),0))</f>
        <v/>
      </c>
      <c r="K219" s="15">
        <f>IF(OR(G219="",F219=""),"",(F219*(1-Ayarlar!$B$6)-(F219*(1-Ayarlar!$B$6)*Ayarlar!$B$7+Ayarlar!$B$8)-(G219*Ayarlar!$B$3+Ayarlar!$B$4+Ayarlar!$B$5))/(F219*(1-Ayarlar!$B$6)))</f>
        <v/>
      </c>
      <c r="L219" s="3">
        <f>IF(G219="","GRAM EKSİK",IF(F219&gt;30000,"FİYAT ŞÜPHELİ",IF(K219&lt;0,"ZARARDA",IF(F219&lt;I219,"RİSKLİ","ok"))))</f>
        <v/>
      </c>
      <c r="M219" s="16" t="inlineStr">
        <is>
          <t>https://www.etsy.com/listing/1199715763</t>
        </is>
      </c>
    </row>
    <row r="220">
      <c r="A220" s="9" t="inlineStr">
        <is>
          <t>chains</t>
        </is>
      </c>
      <c r="B220" s="9" t="inlineStr">
        <is>
          <t>14K Real Gold Paperclip Chain Necklace, Rectangle Link Jewel</t>
        </is>
      </c>
      <c r="C220" s="9" t="n">
        <v>1199715763</v>
      </c>
      <c r="D220" s="9" t="inlineStr">
        <is>
          <t>CP4F-20</t>
        </is>
      </c>
      <c r="E220" s="9" t="inlineStr">
        <is>
          <t>description</t>
        </is>
      </c>
      <c r="F220" s="10" t="n">
        <v>1563</v>
      </c>
      <c r="G220" s="18" t="n">
        <v>8.75</v>
      </c>
      <c r="H220" s="10">
        <f>IF(G220="","",G220*Ayarlar!$B$3+Ayarlar!$B$4+Ayarlar!$B$5)</f>
        <v/>
      </c>
      <c r="I220" s="10">
        <f>IF(G220="","",ROUNDUP(((G220*Ayarlar!$B$3+Ayarlar!$B$4+Ayarlar!$B$5)+Ayarlar!$B$8)/((1-Ayarlar!$B$6)*(1-Ayarlar!$B$7)),0))</f>
        <v/>
      </c>
      <c r="J220" s="10">
        <f>IF(G220="","",ROUNDUP(((G220*Ayarlar!$B$3+Ayarlar!$B$4+Ayarlar!$B$5)+Ayarlar!$B$8)/((1-Ayarlar!$B$6)*(1-Ayarlar!$B$7-Ayarlar!$B$9)),0))</f>
        <v/>
      </c>
      <c r="K220" s="12">
        <f>IF(OR(G220="",F220=""),"",(F220*(1-Ayarlar!$B$6)-(F220*(1-Ayarlar!$B$6)*Ayarlar!$B$7+Ayarlar!$B$8)-(G220*Ayarlar!$B$3+Ayarlar!$B$4+Ayarlar!$B$5))/(F220*(1-Ayarlar!$B$6)))</f>
        <v/>
      </c>
      <c r="L220" s="9">
        <f>IF(G220="","GRAM EKSİK",IF(F220&gt;30000,"FİYAT ŞÜPHELİ",IF(K220&lt;0,"ZARARDA",IF(F220&lt;I220,"RİSKLİ","ok"))))</f>
        <v/>
      </c>
      <c r="M220" s="13" t="inlineStr">
        <is>
          <t>https://www.etsy.com/listing/1199715763</t>
        </is>
      </c>
    </row>
    <row r="221">
      <c r="A221" s="3" t="inlineStr">
        <is>
          <t>chains</t>
        </is>
      </c>
      <c r="B221" s="3" t="inlineStr">
        <is>
          <t>14K Real Gold Paperclip Chain Necklace, Rectangle Link Jewel</t>
        </is>
      </c>
      <c r="C221" s="3" t="n">
        <v>1199715763</v>
      </c>
      <c r="D221" s="3" t="inlineStr">
        <is>
          <t>CP4F-22</t>
        </is>
      </c>
      <c r="E221" s="3" t="inlineStr">
        <is>
          <t>description</t>
        </is>
      </c>
      <c r="F221" s="14" t="n">
        <v>1744</v>
      </c>
      <c r="G221" s="17" t="n">
        <v>9.630000000000001</v>
      </c>
      <c r="H221" s="14">
        <f>IF(G221="","",G221*Ayarlar!$B$3+Ayarlar!$B$4+Ayarlar!$B$5)</f>
        <v/>
      </c>
      <c r="I221" s="14">
        <f>IF(G221="","",ROUNDUP(((G221*Ayarlar!$B$3+Ayarlar!$B$4+Ayarlar!$B$5)+Ayarlar!$B$8)/((1-Ayarlar!$B$6)*(1-Ayarlar!$B$7)),0))</f>
        <v/>
      </c>
      <c r="J221" s="14">
        <f>IF(G221="","",ROUNDUP(((G221*Ayarlar!$B$3+Ayarlar!$B$4+Ayarlar!$B$5)+Ayarlar!$B$8)/((1-Ayarlar!$B$6)*(1-Ayarlar!$B$7-Ayarlar!$B$9)),0))</f>
        <v/>
      </c>
      <c r="K221" s="15">
        <f>IF(OR(G221="",F221=""),"",(F221*(1-Ayarlar!$B$6)-(F221*(1-Ayarlar!$B$6)*Ayarlar!$B$7+Ayarlar!$B$8)-(G221*Ayarlar!$B$3+Ayarlar!$B$4+Ayarlar!$B$5))/(F221*(1-Ayarlar!$B$6)))</f>
        <v/>
      </c>
      <c r="L221" s="3">
        <f>IF(G221="","GRAM EKSİK",IF(F221&gt;30000,"FİYAT ŞÜPHELİ",IF(K221&lt;0,"ZARARDA",IF(F221&lt;I221,"RİSKLİ","ok"))))</f>
        <v/>
      </c>
      <c r="M221" s="16" t="inlineStr">
        <is>
          <t>https://www.etsy.com/listing/1199715763</t>
        </is>
      </c>
    </row>
    <row r="222">
      <c r="A222" s="9" t="inlineStr">
        <is>
          <t>chains</t>
        </is>
      </c>
      <c r="B222" s="9" t="inlineStr">
        <is>
          <t>14K Real Gold Paperclip Chain Necklace, Rectangle Link Jewel</t>
        </is>
      </c>
      <c r="C222" s="9" t="n">
        <v>1199715763</v>
      </c>
      <c r="D222" s="9" t="inlineStr">
        <is>
          <t>CP4F-24</t>
        </is>
      </c>
      <c r="E222" s="9" t="inlineStr">
        <is>
          <t>description</t>
        </is>
      </c>
      <c r="F222" s="10" t="n">
        <v>1923</v>
      </c>
      <c r="G222" s="18" t="n">
        <v>10.5</v>
      </c>
      <c r="H222" s="10">
        <f>IF(G222="","",G222*Ayarlar!$B$3+Ayarlar!$B$4+Ayarlar!$B$5)</f>
        <v/>
      </c>
      <c r="I222" s="10">
        <f>IF(G222="","",ROUNDUP(((G222*Ayarlar!$B$3+Ayarlar!$B$4+Ayarlar!$B$5)+Ayarlar!$B$8)/((1-Ayarlar!$B$6)*(1-Ayarlar!$B$7)),0))</f>
        <v/>
      </c>
      <c r="J222" s="10">
        <f>IF(G222="","",ROUNDUP(((G222*Ayarlar!$B$3+Ayarlar!$B$4+Ayarlar!$B$5)+Ayarlar!$B$8)/((1-Ayarlar!$B$6)*(1-Ayarlar!$B$7-Ayarlar!$B$9)),0))</f>
        <v/>
      </c>
      <c r="K222" s="12">
        <f>IF(OR(G222="",F222=""),"",(F222*(1-Ayarlar!$B$6)-(F222*(1-Ayarlar!$B$6)*Ayarlar!$B$7+Ayarlar!$B$8)-(G222*Ayarlar!$B$3+Ayarlar!$B$4+Ayarlar!$B$5))/(F222*(1-Ayarlar!$B$6)))</f>
        <v/>
      </c>
      <c r="L222" s="9">
        <f>IF(G222="","GRAM EKSİK",IF(F222&gt;30000,"FİYAT ŞÜPHELİ",IF(K222&lt;0,"ZARARDA",IF(F222&lt;I222,"RİSKLİ","ok"))))</f>
        <v/>
      </c>
      <c r="M222" s="13" t="inlineStr">
        <is>
          <t>https://www.etsy.com/listing/1199715763</t>
        </is>
      </c>
    </row>
    <row r="223">
      <c r="A223" s="3" t="inlineStr">
        <is>
          <t>chains</t>
        </is>
      </c>
      <c r="B223" s="3" t="inlineStr">
        <is>
          <t>14K Real Gold Rope Chain Bracelet / Unisex Twisted Jewelry</t>
        </is>
      </c>
      <c r="C223" s="3" t="n">
        <v>1199260535</v>
      </c>
      <c r="D223" s="3" t="inlineStr">
        <is>
          <t>CR0F-16</t>
        </is>
      </c>
      <c r="E223" s="3" t="inlineStr">
        <is>
          <t>description</t>
        </is>
      </c>
      <c r="F223" s="14" t="n">
        <v>360</v>
      </c>
      <c r="G223" s="17" t="n">
        <v>1.97</v>
      </c>
      <c r="H223" s="14">
        <f>IF(G223="","",G223*Ayarlar!$B$3+Ayarlar!$B$4+Ayarlar!$B$5)</f>
        <v/>
      </c>
      <c r="I223" s="14">
        <f>IF(G223="","",ROUNDUP(((G223*Ayarlar!$B$3+Ayarlar!$B$4+Ayarlar!$B$5)+Ayarlar!$B$8)/((1-Ayarlar!$B$6)*(1-Ayarlar!$B$7)),0))</f>
        <v/>
      </c>
      <c r="J223" s="14">
        <f>IF(G223="","",ROUNDUP(((G223*Ayarlar!$B$3+Ayarlar!$B$4+Ayarlar!$B$5)+Ayarlar!$B$8)/((1-Ayarlar!$B$6)*(1-Ayarlar!$B$7-Ayarlar!$B$9)),0))</f>
        <v/>
      </c>
      <c r="K223" s="15">
        <f>IF(OR(G223="",F223=""),"",(F223*(1-Ayarlar!$B$6)-(F223*(1-Ayarlar!$B$6)*Ayarlar!$B$7+Ayarlar!$B$8)-(G223*Ayarlar!$B$3+Ayarlar!$B$4+Ayarlar!$B$5))/(F223*(1-Ayarlar!$B$6)))</f>
        <v/>
      </c>
      <c r="L223" s="3">
        <f>IF(G223="","GRAM EKSİK",IF(F223&gt;30000,"FİYAT ŞÜPHELİ",IF(K223&lt;0,"ZARARDA",IF(F223&lt;I223,"RİSKLİ","ok"))))</f>
        <v/>
      </c>
      <c r="M223" s="16" t="inlineStr">
        <is>
          <t>https://www.etsy.com/listing/1199260535</t>
        </is>
      </c>
    </row>
    <row r="224">
      <c r="A224" s="9" t="inlineStr">
        <is>
          <t>chains</t>
        </is>
      </c>
      <c r="B224" s="9" t="inlineStr">
        <is>
          <t>14K Real Gold Rope Chain Bracelet / Unisex Twisted Jewelry</t>
        </is>
      </c>
      <c r="C224" s="9" t="n">
        <v>1199260535</v>
      </c>
      <c r="D224" s="9" t="inlineStr">
        <is>
          <t>CR0F-18</t>
        </is>
      </c>
      <c r="E224" s="9" t="inlineStr">
        <is>
          <t>description</t>
        </is>
      </c>
      <c r="F224" s="10" t="n">
        <v>421</v>
      </c>
      <c r="G224" s="18" t="n">
        <v>2.22</v>
      </c>
      <c r="H224" s="10">
        <f>IF(G224="","",G224*Ayarlar!$B$3+Ayarlar!$B$4+Ayarlar!$B$5)</f>
        <v/>
      </c>
      <c r="I224" s="10">
        <f>IF(G224="","",ROUNDUP(((G224*Ayarlar!$B$3+Ayarlar!$B$4+Ayarlar!$B$5)+Ayarlar!$B$8)/((1-Ayarlar!$B$6)*(1-Ayarlar!$B$7)),0))</f>
        <v/>
      </c>
      <c r="J224" s="10">
        <f>IF(G224="","",ROUNDUP(((G224*Ayarlar!$B$3+Ayarlar!$B$4+Ayarlar!$B$5)+Ayarlar!$B$8)/((1-Ayarlar!$B$6)*(1-Ayarlar!$B$7-Ayarlar!$B$9)),0))</f>
        <v/>
      </c>
      <c r="K224" s="12">
        <f>IF(OR(G224="",F224=""),"",(F224*(1-Ayarlar!$B$6)-(F224*(1-Ayarlar!$B$6)*Ayarlar!$B$7+Ayarlar!$B$8)-(G224*Ayarlar!$B$3+Ayarlar!$B$4+Ayarlar!$B$5))/(F224*(1-Ayarlar!$B$6)))</f>
        <v/>
      </c>
      <c r="L224" s="9">
        <f>IF(G224="","GRAM EKSİK",IF(F224&gt;30000,"FİYAT ŞÜPHELİ",IF(K224&lt;0,"ZARARDA",IF(F224&lt;I224,"RİSKLİ","ok"))))</f>
        <v/>
      </c>
      <c r="M224" s="13" t="inlineStr">
        <is>
          <t>https://www.etsy.com/listing/1199260535</t>
        </is>
      </c>
    </row>
    <row r="225">
      <c r="A225" s="3" t="inlineStr">
        <is>
          <t>chains</t>
        </is>
      </c>
      <c r="B225" s="3" t="inlineStr">
        <is>
          <t>14K Real Gold Rope Chain Bracelet / Unisex Twisted Jewelry</t>
        </is>
      </c>
      <c r="C225" s="3" t="n">
        <v>1199260535</v>
      </c>
      <c r="D225" s="3" t="inlineStr">
        <is>
          <t>CR0F-20</t>
        </is>
      </c>
      <c r="E225" s="3" t="inlineStr">
        <is>
          <t>description</t>
        </is>
      </c>
      <c r="F225" s="14" t="n">
        <v>468</v>
      </c>
      <c r="G225" s="17" t="n">
        <v>2.46</v>
      </c>
      <c r="H225" s="14">
        <f>IF(G225="","",G225*Ayarlar!$B$3+Ayarlar!$B$4+Ayarlar!$B$5)</f>
        <v/>
      </c>
      <c r="I225" s="14">
        <f>IF(G225="","",ROUNDUP(((G225*Ayarlar!$B$3+Ayarlar!$B$4+Ayarlar!$B$5)+Ayarlar!$B$8)/((1-Ayarlar!$B$6)*(1-Ayarlar!$B$7)),0))</f>
        <v/>
      </c>
      <c r="J225" s="14">
        <f>IF(G225="","",ROUNDUP(((G225*Ayarlar!$B$3+Ayarlar!$B$4+Ayarlar!$B$5)+Ayarlar!$B$8)/((1-Ayarlar!$B$6)*(1-Ayarlar!$B$7-Ayarlar!$B$9)),0))</f>
        <v/>
      </c>
      <c r="K225" s="15">
        <f>IF(OR(G225="",F225=""),"",(F225*(1-Ayarlar!$B$6)-(F225*(1-Ayarlar!$B$6)*Ayarlar!$B$7+Ayarlar!$B$8)-(G225*Ayarlar!$B$3+Ayarlar!$B$4+Ayarlar!$B$5))/(F225*(1-Ayarlar!$B$6)))</f>
        <v/>
      </c>
      <c r="L225" s="3">
        <f>IF(G225="","GRAM EKSİK",IF(F225&gt;30000,"FİYAT ŞÜPHELİ",IF(K225&lt;0,"ZARARDA",IF(F225&lt;I225,"RİSKLİ","ok"))))</f>
        <v/>
      </c>
      <c r="M225" s="16" t="inlineStr">
        <is>
          <t>https://www.etsy.com/listing/1199260535</t>
        </is>
      </c>
    </row>
    <row r="226">
      <c r="A226" s="9" t="inlineStr">
        <is>
          <t>chains</t>
        </is>
      </c>
      <c r="B226" s="9" t="inlineStr">
        <is>
          <t>14K Real Gold Rope Chain Bracelet / Unisex Twisted Jewelry</t>
        </is>
      </c>
      <c r="C226" s="9" t="n">
        <v>1199260535</v>
      </c>
      <c r="D226" s="9" t="inlineStr">
        <is>
          <t>CR0F-22</t>
        </is>
      </c>
      <c r="E226" s="9" t="inlineStr">
        <is>
          <t>description</t>
        </is>
      </c>
      <c r="F226" s="10" t="n">
        <v>516</v>
      </c>
      <c r="G226" s="18" t="n">
        <v>2.71</v>
      </c>
      <c r="H226" s="10">
        <f>IF(G226="","",G226*Ayarlar!$B$3+Ayarlar!$B$4+Ayarlar!$B$5)</f>
        <v/>
      </c>
      <c r="I226" s="10">
        <f>IF(G226="","",ROUNDUP(((G226*Ayarlar!$B$3+Ayarlar!$B$4+Ayarlar!$B$5)+Ayarlar!$B$8)/((1-Ayarlar!$B$6)*(1-Ayarlar!$B$7)),0))</f>
        <v/>
      </c>
      <c r="J226" s="10">
        <f>IF(G226="","",ROUNDUP(((G226*Ayarlar!$B$3+Ayarlar!$B$4+Ayarlar!$B$5)+Ayarlar!$B$8)/((1-Ayarlar!$B$6)*(1-Ayarlar!$B$7-Ayarlar!$B$9)),0))</f>
        <v/>
      </c>
      <c r="K226" s="12">
        <f>IF(OR(G226="",F226=""),"",(F226*(1-Ayarlar!$B$6)-(F226*(1-Ayarlar!$B$6)*Ayarlar!$B$7+Ayarlar!$B$8)-(G226*Ayarlar!$B$3+Ayarlar!$B$4+Ayarlar!$B$5))/(F226*(1-Ayarlar!$B$6)))</f>
        <v/>
      </c>
      <c r="L226" s="9">
        <f>IF(G226="","GRAM EKSİK",IF(F226&gt;30000,"FİYAT ŞÜPHELİ",IF(K226&lt;0,"ZARARDA",IF(F226&lt;I226,"RİSKLİ","ok"))))</f>
        <v/>
      </c>
      <c r="M226" s="13" t="inlineStr">
        <is>
          <t>https://www.etsy.com/listing/1199260535</t>
        </is>
      </c>
    </row>
    <row r="227">
      <c r="A227" s="3" t="inlineStr">
        <is>
          <t>chains</t>
        </is>
      </c>
      <c r="B227" s="3" t="inlineStr">
        <is>
          <t>14K Real Gold Rope Chain Bracelet / Unisex Twisted Jewelry</t>
        </is>
      </c>
      <c r="C227" s="3" t="n">
        <v>1199260535</v>
      </c>
      <c r="D227" s="3" t="inlineStr">
        <is>
          <t>CR0F-24</t>
        </is>
      </c>
      <c r="E227" s="3" t="inlineStr">
        <is>
          <t>description</t>
        </is>
      </c>
      <c r="F227" s="14" t="n">
        <v>564</v>
      </c>
      <c r="G227" s="17" t="n">
        <v>2.96</v>
      </c>
      <c r="H227" s="14">
        <f>IF(G227="","",G227*Ayarlar!$B$3+Ayarlar!$B$4+Ayarlar!$B$5)</f>
        <v/>
      </c>
      <c r="I227" s="14">
        <f>IF(G227="","",ROUNDUP(((G227*Ayarlar!$B$3+Ayarlar!$B$4+Ayarlar!$B$5)+Ayarlar!$B$8)/((1-Ayarlar!$B$6)*(1-Ayarlar!$B$7)),0))</f>
        <v/>
      </c>
      <c r="J227" s="14">
        <f>IF(G227="","",ROUNDUP(((G227*Ayarlar!$B$3+Ayarlar!$B$4+Ayarlar!$B$5)+Ayarlar!$B$8)/((1-Ayarlar!$B$6)*(1-Ayarlar!$B$7-Ayarlar!$B$9)),0))</f>
        <v/>
      </c>
      <c r="K227" s="15">
        <f>IF(OR(G227="",F227=""),"",(F227*(1-Ayarlar!$B$6)-(F227*(1-Ayarlar!$B$6)*Ayarlar!$B$7+Ayarlar!$B$8)-(G227*Ayarlar!$B$3+Ayarlar!$B$4+Ayarlar!$B$5))/(F227*(1-Ayarlar!$B$6)))</f>
        <v/>
      </c>
      <c r="L227" s="3">
        <f>IF(G227="","GRAM EKSİK",IF(F227&gt;30000,"FİYAT ŞÜPHELİ",IF(K227&lt;0,"ZARARDA",IF(F227&lt;I227,"RİSKLİ","ok"))))</f>
        <v/>
      </c>
      <c r="M227" s="16" t="inlineStr">
        <is>
          <t>https://www.etsy.com/listing/1199260535</t>
        </is>
      </c>
    </row>
    <row r="228">
      <c r="A228" s="9" t="inlineStr">
        <is>
          <t>chains</t>
        </is>
      </c>
      <c r="B228" s="9" t="inlineStr">
        <is>
          <t>14K Real Gold Rope Chain Bracelet / Unisex Twisted Jewelry</t>
        </is>
      </c>
      <c r="C228" s="9" t="n">
        <v>1199260535</v>
      </c>
      <c r="D228" s="9" t="inlineStr">
        <is>
          <t>CR11F-16</t>
        </is>
      </c>
      <c r="E228" s="9" t="inlineStr">
        <is>
          <t>description</t>
        </is>
      </c>
      <c r="F228" s="10" t="n">
        <v>2041</v>
      </c>
      <c r="G228" s="18" t="n">
        <v>10.87</v>
      </c>
      <c r="H228" s="10">
        <f>IF(G228="","",G228*Ayarlar!$B$3+Ayarlar!$B$4+Ayarlar!$B$5)</f>
        <v/>
      </c>
      <c r="I228" s="10">
        <f>IF(G228="","",ROUNDUP(((G228*Ayarlar!$B$3+Ayarlar!$B$4+Ayarlar!$B$5)+Ayarlar!$B$8)/((1-Ayarlar!$B$6)*(1-Ayarlar!$B$7)),0))</f>
        <v/>
      </c>
      <c r="J228" s="10">
        <f>IF(G228="","",ROUNDUP(((G228*Ayarlar!$B$3+Ayarlar!$B$4+Ayarlar!$B$5)+Ayarlar!$B$8)/((1-Ayarlar!$B$6)*(1-Ayarlar!$B$7-Ayarlar!$B$9)),0))</f>
        <v/>
      </c>
      <c r="K228" s="12">
        <f>IF(OR(G228="",F228=""),"",(F228*(1-Ayarlar!$B$6)-(F228*(1-Ayarlar!$B$6)*Ayarlar!$B$7+Ayarlar!$B$8)-(G228*Ayarlar!$B$3+Ayarlar!$B$4+Ayarlar!$B$5))/(F228*(1-Ayarlar!$B$6)))</f>
        <v/>
      </c>
      <c r="L228" s="9">
        <f>IF(G228="","GRAM EKSİK",IF(F228&gt;30000,"FİYAT ŞÜPHELİ",IF(K228&lt;0,"ZARARDA",IF(F228&lt;I228,"RİSKLİ","ok"))))</f>
        <v/>
      </c>
      <c r="M228" s="13" t="inlineStr">
        <is>
          <t>https://www.etsy.com/listing/1199260535</t>
        </is>
      </c>
    </row>
    <row r="229">
      <c r="A229" s="3" t="inlineStr">
        <is>
          <t>chains</t>
        </is>
      </c>
      <c r="B229" s="3" t="inlineStr">
        <is>
          <t>14K Real Gold Rope Chain Bracelet / Unisex Twisted Jewelry</t>
        </is>
      </c>
      <c r="C229" s="3" t="n">
        <v>1199260535</v>
      </c>
      <c r="D229" s="3" t="inlineStr">
        <is>
          <t>CR11F-18</t>
        </is>
      </c>
      <c r="E229" s="3" t="inlineStr">
        <is>
          <t>description</t>
        </is>
      </c>
      <c r="F229" s="14" t="n">
        <v>2282</v>
      </c>
      <c r="G229" s="17" t="n">
        <v>12.23</v>
      </c>
      <c r="H229" s="14">
        <f>IF(G229="","",G229*Ayarlar!$B$3+Ayarlar!$B$4+Ayarlar!$B$5)</f>
        <v/>
      </c>
      <c r="I229" s="14">
        <f>IF(G229="","",ROUNDUP(((G229*Ayarlar!$B$3+Ayarlar!$B$4+Ayarlar!$B$5)+Ayarlar!$B$8)/((1-Ayarlar!$B$6)*(1-Ayarlar!$B$7)),0))</f>
        <v/>
      </c>
      <c r="J229" s="14">
        <f>IF(G229="","",ROUNDUP(((G229*Ayarlar!$B$3+Ayarlar!$B$4+Ayarlar!$B$5)+Ayarlar!$B$8)/((1-Ayarlar!$B$6)*(1-Ayarlar!$B$7-Ayarlar!$B$9)),0))</f>
        <v/>
      </c>
      <c r="K229" s="15">
        <f>IF(OR(G229="",F229=""),"",(F229*(1-Ayarlar!$B$6)-(F229*(1-Ayarlar!$B$6)*Ayarlar!$B$7+Ayarlar!$B$8)-(G229*Ayarlar!$B$3+Ayarlar!$B$4+Ayarlar!$B$5))/(F229*(1-Ayarlar!$B$6)))</f>
        <v/>
      </c>
      <c r="L229" s="3">
        <f>IF(G229="","GRAM EKSİK",IF(F229&gt;30000,"FİYAT ŞÜPHELİ",IF(K229&lt;0,"ZARARDA",IF(F229&lt;I229,"RİSKLİ","ok"))))</f>
        <v/>
      </c>
      <c r="M229" s="16" t="inlineStr">
        <is>
          <t>https://www.etsy.com/listing/1199260535</t>
        </is>
      </c>
    </row>
    <row r="230">
      <c r="A230" s="9" t="inlineStr">
        <is>
          <t>chains</t>
        </is>
      </c>
      <c r="B230" s="9" t="inlineStr">
        <is>
          <t>14K Real Gold Rope Chain Bracelet / Unisex Twisted Jewelry</t>
        </is>
      </c>
      <c r="C230" s="9" t="n">
        <v>1199260535</v>
      </c>
      <c r="D230" s="9" t="inlineStr">
        <is>
          <t>CR11F-20</t>
        </is>
      </c>
      <c r="E230" s="9" t="inlineStr">
        <is>
          <t>description</t>
        </is>
      </c>
      <c r="F230" s="10" t="n">
        <v>2522</v>
      </c>
      <c r="G230" s="18" t="n">
        <v>13.59</v>
      </c>
      <c r="H230" s="10">
        <f>IF(G230="","",G230*Ayarlar!$B$3+Ayarlar!$B$4+Ayarlar!$B$5)</f>
        <v/>
      </c>
      <c r="I230" s="10">
        <f>IF(G230="","",ROUNDUP(((G230*Ayarlar!$B$3+Ayarlar!$B$4+Ayarlar!$B$5)+Ayarlar!$B$8)/((1-Ayarlar!$B$6)*(1-Ayarlar!$B$7)),0))</f>
        <v/>
      </c>
      <c r="J230" s="10">
        <f>IF(G230="","",ROUNDUP(((G230*Ayarlar!$B$3+Ayarlar!$B$4+Ayarlar!$B$5)+Ayarlar!$B$8)/((1-Ayarlar!$B$6)*(1-Ayarlar!$B$7-Ayarlar!$B$9)),0))</f>
        <v/>
      </c>
      <c r="K230" s="12">
        <f>IF(OR(G230="",F230=""),"",(F230*(1-Ayarlar!$B$6)-(F230*(1-Ayarlar!$B$6)*Ayarlar!$B$7+Ayarlar!$B$8)-(G230*Ayarlar!$B$3+Ayarlar!$B$4+Ayarlar!$B$5))/(F230*(1-Ayarlar!$B$6)))</f>
        <v/>
      </c>
      <c r="L230" s="9">
        <f>IF(G230="","GRAM EKSİK",IF(F230&gt;30000,"FİYAT ŞÜPHELİ",IF(K230&lt;0,"ZARARDA",IF(F230&lt;I230,"RİSKLİ","ok"))))</f>
        <v/>
      </c>
      <c r="M230" s="13" t="inlineStr">
        <is>
          <t>https://www.etsy.com/listing/1199260535</t>
        </is>
      </c>
    </row>
    <row r="231">
      <c r="A231" s="3" t="inlineStr">
        <is>
          <t>chains</t>
        </is>
      </c>
      <c r="B231" s="3" t="inlineStr">
        <is>
          <t>14K Real Gold Rope Chain Bracelet / Unisex Twisted Jewelry</t>
        </is>
      </c>
      <c r="C231" s="3" t="n">
        <v>1199260535</v>
      </c>
      <c r="D231" s="3" t="inlineStr">
        <is>
          <t>CR11F-22</t>
        </is>
      </c>
      <c r="E231" s="3" t="inlineStr">
        <is>
          <t>description</t>
        </is>
      </c>
      <c r="F231" s="14" t="n">
        <v>2764</v>
      </c>
      <c r="G231" s="17" t="n">
        <v>14.95</v>
      </c>
      <c r="H231" s="14">
        <f>IF(G231="","",G231*Ayarlar!$B$3+Ayarlar!$B$4+Ayarlar!$B$5)</f>
        <v/>
      </c>
      <c r="I231" s="14">
        <f>IF(G231="","",ROUNDUP(((G231*Ayarlar!$B$3+Ayarlar!$B$4+Ayarlar!$B$5)+Ayarlar!$B$8)/((1-Ayarlar!$B$6)*(1-Ayarlar!$B$7)),0))</f>
        <v/>
      </c>
      <c r="J231" s="14">
        <f>IF(G231="","",ROUNDUP(((G231*Ayarlar!$B$3+Ayarlar!$B$4+Ayarlar!$B$5)+Ayarlar!$B$8)/((1-Ayarlar!$B$6)*(1-Ayarlar!$B$7-Ayarlar!$B$9)),0))</f>
        <v/>
      </c>
      <c r="K231" s="15">
        <f>IF(OR(G231="",F231=""),"",(F231*(1-Ayarlar!$B$6)-(F231*(1-Ayarlar!$B$6)*Ayarlar!$B$7+Ayarlar!$B$8)-(G231*Ayarlar!$B$3+Ayarlar!$B$4+Ayarlar!$B$5))/(F231*(1-Ayarlar!$B$6)))</f>
        <v/>
      </c>
      <c r="L231" s="3">
        <f>IF(G231="","GRAM EKSİK",IF(F231&gt;30000,"FİYAT ŞÜPHELİ",IF(K231&lt;0,"ZARARDA",IF(F231&lt;I231,"RİSKLİ","ok"))))</f>
        <v/>
      </c>
      <c r="M231" s="16" t="inlineStr">
        <is>
          <t>https://www.etsy.com/listing/1199260535</t>
        </is>
      </c>
    </row>
    <row r="232">
      <c r="A232" s="9" t="inlineStr">
        <is>
          <t>chains</t>
        </is>
      </c>
      <c r="B232" s="9" t="inlineStr">
        <is>
          <t>14K Real Gold Rope Chain Bracelet / Unisex Twisted Jewelry</t>
        </is>
      </c>
      <c r="C232" s="9" t="n">
        <v>1199260535</v>
      </c>
      <c r="D232" s="9" t="inlineStr">
        <is>
          <t>CR11F-24</t>
        </is>
      </c>
      <c r="E232" s="9" t="inlineStr">
        <is>
          <t>description</t>
        </is>
      </c>
      <c r="F232" s="10" t="n">
        <v>3004</v>
      </c>
      <c r="G232" s="18" t="n">
        <v>16.3</v>
      </c>
      <c r="H232" s="10">
        <f>IF(G232="","",G232*Ayarlar!$B$3+Ayarlar!$B$4+Ayarlar!$B$5)</f>
        <v/>
      </c>
      <c r="I232" s="10">
        <f>IF(G232="","",ROUNDUP(((G232*Ayarlar!$B$3+Ayarlar!$B$4+Ayarlar!$B$5)+Ayarlar!$B$8)/((1-Ayarlar!$B$6)*(1-Ayarlar!$B$7)),0))</f>
        <v/>
      </c>
      <c r="J232" s="10">
        <f>IF(G232="","",ROUNDUP(((G232*Ayarlar!$B$3+Ayarlar!$B$4+Ayarlar!$B$5)+Ayarlar!$B$8)/((1-Ayarlar!$B$6)*(1-Ayarlar!$B$7-Ayarlar!$B$9)),0))</f>
        <v/>
      </c>
      <c r="K232" s="12">
        <f>IF(OR(G232="",F232=""),"",(F232*(1-Ayarlar!$B$6)-(F232*(1-Ayarlar!$B$6)*Ayarlar!$B$7+Ayarlar!$B$8)-(G232*Ayarlar!$B$3+Ayarlar!$B$4+Ayarlar!$B$5))/(F232*(1-Ayarlar!$B$6)))</f>
        <v/>
      </c>
      <c r="L232" s="9">
        <f>IF(G232="","GRAM EKSİK",IF(F232&gt;30000,"FİYAT ŞÜPHELİ",IF(K232&lt;0,"ZARARDA",IF(F232&lt;I232,"RİSKLİ","ok"))))</f>
        <v/>
      </c>
      <c r="M232" s="13" t="inlineStr">
        <is>
          <t>https://www.etsy.com/listing/1199260535</t>
        </is>
      </c>
    </row>
    <row r="233">
      <c r="A233" s="3" t="inlineStr">
        <is>
          <t>chains</t>
        </is>
      </c>
      <c r="B233" s="3" t="inlineStr">
        <is>
          <t>14K Real Gold Rope Chain Bracelet / Unisex Twisted Jewelry</t>
        </is>
      </c>
      <c r="C233" s="3" t="n">
        <v>1199260535</v>
      </c>
      <c r="D233" s="3" t="inlineStr">
        <is>
          <t>CR1F-16</t>
        </is>
      </c>
      <c r="E233" s="3" t="inlineStr">
        <is>
          <t>description-scaled</t>
        </is>
      </c>
      <c r="F233" s="14" t="n">
        <v>410</v>
      </c>
      <c r="G233" s="17" t="n">
        <v>2.27</v>
      </c>
      <c r="H233" s="14">
        <f>IF(G233="","",G233*Ayarlar!$B$3+Ayarlar!$B$4+Ayarlar!$B$5)</f>
        <v/>
      </c>
      <c r="I233" s="14">
        <f>IF(G233="","",ROUNDUP(((G233*Ayarlar!$B$3+Ayarlar!$B$4+Ayarlar!$B$5)+Ayarlar!$B$8)/((1-Ayarlar!$B$6)*(1-Ayarlar!$B$7)),0))</f>
        <v/>
      </c>
      <c r="J233" s="14">
        <f>IF(G233="","",ROUNDUP(((G233*Ayarlar!$B$3+Ayarlar!$B$4+Ayarlar!$B$5)+Ayarlar!$B$8)/((1-Ayarlar!$B$6)*(1-Ayarlar!$B$7-Ayarlar!$B$9)),0))</f>
        <v/>
      </c>
      <c r="K233" s="15">
        <f>IF(OR(G233="",F233=""),"",(F233*(1-Ayarlar!$B$6)-(F233*(1-Ayarlar!$B$6)*Ayarlar!$B$7+Ayarlar!$B$8)-(G233*Ayarlar!$B$3+Ayarlar!$B$4+Ayarlar!$B$5))/(F233*(1-Ayarlar!$B$6)))</f>
        <v/>
      </c>
      <c r="L233" s="3">
        <f>IF(G233="","GRAM EKSİK",IF(F233&gt;30000,"FİYAT ŞÜPHELİ",IF(K233&lt;0,"ZARARDA",IF(F233&lt;I233,"RİSKLİ","ok"))))</f>
        <v/>
      </c>
      <c r="M233" s="16" t="inlineStr">
        <is>
          <t>https://www.etsy.com/listing/1199260535</t>
        </is>
      </c>
    </row>
    <row r="234">
      <c r="A234" s="9" t="inlineStr">
        <is>
          <t>chains</t>
        </is>
      </c>
      <c r="B234" s="9" t="inlineStr">
        <is>
          <t>14K Real Gold Rope Chain Bracelet / Unisex Twisted Jewelry</t>
        </is>
      </c>
      <c r="C234" s="9" t="n">
        <v>1199260535</v>
      </c>
      <c r="D234" s="9" t="inlineStr">
        <is>
          <t>CR1F-18</t>
        </is>
      </c>
      <c r="E234" s="9" t="inlineStr">
        <is>
          <t>description</t>
        </is>
      </c>
      <c r="F234" s="10" t="n">
        <v>469</v>
      </c>
      <c r="G234" s="18" t="n">
        <v>2.55</v>
      </c>
      <c r="H234" s="10">
        <f>IF(G234="","",G234*Ayarlar!$B$3+Ayarlar!$B$4+Ayarlar!$B$5)</f>
        <v/>
      </c>
      <c r="I234" s="10">
        <f>IF(G234="","",ROUNDUP(((G234*Ayarlar!$B$3+Ayarlar!$B$4+Ayarlar!$B$5)+Ayarlar!$B$8)/((1-Ayarlar!$B$6)*(1-Ayarlar!$B$7)),0))</f>
        <v/>
      </c>
      <c r="J234" s="10">
        <f>IF(G234="","",ROUNDUP(((G234*Ayarlar!$B$3+Ayarlar!$B$4+Ayarlar!$B$5)+Ayarlar!$B$8)/((1-Ayarlar!$B$6)*(1-Ayarlar!$B$7-Ayarlar!$B$9)),0))</f>
        <v/>
      </c>
      <c r="K234" s="12">
        <f>IF(OR(G234="",F234=""),"",(F234*(1-Ayarlar!$B$6)-(F234*(1-Ayarlar!$B$6)*Ayarlar!$B$7+Ayarlar!$B$8)-(G234*Ayarlar!$B$3+Ayarlar!$B$4+Ayarlar!$B$5))/(F234*(1-Ayarlar!$B$6)))</f>
        <v/>
      </c>
      <c r="L234" s="9">
        <f>IF(G234="","GRAM EKSİK",IF(F234&gt;30000,"FİYAT ŞÜPHELİ",IF(K234&lt;0,"ZARARDA",IF(F234&lt;I234,"RİSKLİ","ok"))))</f>
        <v/>
      </c>
      <c r="M234" s="13" t="inlineStr">
        <is>
          <t>https://www.etsy.com/listing/1199260535</t>
        </is>
      </c>
    </row>
    <row r="235">
      <c r="A235" s="3" t="inlineStr">
        <is>
          <t>chains</t>
        </is>
      </c>
      <c r="B235" s="3" t="inlineStr">
        <is>
          <t>14K Real Gold Rope Chain Bracelet / Unisex Twisted Jewelry</t>
        </is>
      </c>
      <c r="C235" s="3" t="n">
        <v>1199260535</v>
      </c>
      <c r="D235" s="3" t="inlineStr">
        <is>
          <t>CR1F-20</t>
        </is>
      </c>
      <c r="E235" s="3" t="inlineStr">
        <is>
          <t>description-scaled</t>
        </is>
      </c>
      <c r="F235" s="14" t="n">
        <v>529</v>
      </c>
      <c r="G235" s="17" t="n">
        <v>2.83</v>
      </c>
      <c r="H235" s="14">
        <f>IF(G235="","",G235*Ayarlar!$B$3+Ayarlar!$B$4+Ayarlar!$B$5)</f>
        <v/>
      </c>
      <c r="I235" s="14">
        <f>IF(G235="","",ROUNDUP(((G235*Ayarlar!$B$3+Ayarlar!$B$4+Ayarlar!$B$5)+Ayarlar!$B$8)/((1-Ayarlar!$B$6)*(1-Ayarlar!$B$7)),0))</f>
        <v/>
      </c>
      <c r="J235" s="14">
        <f>IF(G235="","",ROUNDUP(((G235*Ayarlar!$B$3+Ayarlar!$B$4+Ayarlar!$B$5)+Ayarlar!$B$8)/((1-Ayarlar!$B$6)*(1-Ayarlar!$B$7-Ayarlar!$B$9)),0))</f>
        <v/>
      </c>
      <c r="K235" s="15">
        <f>IF(OR(G235="",F235=""),"",(F235*(1-Ayarlar!$B$6)-(F235*(1-Ayarlar!$B$6)*Ayarlar!$B$7+Ayarlar!$B$8)-(G235*Ayarlar!$B$3+Ayarlar!$B$4+Ayarlar!$B$5))/(F235*(1-Ayarlar!$B$6)))</f>
        <v/>
      </c>
      <c r="L235" s="3">
        <f>IF(G235="","GRAM EKSİK",IF(F235&gt;30000,"FİYAT ŞÜPHELİ",IF(K235&lt;0,"ZARARDA",IF(F235&lt;I235,"RİSKLİ","ok"))))</f>
        <v/>
      </c>
      <c r="M235" s="16" t="inlineStr">
        <is>
          <t>https://www.etsy.com/listing/1199260535</t>
        </is>
      </c>
    </row>
    <row r="236">
      <c r="A236" s="9" t="inlineStr">
        <is>
          <t>chains</t>
        </is>
      </c>
      <c r="B236" s="9" t="inlineStr">
        <is>
          <t>14K Real Gold Rope Chain Bracelet / Unisex Twisted Jewelry</t>
        </is>
      </c>
      <c r="C236" s="9" t="n">
        <v>1199260535</v>
      </c>
      <c r="D236" s="9" t="inlineStr">
        <is>
          <t>CR1F-22</t>
        </is>
      </c>
      <c r="E236" s="9" t="inlineStr">
        <is>
          <t>description-scaled</t>
        </is>
      </c>
      <c r="F236" s="10" t="n">
        <v>589</v>
      </c>
      <c r="G236" s="18" t="n">
        <v>3.12</v>
      </c>
      <c r="H236" s="10">
        <f>IF(G236="","",G236*Ayarlar!$B$3+Ayarlar!$B$4+Ayarlar!$B$5)</f>
        <v/>
      </c>
      <c r="I236" s="10">
        <f>IF(G236="","",ROUNDUP(((G236*Ayarlar!$B$3+Ayarlar!$B$4+Ayarlar!$B$5)+Ayarlar!$B$8)/((1-Ayarlar!$B$6)*(1-Ayarlar!$B$7)),0))</f>
        <v/>
      </c>
      <c r="J236" s="10">
        <f>IF(G236="","",ROUNDUP(((G236*Ayarlar!$B$3+Ayarlar!$B$4+Ayarlar!$B$5)+Ayarlar!$B$8)/((1-Ayarlar!$B$6)*(1-Ayarlar!$B$7-Ayarlar!$B$9)),0))</f>
        <v/>
      </c>
      <c r="K236" s="12">
        <f>IF(OR(G236="",F236=""),"",(F236*(1-Ayarlar!$B$6)-(F236*(1-Ayarlar!$B$6)*Ayarlar!$B$7+Ayarlar!$B$8)-(G236*Ayarlar!$B$3+Ayarlar!$B$4+Ayarlar!$B$5))/(F236*(1-Ayarlar!$B$6)))</f>
        <v/>
      </c>
      <c r="L236" s="9">
        <f>IF(G236="","GRAM EKSİK",IF(F236&gt;30000,"FİYAT ŞÜPHELİ",IF(K236&lt;0,"ZARARDA",IF(F236&lt;I236,"RİSKLİ","ok"))))</f>
        <v/>
      </c>
      <c r="M236" s="13" t="inlineStr">
        <is>
          <t>https://www.etsy.com/listing/1199260535</t>
        </is>
      </c>
    </row>
    <row r="237">
      <c r="A237" s="3" t="inlineStr">
        <is>
          <t>chains</t>
        </is>
      </c>
      <c r="B237" s="3" t="inlineStr">
        <is>
          <t>14K Real Gold Rope Chain Bracelet / Unisex Twisted Jewelry</t>
        </is>
      </c>
      <c r="C237" s="3" t="n">
        <v>1199260535</v>
      </c>
      <c r="D237" s="3" t="inlineStr">
        <is>
          <t>CR1F-24</t>
        </is>
      </c>
      <c r="E237" s="3" t="inlineStr">
        <is>
          <t>description-scaled</t>
        </is>
      </c>
      <c r="F237" s="14" t="n">
        <v>649</v>
      </c>
      <c r="G237" s="17" t="n">
        <v>3.4</v>
      </c>
      <c r="H237" s="14">
        <f>IF(G237="","",G237*Ayarlar!$B$3+Ayarlar!$B$4+Ayarlar!$B$5)</f>
        <v/>
      </c>
      <c r="I237" s="14">
        <f>IF(G237="","",ROUNDUP(((G237*Ayarlar!$B$3+Ayarlar!$B$4+Ayarlar!$B$5)+Ayarlar!$B$8)/((1-Ayarlar!$B$6)*(1-Ayarlar!$B$7)),0))</f>
        <v/>
      </c>
      <c r="J237" s="14">
        <f>IF(G237="","",ROUNDUP(((G237*Ayarlar!$B$3+Ayarlar!$B$4+Ayarlar!$B$5)+Ayarlar!$B$8)/((1-Ayarlar!$B$6)*(1-Ayarlar!$B$7-Ayarlar!$B$9)),0))</f>
        <v/>
      </c>
      <c r="K237" s="15">
        <f>IF(OR(G237="",F237=""),"",(F237*(1-Ayarlar!$B$6)-(F237*(1-Ayarlar!$B$6)*Ayarlar!$B$7+Ayarlar!$B$8)-(G237*Ayarlar!$B$3+Ayarlar!$B$4+Ayarlar!$B$5))/(F237*(1-Ayarlar!$B$6)))</f>
        <v/>
      </c>
      <c r="L237" s="3">
        <f>IF(G237="","GRAM EKSİK",IF(F237&gt;30000,"FİYAT ŞÜPHELİ",IF(K237&lt;0,"ZARARDA",IF(F237&lt;I237,"RİSKLİ","ok"))))</f>
        <v/>
      </c>
      <c r="M237" s="16" t="inlineStr">
        <is>
          <t>https://www.etsy.com/listing/1199260535</t>
        </is>
      </c>
    </row>
    <row r="238">
      <c r="A238" s="9" t="inlineStr">
        <is>
          <t>chains</t>
        </is>
      </c>
      <c r="B238" s="9" t="inlineStr">
        <is>
          <t>14K Real Gold Rope Chain Bracelet / Unisex Twisted Jewelry</t>
        </is>
      </c>
      <c r="C238" s="9" t="n">
        <v>1199260535</v>
      </c>
      <c r="D238" s="9" t="inlineStr">
        <is>
          <t>CR3F-16</t>
        </is>
      </c>
      <c r="E238" s="9" t="inlineStr">
        <is>
          <t>description</t>
        </is>
      </c>
      <c r="F238" s="10" t="n">
        <v>445</v>
      </c>
      <c r="G238" s="18" t="n">
        <v>2.53</v>
      </c>
      <c r="H238" s="10">
        <f>IF(G238="","",G238*Ayarlar!$B$3+Ayarlar!$B$4+Ayarlar!$B$5)</f>
        <v/>
      </c>
      <c r="I238" s="10">
        <f>IF(G238="","",ROUNDUP(((G238*Ayarlar!$B$3+Ayarlar!$B$4+Ayarlar!$B$5)+Ayarlar!$B$8)/((1-Ayarlar!$B$6)*(1-Ayarlar!$B$7)),0))</f>
        <v/>
      </c>
      <c r="J238" s="10">
        <f>IF(G238="","",ROUNDUP(((G238*Ayarlar!$B$3+Ayarlar!$B$4+Ayarlar!$B$5)+Ayarlar!$B$8)/((1-Ayarlar!$B$6)*(1-Ayarlar!$B$7-Ayarlar!$B$9)),0))</f>
        <v/>
      </c>
      <c r="K238" s="12">
        <f>IF(OR(G238="",F238=""),"",(F238*(1-Ayarlar!$B$6)-(F238*(1-Ayarlar!$B$6)*Ayarlar!$B$7+Ayarlar!$B$8)-(G238*Ayarlar!$B$3+Ayarlar!$B$4+Ayarlar!$B$5))/(F238*(1-Ayarlar!$B$6)))</f>
        <v/>
      </c>
      <c r="L238" s="9">
        <f>IF(G238="","GRAM EKSİK",IF(F238&gt;30000,"FİYAT ŞÜPHELİ",IF(K238&lt;0,"ZARARDA",IF(F238&lt;I238,"RİSKLİ","ok"))))</f>
        <v/>
      </c>
      <c r="M238" s="13" t="inlineStr">
        <is>
          <t>https://www.etsy.com/listing/1199260535</t>
        </is>
      </c>
    </row>
    <row r="239">
      <c r="A239" s="3" t="inlineStr">
        <is>
          <t>chains</t>
        </is>
      </c>
      <c r="B239" s="3" t="inlineStr">
        <is>
          <t>14K Real Gold Rope Chain Bracelet / Unisex Twisted Jewelry</t>
        </is>
      </c>
      <c r="C239" s="3" t="n">
        <v>1199260535</v>
      </c>
      <c r="D239" s="3" t="inlineStr">
        <is>
          <t>CR3F-18</t>
        </is>
      </c>
      <c r="E239" s="3" t="inlineStr">
        <is>
          <t>description</t>
        </is>
      </c>
      <c r="F239" s="14" t="n">
        <v>505</v>
      </c>
      <c r="G239" s="17" t="n">
        <v>2.84</v>
      </c>
      <c r="H239" s="14">
        <f>IF(G239="","",G239*Ayarlar!$B$3+Ayarlar!$B$4+Ayarlar!$B$5)</f>
        <v/>
      </c>
      <c r="I239" s="14">
        <f>IF(G239="","",ROUNDUP(((G239*Ayarlar!$B$3+Ayarlar!$B$4+Ayarlar!$B$5)+Ayarlar!$B$8)/((1-Ayarlar!$B$6)*(1-Ayarlar!$B$7)),0))</f>
        <v/>
      </c>
      <c r="J239" s="14">
        <f>IF(G239="","",ROUNDUP(((G239*Ayarlar!$B$3+Ayarlar!$B$4+Ayarlar!$B$5)+Ayarlar!$B$8)/((1-Ayarlar!$B$6)*(1-Ayarlar!$B$7-Ayarlar!$B$9)),0))</f>
        <v/>
      </c>
      <c r="K239" s="15">
        <f>IF(OR(G239="",F239=""),"",(F239*(1-Ayarlar!$B$6)-(F239*(1-Ayarlar!$B$6)*Ayarlar!$B$7+Ayarlar!$B$8)-(G239*Ayarlar!$B$3+Ayarlar!$B$4+Ayarlar!$B$5))/(F239*(1-Ayarlar!$B$6)))</f>
        <v/>
      </c>
      <c r="L239" s="3">
        <f>IF(G239="","GRAM EKSİK",IF(F239&gt;30000,"FİYAT ŞÜPHELİ",IF(K239&lt;0,"ZARARDA",IF(F239&lt;I239,"RİSKLİ","ok"))))</f>
        <v/>
      </c>
      <c r="M239" s="16" t="inlineStr">
        <is>
          <t>https://www.etsy.com/listing/1199260535</t>
        </is>
      </c>
    </row>
    <row r="240">
      <c r="A240" s="9" t="inlineStr">
        <is>
          <t>chains</t>
        </is>
      </c>
      <c r="B240" s="9" t="inlineStr">
        <is>
          <t>14K Real Gold Rope Chain Bracelet / Unisex Twisted Jewelry</t>
        </is>
      </c>
      <c r="C240" s="9" t="n">
        <v>1199260535</v>
      </c>
      <c r="D240" s="9" t="inlineStr">
        <is>
          <t>CR3F-20</t>
        </is>
      </c>
      <c r="E240" s="9" t="inlineStr">
        <is>
          <t>description</t>
        </is>
      </c>
      <c r="F240" s="10" t="n">
        <v>566</v>
      </c>
      <c r="G240" s="18" t="n">
        <v>3.16</v>
      </c>
      <c r="H240" s="10">
        <f>IF(G240="","",G240*Ayarlar!$B$3+Ayarlar!$B$4+Ayarlar!$B$5)</f>
        <v/>
      </c>
      <c r="I240" s="10">
        <f>IF(G240="","",ROUNDUP(((G240*Ayarlar!$B$3+Ayarlar!$B$4+Ayarlar!$B$5)+Ayarlar!$B$8)/((1-Ayarlar!$B$6)*(1-Ayarlar!$B$7)),0))</f>
        <v/>
      </c>
      <c r="J240" s="10">
        <f>IF(G240="","",ROUNDUP(((G240*Ayarlar!$B$3+Ayarlar!$B$4+Ayarlar!$B$5)+Ayarlar!$B$8)/((1-Ayarlar!$B$6)*(1-Ayarlar!$B$7-Ayarlar!$B$9)),0))</f>
        <v/>
      </c>
      <c r="K240" s="12">
        <f>IF(OR(G240="",F240=""),"",(F240*(1-Ayarlar!$B$6)-(F240*(1-Ayarlar!$B$6)*Ayarlar!$B$7+Ayarlar!$B$8)-(G240*Ayarlar!$B$3+Ayarlar!$B$4+Ayarlar!$B$5))/(F240*(1-Ayarlar!$B$6)))</f>
        <v/>
      </c>
      <c r="L240" s="9">
        <f>IF(G240="","GRAM EKSİK",IF(F240&gt;30000,"FİYAT ŞÜPHELİ",IF(K240&lt;0,"ZARARDA",IF(F240&lt;I240,"RİSKLİ","ok"))))</f>
        <v/>
      </c>
      <c r="M240" s="13" t="inlineStr">
        <is>
          <t>https://www.etsy.com/listing/1199260535</t>
        </is>
      </c>
    </row>
    <row r="241">
      <c r="A241" s="3" t="inlineStr">
        <is>
          <t>chains</t>
        </is>
      </c>
      <c r="B241" s="3" t="inlineStr">
        <is>
          <t>14K Real Gold Rope Chain Bracelet / Unisex Twisted Jewelry</t>
        </is>
      </c>
      <c r="C241" s="3" t="n">
        <v>1199260535</v>
      </c>
      <c r="D241" s="3" t="inlineStr">
        <is>
          <t>CR3F-22</t>
        </is>
      </c>
      <c r="E241" s="3" t="inlineStr">
        <is>
          <t>description</t>
        </is>
      </c>
      <c r="F241" s="14" t="n">
        <v>626</v>
      </c>
      <c r="G241" s="17" t="n">
        <v>3.48</v>
      </c>
      <c r="H241" s="14">
        <f>IF(G241="","",G241*Ayarlar!$B$3+Ayarlar!$B$4+Ayarlar!$B$5)</f>
        <v/>
      </c>
      <c r="I241" s="14">
        <f>IF(G241="","",ROUNDUP(((G241*Ayarlar!$B$3+Ayarlar!$B$4+Ayarlar!$B$5)+Ayarlar!$B$8)/((1-Ayarlar!$B$6)*(1-Ayarlar!$B$7)),0))</f>
        <v/>
      </c>
      <c r="J241" s="14">
        <f>IF(G241="","",ROUNDUP(((G241*Ayarlar!$B$3+Ayarlar!$B$4+Ayarlar!$B$5)+Ayarlar!$B$8)/((1-Ayarlar!$B$6)*(1-Ayarlar!$B$7-Ayarlar!$B$9)),0))</f>
        <v/>
      </c>
      <c r="K241" s="15">
        <f>IF(OR(G241="",F241=""),"",(F241*(1-Ayarlar!$B$6)-(F241*(1-Ayarlar!$B$6)*Ayarlar!$B$7+Ayarlar!$B$8)-(G241*Ayarlar!$B$3+Ayarlar!$B$4+Ayarlar!$B$5))/(F241*(1-Ayarlar!$B$6)))</f>
        <v/>
      </c>
      <c r="L241" s="3">
        <f>IF(G241="","GRAM EKSİK",IF(F241&gt;30000,"FİYAT ŞÜPHELİ",IF(K241&lt;0,"ZARARDA",IF(F241&lt;I241,"RİSKLİ","ok"))))</f>
        <v/>
      </c>
      <c r="M241" s="16" t="inlineStr">
        <is>
          <t>https://www.etsy.com/listing/1199260535</t>
        </is>
      </c>
    </row>
    <row r="242">
      <c r="A242" s="9" t="inlineStr">
        <is>
          <t>chains</t>
        </is>
      </c>
      <c r="B242" s="9" t="inlineStr">
        <is>
          <t>14K Real Gold Rope Chain Bracelet / Unisex Twisted Jewelry</t>
        </is>
      </c>
      <c r="C242" s="9" t="n">
        <v>1199260535</v>
      </c>
      <c r="D242" s="9" t="inlineStr">
        <is>
          <t>CR3F-24</t>
        </is>
      </c>
      <c r="E242" s="9" t="inlineStr">
        <is>
          <t>description</t>
        </is>
      </c>
      <c r="F242" s="10" t="n">
        <v>685</v>
      </c>
      <c r="G242" s="18" t="n">
        <v>3.79</v>
      </c>
      <c r="H242" s="10">
        <f>IF(G242="","",G242*Ayarlar!$B$3+Ayarlar!$B$4+Ayarlar!$B$5)</f>
        <v/>
      </c>
      <c r="I242" s="10">
        <f>IF(G242="","",ROUNDUP(((G242*Ayarlar!$B$3+Ayarlar!$B$4+Ayarlar!$B$5)+Ayarlar!$B$8)/((1-Ayarlar!$B$6)*(1-Ayarlar!$B$7)),0))</f>
        <v/>
      </c>
      <c r="J242" s="10">
        <f>IF(G242="","",ROUNDUP(((G242*Ayarlar!$B$3+Ayarlar!$B$4+Ayarlar!$B$5)+Ayarlar!$B$8)/((1-Ayarlar!$B$6)*(1-Ayarlar!$B$7-Ayarlar!$B$9)),0))</f>
        <v/>
      </c>
      <c r="K242" s="12">
        <f>IF(OR(G242="",F242=""),"",(F242*(1-Ayarlar!$B$6)-(F242*(1-Ayarlar!$B$6)*Ayarlar!$B$7+Ayarlar!$B$8)-(G242*Ayarlar!$B$3+Ayarlar!$B$4+Ayarlar!$B$5))/(F242*(1-Ayarlar!$B$6)))</f>
        <v/>
      </c>
      <c r="L242" s="9">
        <f>IF(G242="","GRAM EKSİK",IF(F242&gt;30000,"FİYAT ŞÜPHELİ",IF(K242&lt;0,"ZARARDA",IF(F242&lt;I242,"RİSKLİ","ok"))))</f>
        <v/>
      </c>
      <c r="M242" s="13" t="inlineStr">
        <is>
          <t>https://www.etsy.com/listing/1199260535</t>
        </is>
      </c>
    </row>
    <row r="243">
      <c r="A243" s="3" t="inlineStr">
        <is>
          <t>chains</t>
        </is>
      </c>
      <c r="B243" s="3" t="inlineStr">
        <is>
          <t>14K Real Gold Rope Chain Bracelet / Unisex Twisted Jewelry</t>
        </is>
      </c>
      <c r="C243" s="3" t="n">
        <v>1199260535</v>
      </c>
      <c r="D243" s="3" t="inlineStr">
        <is>
          <t>CR45F-16</t>
        </is>
      </c>
      <c r="E243" s="3" t="inlineStr">
        <is>
          <t>description</t>
        </is>
      </c>
      <c r="F243" s="14" t="n">
        <v>1106</v>
      </c>
      <c r="G243" s="17" t="n">
        <v>6.11</v>
      </c>
      <c r="H243" s="14">
        <f>IF(G243="","",G243*Ayarlar!$B$3+Ayarlar!$B$4+Ayarlar!$B$5)</f>
        <v/>
      </c>
      <c r="I243" s="14">
        <f>IF(G243="","",ROUNDUP(((G243*Ayarlar!$B$3+Ayarlar!$B$4+Ayarlar!$B$5)+Ayarlar!$B$8)/((1-Ayarlar!$B$6)*(1-Ayarlar!$B$7)),0))</f>
        <v/>
      </c>
      <c r="J243" s="14">
        <f>IF(G243="","",ROUNDUP(((G243*Ayarlar!$B$3+Ayarlar!$B$4+Ayarlar!$B$5)+Ayarlar!$B$8)/((1-Ayarlar!$B$6)*(1-Ayarlar!$B$7-Ayarlar!$B$9)),0))</f>
        <v/>
      </c>
      <c r="K243" s="15">
        <f>IF(OR(G243="",F243=""),"",(F243*(1-Ayarlar!$B$6)-(F243*(1-Ayarlar!$B$6)*Ayarlar!$B$7+Ayarlar!$B$8)-(G243*Ayarlar!$B$3+Ayarlar!$B$4+Ayarlar!$B$5))/(F243*(1-Ayarlar!$B$6)))</f>
        <v/>
      </c>
      <c r="L243" s="3">
        <f>IF(G243="","GRAM EKSİK",IF(F243&gt;30000,"FİYAT ŞÜPHELİ",IF(K243&lt;0,"ZARARDA",IF(F243&lt;I243,"RİSKLİ","ok"))))</f>
        <v/>
      </c>
      <c r="M243" s="16" t="inlineStr">
        <is>
          <t>https://www.etsy.com/listing/1199260535</t>
        </is>
      </c>
    </row>
    <row r="244">
      <c r="A244" s="9" t="inlineStr">
        <is>
          <t>chains</t>
        </is>
      </c>
      <c r="B244" s="9" t="inlineStr">
        <is>
          <t>14K Real Gold Rope Chain Bracelet / Unisex Twisted Jewelry</t>
        </is>
      </c>
      <c r="C244" s="9" t="n">
        <v>1199260535</v>
      </c>
      <c r="D244" s="9" t="inlineStr">
        <is>
          <t>CR45F-18</t>
        </is>
      </c>
      <c r="E244" s="9" t="inlineStr">
        <is>
          <t>description</t>
        </is>
      </c>
      <c r="F244" s="10" t="n">
        <v>1244</v>
      </c>
      <c r="G244" s="18" t="n">
        <v>6.88</v>
      </c>
      <c r="H244" s="10">
        <f>IF(G244="","",G244*Ayarlar!$B$3+Ayarlar!$B$4+Ayarlar!$B$5)</f>
        <v/>
      </c>
      <c r="I244" s="10">
        <f>IF(G244="","",ROUNDUP(((G244*Ayarlar!$B$3+Ayarlar!$B$4+Ayarlar!$B$5)+Ayarlar!$B$8)/((1-Ayarlar!$B$6)*(1-Ayarlar!$B$7)),0))</f>
        <v/>
      </c>
      <c r="J244" s="10">
        <f>IF(G244="","",ROUNDUP(((G244*Ayarlar!$B$3+Ayarlar!$B$4+Ayarlar!$B$5)+Ayarlar!$B$8)/((1-Ayarlar!$B$6)*(1-Ayarlar!$B$7-Ayarlar!$B$9)),0))</f>
        <v/>
      </c>
      <c r="K244" s="12">
        <f>IF(OR(G244="",F244=""),"",(F244*(1-Ayarlar!$B$6)-(F244*(1-Ayarlar!$B$6)*Ayarlar!$B$7+Ayarlar!$B$8)-(G244*Ayarlar!$B$3+Ayarlar!$B$4+Ayarlar!$B$5))/(F244*(1-Ayarlar!$B$6)))</f>
        <v/>
      </c>
      <c r="L244" s="9">
        <f>IF(G244="","GRAM EKSİK",IF(F244&gt;30000,"FİYAT ŞÜPHELİ",IF(K244&lt;0,"ZARARDA",IF(F244&lt;I244,"RİSKLİ","ok"))))</f>
        <v/>
      </c>
      <c r="M244" s="13" t="inlineStr">
        <is>
          <t>https://www.etsy.com/listing/1199260535</t>
        </is>
      </c>
    </row>
    <row r="245">
      <c r="A245" s="3" t="inlineStr">
        <is>
          <t>chains</t>
        </is>
      </c>
      <c r="B245" s="3" t="inlineStr">
        <is>
          <t>14K Real Gold Rope Chain Bracelet / Unisex Twisted Jewelry</t>
        </is>
      </c>
      <c r="C245" s="3" t="n">
        <v>1199260535</v>
      </c>
      <c r="D245" s="3" t="inlineStr">
        <is>
          <t>CR45F-20</t>
        </is>
      </c>
      <c r="E245" s="3" t="inlineStr">
        <is>
          <t>description</t>
        </is>
      </c>
      <c r="F245" s="14" t="n">
        <v>1383</v>
      </c>
      <c r="G245" s="17" t="n">
        <v>7.64</v>
      </c>
      <c r="H245" s="14">
        <f>IF(G245="","",G245*Ayarlar!$B$3+Ayarlar!$B$4+Ayarlar!$B$5)</f>
        <v/>
      </c>
      <c r="I245" s="14">
        <f>IF(G245="","",ROUNDUP(((G245*Ayarlar!$B$3+Ayarlar!$B$4+Ayarlar!$B$5)+Ayarlar!$B$8)/((1-Ayarlar!$B$6)*(1-Ayarlar!$B$7)),0))</f>
        <v/>
      </c>
      <c r="J245" s="14">
        <f>IF(G245="","",ROUNDUP(((G245*Ayarlar!$B$3+Ayarlar!$B$4+Ayarlar!$B$5)+Ayarlar!$B$8)/((1-Ayarlar!$B$6)*(1-Ayarlar!$B$7-Ayarlar!$B$9)),0))</f>
        <v/>
      </c>
      <c r="K245" s="15">
        <f>IF(OR(G245="",F245=""),"",(F245*(1-Ayarlar!$B$6)-(F245*(1-Ayarlar!$B$6)*Ayarlar!$B$7+Ayarlar!$B$8)-(G245*Ayarlar!$B$3+Ayarlar!$B$4+Ayarlar!$B$5))/(F245*(1-Ayarlar!$B$6)))</f>
        <v/>
      </c>
      <c r="L245" s="3">
        <f>IF(G245="","GRAM EKSİK",IF(F245&gt;30000,"FİYAT ŞÜPHELİ",IF(K245&lt;0,"ZARARDA",IF(F245&lt;I245,"RİSKLİ","ok"))))</f>
        <v/>
      </c>
      <c r="M245" s="16" t="inlineStr">
        <is>
          <t>https://www.etsy.com/listing/1199260535</t>
        </is>
      </c>
    </row>
    <row r="246">
      <c r="A246" s="9" t="inlineStr">
        <is>
          <t>chains</t>
        </is>
      </c>
      <c r="B246" s="9" t="inlineStr">
        <is>
          <t>14K Real Gold Rope Chain Bracelet / Unisex Twisted Jewelry</t>
        </is>
      </c>
      <c r="C246" s="9" t="n">
        <v>1199260535</v>
      </c>
      <c r="D246" s="9" t="inlineStr">
        <is>
          <t>CR45F-22</t>
        </is>
      </c>
      <c r="E246" s="9" t="inlineStr">
        <is>
          <t>description</t>
        </is>
      </c>
      <c r="F246" s="10" t="n">
        <v>1522</v>
      </c>
      <c r="G246" s="18" t="n">
        <v>8.41</v>
      </c>
      <c r="H246" s="10">
        <f>IF(G246="","",G246*Ayarlar!$B$3+Ayarlar!$B$4+Ayarlar!$B$5)</f>
        <v/>
      </c>
      <c r="I246" s="10">
        <f>IF(G246="","",ROUNDUP(((G246*Ayarlar!$B$3+Ayarlar!$B$4+Ayarlar!$B$5)+Ayarlar!$B$8)/((1-Ayarlar!$B$6)*(1-Ayarlar!$B$7)),0))</f>
        <v/>
      </c>
      <c r="J246" s="10">
        <f>IF(G246="","",ROUNDUP(((G246*Ayarlar!$B$3+Ayarlar!$B$4+Ayarlar!$B$5)+Ayarlar!$B$8)/((1-Ayarlar!$B$6)*(1-Ayarlar!$B$7-Ayarlar!$B$9)),0))</f>
        <v/>
      </c>
      <c r="K246" s="12">
        <f>IF(OR(G246="",F246=""),"",(F246*(1-Ayarlar!$B$6)-(F246*(1-Ayarlar!$B$6)*Ayarlar!$B$7+Ayarlar!$B$8)-(G246*Ayarlar!$B$3+Ayarlar!$B$4+Ayarlar!$B$5))/(F246*(1-Ayarlar!$B$6)))</f>
        <v/>
      </c>
      <c r="L246" s="9">
        <f>IF(G246="","GRAM EKSİK",IF(F246&gt;30000,"FİYAT ŞÜPHELİ",IF(K246&lt;0,"ZARARDA",IF(F246&lt;I246,"RİSKLİ","ok"))))</f>
        <v/>
      </c>
      <c r="M246" s="13" t="inlineStr">
        <is>
          <t>https://www.etsy.com/listing/1199260535</t>
        </is>
      </c>
    </row>
    <row r="247">
      <c r="A247" s="3" t="inlineStr">
        <is>
          <t>chains</t>
        </is>
      </c>
      <c r="B247" s="3" t="inlineStr">
        <is>
          <t>14K Real Gold Rope Chain Bracelet / Unisex Twisted Jewelry</t>
        </is>
      </c>
      <c r="C247" s="3" t="n">
        <v>1199260535</v>
      </c>
      <c r="D247" s="3" t="inlineStr">
        <is>
          <t>CR45F-24</t>
        </is>
      </c>
      <c r="E247" s="3" t="inlineStr">
        <is>
          <t>description</t>
        </is>
      </c>
      <c r="F247" s="14" t="n">
        <v>1647</v>
      </c>
      <c r="G247" s="17" t="n">
        <v>9.17</v>
      </c>
      <c r="H247" s="14">
        <f>IF(G247="","",G247*Ayarlar!$B$3+Ayarlar!$B$4+Ayarlar!$B$5)</f>
        <v/>
      </c>
      <c r="I247" s="14">
        <f>IF(G247="","",ROUNDUP(((G247*Ayarlar!$B$3+Ayarlar!$B$4+Ayarlar!$B$5)+Ayarlar!$B$8)/((1-Ayarlar!$B$6)*(1-Ayarlar!$B$7)),0))</f>
        <v/>
      </c>
      <c r="J247" s="14">
        <f>IF(G247="","",ROUNDUP(((G247*Ayarlar!$B$3+Ayarlar!$B$4+Ayarlar!$B$5)+Ayarlar!$B$8)/((1-Ayarlar!$B$6)*(1-Ayarlar!$B$7-Ayarlar!$B$9)),0))</f>
        <v/>
      </c>
      <c r="K247" s="15">
        <f>IF(OR(G247="",F247=""),"",(F247*(1-Ayarlar!$B$6)-(F247*(1-Ayarlar!$B$6)*Ayarlar!$B$7+Ayarlar!$B$8)-(G247*Ayarlar!$B$3+Ayarlar!$B$4+Ayarlar!$B$5))/(F247*(1-Ayarlar!$B$6)))</f>
        <v/>
      </c>
      <c r="L247" s="3">
        <f>IF(G247="","GRAM EKSİK",IF(F247&gt;30000,"FİYAT ŞÜPHELİ",IF(K247&lt;0,"ZARARDA",IF(F247&lt;I247,"RİSKLİ","ok"))))</f>
        <v/>
      </c>
      <c r="M247" s="16" t="inlineStr">
        <is>
          <t>https://www.etsy.com/listing/1199260535</t>
        </is>
      </c>
    </row>
    <row r="248">
      <c r="A248" s="9" t="inlineStr">
        <is>
          <t>chains</t>
        </is>
      </c>
      <c r="B248" s="9" t="inlineStr">
        <is>
          <t>14K Real Gold Rope Chain Bracelet / Unisex Twisted Jewelry</t>
        </is>
      </c>
      <c r="C248" s="9" t="n">
        <v>1199260535</v>
      </c>
      <c r="D248" s="9" t="inlineStr">
        <is>
          <t>CR5F-16</t>
        </is>
      </c>
      <c r="E248" s="9" t="inlineStr">
        <is>
          <t>description</t>
        </is>
      </c>
      <c r="F248" s="10" t="n">
        <v>694</v>
      </c>
      <c r="G248" s="18" t="n">
        <v>4.33</v>
      </c>
      <c r="H248" s="10">
        <f>IF(G248="","",G248*Ayarlar!$B$3+Ayarlar!$B$4+Ayarlar!$B$5)</f>
        <v/>
      </c>
      <c r="I248" s="10">
        <f>IF(G248="","",ROUNDUP(((G248*Ayarlar!$B$3+Ayarlar!$B$4+Ayarlar!$B$5)+Ayarlar!$B$8)/((1-Ayarlar!$B$6)*(1-Ayarlar!$B$7)),0))</f>
        <v/>
      </c>
      <c r="J248" s="10">
        <f>IF(G248="","",ROUNDUP(((G248*Ayarlar!$B$3+Ayarlar!$B$4+Ayarlar!$B$5)+Ayarlar!$B$8)/((1-Ayarlar!$B$6)*(1-Ayarlar!$B$7-Ayarlar!$B$9)),0))</f>
        <v/>
      </c>
      <c r="K248" s="12">
        <f>IF(OR(G248="",F248=""),"",(F248*(1-Ayarlar!$B$6)-(F248*(1-Ayarlar!$B$6)*Ayarlar!$B$7+Ayarlar!$B$8)-(G248*Ayarlar!$B$3+Ayarlar!$B$4+Ayarlar!$B$5))/(F248*(1-Ayarlar!$B$6)))</f>
        <v/>
      </c>
      <c r="L248" s="9">
        <f>IF(G248="","GRAM EKSİK",IF(F248&gt;30000,"FİYAT ŞÜPHELİ",IF(K248&lt;0,"ZARARDA",IF(F248&lt;I248,"RİSKLİ","ok"))))</f>
        <v/>
      </c>
      <c r="M248" s="13" t="inlineStr">
        <is>
          <t>https://www.etsy.com/listing/1199260535</t>
        </is>
      </c>
    </row>
    <row r="249">
      <c r="A249" s="3" t="inlineStr">
        <is>
          <t>chains</t>
        </is>
      </c>
      <c r="B249" s="3" t="inlineStr">
        <is>
          <t>14K Real Gold Rope Chain Bracelet / Unisex Twisted Jewelry</t>
        </is>
      </c>
      <c r="C249" s="3" t="n">
        <v>1199260535</v>
      </c>
      <c r="D249" s="3" t="inlineStr">
        <is>
          <t>CR5F-18</t>
        </is>
      </c>
      <c r="E249" s="3" t="inlineStr">
        <is>
          <t>description</t>
        </is>
      </c>
      <c r="F249" s="14" t="n">
        <v>820</v>
      </c>
      <c r="G249" s="17" t="n">
        <v>4.87</v>
      </c>
      <c r="H249" s="14">
        <f>IF(G249="","",G249*Ayarlar!$B$3+Ayarlar!$B$4+Ayarlar!$B$5)</f>
        <v/>
      </c>
      <c r="I249" s="14">
        <f>IF(G249="","",ROUNDUP(((G249*Ayarlar!$B$3+Ayarlar!$B$4+Ayarlar!$B$5)+Ayarlar!$B$8)/((1-Ayarlar!$B$6)*(1-Ayarlar!$B$7)),0))</f>
        <v/>
      </c>
      <c r="J249" s="14">
        <f>IF(G249="","",ROUNDUP(((G249*Ayarlar!$B$3+Ayarlar!$B$4+Ayarlar!$B$5)+Ayarlar!$B$8)/((1-Ayarlar!$B$6)*(1-Ayarlar!$B$7-Ayarlar!$B$9)),0))</f>
        <v/>
      </c>
      <c r="K249" s="15">
        <f>IF(OR(G249="",F249=""),"",(F249*(1-Ayarlar!$B$6)-(F249*(1-Ayarlar!$B$6)*Ayarlar!$B$7+Ayarlar!$B$8)-(G249*Ayarlar!$B$3+Ayarlar!$B$4+Ayarlar!$B$5))/(F249*(1-Ayarlar!$B$6)))</f>
        <v/>
      </c>
      <c r="L249" s="3">
        <f>IF(G249="","GRAM EKSİK",IF(F249&gt;30000,"FİYAT ŞÜPHELİ",IF(K249&lt;0,"ZARARDA",IF(F249&lt;I249,"RİSKLİ","ok"))))</f>
        <v/>
      </c>
      <c r="M249" s="16" t="inlineStr">
        <is>
          <t>https://www.etsy.com/listing/1199260535</t>
        </is>
      </c>
    </row>
    <row r="250">
      <c r="A250" s="9" t="inlineStr">
        <is>
          <t>chains</t>
        </is>
      </c>
      <c r="B250" s="9" t="inlineStr">
        <is>
          <t>14K Real Gold Rope Chain Bracelet / Unisex Twisted Jewelry</t>
        </is>
      </c>
      <c r="C250" s="9" t="n">
        <v>1199260535</v>
      </c>
      <c r="D250" s="9" t="inlineStr">
        <is>
          <t>CR5F-20</t>
        </is>
      </c>
      <c r="E250" s="9" t="inlineStr">
        <is>
          <t>description</t>
        </is>
      </c>
      <c r="F250" s="10" t="n">
        <v>945</v>
      </c>
      <c r="G250" s="18" t="n">
        <v>5.42</v>
      </c>
      <c r="H250" s="10">
        <f>IF(G250="","",G250*Ayarlar!$B$3+Ayarlar!$B$4+Ayarlar!$B$5)</f>
        <v/>
      </c>
      <c r="I250" s="10">
        <f>IF(G250="","",ROUNDUP(((G250*Ayarlar!$B$3+Ayarlar!$B$4+Ayarlar!$B$5)+Ayarlar!$B$8)/((1-Ayarlar!$B$6)*(1-Ayarlar!$B$7)),0))</f>
        <v/>
      </c>
      <c r="J250" s="10">
        <f>IF(G250="","",ROUNDUP(((G250*Ayarlar!$B$3+Ayarlar!$B$4+Ayarlar!$B$5)+Ayarlar!$B$8)/((1-Ayarlar!$B$6)*(1-Ayarlar!$B$7-Ayarlar!$B$9)),0))</f>
        <v/>
      </c>
      <c r="K250" s="12">
        <f>IF(OR(G250="",F250=""),"",(F250*(1-Ayarlar!$B$6)-(F250*(1-Ayarlar!$B$6)*Ayarlar!$B$7+Ayarlar!$B$8)-(G250*Ayarlar!$B$3+Ayarlar!$B$4+Ayarlar!$B$5))/(F250*(1-Ayarlar!$B$6)))</f>
        <v/>
      </c>
      <c r="L250" s="9">
        <f>IF(G250="","GRAM EKSİK",IF(F250&gt;30000,"FİYAT ŞÜPHELİ",IF(K250&lt;0,"ZARARDA",IF(F250&lt;I250,"RİSKLİ","ok"))))</f>
        <v/>
      </c>
      <c r="M250" s="13" t="inlineStr">
        <is>
          <t>https://www.etsy.com/listing/1199260535</t>
        </is>
      </c>
    </row>
    <row r="251">
      <c r="A251" s="3" t="inlineStr">
        <is>
          <t>chains</t>
        </is>
      </c>
      <c r="B251" s="3" t="inlineStr">
        <is>
          <t>14K Real Gold Rope Chain Bracelet / Unisex Twisted Jewelry</t>
        </is>
      </c>
      <c r="C251" s="3" t="n">
        <v>1199260535</v>
      </c>
      <c r="D251" s="3" t="inlineStr">
        <is>
          <t>CR5F-22</t>
        </is>
      </c>
      <c r="E251" s="3" t="inlineStr">
        <is>
          <t>description</t>
        </is>
      </c>
      <c r="F251" s="14" t="n">
        <v>1071</v>
      </c>
      <c r="G251" s="17" t="n">
        <v>5.96</v>
      </c>
      <c r="H251" s="14">
        <f>IF(G251="","",G251*Ayarlar!$B$3+Ayarlar!$B$4+Ayarlar!$B$5)</f>
        <v/>
      </c>
      <c r="I251" s="14">
        <f>IF(G251="","",ROUNDUP(((G251*Ayarlar!$B$3+Ayarlar!$B$4+Ayarlar!$B$5)+Ayarlar!$B$8)/((1-Ayarlar!$B$6)*(1-Ayarlar!$B$7)),0))</f>
        <v/>
      </c>
      <c r="J251" s="14">
        <f>IF(G251="","",ROUNDUP(((G251*Ayarlar!$B$3+Ayarlar!$B$4+Ayarlar!$B$5)+Ayarlar!$B$8)/((1-Ayarlar!$B$6)*(1-Ayarlar!$B$7-Ayarlar!$B$9)),0))</f>
        <v/>
      </c>
      <c r="K251" s="15">
        <f>IF(OR(G251="",F251=""),"",(F251*(1-Ayarlar!$B$6)-(F251*(1-Ayarlar!$B$6)*Ayarlar!$B$7+Ayarlar!$B$8)-(G251*Ayarlar!$B$3+Ayarlar!$B$4+Ayarlar!$B$5))/(F251*(1-Ayarlar!$B$6)))</f>
        <v/>
      </c>
      <c r="L251" s="3">
        <f>IF(G251="","GRAM EKSİK",IF(F251&gt;30000,"FİYAT ŞÜPHELİ",IF(K251&lt;0,"ZARARDA",IF(F251&lt;I251,"RİSKLİ","ok"))))</f>
        <v/>
      </c>
      <c r="M251" s="16" t="inlineStr">
        <is>
          <t>https://www.etsy.com/listing/1199260535</t>
        </is>
      </c>
    </row>
    <row r="252">
      <c r="A252" s="9" t="inlineStr">
        <is>
          <t>chains</t>
        </is>
      </c>
      <c r="B252" s="9" t="inlineStr">
        <is>
          <t>14K Real Gold Rope Chain Bracelet / Unisex Twisted Jewelry</t>
        </is>
      </c>
      <c r="C252" s="9" t="n">
        <v>1199260535</v>
      </c>
      <c r="D252" s="9" t="inlineStr">
        <is>
          <t>CR5F-24</t>
        </is>
      </c>
      <c r="E252" s="9" t="inlineStr">
        <is>
          <t>description</t>
        </is>
      </c>
      <c r="F252" s="10" t="n">
        <v>1178</v>
      </c>
      <c r="G252" s="18" t="n">
        <v>6.5</v>
      </c>
      <c r="H252" s="10">
        <f>IF(G252="","",G252*Ayarlar!$B$3+Ayarlar!$B$4+Ayarlar!$B$5)</f>
        <v/>
      </c>
      <c r="I252" s="10">
        <f>IF(G252="","",ROUNDUP(((G252*Ayarlar!$B$3+Ayarlar!$B$4+Ayarlar!$B$5)+Ayarlar!$B$8)/((1-Ayarlar!$B$6)*(1-Ayarlar!$B$7)),0))</f>
        <v/>
      </c>
      <c r="J252" s="10">
        <f>IF(G252="","",ROUNDUP(((G252*Ayarlar!$B$3+Ayarlar!$B$4+Ayarlar!$B$5)+Ayarlar!$B$8)/((1-Ayarlar!$B$6)*(1-Ayarlar!$B$7-Ayarlar!$B$9)),0))</f>
        <v/>
      </c>
      <c r="K252" s="12">
        <f>IF(OR(G252="",F252=""),"",(F252*(1-Ayarlar!$B$6)-(F252*(1-Ayarlar!$B$6)*Ayarlar!$B$7+Ayarlar!$B$8)-(G252*Ayarlar!$B$3+Ayarlar!$B$4+Ayarlar!$B$5))/(F252*(1-Ayarlar!$B$6)))</f>
        <v/>
      </c>
      <c r="L252" s="9">
        <f>IF(G252="","GRAM EKSİK",IF(F252&gt;30000,"FİYAT ŞÜPHELİ",IF(K252&lt;0,"ZARARDA",IF(F252&lt;I252,"RİSKLİ","ok"))))</f>
        <v/>
      </c>
      <c r="M252" s="13" t="inlineStr">
        <is>
          <t>https://www.etsy.com/listing/1199260535</t>
        </is>
      </c>
    </row>
    <row r="253">
      <c r="A253" s="3" t="inlineStr">
        <is>
          <t>chains</t>
        </is>
      </c>
      <c r="B253" s="3" t="inlineStr">
        <is>
          <t>14K Real Gold Rope Chain Bracelet / Unisex Twisted Jewelry</t>
        </is>
      </c>
      <c r="C253" s="3" t="n">
        <v>1199260535</v>
      </c>
      <c r="D253" s="3" t="inlineStr">
        <is>
          <t>CR7F-16</t>
        </is>
      </c>
      <c r="E253" s="3" t="inlineStr">
        <is>
          <t>description</t>
        </is>
      </c>
      <c r="F253" s="14" t="n">
        <v>1016</v>
      </c>
      <c r="G253" s="17" t="n">
        <v>4.58</v>
      </c>
      <c r="H253" s="14">
        <f>IF(G253="","",G253*Ayarlar!$B$3+Ayarlar!$B$4+Ayarlar!$B$5)</f>
        <v/>
      </c>
      <c r="I253" s="14">
        <f>IF(G253="","",ROUNDUP(((G253*Ayarlar!$B$3+Ayarlar!$B$4+Ayarlar!$B$5)+Ayarlar!$B$8)/((1-Ayarlar!$B$6)*(1-Ayarlar!$B$7)),0))</f>
        <v/>
      </c>
      <c r="J253" s="14">
        <f>IF(G253="","",ROUNDUP(((G253*Ayarlar!$B$3+Ayarlar!$B$4+Ayarlar!$B$5)+Ayarlar!$B$8)/((1-Ayarlar!$B$6)*(1-Ayarlar!$B$7-Ayarlar!$B$9)),0))</f>
        <v/>
      </c>
      <c r="K253" s="15">
        <f>IF(OR(G253="",F253=""),"",(F253*(1-Ayarlar!$B$6)-(F253*(1-Ayarlar!$B$6)*Ayarlar!$B$7+Ayarlar!$B$8)-(G253*Ayarlar!$B$3+Ayarlar!$B$4+Ayarlar!$B$5))/(F253*(1-Ayarlar!$B$6)))</f>
        <v/>
      </c>
      <c r="L253" s="3">
        <f>IF(G253="","GRAM EKSİK",IF(F253&gt;30000,"FİYAT ŞÜPHELİ",IF(K253&lt;0,"ZARARDA",IF(F253&lt;I253,"RİSKLİ","ok"))))</f>
        <v/>
      </c>
      <c r="M253" s="16" t="inlineStr">
        <is>
          <t>https://www.etsy.com/listing/1199260535</t>
        </is>
      </c>
    </row>
    <row r="254">
      <c r="A254" s="9" t="inlineStr">
        <is>
          <t>chains</t>
        </is>
      </c>
      <c r="B254" s="9" t="inlineStr">
        <is>
          <t>14K Real Gold Rope Chain Bracelet / Unisex Twisted Jewelry</t>
        </is>
      </c>
      <c r="C254" s="9" t="n">
        <v>1199260535</v>
      </c>
      <c r="D254" s="9" t="inlineStr">
        <is>
          <t>CR7F-18</t>
        </is>
      </c>
      <c r="E254" s="9" t="inlineStr">
        <is>
          <t>description</t>
        </is>
      </c>
      <c r="F254" s="10" t="n">
        <v>1077</v>
      </c>
      <c r="G254" s="18" t="n">
        <v>5.15</v>
      </c>
      <c r="H254" s="10">
        <f>IF(G254="","",G254*Ayarlar!$B$3+Ayarlar!$B$4+Ayarlar!$B$5)</f>
        <v/>
      </c>
      <c r="I254" s="10">
        <f>IF(G254="","",ROUNDUP(((G254*Ayarlar!$B$3+Ayarlar!$B$4+Ayarlar!$B$5)+Ayarlar!$B$8)/((1-Ayarlar!$B$6)*(1-Ayarlar!$B$7)),0))</f>
        <v/>
      </c>
      <c r="J254" s="10">
        <f>IF(G254="","",ROUNDUP(((G254*Ayarlar!$B$3+Ayarlar!$B$4+Ayarlar!$B$5)+Ayarlar!$B$8)/((1-Ayarlar!$B$6)*(1-Ayarlar!$B$7-Ayarlar!$B$9)),0))</f>
        <v/>
      </c>
      <c r="K254" s="12">
        <f>IF(OR(G254="",F254=""),"",(F254*(1-Ayarlar!$B$6)-(F254*(1-Ayarlar!$B$6)*Ayarlar!$B$7+Ayarlar!$B$8)-(G254*Ayarlar!$B$3+Ayarlar!$B$4+Ayarlar!$B$5))/(F254*(1-Ayarlar!$B$6)))</f>
        <v/>
      </c>
      <c r="L254" s="9">
        <f>IF(G254="","GRAM EKSİK",IF(F254&gt;30000,"FİYAT ŞÜPHELİ",IF(K254&lt;0,"ZARARDA",IF(F254&lt;I254,"RİSKLİ","ok"))))</f>
        <v/>
      </c>
      <c r="M254" s="13" t="inlineStr">
        <is>
          <t>https://www.etsy.com/listing/1199260535</t>
        </is>
      </c>
    </row>
    <row r="255">
      <c r="A255" s="3" t="inlineStr">
        <is>
          <t>chains</t>
        </is>
      </c>
      <c r="B255" s="3" t="inlineStr">
        <is>
          <t>14K Real Gold Rope Chain Bracelet / Unisex Twisted Jewelry</t>
        </is>
      </c>
      <c r="C255" s="3" t="n">
        <v>1199260535</v>
      </c>
      <c r="D255" s="3" t="inlineStr">
        <is>
          <t>CR7F-20</t>
        </is>
      </c>
      <c r="E255" s="3" t="inlineStr">
        <is>
          <t>description</t>
        </is>
      </c>
      <c r="F255" s="14" t="n">
        <v>1139</v>
      </c>
      <c r="G255" s="17" t="n">
        <v>5.73</v>
      </c>
      <c r="H255" s="14">
        <f>IF(G255="","",G255*Ayarlar!$B$3+Ayarlar!$B$4+Ayarlar!$B$5)</f>
        <v/>
      </c>
      <c r="I255" s="14">
        <f>IF(G255="","",ROUNDUP(((G255*Ayarlar!$B$3+Ayarlar!$B$4+Ayarlar!$B$5)+Ayarlar!$B$8)/((1-Ayarlar!$B$6)*(1-Ayarlar!$B$7)),0))</f>
        <v/>
      </c>
      <c r="J255" s="14">
        <f>IF(G255="","",ROUNDUP(((G255*Ayarlar!$B$3+Ayarlar!$B$4+Ayarlar!$B$5)+Ayarlar!$B$8)/((1-Ayarlar!$B$6)*(1-Ayarlar!$B$7-Ayarlar!$B$9)),0))</f>
        <v/>
      </c>
      <c r="K255" s="15">
        <f>IF(OR(G255="",F255=""),"",(F255*(1-Ayarlar!$B$6)-(F255*(1-Ayarlar!$B$6)*Ayarlar!$B$7+Ayarlar!$B$8)-(G255*Ayarlar!$B$3+Ayarlar!$B$4+Ayarlar!$B$5))/(F255*(1-Ayarlar!$B$6)))</f>
        <v/>
      </c>
      <c r="L255" s="3">
        <f>IF(G255="","GRAM EKSİK",IF(F255&gt;30000,"FİYAT ŞÜPHELİ",IF(K255&lt;0,"ZARARDA",IF(F255&lt;I255,"RİSKLİ","ok"))))</f>
        <v/>
      </c>
      <c r="M255" s="16" t="inlineStr">
        <is>
          <t>https://www.etsy.com/listing/1199260535</t>
        </is>
      </c>
    </row>
    <row r="256">
      <c r="A256" s="9" t="inlineStr">
        <is>
          <t>chains</t>
        </is>
      </c>
      <c r="B256" s="9" t="inlineStr">
        <is>
          <t>14K Real Gold Rope Chain Bracelet / Unisex Twisted Jewelry</t>
        </is>
      </c>
      <c r="C256" s="9" t="n">
        <v>1199260535</v>
      </c>
      <c r="D256" s="9" t="inlineStr">
        <is>
          <t>CR7F-22</t>
        </is>
      </c>
      <c r="E256" s="9" t="inlineStr">
        <is>
          <t>description</t>
        </is>
      </c>
      <c r="F256" s="10" t="n">
        <v>1200</v>
      </c>
      <c r="G256" s="18" t="n">
        <v>6.3</v>
      </c>
      <c r="H256" s="10">
        <f>IF(G256="","",G256*Ayarlar!$B$3+Ayarlar!$B$4+Ayarlar!$B$5)</f>
        <v/>
      </c>
      <c r="I256" s="10">
        <f>IF(G256="","",ROUNDUP(((G256*Ayarlar!$B$3+Ayarlar!$B$4+Ayarlar!$B$5)+Ayarlar!$B$8)/((1-Ayarlar!$B$6)*(1-Ayarlar!$B$7)),0))</f>
        <v/>
      </c>
      <c r="J256" s="10">
        <f>IF(G256="","",ROUNDUP(((G256*Ayarlar!$B$3+Ayarlar!$B$4+Ayarlar!$B$5)+Ayarlar!$B$8)/((1-Ayarlar!$B$6)*(1-Ayarlar!$B$7-Ayarlar!$B$9)),0))</f>
        <v/>
      </c>
      <c r="K256" s="12">
        <f>IF(OR(G256="",F256=""),"",(F256*(1-Ayarlar!$B$6)-(F256*(1-Ayarlar!$B$6)*Ayarlar!$B$7+Ayarlar!$B$8)-(G256*Ayarlar!$B$3+Ayarlar!$B$4+Ayarlar!$B$5))/(F256*(1-Ayarlar!$B$6)))</f>
        <v/>
      </c>
      <c r="L256" s="9">
        <f>IF(G256="","GRAM EKSİK",IF(F256&gt;30000,"FİYAT ŞÜPHELİ",IF(K256&lt;0,"ZARARDA",IF(F256&lt;I256,"RİSKLİ","ok"))))</f>
        <v/>
      </c>
      <c r="M256" s="13" t="inlineStr">
        <is>
          <t>https://www.etsy.com/listing/1199260535</t>
        </is>
      </c>
    </row>
    <row r="257">
      <c r="A257" s="3" t="inlineStr">
        <is>
          <t>chains</t>
        </is>
      </c>
      <c r="B257" s="3" t="inlineStr">
        <is>
          <t>14K Real Gold Rope Chain Bracelet / Unisex Twisted Jewelry</t>
        </is>
      </c>
      <c r="C257" s="3" t="n">
        <v>1199260535</v>
      </c>
      <c r="D257" s="3" t="inlineStr">
        <is>
          <t>CR7F-24</t>
        </is>
      </c>
      <c r="E257" s="3" t="inlineStr">
        <is>
          <t>description</t>
        </is>
      </c>
      <c r="F257" s="14" t="n">
        <v>1262</v>
      </c>
      <c r="G257" s="17" t="n">
        <v>6.87</v>
      </c>
      <c r="H257" s="14">
        <f>IF(G257="","",G257*Ayarlar!$B$3+Ayarlar!$B$4+Ayarlar!$B$5)</f>
        <v/>
      </c>
      <c r="I257" s="14">
        <f>IF(G257="","",ROUNDUP(((G257*Ayarlar!$B$3+Ayarlar!$B$4+Ayarlar!$B$5)+Ayarlar!$B$8)/((1-Ayarlar!$B$6)*(1-Ayarlar!$B$7)),0))</f>
        <v/>
      </c>
      <c r="J257" s="14">
        <f>IF(G257="","",ROUNDUP(((G257*Ayarlar!$B$3+Ayarlar!$B$4+Ayarlar!$B$5)+Ayarlar!$B$8)/((1-Ayarlar!$B$6)*(1-Ayarlar!$B$7-Ayarlar!$B$9)),0))</f>
        <v/>
      </c>
      <c r="K257" s="15">
        <f>IF(OR(G257="",F257=""),"",(F257*(1-Ayarlar!$B$6)-(F257*(1-Ayarlar!$B$6)*Ayarlar!$B$7+Ayarlar!$B$8)-(G257*Ayarlar!$B$3+Ayarlar!$B$4+Ayarlar!$B$5))/(F257*(1-Ayarlar!$B$6)))</f>
        <v/>
      </c>
      <c r="L257" s="3">
        <f>IF(G257="","GRAM EKSİK",IF(F257&gt;30000,"FİYAT ŞÜPHELİ",IF(K257&lt;0,"ZARARDA",IF(F257&lt;I257,"RİSKLİ","ok"))))</f>
        <v/>
      </c>
      <c r="M257" s="16" t="inlineStr">
        <is>
          <t>https://www.etsy.com/listing/1199260535</t>
        </is>
      </c>
    </row>
    <row r="258">
      <c r="A258" s="9" t="inlineStr">
        <is>
          <t>chains</t>
        </is>
      </c>
      <c r="B258" s="9" t="inlineStr">
        <is>
          <t>14K Real Gold Rope Chain Bracelet / Unisex Twisted Jewelry</t>
        </is>
      </c>
      <c r="C258" s="9" t="n">
        <v>1199260535</v>
      </c>
      <c r="D258" s="9" t="inlineStr">
        <is>
          <t>CR8F-16</t>
        </is>
      </c>
      <c r="E258" s="9" t="inlineStr">
        <is>
          <t>description</t>
        </is>
      </c>
      <c r="F258" s="10" t="n">
        <v>842</v>
      </c>
      <c r="G258" s="18" t="n">
        <v>4.83</v>
      </c>
      <c r="H258" s="10">
        <f>IF(G258="","",G258*Ayarlar!$B$3+Ayarlar!$B$4+Ayarlar!$B$5)</f>
        <v/>
      </c>
      <c r="I258" s="10">
        <f>IF(G258="","",ROUNDUP(((G258*Ayarlar!$B$3+Ayarlar!$B$4+Ayarlar!$B$5)+Ayarlar!$B$8)/((1-Ayarlar!$B$6)*(1-Ayarlar!$B$7)),0))</f>
        <v/>
      </c>
      <c r="J258" s="10">
        <f>IF(G258="","",ROUNDUP(((G258*Ayarlar!$B$3+Ayarlar!$B$4+Ayarlar!$B$5)+Ayarlar!$B$8)/((1-Ayarlar!$B$6)*(1-Ayarlar!$B$7-Ayarlar!$B$9)),0))</f>
        <v/>
      </c>
      <c r="K258" s="12">
        <f>IF(OR(G258="",F258=""),"",(F258*(1-Ayarlar!$B$6)-(F258*(1-Ayarlar!$B$6)*Ayarlar!$B$7+Ayarlar!$B$8)-(G258*Ayarlar!$B$3+Ayarlar!$B$4+Ayarlar!$B$5))/(F258*(1-Ayarlar!$B$6)))</f>
        <v/>
      </c>
      <c r="L258" s="9">
        <f>IF(G258="","GRAM EKSİK",IF(F258&gt;30000,"FİYAT ŞÜPHELİ",IF(K258&lt;0,"ZARARDA",IF(F258&lt;I258,"RİSKLİ","ok"))))</f>
        <v/>
      </c>
      <c r="M258" s="13" t="inlineStr">
        <is>
          <t>https://www.etsy.com/listing/1199260535</t>
        </is>
      </c>
    </row>
    <row r="259">
      <c r="A259" s="3" t="inlineStr">
        <is>
          <t>chains</t>
        </is>
      </c>
      <c r="B259" s="3" t="inlineStr">
        <is>
          <t>14K Real Gold Rope Chain Bracelet / Unisex Twisted Jewelry</t>
        </is>
      </c>
      <c r="C259" s="3" t="n">
        <v>1199260535</v>
      </c>
      <c r="D259" s="3" t="inlineStr">
        <is>
          <t>CR8F-18</t>
        </is>
      </c>
      <c r="E259" s="3" t="inlineStr">
        <is>
          <t>description</t>
        </is>
      </c>
      <c r="F259" s="14" t="n">
        <v>962</v>
      </c>
      <c r="G259" s="17" t="n">
        <v>5.43</v>
      </c>
      <c r="H259" s="14">
        <f>IF(G259="","",G259*Ayarlar!$B$3+Ayarlar!$B$4+Ayarlar!$B$5)</f>
        <v/>
      </c>
      <c r="I259" s="14">
        <f>IF(G259="","",ROUNDUP(((G259*Ayarlar!$B$3+Ayarlar!$B$4+Ayarlar!$B$5)+Ayarlar!$B$8)/((1-Ayarlar!$B$6)*(1-Ayarlar!$B$7)),0))</f>
        <v/>
      </c>
      <c r="J259" s="14">
        <f>IF(G259="","",ROUNDUP(((G259*Ayarlar!$B$3+Ayarlar!$B$4+Ayarlar!$B$5)+Ayarlar!$B$8)/((1-Ayarlar!$B$6)*(1-Ayarlar!$B$7-Ayarlar!$B$9)),0))</f>
        <v/>
      </c>
      <c r="K259" s="15">
        <f>IF(OR(G259="",F259=""),"",(F259*(1-Ayarlar!$B$6)-(F259*(1-Ayarlar!$B$6)*Ayarlar!$B$7+Ayarlar!$B$8)-(G259*Ayarlar!$B$3+Ayarlar!$B$4+Ayarlar!$B$5))/(F259*(1-Ayarlar!$B$6)))</f>
        <v/>
      </c>
      <c r="L259" s="3">
        <f>IF(G259="","GRAM EKSİK",IF(F259&gt;30000,"FİYAT ŞÜPHELİ",IF(K259&lt;0,"ZARARDA",IF(F259&lt;I259,"RİSKLİ","ok"))))</f>
        <v/>
      </c>
      <c r="M259" s="16" t="inlineStr">
        <is>
          <t>https://www.etsy.com/listing/1199260535</t>
        </is>
      </c>
    </row>
    <row r="260">
      <c r="A260" s="9" t="inlineStr">
        <is>
          <t>chains</t>
        </is>
      </c>
      <c r="B260" s="9" t="inlineStr">
        <is>
          <t>14K Real Gold Rope Chain Bracelet / Unisex Twisted Jewelry</t>
        </is>
      </c>
      <c r="C260" s="9" t="n">
        <v>1199260535</v>
      </c>
      <c r="D260" s="9" t="inlineStr">
        <is>
          <t>CR8F-20</t>
        </is>
      </c>
      <c r="E260" s="9" t="inlineStr">
        <is>
          <t>description</t>
        </is>
      </c>
      <c r="F260" s="10" t="n">
        <v>1083</v>
      </c>
      <c r="G260" s="18" t="n">
        <v>6.04</v>
      </c>
      <c r="H260" s="10">
        <f>IF(G260="","",G260*Ayarlar!$B$3+Ayarlar!$B$4+Ayarlar!$B$5)</f>
        <v/>
      </c>
      <c r="I260" s="10">
        <f>IF(G260="","",ROUNDUP(((G260*Ayarlar!$B$3+Ayarlar!$B$4+Ayarlar!$B$5)+Ayarlar!$B$8)/((1-Ayarlar!$B$6)*(1-Ayarlar!$B$7)),0))</f>
        <v/>
      </c>
      <c r="J260" s="10">
        <f>IF(G260="","",ROUNDUP(((G260*Ayarlar!$B$3+Ayarlar!$B$4+Ayarlar!$B$5)+Ayarlar!$B$8)/((1-Ayarlar!$B$6)*(1-Ayarlar!$B$7-Ayarlar!$B$9)),0))</f>
        <v/>
      </c>
      <c r="K260" s="12">
        <f>IF(OR(G260="",F260=""),"",(F260*(1-Ayarlar!$B$6)-(F260*(1-Ayarlar!$B$6)*Ayarlar!$B$7+Ayarlar!$B$8)-(G260*Ayarlar!$B$3+Ayarlar!$B$4+Ayarlar!$B$5))/(F260*(1-Ayarlar!$B$6)))</f>
        <v/>
      </c>
      <c r="L260" s="9">
        <f>IF(G260="","GRAM EKSİK",IF(F260&gt;30000,"FİYAT ŞÜPHELİ",IF(K260&lt;0,"ZARARDA",IF(F260&lt;I260,"RİSKLİ","ok"))))</f>
        <v/>
      </c>
      <c r="M260" s="13" t="inlineStr">
        <is>
          <t>https://www.etsy.com/listing/1199260535</t>
        </is>
      </c>
    </row>
    <row r="261">
      <c r="A261" s="3" t="inlineStr">
        <is>
          <t>chains</t>
        </is>
      </c>
      <c r="B261" s="3" t="inlineStr">
        <is>
          <t>14K Real Gold Rope Chain Bracelet / Unisex Twisted Jewelry</t>
        </is>
      </c>
      <c r="C261" s="3" t="n">
        <v>1199260535</v>
      </c>
      <c r="D261" s="3" t="inlineStr">
        <is>
          <t>CR8F-22</t>
        </is>
      </c>
      <c r="E261" s="3" t="inlineStr">
        <is>
          <t>description</t>
        </is>
      </c>
      <c r="F261" s="14" t="n">
        <v>1203</v>
      </c>
      <c r="G261" s="17" t="n">
        <v>6.64</v>
      </c>
      <c r="H261" s="14">
        <f>IF(G261="","",G261*Ayarlar!$B$3+Ayarlar!$B$4+Ayarlar!$B$5)</f>
        <v/>
      </c>
      <c r="I261" s="14">
        <f>IF(G261="","",ROUNDUP(((G261*Ayarlar!$B$3+Ayarlar!$B$4+Ayarlar!$B$5)+Ayarlar!$B$8)/((1-Ayarlar!$B$6)*(1-Ayarlar!$B$7)),0))</f>
        <v/>
      </c>
      <c r="J261" s="14">
        <f>IF(G261="","",ROUNDUP(((G261*Ayarlar!$B$3+Ayarlar!$B$4+Ayarlar!$B$5)+Ayarlar!$B$8)/((1-Ayarlar!$B$6)*(1-Ayarlar!$B$7-Ayarlar!$B$9)),0))</f>
        <v/>
      </c>
      <c r="K261" s="15">
        <f>IF(OR(G261="",F261=""),"",(F261*(1-Ayarlar!$B$6)-(F261*(1-Ayarlar!$B$6)*Ayarlar!$B$7+Ayarlar!$B$8)-(G261*Ayarlar!$B$3+Ayarlar!$B$4+Ayarlar!$B$5))/(F261*(1-Ayarlar!$B$6)))</f>
        <v/>
      </c>
      <c r="L261" s="3">
        <f>IF(G261="","GRAM EKSİK",IF(F261&gt;30000,"FİYAT ŞÜPHELİ",IF(K261&lt;0,"ZARARDA",IF(F261&lt;I261,"RİSKLİ","ok"))))</f>
        <v/>
      </c>
      <c r="M261" s="16" t="inlineStr">
        <is>
          <t>https://www.etsy.com/listing/1199260535</t>
        </is>
      </c>
    </row>
    <row r="262">
      <c r="A262" s="9" t="inlineStr">
        <is>
          <t>chains</t>
        </is>
      </c>
      <c r="B262" s="9" t="inlineStr">
        <is>
          <t>14K Real Gold Rope Chain Bracelet / Unisex Twisted Jewelry</t>
        </is>
      </c>
      <c r="C262" s="9" t="n">
        <v>1199260535</v>
      </c>
      <c r="D262" s="9" t="inlineStr">
        <is>
          <t>CR8F-24</t>
        </is>
      </c>
      <c r="E262" s="9" t="inlineStr">
        <is>
          <t>description</t>
        </is>
      </c>
      <c r="F262" s="10" t="n">
        <v>1322</v>
      </c>
      <c r="G262" s="18" t="n">
        <v>7.25</v>
      </c>
      <c r="H262" s="10">
        <f>IF(G262="","",G262*Ayarlar!$B$3+Ayarlar!$B$4+Ayarlar!$B$5)</f>
        <v/>
      </c>
      <c r="I262" s="10">
        <f>IF(G262="","",ROUNDUP(((G262*Ayarlar!$B$3+Ayarlar!$B$4+Ayarlar!$B$5)+Ayarlar!$B$8)/((1-Ayarlar!$B$6)*(1-Ayarlar!$B$7)),0))</f>
        <v/>
      </c>
      <c r="J262" s="10">
        <f>IF(G262="","",ROUNDUP(((G262*Ayarlar!$B$3+Ayarlar!$B$4+Ayarlar!$B$5)+Ayarlar!$B$8)/((1-Ayarlar!$B$6)*(1-Ayarlar!$B$7-Ayarlar!$B$9)),0))</f>
        <v/>
      </c>
      <c r="K262" s="12">
        <f>IF(OR(G262="",F262=""),"",(F262*(1-Ayarlar!$B$6)-(F262*(1-Ayarlar!$B$6)*Ayarlar!$B$7+Ayarlar!$B$8)-(G262*Ayarlar!$B$3+Ayarlar!$B$4+Ayarlar!$B$5))/(F262*(1-Ayarlar!$B$6)))</f>
        <v/>
      </c>
      <c r="L262" s="9">
        <f>IF(G262="","GRAM EKSİK",IF(F262&gt;30000,"FİYAT ŞÜPHELİ",IF(K262&lt;0,"ZARARDA",IF(F262&lt;I262,"RİSKLİ","ok"))))</f>
        <v/>
      </c>
      <c r="M262" s="13" t="inlineStr">
        <is>
          <t>https://www.etsy.com/listing/1199260535</t>
        </is>
      </c>
    </row>
    <row r="263">
      <c r="A263" s="3" t="inlineStr">
        <is>
          <t>chains</t>
        </is>
      </c>
      <c r="B263" s="3" t="inlineStr">
        <is>
          <t>14K Real Gold Rope Chain Bracelet / Unisex Twisted Jewelry</t>
        </is>
      </c>
      <c r="C263" s="3" t="n">
        <v>1199260535</v>
      </c>
      <c r="D263" s="3" t="inlineStr">
        <is>
          <t>CR9F-16</t>
        </is>
      </c>
      <c r="E263" s="3" t="inlineStr">
        <is>
          <t>description</t>
        </is>
      </c>
      <c r="F263" s="14" t="n">
        <v>1440</v>
      </c>
      <c r="G263" s="17" t="n">
        <v>7.55</v>
      </c>
      <c r="H263" s="14">
        <f>IF(G263="","",G263*Ayarlar!$B$3+Ayarlar!$B$4+Ayarlar!$B$5)</f>
        <v/>
      </c>
      <c r="I263" s="14">
        <f>IF(G263="","",ROUNDUP(((G263*Ayarlar!$B$3+Ayarlar!$B$4+Ayarlar!$B$5)+Ayarlar!$B$8)/((1-Ayarlar!$B$6)*(1-Ayarlar!$B$7)),0))</f>
        <v/>
      </c>
      <c r="J263" s="14">
        <f>IF(G263="","",ROUNDUP(((G263*Ayarlar!$B$3+Ayarlar!$B$4+Ayarlar!$B$5)+Ayarlar!$B$8)/((1-Ayarlar!$B$6)*(1-Ayarlar!$B$7-Ayarlar!$B$9)),0))</f>
        <v/>
      </c>
      <c r="K263" s="15">
        <f>IF(OR(G263="",F263=""),"",(F263*(1-Ayarlar!$B$6)-(F263*(1-Ayarlar!$B$6)*Ayarlar!$B$7+Ayarlar!$B$8)-(G263*Ayarlar!$B$3+Ayarlar!$B$4+Ayarlar!$B$5))/(F263*(1-Ayarlar!$B$6)))</f>
        <v/>
      </c>
      <c r="L263" s="3">
        <f>IF(G263="","GRAM EKSİK",IF(F263&gt;30000,"FİYAT ŞÜPHELİ",IF(K263&lt;0,"ZARARDA",IF(F263&lt;I263,"RİSKLİ","ok"))))</f>
        <v/>
      </c>
      <c r="M263" s="16" t="inlineStr">
        <is>
          <t>https://www.etsy.com/listing/1199260535</t>
        </is>
      </c>
    </row>
    <row r="264">
      <c r="A264" s="9" t="inlineStr">
        <is>
          <t>chains</t>
        </is>
      </c>
      <c r="B264" s="9" t="inlineStr">
        <is>
          <t>14K Real Gold Rope Chain Bracelet / Unisex Twisted Jewelry</t>
        </is>
      </c>
      <c r="C264" s="9" t="n">
        <v>1199260535</v>
      </c>
      <c r="D264" s="9" t="inlineStr">
        <is>
          <t>CR9F-18</t>
        </is>
      </c>
      <c r="E264" s="9" t="inlineStr">
        <is>
          <t>description</t>
        </is>
      </c>
      <c r="F264" s="10" t="n">
        <v>1621</v>
      </c>
      <c r="G264" s="18" t="n">
        <v>8.49</v>
      </c>
      <c r="H264" s="10">
        <f>IF(G264="","",G264*Ayarlar!$B$3+Ayarlar!$B$4+Ayarlar!$B$5)</f>
        <v/>
      </c>
      <c r="I264" s="10">
        <f>IF(G264="","",ROUNDUP(((G264*Ayarlar!$B$3+Ayarlar!$B$4+Ayarlar!$B$5)+Ayarlar!$B$8)/((1-Ayarlar!$B$6)*(1-Ayarlar!$B$7)),0))</f>
        <v/>
      </c>
      <c r="J264" s="10">
        <f>IF(G264="","",ROUNDUP(((G264*Ayarlar!$B$3+Ayarlar!$B$4+Ayarlar!$B$5)+Ayarlar!$B$8)/((1-Ayarlar!$B$6)*(1-Ayarlar!$B$7-Ayarlar!$B$9)),0))</f>
        <v/>
      </c>
      <c r="K264" s="12">
        <f>IF(OR(G264="",F264=""),"",(F264*(1-Ayarlar!$B$6)-(F264*(1-Ayarlar!$B$6)*Ayarlar!$B$7+Ayarlar!$B$8)-(G264*Ayarlar!$B$3+Ayarlar!$B$4+Ayarlar!$B$5))/(F264*(1-Ayarlar!$B$6)))</f>
        <v/>
      </c>
      <c r="L264" s="9">
        <f>IF(G264="","GRAM EKSİK",IF(F264&gt;30000,"FİYAT ŞÜPHELİ",IF(K264&lt;0,"ZARARDA",IF(F264&lt;I264,"RİSKLİ","ok"))))</f>
        <v/>
      </c>
      <c r="M264" s="13" t="inlineStr">
        <is>
          <t>https://www.etsy.com/listing/1199260535</t>
        </is>
      </c>
    </row>
    <row r="265">
      <c r="A265" s="3" t="inlineStr">
        <is>
          <t>chains</t>
        </is>
      </c>
      <c r="B265" s="3" t="inlineStr">
        <is>
          <t>14K Real Gold Rope Chain Bracelet / Unisex Twisted Jewelry</t>
        </is>
      </c>
      <c r="C265" s="3" t="n">
        <v>1199260535</v>
      </c>
      <c r="D265" s="3" t="inlineStr">
        <is>
          <t>CR9F-20</t>
        </is>
      </c>
      <c r="E265" s="3" t="inlineStr">
        <is>
          <t>description</t>
        </is>
      </c>
      <c r="F265" s="14" t="n">
        <v>1801</v>
      </c>
      <c r="G265" s="17" t="n">
        <v>9.44</v>
      </c>
      <c r="H265" s="14">
        <f>IF(G265="","",G265*Ayarlar!$B$3+Ayarlar!$B$4+Ayarlar!$B$5)</f>
        <v/>
      </c>
      <c r="I265" s="14">
        <f>IF(G265="","",ROUNDUP(((G265*Ayarlar!$B$3+Ayarlar!$B$4+Ayarlar!$B$5)+Ayarlar!$B$8)/((1-Ayarlar!$B$6)*(1-Ayarlar!$B$7)),0))</f>
        <v/>
      </c>
      <c r="J265" s="14">
        <f>IF(G265="","",ROUNDUP(((G265*Ayarlar!$B$3+Ayarlar!$B$4+Ayarlar!$B$5)+Ayarlar!$B$8)/((1-Ayarlar!$B$6)*(1-Ayarlar!$B$7-Ayarlar!$B$9)),0))</f>
        <v/>
      </c>
      <c r="K265" s="15">
        <f>IF(OR(G265="",F265=""),"",(F265*(1-Ayarlar!$B$6)-(F265*(1-Ayarlar!$B$6)*Ayarlar!$B$7+Ayarlar!$B$8)-(G265*Ayarlar!$B$3+Ayarlar!$B$4+Ayarlar!$B$5))/(F265*(1-Ayarlar!$B$6)))</f>
        <v/>
      </c>
      <c r="L265" s="3">
        <f>IF(G265="","GRAM EKSİK",IF(F265&gt;30000,"FİYAT ŞÜPHELİ",IF(K265&lt;0,"ZARARDA",IF(F265&lt;I265,"RİSKLİ","ok"))))</f>
        <v/>
      </c>
      <c r="M265" s="16" t="inlineStr">
        <is>
          <t>https://www.etsy.com/listing/1199260535</t>
        </is>
      </c>
    </row>
    <row r="266">
      <c r="A266" s="9" t="inlineStr">
        <is>
          <t>chains</t>
        </is>
      </c>
      <c r="B266" s="9" t="inlineStr">
        <is>
          <t>14K Real Gold Rope Chain Bracelet / Unisex Twisted Jewelry</t>
        </is>
      </c>
      <c r="C266" s="9" t="n">
        <v>1199260535</v>
      </c>
      <c r="D266" s="9" t="inlineStr">
        <is>
          <t>CR9F-22</t>
        </is>
      </c>
      <c r="E266" s="9" t="inlineStr">
        <is>
          <t>description</t>
        </is>
      </c>
      <c r="F266" s="10" t="n">
        <v>1980</v>
      </c>
      <c r="G266" s="18" t="n">
        <v>10.38</v>
      </c>
      <c r="H266" s="10">
        <f>IF(G266="","",G266*Ayarlar!$B$3+Ayarlar!$B$4+Ayarlar!$B$5)</f>
        <v/>
      </c>
      <c r="I266" s="10">
        <f>IF(G266="","",ROUNDUP(((G266*Ayarlar!$B$3+Ayarlar!$B$4+Ayarlar!$B$5)+Ayarlar!$B$8)/((1-Ayarlar!$B$6)*(1-Ayarlar!$B$7)),0))</f>
        <v/>
      </c>
      <c r="J266" s="10">
        <f>IF(G266="","",ROUNDUP(((G266*Ayarlar!$B$3+Ayarlar!$B$4+Ayarlar!$B$5)+Ayarlar!$B$8)/((1-Ayarlar!$B$6)*(1-Ayarlar!$B$7-Ayarlar!$B$9)),0))</f>
        <v/>
      </c>
      <c r="K266" s="12">
        <f>IF(OR(G266="",F266=""),"",(F266*(1-Ayarlar!$B$6)-(F266*(1-Ayarlar!$B$6)*Ayarlar!$B$7+Ayarlar!$B$8)-(G266*Ayarlar!$B$3+Ayarlar!$B$4+Ayarlar!$B$5))/(F266*(1-Ayarlar!$B$6)))</f>
        <v/>
      </c>
      <c r="L266" s="9">
        <f>IF(G266="","GRAM EKSİK",IF(F266&gt;30000,"FİYAT ŞÜPHELİ",IF(K266&lt;0,"ZARARDA",IF(F266&lt;I266,"RİSKLİ","ok"))))</f>
        <v/>
      </c>
      <c r="M266" s="13" t="inlineStr">
        <is>
          <t>https://www.etsy.com/listing/1199260535</t>
        </is>
      </c>
    </row>
    <row r="267">
      <c r="A267" s="3" t="inlineStr">
        <is>
          <t>chains</t>
        </is>
      </c>
      <c r="B267" s="3" t="inlineStr">
        <is>
          <t>14K Real Gold Rope Chain Bracelet / Unisex Twisted Jewelry</t>
        </is>
      </c>
      <c r="C267" s="3" t="n">
        <v>1199260535</v>
      </c>
      <c r="D267" s="3" t="inlineStr">
        <is>
          <t>CR9F-24</t>
        </is>
      </c>
      <c r="E267" s="3" t="inlineStr">
        <is>
          <t>description</t>
        </is>
      </c>
      <c r="F267" s="14" t="n">
        <v>2161</v>
      </c>
      <c r="G267" s="17" t="n">
        <v>11.32</v>
      </c>
      <c r="H267" s="14">
        <f>IF(G267="","",G267*Ayarlar!$B$3+Ayarlar!$B$4+Ayarlar!$B$5)</f>
        <v/>
      </c>
      <c r="I267" s="14">
        <f>IF(G267="","",ROUNDUP(((G267*Ayarlar!$B$3+Ayarlar!$B$4+Ayarlar!$B$5)+Ayarlar!$B$8)/((1-Ayarlar!$B$6)*(1-Ayarlar!$B$7)),0))</f>
        <v/>
      </c>
      <c r="J267" s="14">
        <f>IF(G267="","",ROUNDUP(((G267*Ayarlar!$B$3+Ayarlar!$B$4+Ayarlar!$B$5)+Ayarlar!$B$8)/((1-Ayarlar!$B$6)*(1-Ayarlar!$B$7-Ayarlar!$B$9)),0))</f>
        <v/>
      </c>
      <c r="K267" s="15">
        <f>IF(OR(G267="",F267=""),"",(F267*(1-Ayarlar!$B$6)-(F267*(1-Ayarlar!$B$6)*Ayarlar!$B$7+Ayarlar!$B$8)-(G267*Ayarlar!$B$3+Ayarlar!$B$4+Ayarlar!$B$5))/(F267*(1-Ayarlar!$B$6)))</f>
        <v/>
      </c>
      <c r="L267" s="3">
        <f>IF(G267="","GRAM EKSİK",IF(F267&gt;30000,"FİYAT ŞÜPHELİ",IF(K267&lt;0,"ZARARDA",IF(F267&lt;I267,"RİSKLİ","ok"))))</f>
        <v/>
      </c>
      <c r="M267" s="16" t="inlineStr">
        <is>
          <t>https://www.etsy.com/listing/1199260535</t>
        </is>
      </c>
    </row>
    <row r="268">
      <c r="A268" s="9" t="inlineStr">
        <is>
          <t>chains</t>
        </is>
      </c>
      <c r="B268" s="9" t="inlineStr">
        <is>
          <t>14K Real Rose Gold Box Chain Bracelet / Unisex</t>
        </is>
      </c>
      <c r="C268" s="9" t="n">
        <v>1806007852</v>
      </c>
      <c r="D268" s="9" t="inlineStr">
        <is>
          <t>BRSROB1-7</t>
        </is>
      </c>
      <c r="E268" s="9" t="inlineStr">
        <is>
          <t>shipstation</t>
        </is>
      </c>
      <c r="F268" s="10" t="n">
        <v>850</v>
      </c>
      <c r="G268" s="18" t="n">
        <v>5.7</v>
      </c>
      <c r="H268" s="10">
        <f>IF(G268="","",G268*Ayarlar!$B$3+Ayarlar!$B$4+Ayarlar!$B$5)</f>
        <v/>
      </c>
      <c r="I268" s="10">
        <f>IF(G268="","",ROUNDUP(((G268*Ayarlar!$B$3+Ayarlar!$B$4+Ayarlar!$B$5)+Ayarlar!$B$8)/((1-Ayarlar!$B$6)*(1-Ayarlar!$B$7)),0))</f>
        <v/>
      </c>
      <c r="J268" s="10">
        <f>IF(G268="","",ROUNDUP(((G268*Ayarlar!$B$3+Ayarlar!$B$4+Ayarlar!$B$5)+Ayarlar!$B$8)/((1-Ayarlar!$B$6)*(1-Ayarlar!$B$7-Ayarlar!$B$9)),0))</f>
        <v/>
      </c>
      <c r="K268" s="12">
        <f>IF(OR(G268="",F268=""),"",(F268*(1-Ayarlar!$B$6)-(F268*(1-Ayarlar!$B$6)*Ayarlar!$B$7+Ayarlar!$B$8)-(G268*Ayarlar!$B$3+Ayarlar!$B$4+Ayarlar!$B$5))/(F268*(1-Ayarlar!$B$6)))</f>
        <v/>
      </c>
      <c r="L268" s="9">
        <f>IF(G268="","GRAM EKSİK",IF(F268&gt;30000,"FİYAT ŞÜPHELİ",IF(K268&lt;0,"ZARARDA",IF(F268&lt;I268,"RİSKLİ","ok"))))</f>
        <v/>
      </c>
      <c r="M268" s="13" t="inlineStr">
        <is>
          <t>https://www.etsy.com/listing/1806007852</t>
        </is>
      </c>
    </row>
    <row r="269">
      <c r="A269" s="3" t="inlineStr">
        <is>
          <t>chains</t>
        </is>
      </c>
      <c r="B269" s="3" t="inlineStr">
        <is>
          <t>14K Real Rose Gold Box Chain Bracelet / Unisex</t>
        </is>
      </c>
      <c r="C269" s="3" t="n">
        <v>1806007852</v>
      </c>
      <c r="D269" s="3" t="inlineStr">
        <is>
          <t>BRSROB1-7.5</t>
        </is>
      </c>
      <c r="E269" s="3" t="inlineStr">
        <is>
          <t>description</t>
        </is>
      </c>
      <c r="F269" s="14" t="n">
        <v>912</v>
      </c>
      <c r="G269" s="17" t="n">
        <v>5.72</v>
      </c>
      <c r="H269" s="14">
        <f>IF(G269="","",G269*Ayarlar!$B$3+Ayarlar!$B$4+Ayarlar!$B$5)</f>
        <v/>
      </c>
      <c r="I269" s="14">
        <f>IF(G269="","",ROUNDUP(((G269*Ayarlar!$B$3+Ayarlar!$B$4+Ayarlar!$B$5)+Ayarlar!$B$8)/((1-Ayarlar!$B$6)*(1-Ayarlar!$B$7)),0))</f>
        <v/>
      </c>
      <c r="J269" s="14">
        <f>IF(G269="","",ROUNDUP(((G269*Ayarlar!$B$3+Ayarlar!$B$4+Ayarlar!$B$5)+Ayarlar!$B$8)/((1-Ayarlar!$B$6)*(1-Ayarlar!$B$7-Ayarlar!$B$9)),0))</f>
        <v/>
      </c>
      <c r="K269" s="15">
        <f>IF(OR(G269="",F269=""),"",(F269*(1-Ayarlar!$B$6)-(F269*(1-Ayarlar!$B$6)*Ayarlar!$B$7+Ayarlar!$B$8)-(G269*Ayarlar!$B$3+Ayarlar!$B$4+Ayarlar!$B$5))/(F269*(1-Ayarlar!$B$6)))</f>
        <v/>
      </c>
      <c r="L269" s="3">
        <f>IF(G269="","GRAM EKSİK",IF(F269&gt;30000,"FİYAT ŞÜPHELİ",IF(K269&lt;0,"ZARARDA",IF(F269&lt;I269,"RİSKLİ","ok"))))</f>
        <v/>
      </c>
      <c r="M269" s="16" t="inlineStr">
        <is>
          <t>https://www.etsy.com/listing/1806007852</t>
        </is>
      </c>
    </row>
    <row r="270">
      <c r="A270" s="9" t="inlineStr">
        <is>
          <t>chains</t>
        </is>
      </c>
      <c r="B270" s="9" t="inlineStr">
        <is>
          <t>14K Real Rose Gold Box Chain Bracelet / Unisex</t>
        </is>
      </c>
      <c r="C270" s="9" t="n">
        <v>1806007852</v>
      </c>
      <c r="D270" s="9" t="inlineStr">
        <is>
          <t>BRSROB1-8</t>
        </is>
      </c>
      <c r="E270" s="9" t="inlineStr">
        <is>
          <t>shipstation</t>
        </is>
      </c>
      <c r="F270" s="10" t="n">
        <v>967</v>
      </c>
      <c r="G270" s="18" t="n">
        <v>6.25</v>
      </c>
      <c r="H270" s="10">
        <f>IF(G270="","",G270*Ayarlar!$B$3+Ayarlar!$B$4+Ayarlar!$B$5)</f>
        <v/>
      </c>
      <c r="I270" s="10">
        <f>IF(G270="","",ROUNDUP(((G270*Ayarlar!$B$3+Ayarlar!$B$4+Ayarlar!$B$5)+Ayarlar!$B$8)/((1-Ayarlar!$B$6)*(1-Ayarlar!$B$7)),0))</f>
        <v/>
      </c>
      <c r="J270" s="10">
        <f>IF(G270="","",ROUNDUP(((G270*Ayarlar!$B$3+Ayarlar!$B$4+Ayarlar!$B$5)+Ayarlar!$B$8)/((1-Ayarlar!$B$6)*(1-Ayarlar!$B$7-Ayarlar!$B$9)),0))</f>
        <v/>
      </c>
      <c r="K270" s="12">
        <f>IF(OR(G270="",F270=""),"",(F270*(1-Ayarlar!$B$6)-(F270*(1-Ayarlar!$B$6)*Ayarlar!$B$7+Ayarlar!$B$8)-(G270*Ayarlar!$B$3+Ayarlar!$B$4+Ayarlar!$B$5))/(F270*(1-Ayarlar!$B$6)))</f>
        <v/>
      </c>
      <c r="L270" s="9">
        <f>IF(G270="","GRAM EKSİK",IF(F270&gt;30000,"FİYAT ŞÜPHELİ",IF(K270&lt;0,"ZARARDA",IF(F270&lt;I270,"RİSKLİ","ok"))))</f>
        <v/>
      </c>
      <c r="M270" s="13" t="inlineStr">
        <is>
          <t>https://www.etsy.com/listing/1806007852</t>
        </is>
      </c>
    </row>
    <row r="271">
      <c r="A271" s="3" t="inlineStr">
        <is>
          <t>chains</t>
        </is>
      </c>
      <c r="B271" s="3" t="inlineStr">
        <is>
          <t>14K Real Rose Gold Box Chain Bracelet / Unisex</t>
        </is>
      </c>
      <c r="C271" s="3" t="n">
        <v>1806007852</v>
      </c>
      <c r="D271" s="3" t="inlineStr">
        <is>
          <t>BRSROB2-7</t>
        </is>
      </c>
      <c r="E271" s="3" t="inlineStr">
        <is>
          <t>description</t>
        </is>
      </c>
      <c r="F271" s="14" t="n">
        <v>970</v>
      </c>
      <c r="G271" s="17" t="n">
        <v>6.61</v>
      </c>
      <c r="H271" s="14">
        <f>IF(G271="","",G271*Ayarlar!$B$3+Ayarlar!$B$4+Ayarlar!$B$5)</f>
        <v/>
      </c>
      <c r="I271" s="14">
        <f>IF(G271="","",ROUNDUP(((G271*Ayarlar!$B$3+Ayarlar!$B$4+Ayarlar!$B$5)+Ayarlar!$B$8)/((1-Ayarlar!$B$6)*(1-Ayarlar!$B$7)),0))</f>
        <v/>
      </c>
      <c r="J271" s="14">
        <f>IF(G271="","",ROUNDUP(((G271*Ayarlar!$B$3+Ayarlar!$B$4+Ayarlar!$B$5)+Ayarlar!$B$8)/((1-Ayarlar!$B$6)*(1-Ayarlar!$B$7-Ayarlar!$B$9)),0))</f>
        <v/>
      </c>
      <c r="K271" s="15">
        <f>IF(OR(G271="",F271=""),"",(F271*(1-Ayarlar!$B$6)-(F271*(1-Ayarlar!$B$6)*Ayarlar!$B$7+Ayarlar!$B$8)-(G271*Ayarlar!$B$3+Ayarlar!$B$4+Ayarlar!$B$5))/(F271*(1-Ayarlar!$B$6)))</f>
        <v/>
      </c>
      <c r="L271" s="3">
        <f>IF(G271="","GRAM EKSİK",IF(F271&gt;30000,"FİYAT ŞÜPHELİ",IF(K271&lt;0,"ZARARDA",IF(F271&lt;I271,"RİSKLİ","ok"))))</f>
        <v/>
      </c>
      <c r="M271" s="16" t="inlineStr">
        <is>
          <t>https://www.etsy.com/listing/1806007852</t>
        </is>
      </c>
    </row>
    <row r="272">
      <c r="A272" s="9" t="inlineStr">
        <is>
          <t>chains</t>
        </is>
      </c>
      <c r="B272" s="9" t="inlineStr">
        <is>
          <t>14K Real Rose Gold Box Chain Bracelet / Unisex</t>
        </is>
      </c>
      <c r="C272" s="9" t="n">
        <v>1806007852</v>
      </c>
      <c r="D272" s="9" t="inlineStr">
        <is>
          <t>BRSROB2-7.5</t>
        </is>
      </c>
      <c r="E272" s="9" t="inlineStr">
        <is>
          <t>description</t>
        </is>
      </c>
      <c r="F272" s="10" t="n">
        <v>1076</v>
      </c>
      <c r="G272" s="18" t="n">
        <v>7.08</v>
      </c>
      <c r="H272" s="10">
        <f>IF(G272="","",G272*Ayarlar!$B$3+Ayarlar!$B$4+Ayarlar!$B$5)</f>
        <v/>
      </c>
      <c r="I272" s="10">
        <f>IF(G272="","",ROUNDUP(((G272*Ayarlar!$B$3+Ayarlar!$B$4+Ayarlar!$B$5)+Ayarlar!$B$8)/((1-Ayarlar!$B$6)*(1-Ayarlar!$B$7)),0))</f>
        <v/>
      </c>
      <c r="J272" s="10">
        <f>IF(G272="","",ROUNDUP(((G272*Ayarlar!$B$3+Ayarlar!$B$4+Ayarlar!$B$5)+Ayarlar!$B$8)/((1-Ayarlar!$B$6)*(1-Ayarlar!$B$7-Ayarlar!$B$9)),0))</f>
        <v/>
      </c>
      <c r="K272" s="12">
        <f>IF(OR(G272="",F272=""),"",(F272*(1-Ayarlar!$B$6)-(F272*(1-Ayarlar!$B$6)*Ayarlar!$B$7+Ayarlar!$B$8)-(G272*Ayarlar!$B$3+Ayarlar!$B$4+Ayarlar!$B$5))/(F272*(1-Ayarlar!$B$6)))</f>
        <v/>
      </c>
      <c r="L272" s="9">
        <f>IF(G272="","GRAM EKSİK",IF(F272&gt;30000,"FİYAT ŞÜPHELİ",IF(K272&lt;0,"ZARARDA",IF(F272&lt;I272,"RİSKLİ","ok"))))</f>
        <v/>
      </c>
      <c r="M272" s="13" t="inlineStr">
        <is>
          <t>https://www.etsy.com/listing/1806007852</t>
        </is>
      </c>
    </row>
    <row r="273">
      <c r="A273" s="3" t="inlineStr">
        <is>
          <t>chains</t>
        </is>
      </c>
      <c r="B273" s="3" t="inlineStr">
        <is>
          <t>14K Real Rose Gold Box Chain Bracelet / Unisex</t>
        </is>
      </c>
      <c r="C273" s="3" t="n">
        <v>1806007852</v>
      </c>
      <c r="D273" s="3" t="inlineStr">
        <is>
          <t>BRSROB2-8</t>
        </is>
      </c>
      <c r="E273" s="3" t="inlineStr">
        <is>
          <t>description</t>
        </is>
      </c>
      <c r="F273" s="14" t="n">
        <v>1182</v>
      </c>
      <c r="G273" s="17" t="n">
        <v>7.55</v>
      </c>
      <c r="H273" s="14">
        <f>IF(G273="","",G273*Ayarlar!$B$3+Ayarlar!$B$4+Ayarlar!$B$5)</f>
        <v/>
      </c>
      <c r="I273" s="14">
        <f>IF(G273="","",ROUNDUP(((G273*Ayarlar!$B$3+Ayarlar!$B$4+Ayarlar!$B$5)+Ayarlar!$B$8)/((1-Ayarlar!$B$6)*(1-Ayarlar!$B$7)),0))</f>
        <v/>
      </c>
      <c r="J273" s="14">
        <f>IF(G273="","",ROUNDUP(((G273*Ayarlar!$B$3+Ayarlar!$B$4+Ayarlar!$B$5)+Ayarlar!$B$8)/((1-Ayarlar!$B$6)*(1-Ayarlar!$B$7-Ayarlar!$B$9)),0))</f>
        <v/>
      </c>
      <c r="K273" s="15">
        <f>IF(OR(G273="",F273=""),"",(F273*(1-Ayarlar!$B$6)-(F273*(1-Ayarlar!$B$6)*Ayarlar!$B$7+Ayarlar!$B$8)-(G273*Ayarlar!$B$3+Ayarlar!$B$4+Ayarlar!$B$5))/(F273*(1-Ayarlar!$B$6)))</f>
        <v/>
      </c>
      <c r="L273" s="3">
        <f>IF(G273="","GRAM EKSİK",IF(F273&gt;30000,"FİYAT ŞÜPHELİ",IF(K273&lt;0,"ZARARDA",IF(F273&lt;I273,"RİSKLİ","ok"))))</f>
        <v/>
      </c>
      <c r="M273" s="16" t="inlineStr">
        <is>
          <t>https://www.etsy.com/listing/1806007852</t>
        </is>
      </c>
    </row>
    <row r="274">
      <c r="A274" s="9" t="inlineStr">
        <is>
          <t>chains</t>
        </is>
      </c>
      <c r="B274" s="9" t="inlineStr">
        <is>
          <t>14K Real Rose Gold Box Chain Bracelet / Unisex</t>
        </is>
      </c>
      <c r="C274" s="9" t="n">
        <v>1806007852</v>
      </c>
      <c r="D274" s="9" t="inlineStr">
        <is>
          <t>BRSROB3-7</t>
        </is>
      </c>
      <c r="E274" s="9" t="inlineStr">
        <is>
          <t>description</t>
        </is>
      </c>
      <c r="F274" s="10" t="n">
        <v>1102</v>
      </c>
      <c r="G274" s="18" t="n">
        <v>7.18</v>
      </c>
      <c r="H274" s="10">
        <f>IF(G274="","",G274*Ayarlar!$B$3+Ayarlar!$B$4+Ayarlar!$B$5)</f>
        <v/>
      </c>
      <c r="I274" s="10">
        <f>IF(G274="","",ROUNDUP(((G274*Ayarlar!$B$3+Ayarlar!$B$4+Ayarlar!$B$5)+Ayarlar!$B$8)/((1-Ayarlar!$B$6)*(1-Ayarlar!$B$7)),0))</f>
        <v/>
      </c>
      <c r="J274" s="10">
        <f>IF(G274="","",ROUNDUP(((G274*Ayarlar!$B$3+Ayarlar!$B$4+Ayarlar!$B$5)+Ayarlar!$B$8)/((1-Ayarlar!$B$6)*(1-Ayarlar!$B$7-Ayarlar!$B$9)),0))</f>
        <v/>
      </c>
      <c r="K274" s="12">
        <f>IF(OR(G274="",F274=""),"",(F274*(1-Ayarlar!$B$6)-(F274*(1-Ayarlar!$B$6)*Ayarlar!$B$7+Ayarlar!$B$8)-(G274*Ayarlar!$B$3+Ayarlar!$B$4+Ayarlar!$B$5))/(F274*(1-Ayarlar!$B$6)))</f>
        <v/>
      </c>
      <c r="L274" s="9">
        <f>IF(G274="","GRAM EKSİK",IF(F274&gt;30000,"FİYAT ŞÜPHELİ",IF(K274&lt;0,"ZARARDA",IF(F274&lt;I274,"RİSKLİ","ok"))))</f>
        <v/>
      </c>
      <c r="M274" s="13" t="inlineStr">
        <is>
          <t>https://www.etsy.com/listing/1806007852</t>
        </is>
      </c>
    </row>
    <row r="275">
      <c r="A275" s="3" t="inlineStr">
        <is>
          <t>chains</t>
        </is>
      </c>
      <c r="B275" s="3" t="inlineStr">
        <is>
          <t>14K Real Rose Gold Box Chain Bracelet / Unisex</t>
        </is>
      </c>
      <c r="C275" s="3" t="n">
        <v>1806007852</v>
      </c>
      <c r="D275" s="3" t="inlineStr">
        <is>
          <t>BRSROB3-7.5</t>
        </is>
      </c>
      <c r="E275" s="3" t="inlineStr">
        <is>
          <t>shipstation</t>
        </is>
      </c>
      <c r="F275" s="14" t="n">
        <v>1166</v>
      </c>
      <c r="G275" s="17" t="n">
        <v>8.300000000000001</v>
      </c>
      <c r="H275" s="14">
        <f>IF(G275="","",G275*Ayarlar!$B$3+Ayarlar!$B$4+Ayarlar!$B$5)</f>
        <v/>
      </c>
      <c r="I275" s="14">
        <f>IF(G275="","",ROUNDUP(((G275*Ayarlar!$B$3+Ayarlar!$B$4+Ayarlar!$B$5)+Ayarlar!$B$8)/((1-Ayarlar!$B$6)*(1-Ayarlar!$B$7)),0))</f>
        <v/>
      </c>
      <c r="J275" s="14">
        <f>IF(G275="","",ROUNDUP(((G275*Ayarlar!$B$3+Ayarlar!$B$4+Ayarlar!$B$5)+Ayarlar!$B$8)/((1-Ayarlar!$B$6)*(1-Ayarlar!$B$7-Ayarlar!$B$9)),0))</f>
        <v/>
      </c>
      <c r="K275" s="15">
        <f>IF(OR(G275="",F275=""),"",(F275*(1-Ayarlar!$B$6)-(F275*(1-Ayarlar!$B$6)*Ayarlar!$B$7+Ayarlar!$B$8)-(G275*Ayarlar!$B$3+Ayarlar!$B$4+Ayarlar!$B$5))/(F275*(1-Ayarlar!$B$6)))</f>
        <v/>
      </c>
      <c r="L275" s="3">
        <f>IF(G275="","GRAM EKSİK",IF(F275&gt;30000,"FİYAT ŞÜPHELİ",IF(K275&lt;0,"ZARARDA",IF(F275&lt;I275,"RİSKLİ","ok"))))</f>
        <v/>
      </c>
      <c r="M275" s="16" t="inlineStr">
        <is>
          <t>https://www.etsy.com/listing/1806007852</t>
        </is>
      </c>
    </row>
    <row r="276">
      <c r="A276" s="9" t="inlineStr">
        <is>
          <t>chains</t>
        </is>
      </c>
      <c r="B276" s="9" t="inlineStr">
        <is>
          <t>14K Real Rose Gold Box Chain Bracelet / Unisex</t>
        </is>
      </c>
      <c r="C276" s="9" t="n">
        <v>1806007852</v>
      </c>
      <c r="D276" s="9" t="inlineStr">
        <is>
          <t>BRSROB3-8</t>
        </is>
      </c>
      <c r="E276" s="9" t="inlineStr">
        <is>
          <t>description</t>
        </is>
      </c>
      <c r="F276" s="10" t="n">
        <v>1290</v>
      </c>
      <c r="G276" s="18" t="n">
        <v>8.199999999999999</v>
      </c>
      <c r="H276" s="10">
        <f>IF(G276="","",G276*Ayarlar!$B$3+Ayarlar!$B$4+Ayarlar!$B$5)</f>
        <v/>
      </c>
      <c r="I276" s="10">
        <f>IF(G276="","",ROUNDUP(((G276*Ayarlar!$B$3+Ayarlar!$B$4+Ayarlar!$B$5)+Ayarlar!$B$8)/((1-Ayarlar!$B$6)*(1-Ayarlar!$B$7)),0))</f>
        <v/>
      </c>
      <c r="J276" s="10">
        <f>IF(G276="","",ROUNDUP(((G276*Ayarlar!$B$3+Ayarlar!$B$4+Ayarlar!$B$5)+Ayarlar!$B$8)/((1-Ayarlar!$B$6)*(1-Ayarlar!$B$7-Ayarlar!$B$9)),0))</f>
        <v/>
      </c>
      <c r="K276" s="12">
        <f>IF(OR(G276="",F276=""),"",(F276*(1-Ayarlar!$B$6)-(F276*(1-Ayarlar!$B$6)*Ayarlar!$B$7+Ayarlar!$B$8)-(G276*Ayarlar!$B$3+Ayarlar!$B$4+Ayarlar!$B$5))/(F276*(1-Ayarlar!$B$6)))</f>
        <v/>
      </c>
      <c r="L276" s="9">
        <f>IF(G276="","GRAM EKSİK",IF(F276&gt;30000,"FİYAT ŞÜPHELİ",IF(K276&lt;0,"ZARARDA",IF(F276&lt;I276,"RİSKLİ","ok"))))</f>
        <v/>
      </c>
      <c r="M276" s="13" t="inlineStr">
        <is>
          <t>https://www.etsy.com/listing/1806007852</t>
        </is>
      </c>
    </row>
    <row r="277">
      <c r="A277" s="3" t="inlineStr">
        <is>
          <t>chains</t>
        </is>
      </c>
      <c r="B277" s="3" t="inlineStr">
        <is>
          <t>14K Rose Gold Round Box Chain Necklace - Women and Men</t>
        </is>
      </c>
      <c r="C277" s="3" t="n">
        <v>1862661659</v>
      </c>
      <c r="D277" s="3" t="inlineStr">
        <is>
          <t>CRDR1-16</t>
        </is>
      </c>
      <c r="E277" s="3" t="inlineStr">
        <is>
          <t>shipstation</t>
        </is>
      </c>
      <c r="F277" s="14" t="n">
        <v>517</v>
      </c>
      <c r="G277" s="17" t="n">
        <v>2.34</v>
      </c>
      <c r="H277" s="14">
        <f>IF(G277="","",G277*Ayarlar!$B$3+Ayarlar!$B$4+Ayarlar!$B$5)</f>
        <v/>
      </c>
      <c r="I277" s="14">
        <f>IF(G277="","",ROUNDUP(((G277*Ayarlar!$B$3+Ayarlar!$B$4+Ayarlar!$B$5)+Ayarlar!$B$8)/((1-Ayarlar!$B$6)*(1-Ayarlar!$B$7)),0))</f>
        <v/>
      </c>
      <c r="J277" s="14">
        <f>IF(G277="","",ROUNDUP(((G277*Ayarlar!$B$3+Ayarlar!$B$4+Ayarlar!$B$5)+Ayarlar!$B$8)/((1-Ayarlar!$B$6)*(1-Ayarlar!$B$7-Ayarlar!$B$9)),0))</f>
        <v/>
      </c>
      <c r="K277" s="15">
        <f>IF(OR(G277="",F277=""),"",(F277*(1-Ayarlar!$B$6)-(F277*(1-Ayarlar!$B$6)*Ayarlar!$B$7+Ayarlar!$B$8)-(G277*Ayarlar!$B$3+Ayarlar!$B$4+Ayarlar!$B$5))/(F277*(1-Ayarlar!$B$6)))</f>
        <v/>
      </c>
      <c r="L277" s="3">
        <f>IF(G277="","GRAM EKSİK",IF(F277&gt;30000,"FİYAT ŞÜPHELİ",IF(K277&lt;0,"ZARARDA",IF(F277&lt;I277,"RİSKLİ","ok"))))</f>
        <v/>
      </c>
      <c r="M277" s="16" t="inlineStr">
        <is>
          <t>https://www.etsy.com/listing/1862661659</t>
        </is>
      </c>
    </row>
    <row r="278">
      <c r="A278" s="9" t="inlineStr">
        <is>
          <t>chains</t>
        </is>
      </c>
      <c r="B278" s="9" t="inlineStr">
        <is>
          <t>14K Rose Gold Round Box Chain Necklace - Women and Men</t>
        </is>
      </c>
      <c r="C278" s="9" t="n">
        <v>1862661659</v>
      </c>
      <c r="D278" s="9" t="inlineStr">
        <is>
          <t>CRDR1-18</t>
        </is>
      </c>
      <c r="E278" s="9" t="inlineStr">
        <is>
          <t>shipstation</t>
        </is>
      </c>
      <c r="F278" s="10" t="n">
        <v>627</v>
      </c>
      <c r="G278" s="18" t="n">
        <v>2.66</v>
      </c>
      <c r="H278" s="10">
        <f>IF(G278="","",G278*Ayarlar!$B$3+Ayarlar!$B$4+Ayarlar!$B$5)</f>
        <v/>
      </c>
      <c r="I278" s="10">
        <f>IF(G278="","",ROUNDUP(((G278*Ayarlar!$B$3+Ayarlar!$B$4+Ayarlar!$B$5)+Ayarlar!$B$8)/((1-Ayarlar!$B$6)*(1-Ayarlar!$B$7)),0))</f>
        <v/>
      </c>
      <c r="J278" s="10">
        <f>IF(G278="","",ROUNDUP(((G278*Ayarlar!$B$3+Ayarlar!$B$4+Ayarlar!$B$5)+Ayarlar!$B$8)/((1-Ayarlar!$B$6)*(1-Ayarlar!$B$7-Ayarlar!$B$9)),0))</f>
        <v/>
      </c>
      <c r="K278" s="12">
        <f>IF(OR(G278="",F278=""),"",(F278*(1-Ayarlar!$B$6)-(F278*(1-Ayarlar!$B$6)*Ayarlar!$B$7+Ayarlar!$B$8)-(G278*Ayarlar!$B$3+Ayarlar!$B$4+Ayarlar!$B$5))/(F278*(1-Ayarlar!$B$6)))</f>
        <v/>
      </c>
      <c r="L278" s="9">
        <f>IF(G278="","GRAM EKSİK",IF(F278&gt;30000,"FİYAT ŞÜPHELİ",IF(K278&lt;0,"ZARARDA",IF(F278&lt;I278,"RİSKLİ","ok"))))</f>
        <v/>
      </c>
      <c r="M278" s="13" t="inlineStr">
        <is>
          <t>https://www.etsy.com/listing/1862661659</t>
        </is>
      </c>
    </row>
    <row r="279">
      <c r="A279" s="3" t="inlineStr">
        <is>
          <t>chains</t>
        </is>
      </c>
      <c r="B279" s="3" t="inlineStr">
        <is>
          <t>14K Rose Gold Round Box Chain Necklace - Women and Men</t>
        </is>
      </c>
      <c r="C279" s="3" t="n">
        <v>1862661659</v>
      </c>
      <c r="D279" s="3" t="inlineStr">
        <is>
          <t>CRDR1-20</t>
        </is>
      </c>
      <c r="E279" s="3" t="inlineStr">
        <is>
          <t>shipstation</t>
        </is>
      </c>
      <c r="F279" s="14" t="n">
        <v>702</v>
      </c>
      <c r="G279" s="17" t="n">
        <v>2.9</v>
      </c>
      <c r="H279" s="14">
        <f>IF(G279="","",G279*Ayarlar!$B$3+Ayarlar!$B$4+Ayarlar!$B$5)</f>
        <v/>
      </c>
      <c r="I279" s="14">
        <f>IF(G279="","",ROUNDUP(((G279*Ayarlar!$B$3+Ayarlar!$B$4+Ayarlar!$B$5)+Ayarlar!$B$8)/((1-Ayarlar!$B$6)*(1-Ayarlar!$B$7)),0))</f>
        <v/>
      </c>
      <c r="J279" s="14">
        <f>IF(G279="","",ROUNDUP(((G279*Ayarlar!$B$3+Ayarlar!$B$4+Ayarlar!$B$5)+Ayarlar!$B$8)/((1-Ayarlar!$B$6)*(1-Ayarlar!$B$7-Ayarlar!$B$9)),0))</f>
        <v/>
      </c>
      <c r="K279" s="15">
        <f>IF(OR(G279="",F279=""),"",(F279*(1-Ayarlar!$B$6)-(F279*(1-Ayarlar!$B$6)*Ayarlar!$B$7+Ayarlar!$B$8)-(G279*Ayarlar!$B$3+Ayarlar!$B$4+Ayarlar!$B$5))/(F279*(1-Ayarlar!$B$6)))</f>
        <v/>
      </c>
      <c r="L279" s="3">
        <f>IF(G279="","GRAM EKSİK",IF(F279&gt;30000,"FİYAT ŞÜPHELİ",IF(K279&lt;0,"ZARARDA",IF(F279&lt;I279,"RİSKLİ","ok"))))</f>
        <v/>
      </c>
      <c r="M279" s="16" t="inlineStr">
        <is>
          <t>https://www.etsy.com/listing/1862661659</t>
        </is>
      </c>
    </row>
    <row r="280">
      <c r="A280" s="9" t="inlineStr">
        <is>
          <t>chains</t>
        </is>
      </c>
      <c r="B280" s="9" t="inlineStr">
        <is>
          <t>14K Rose Gold Round Box Chain Necklace - Women and Men</t>
        </is>
      </c>
      <c r="C280" s="9" t="n">
        <v>1862661659</v>
      </c>
      <c r="D280" s="9" t="inlineStr">
        <is>
          <t>CRDR1-22</t>
        </is>
      </c>
      <c r="E280" s="9" t="inlineStr">
        <is>
          <t>shipstation</t>
        </is>
      </c>
      <c r="F280" s="10" t="n">
        <v>779</v>
      </c>
      <c r="G280" s="18" t="n">
        <v>3.5</v>
      </c>
      <c r="H280" s="10">
        <f>IF(G280="","",G280*Ayarlar!$B$3+Ayarlar!$B$4+Ayarlar!$B$5)</f>
        <v/>
      </c>
      <c r="I280" s="10">
        <f>IF(G280="","",ROUNDUP(((G280*Ayarlar!$B$3+Ayarlar!$B$4+Ayarlar!$B$5)+Ayarlar!$B$8)/((1-Ayarlar!$B$6)*(1-Ayarlar!$B$7)),0))</f>
        <v/>
      </c>
      <c r="J280" s="10">
        <f>IF(G280="","",ROUNDUP(((G280*Ayarlar!$B$3+Ayarlar!$B$4+Ayarlar!$B$5)+Ayarlar!$B$8)/((1-Ayarlar!$B$6)*(1-Ayarlar!$B$7-Ayarlar!$B$9)),0))</f>
        <v/>
      </c>
      <c r="K280" s="12">
        <f>IF(OR(G280="",F280=""),"",(F280*(1-Ayarlar!$B$6)-(F280*(1-Ayarlar!$B$6)*Ayarlar!$B$7+Ayarlar!$B$8)-(G280*Ayarlar!$B$3+Ayarlar!$B$4+Ayarlar!$B$5))/(F280*(1-Ayarlar!$B$6)))</f>
        <v/>
      </c>
      <c r="L280" s="9">
        <f>IF(G280="","GRAM EKSİK",IF(F280&gt;30000,"FİYAT ŞÜPHELİ",IF(K280&lt;0,"ZARARDA",IF(F280&lt;I280,"RİSKLİ","ok"))))</f>
        <v/>
      </c>
      <c r="M280" s="13" t="inlineStr">
        <is>
          <t>https://www.etsy.com/listing/1862661659</t>
        </is>
      </c>
    </row>
    <row r="281">
      <c r="A281" s="3" t="inlineStr">
        <is>
          <t>chains</t>
        </is>
      </c>
      <c r="B281" s="3" t="inlineStr">
        <is>
          <t>14K Rose Gold Round Box Chain Necklace - Women and Men</t>
        </is>
      </c>
      <c r="C281" s="3" t="n">
        <v>1862661659</v>
      </c>
      <c r="D281" s="3" t="inlineStr">
        <is>
          <t>CRDR1-24</t>
        </is>
      </c>
      <c r="E281" s="3" t="inlineStr">
        <is>
          <t>description</t>
        </is>
      </c>
      <c r="F281" s="14" t="n">
        <v>853</v>
      </c>
      <c r="G281" s="17" t="n">
        <v>3.75</v>
      </c>
      <c r="H281" s="14">
        <f>IF(G281="","",G281*Ayarlar!$B$3+Ayarlar!$B$4+Ayarlar!$B$5)</f>
        <v/>
      </c>
      <c r="I281" s="14">
        <f>IF(G281="","",ROUNDUP(((G281*Ayarlar!$B$3+Ayarlar!$B$4+Ayarlar!$B$5)+Ayarlar!$B$8)/((1-Ayarlar!$B$6)*(1-Ayarlar!$B$7)),0))</f>
        <v/>
      </c>
      <c r="J281" s="14">
        <f>IF(G281="","",ROUNDUP(((G281*Ayarlar!$B$3+Ayarlar!$B$4+Ayarlar!$B$5)+Ayarlar!$B$8)/((1-Ayarlar!$B$6)*(1-Ayarlar!$B$7-Ayarlar!$B$9)),0))</f>
        <v/>
      </c>
      <c r="K281" s="15">
        <f>IF(OR(G281="",F281=""),"",(F281*(1-Ayarlar!$B$6)-(F281*(1-Ayarlar!$B$6)*Ayarlar!$B$7+Ayarlar!$B$8)-(G281*Ayarlar!$B$3+Ayarlar!$B$4+Ayarlar!$B$5))/(F281*(1-Ayarlar!$B$6)))</f>
        <v/>
      </c>
      <c r="L281" s="3">
        <f>IF(G281="","GRAM EKSİK",IF(F281&gt;30000,"FİYAT ŞÜPHELİ",IF(K281&lt;0,"ZARARDA",IF(F281&lt;I281,"RİSKLİ","ok"))))</f>
        <v/>
      </c>
      <c r="M281" s="16" t="inlineStr">
        <is>
          <t>https://www.etsy.com/listing/1862661659</t>
        </is>
      </c>
    </row>
    <row r="282">
      <c r="A282" s="9" t="inlineStr">
        <is>
          <t>chains</t>
        </is>
      </c>
      <c r="B282" s="9" t="inlineStr">
        <is>
          <t>14K Rose Gold Round Box Chain Necklace - Women and Men</t>
        </is>
      </c>
      <c r="C282" s="9" t="n">
        <v>1862661659</v>
      </c>
      <c r="D282" s="9" t="inlineStr">
        <is>
          <t>CRDR2-16</t>
        </is>
      </c>
      <c r="E282" s="9" t="inlineStr">
        <is>
          <t>shipstation</t>
        </is>
      </c>
      <c r="F282" s="10" t="n">
        <v>750</v>
      </c>
      <c r="G282" s="18" t="n">
        <v>3.53</v>
      </c>
      <c r="H282" s="10">
        <f>IF(G282="","",G282*Ayarlar!$B$3+Ayarlar!$B$4+Ayarlar!$B$5)</f>
        <v/>
      </c>
      <c r="I282" s="10">
        <f>IF(G282="","",ROUNDUP(((G282*Ayarlar!$B$3+Ayarlar!$B$4+Ayarlar!$B$5)+Ayarlar!$B$8)/((1-Ayarlar!$B$6)*(1-Ayarlar!$B$7)),0))</f>
        <v/>
      </c>
      <c r="J282" s="10">
        <f>IF(G282="","",ROUNDUP(((G282*Ayarlar!$B$3+Ayarlar!$B$4+Ayarlar!$B$5)+Ayarlar!$B$8)/((1-Ayarlar!$B$6)*(1-Ayarlar!$B$7-Ayarlar!$B$9)),0))</f>
        <v/>
      </c>
      <c r="K282" s="12">
        <f>IF(OR(G282="",F282=""),"",(F282*(1-Ayarlar!$B$6)-(F282*(1-Ayarlar!$B$6)*Ayarlar!$B$7+Ayarlar!$B$8)-(G282*Ayarlar!$B$3+Ayarlar!$B$4+Ayarlar!$B$5))/(F282*(1-Ayarlar!$B$6)))</f>
        <v/>
      </c>
      <c r="L282" s="9">
        <f>IF(G282="","GRAM EKSİK",IF(F282&gt;30000,"FİYAT ŞÜPHELİ",IF(K282&lt;0,"ZARARDA",IF(F282&lt;I282,"RİSKLİ","ok"))))</f>
        <v/>
      </c>
      <c r="M282" s="13" t="inlineStr">
        <is>
          <t>https://www.etsy.com/listing/1862661659</t>
        </is>
      </c>
    </row>
    <row r="283">
      <c r="A283" s="3" t="inlineStr">
        <is>
          <t>chains</t>
        </is>
      </c>
      <c r="B283" s="3" t="inlineStr">
        <is>
          <t>14K Rose Gold Round Box Chain Necklace - Women and Men</t>
        </is>
      </c>
      <c r="C283" s="3" t="n">
        <v>1862661659</v>
      </c>
      <c r="D283" s="3" t="inlineStr">
        <is>
          <t>CRDR2-18</t>
        </is>
      </c>
      <c r="E283" s="3" t="inlineStr">
        <is>
          <t>shipstation</t>
        </is>
      </c>
      <c r="F283" s="14" t="n">
        <v>897</v>
      </c>
      <c r="G283" s="17" t="n">
        <v>3.9</v>
      </c>
      <c r="H283" s="14">
        <f>IF(G283="","",G283*Ayarlar!$B$3+Ayarlar!$B$4+Ayarlar!$B$5)</f>
        <v/>
      </c>
      <c r="I283" s="14">
        <f>IF(G283="","",ROUNDUP(((G283*Ayarlar!$B$3+Ayarlar!$B$4+Ayarlar!$B$5)+Ayarlar!$B$8)/((1-Ayarlar!$B$6)*(1-Ayarlar!$B$7)),0))</f>
        <v/>
      </c>
      <c r="J283" s="14">
        <f>IF(G283="","",ROUNDUP(((G283*Ayarlar!$B$3+Ayarlar!$B$4+Ayarlar!$B$5)+Ayarlar!$B$8)/((1-Ayarlar!$B$6)*(1-Ayarlar!$B$7-Ayarlar!$B$9)),0))</f>
        <v/>
      </c>
      <c r="K283" s="15">
        <f>IF(OR(G283="",F283=""),"",(F283*(1-Ayarlar!$B$6)-(F283*(1-Ayarlar!$B$6)*Ayarlar!$B$7+Ayarlar!$B$8)-(G283*Ayarlar!$B$3+Ayarlar!$B$4+Ayarlar!$B$5))/(F283*(1-Ayarlar!$B$6)))</f>
        <v/>
      </c>
      <c r="L283" s="3">
        <f>IF(G283="","GRAM EKSİK",IF(F283&gt;30000,"FİYAT ŞÜPHELİ",IF(K283&lt;0,"ZARARDA",IF(F283&lt;I283,"RİSKLİ","ok"))))</f>
        <v/>
      </c>
      <c r="M283" s="16" t="inlineStr">
        <is>
          <t>https://www.etsy.com/listing/1862661659</t>
        </is>
      </c>
    </row>
    <row r="284">
      <c r="A284" s="9" t="inlineStr">
        <is>
          <t>chains</t>
        </is>
      </c>
      <c r="B284" s="9" t="inlineStr">
        <is>
          <t>14K Rose Gold Round Box Chain Necklace - Women and Men</t>
        </is>
      </c>
      <c r="C284" s="9" t="n">
        <v>1862661659</v>
      </c>
      <c r="D284" s="9" t="inlineStr">
        <is>
          <t>CRDR2-20</t>
        </is>
      </c>
      <c r="E284" s="9" t="inlineStr">
        <is>
          <t>shipstation</t>
        </is>
      </c>
      <c r="F284" s="10" t="n">
        <v>1046</v>
      </c>
      <c r="G284" s="18" t="n">
        <v>4.52</v>
      </c>
      <c r="H284" s="10">
        <f>IF(G284="","",G284*Ayarlar!$B$3+Ayarlar!$B$4+Ayarlar!$B$5)</f>
        <v/>
      </c>
      <c r="I284" s="10">
        <f>IF(G284="","",ROUNDUP(((G284*Ayarlar!$B$3+Ayarlar!$B$4+Ayarlar!$B$5)+Ayarlar!$B$8)/((1-Ayarlar!$B$6)*(1-Ayarlar!$B$7)),0))</f>
        <v/>
      </c>
      <c r="J284" s="10">
        <f>IF(G284="","",ROUNDUP(((G284*Ayarlar!$B$3+Ayarlar!$B$4+Ayarlar!$B$5)+Ayarlar!$B$8)/((1-Ayarlar!$B$6)*(1-Ayarlar!$B$7-Ayarlar!$B$9)),0))</f>
        <v/>
      </c>
      <c r="K284" s="12">
        <f>IF(OR(G284="",F284=""),"",(F284*(1-Ayarlar!$B$6)-(F284*(1-Ayarlar!$B$6)*Ayarlar!$B$7+Ayarlar!$B$8)-(G284*Ayarlar!$B$3+Ayarlar!$B$4+Ayarlar!$B$5))/(F284*(1-Ayarlar!$B$6)))</f>
        <v/>
      </c>
      <c r="L284" s="9">
        <f>IF(G284="","GRAM EKSİK",IF(F284&gt;30000,"FİYAT ŞÜPHELİ",IF(K284&lt;0,"ZARARDA",IF(F284&lt;I284,"RİSKLİ","ok"))))</f>
        <v/>
      </c>
      <c r="M284" s="13" t="inlineStr">
        <is>
          <t>https://www.etsy.com/listing/1862661659</t>
        </is>
      </c>
    </row>
    <row r="285">
      <c r="A285" s="3" t="inlineStr">
        <is>
          <t>chains</t>
        </is>
      </c>
      <c r="B285" s="3" t="inlineStr">
        <is>
          <t>14K Rose Gold Round Box Chain Necklace - Women and Men</t>
        </is>
      </c>
      <c r="C285" s="3" t="n">
        <v>1862661659</v>
      </c>
      <c r="D285" s="3" t="inlineStr">
        <is>
          <t>CRDR2-22</t>
        </is>
      </c>
      <c r="E285" s="3" t="inlineStr">
        <is>
          <t>shipstation</t>
        </is>
      </c>
      <c r="F285" s="14" t="n">
        <v>1195</v>
      </c>
      <c r="G285" s="17" t="n">
        <v>4.86</v>
      </c>
      <c r="H285" s="14">
        <f>IF(G285="","",G285*Ayarlar!$B$3+Ayarlar!$B$4+Ayarlar!$B$5)</f>
        <v/>
      </c>
      <c r="I285" s="14">
        <f>IF(G285="","",ROUNDUP(((G285*Ayarlar!$B$3+Ayarlar!$B$4+Ayarlar!$B$5)+Ayarlar!$B$8)/((1-Ayarlar!$B$6)*(1-Ayarlar!$B$7)),0))</f>
        <v/>
      </c>
      <c r="J285" s="14">
        <f>IF(G285="","",ROUNDUP(((G285*Ayarlar!$B$3+Ayarlar!$B$4+Ayarlar!$B$5)+Ayarlar!$B$8)/((1-Ayarlar!$B$6)*(1-Ayarlar!$B$7-Ayarlar!$B$9)),0))</f>
        <v/>
      </c>
      <c r="K285" s="15">
        <f>IF(OR(G285="",F285=""),"",(F285*(1-Ayarlar!$B$6)-(F285*(1-Ayarlar!$B$6)*Ayarlar!$B$7+Ayarlar!$B$8)-(G285*Ayarlar!$B$3+Ayarlar!$B$4+Ayarlar!$B$5))/(F285*(1-Ayarlar!$B$6)))</f>
        <v/>
      </c>
      <c r="L285" s="3">
        <f>IF(G285="","GRAM EKSİK",IF(F285&gt;30000,"FİYAT ŞÜPHELİ",IF(K285&lt;0,"ZARARDA",IF(F285&lt;I285,"RİSKLİ","ok"))))</f>
        <v/>
      </c>
      <c r="M285" s="16" t="inlineStr">
        <is>
          <t>https://www.etsy.com/listing/1862661659</t>
        </is>
      </c>
    </row>
    <row r="286">
      <c r="A286" s="9" t="inlineStr">
        <is>
          <t>chains</t>
        </is>
      </c>
      <c r="B286" s="9" t="inlineStr">
        <is>
          <t>14K Rose Gold Round Box Chain Necklace - Women and Men</t>
        </is>
      </c>
      <c r="C286" s="9" t="n">
        <v>1862661659</v>
      </c>
      <c r="D286" s="9" t="inlineStr">
        <is>
          <t>CRDR2-24</t>
        </is>
      </c>
      <c r="E286" s="9" t="inlineStr">
        <is>
          <t>shipstation</t>
        </is>
      </c>
      <c r="F286" s="10" t="n">
        <v>1344</v>
      </c>
      <c r="G286" s="18" t="n">
        <v>5.55</v>
      </c>
      <c r="H286" s="10">
        <f>IF(G286="","",G286*Ayarlar!$B$3+Ayarlar!$B$4+Ayarlar!$B$5)</f>
        <v/>
      </c>
      <c r="I286" s="10">
        <f>IF(G286="","",ROUNDUP(((G286*Ayarlar!$B$3+Ayarlar!$B$4+Ayarlar!$B$5)+Ayarlar!$B$8)/((1-Ayarlar!$B$6)*(1-Ayarlar!$B$7)),0))</f>
        <v/>
      </c>
      <c r="J286" s="10">
        <f>IF(G286="","",ROUNDUP(((G286*Ayarlar!$B$3+Ayarlar!$B$4+Ayarlar!$B$5)+Ayarlar!$B$8)/((1-Ayarlar!$B$6)*(1-Ayarlar!$B$7-Ayarlar!$B$9)),0))</f>
        <v/>
      </c>
      <c r="K286" s="12">
        <f>IF(OR(G286="",F286=""),"",(F286*(1-Ayarlar!$B$6)-(F286*(1-Ayarlar!$B$6)*Ayarlar!$B$7+Ayarlar!$B$8)-(G286*Ayarlar!$B$3+Ayarlar!$B$4+Ayarlar!$B$5))/(F286*(1-Ayarlar!$B$6)))</f>
        <v/>
      </c>
      <c r="L286" s="9">
        <f>IF(G286="","GRAM EKSİK",IF(F286&gt;30000,"FİYAT ŞÜPHELİ",IF(K286&lt;0,"ZARARDA",IF(F286&lt;I286,"RİSKLİ","ok"))))</f>
        <v/>
      </c>
      <c r="M286" s="13" t="inlineStr">
        <is>
          <t>https://www.etsy.com/listing/1862661659</t>
        </is>
      </c>
    </row>
    <row r="287">
      <c r="A287" s="3" t="inlineStr">
        <is>
          <t>chains</t>
        </is>
      </c>
      <c r="B287" s="3" t="inlineStr">
        <is>
          <t>14K Rose Gold Round Box Chain Necklace - Women and Men</t>
        </is>
      </c>
      <c r="C287" s="3" t="n">
        <v>1862661659</v>
      </c>
      <c r="D287" s="3" t="inlineStr">
        <is>
          <t>CRDR3-16</t>
        </is>
      </c>
      <c r="E287" s="3" t="inlineStr">
        <is>
          <t>shipstation</t>
        </is>
      </c>
      <c r="F287" s="14" t="n">
        <v>1416</v>
      </c>
      <c r="G287" s="17" t="n">
        <v>5.33</v>
      </c>
      <c r="H287" s="14">
        <f>IF(G287="","",G287*Ayarlar!$B$3+Ayarlar!$B$4+Ayarlar!$B$5)</f>
        <v/>
      </c>
      <c r="I287" s="14">
        <f>IF(G287="","",ROUNDUP(((G287*Ayarlar!$B$3+Ayarlar!$B$4+Ayarlar!$B$5)+Ayarlar!$B$8)/((1-Ayarlar!$B$6)*(1-Ayarlar!$B$7)),0))</f>
        <v/>
      </c>
      <c r="J287" s="14">
        <f>IF(G287="","",ROUNDUP(((G287*Ayarlar!$B$3+Ayarlar!$B$4+Ayarlar!$B$5)+Ayarlar!$B$8)/((1-Ayarlar!$B$6)*(1-Ayarlar!$B$7-Ayarlar!$B$9)),0))</f>
        <v/>
      </c>
      <c r="K287" s="15">
        <f>IF(OR(G287="",F287=""),"",(F287*(1-Ayarlar!$B$6)-(F287*(1-Ayarlar!$B$6)*Ayarlar!$B$7+Ayarlar!$B$8)-(G287*Ayarlar!$B$3+Ayarlar!$B$4+Ayarlar!$B$5))/(F287*(1-Ayarlar!$B$6)))</f>
        <v/>
      </c>
      <c r="L287" s="3">
        <f>IF(G287="","GRAM EKSİK",IF(F287&gt;30000,"FİYAT ŞÜPHELİ",IF(K287&lt;0,"ZARARDA",IF(F287&lt;I287,"RİSKLİ","ok"))))</f>
        <v/>
      </c>
      <c r="M287" s="16" t="inlineStr">
        <is>
          <t>https://www.etsy.com/listing/1862661659</t>
        </is>
      </c>
    </row>
    <row r="288">
      <c r="A288" s="9" t="inlineStr">
        <is>
          <t>chains</t>
        </is>
      </c>
      <c r="B288" s="9" t="inlineStr">
        <is>
          <t>14K Rose Gold Round Box Chain Necklace - Women and Men</t>
        </is>
      </c>
      <c r="C288" s="9" t="n">
        <v>1862661659</v>
      </c>
      <c r="D288" s="9" t="inlineStr">
        <is>
          <t>CRDR3-18</t>
        </is>
      </c>
      <c r="E288" s="9" t="inlineStr">
        <is>
          <t>shipstation</t>
        </is>
      </c>
      <c r="F288" s="10" t="n">
        <v>1566</v>
      </c>
      <c r="G288" s="18" t="n">
        <v>6</v>
      </c>
      <c r="H288" s="10">
        <f>IF(G288="","",G288*Ayarlar!$B$3+Ayarlar!$B$4+Ayarlar!$B$5)</f>
        <v/>
      </c>
      <c r="I288" s="10">
        <f>IF(G288="","",ROUNDUP(((G288*Ayarlar!$B$3+Ayarlar!$B$4+Ayarlar!$B$5)+Ayarlar!$B$8)/((1-Ayarlar!$B$6)*(1-Ayarlar!$B$7)),0))</f>
        <v/>
      </c>
      <c r="J288" s="10">
        <f>IF(G288="","",ROUNDUP(((G288*Ayarlar!$B$3+Ayarlar!$B$4+Ayarlar!$B$5)+Ayarlar!$B$8)/((1-Ayarlar!$B$6)*(1-Ayarlar!$B$7-Ayarlar!$B$9)),0))</f>
        <v/>
      </c>
      <c r="K288" s="12">
        <f>IF(OR(G288="",F288=""),"",(F288*(1-Ayarlar!$B$6)-(F288*(1-Ayarlar!$B$6)*Ayarlar!$B$7+Ayarlar!$B$8)-(G288*Ayarlar!$B$3+Ayarlar!$B$4+Ayarlar!$B$5))/(F288*(1-Ayarlar!$B$6)))</f>
        <v/>
      </c>
      <c r="L288" s="9">
        <f>IF(G288="","GRAM EKSİK",IF(F288&gt;30000,"FİYAT ŞÜPHELİ",IF(K288&lt;0,"ZARARDA",IF(F288&lt;I288,"RİSKLİ","ok"))))</f>
        <v/>
      </c>
      <c r="M288" s="13" t="inlineStr">
        <is>
          <t>https://www.etsy.com/listing/1862661659</t>
        </is>
      </c>
    </row>
    <row r="289">
      <c r="A289" s="3" t="inlineStr">
        <is>
          <t>chains</t>
        </is>
      </c>
      <c r="B289" s="3" t="inlineStr">
        <is>
          <t>14K Rose Gold Round Box Chain Necklace - Women and Men</t>
        </is>
      </c>
      <c r="C289" s="3" t="n">
        <v>1862661659</v>
      </c>
      <c r="D289" s="3" t="inlineStr">
        <is>
          <t>CRDR3-20</t>
        </is>
      </c>
      <c r="E289" s="3" t="inlineStr">
        <is>
          <t>shipstation</t>
        </is>
      </c>
      <c r="F289" s="14" t="n">
        <v>1723</v>
      </c>
      <c r="G289" s="17" t="n">
        <v>7.8</v>
      </c>
      <c r="H289" s="14">
        <f>IF(G289="","",G289*Ayarlar!$B$3+Ayarlar!$B$4+Ayarlar!$B$5)</f>
        <v/>
      </c>
      <c r="I289" s="14">
        <f>IF(G289="","",ROUNDUP(((G289*Ayarlar!$B$3+Ayarlar!$B$4+Ayarlar!$B$5)+Ayarlar!$B$8)/((1-Ayarlar!$B$6)*(1-Ayarlar!$B$7)),0))</f>
        <v/>
      </c>
      <c r="J289" s="14">
        <f>IF(G289="","",ROUNDUP(((G289*Ayarlar!$B$3+Ayarlar!$B$4+Ayarlar!$B$5)+Ayarlar!$B$8)/((1-Ayarlar!$B$6)*(1-Ayarlar!$B$7-Ayarlar!$B$9)),0))</f>
        <v/>
      </c>
      <c r="K289" s="15">
        <f>IF(OR(G289="",F289=""),"",(F289*(1-Ayarlar!$B$6)-(F289*(1-Ayarlar!$B$6)*Ayarlar!$B$7+Ayarlar!$B$8)-(G289*Ayarlar!$B$3+Ayarlar!$B$4+Ayarlar!$B$5))/(F289*(1-Ayarlar!$B$6)))</f>
        <v/>
      </c>
      <c r="L289" s="3">
        <f>IF(G289="","GRAM EKSİK",IF(F289&gt;30000,"FİYAT ŞÜPHELİ",IF(K289&lt;0,"ZARARDA",IF(F289&lt;I289,"RİSKLİ","ok"))))</f>
        <v/>
      </c>
      <c r="M289" s="16" t="inlineStr">
        <is>
          <t>https://www.etsy.com/listing/1862661659</t>
        </is>
      </c>
    </row>
    <row r="290">
      <c r="A290" s="9" t="inlineStr">
        <is>
          <t>chains</t>
        </is>
      </c>
      <c r="B290" s="9" t="inlineStr">
        <is>
          <t>14K Rose Gold Round Box Chain Necklace - Women and Men</t>
        </is>
      </c>
      <c r="C290" s="9" t="n">
        <v>1862661659</v>
      </c>
      <c r="D290" s="9" t="inlineStr">
        <is>
          <t>CRDR3-22</t>
        </is>
      </c>
      <c r="E290" s="9" t="inlineStr">
        <is>
          <t>description</t>
        </is>
      </c>
      <c r="F290" s="10" t="n">
        <v>1873</v>
      </c>
      <c r="G290" s="18" t="n">
        <v>8.58</v>
      </c>
      <c r="H290" s="10">
        <f>IF(G290="","",G290*Ayarlar!$B$3+Ayarlar!$B$4+Ayarlar!$B$5)</f>
        <v/>
      </c>
      <c r="I290" s="10">
        <f>IF(G290="","",ROUNDUP(((G290*Ayarlar!$B$3+Ayarlar!$B$4+Ayarlar!$B$5)+Ayarlar!$B$8)/((1-Ayarlar!$B$6)*(1-Ayarlar!$B$7)),0))</f>
        <v/>
      </c>
      <c r="J290" s="10">
        <f>IF(G290="","",ROUNDUP(((G290*Ayarlar!$B$3+Ayarlar!$B$4+Ayarlar!$B$5)+Ayarlar!$B$8)/((1-Ayarlar!$B$6)*(1-Ayarlar!$B$7-Ayarlar!$B$9)),0))</f>
        <v/>
      </c>
      <c r="K290" s="12">
        <f>IF(OR(G290="",F290=""),"",(F290*(1-Ayarlar!$B$6)-(F290*(1-Ayarlar!$B$6)*Ayarlar!$B$7+Ayarlar!$B$8)-(G290*Ayarlar!$B$3+Ayarlar!$B$4+Ayarlar!$B$5))/(F290*(1-Ayarlar!$B$6)))</f>
        <v/>
      </c>
      <c r="L290" s="9">
        <f>IF(G290="","GRAM EKSİK",IF(F290&gt;30000,"FİYAT ŞÜPHELİ",IF(K290&lt;0,"ZARARDA",IF(F290&lt;I290,"RİSKLİ","ok"))))</f>
        <v/>
      </c>
      <c r="M290" s="13" t="inlineStr">
        <is>
          <t>https://www.etsy.com/listing/1862661659</t>
        </is>
      </c>
    </row>
    <row r="291">
      <c r="A291" s="3" t="inlineStr">
        <is>
          <t>chains</t>
        </is>
      </c>
      <c r="B291" s="3" t="inlineStr">
        <is>
          <t>14K Rose Gold Round Box Chain Necklace - Women and Men</t>
        </is>
      </c>
      <c r="C291" s="3" t="n">
        <v>1862661659</v>
      </c>
      <c r="D291" s="3" t="inlineStr">
        <is>
          <t>CRDR3-24</t>
        </is>
      </c>
      <c r="E291" s="3" t="inlineStr">
        <is>
          <t>shipstation</t>
        </is>
      </c>
      <c r="F291" s="14" t="n">
        <v>2022</v>
      </c>
      <c r="G291" s="17" t="n">
        <v>9.199999999999999</v>
      </c>
      <c r="H291" s="14">
        <f>IF(G291="","",G291*Ayarlar!$B$3+Ayarlar!$B$4+Ayarlar!$B$5)</f>
        <v/>
      </c>
      <c r="I291" s="14">
        <f>IF(G291="","",ROUNDUP(((G291*Ayarlar!$B$3+Ayarlar!$B$4+Ayarlar!$B$5)+Ayarlar!$B$8)/((1-Ayarlar!$B$6)*(1-Ayarlar!$B$7)),0))</f>
        <v/>
      </c>
      <c r="J291" s="14">
        <f>IF(G291="","",ROUNDUP(((G291*Ayarlar!$B$3+Ayarlar!$B$4+Ayarlar!$B$5)+Ayarlar!$B$8)/((1-Ayarlar!$B$6)*(1-Ayarlar!$B$7-Ayarlar!$B$9)),0))</f>
        <v/>
      </c>
      <c r="K291" s="15">
        <f>IF(OR(G291="",F291=""),"",(F291*(1-Ayarlar!$B$6)-(F291*(1-Ayarlar!$B$6)*Ayarlar!$B$7+Ayarlar!$B$8)-(G291*Ayarlar!$B$3+Ayarlar!$B$4+Ayarlar!$B$5))/(F291*(1-Ayarlar!$B$6)))</f>
        <v/>
      </c>
      <c r="L291" s="3">
        <f>IF(G291="","GRAM EKSİK",IF(F291&gt;30000,"FİYAT ŞÜPHELİ",IF(K291&lt;0,"ZARARDA",IF(F291&lt;I291,"RİSKLİ","ok"))))</f>
        <v/>
      </c>
      <c r="M291" s="16" t="inlineStr">
        <is>
          <t>https://www.etsy.com/listing/1862661659</t>
        </is>
      </c>
    </row>
    <row r="292">
      <c r="A292" s="9" t="inlineStr">
        <is>
          <t>chains</t>
        </is>
      </c>
      <c r="B292" s="9" t="inlineStr">
        <is>
          <t>14K Rose Gold Round Box Chain Necklace - Women and Men</t>
        </is>
      </c>
      <c r="C292" s="9" t="n">
        <v>1862661659</v>
      </c>
      <c r="D292" s="9" t="inlineStr">
        <is>
          <t>CRDR4-16</t>
        </is>
      </c>
      <c r="E292" s="9" t="inlineStr">
        <is>
          <t>description</t>
        </is>
      </c>
      <c r="F292" s="10" t="n">
        <v>2545</v>
      </c>
      <c r="G292" s="18" t="n">
        <v>11.31</v>
      </c>
      <c r="H292" s="10">
        <f>IF(G292="","",G292*Ayarlar!$B$3+Ayarlar!$B$4+Ayarlar!$B$5)</f>
        <v/>
      </c>
      <c r="I292" s="10">
        <f>IF(G292="","",ROUNDUP(((G292*Ayarlar!$B$3+Ayarlar!$B$4+Ayarlar!$B$5)+Ayarlar!$B$8)/((1-Ayarlar!$B$6)*(1-Ayarlar!$B$7)),0))</f>
        <v/>
      </c>
      <c r="J292" s="10">
        <f>IF(G292="","",ROUNDUP(((G292*Ayarlar!$B$3+Ayarlar!$B$4+Ayarlar!$B$5)+Ayarlar!$B$8)/((1-Ayarlar!$B$6)*(1-Ayarlar!$B$7-Ayarlar!$B$9)),0))</f>
        <v/>
      </c>
      <c r="K292" s="12">
        <f>IF(OR(G292="",F292=""),"",(F292*(1-Ayarlar!$B$6)-(F292*(1-Ayarlar!$B$6)*Ayarlar!$B$7+Ayarlar!$B$8)-(G292*Ayarlar!$B$3+Ayarlar!$B$4+Ayarlar!$B$5))/(F292*(1-Ayarlar!$B$6)))</f>
        <v/>
      </c>
      <c r="L292" s="9">
        <f>IF(G292="","GRAM EKSİK",IF(F292&gt;30000,"FİYAT ŞÜPHELİ",IF(K292&lt;0,"ZARARDA",IF(F292&lt;I292,"RİSKLİ","ok"))))</f>
        <v/>
      </c>
      <c r="M292" s="13" t="inlineStr">
        <is>
          <t>https://www.etsy.com/listing/1862661659</t>
        </is>
      </c>
    </row>
    <row r="293">
      <c r="A293" s="3" t="inlineStr">
        <is>
          <t>chains</t>
        </is>
      </c>
      <c r="B293" s="3" t="inlineStr">
        <is>
          <t>14K Rose Gold Round Box Chain Necklace - Women and Men</t>
        </is>
      </c>
      <c r="C293" s="3" t="n">
        <v>1862661659</v>
      </c>
      <c r="D293" s="3" t="inlineStr">
        <is>
          <t>CRDR4-18</t>
        </is>
      </c>
      <c r="E293" s="3" t="inlineStr">
        <is>
          <t>description</t>
        </is>
      </c>
      <c r="F293" s="14" t="n">
        <v>2844</v>
      </c>
      <c r="G293" s="17" t="n">
        <v>12.72</v>
      </c>
      <c r="H293" s="14">
        <f>IF(G293="","",G293*Ayarlar!$B$3+Ayarlar!$B$4+Ayarlar!$B$5)</f>
        <v/>
      </c>
      <c r="I293" s="14">
        <f>IF(G293="","",ROUNDUP(((G293*Ayarlar!$B$3+Ayarlar!$B$4+Ayarlar!$B$5)+Ayarlar!$B$8)/((1-Ayarlar!$B$6)*(1-Ayarlar!$B$7)),0))</f>
        <v/>
      </c>
      <c r="J293" s="14">
        <f>IF(G293="","",ROUNDUP(((G293*Ayarlar!$B$3+Ayarlar!$B$4+Ayarlar!$B$5)+Ayarlar!$B$8)/((1-Ayarlar!$B$6)*(1-Ayarlar!$B$7-Ayarlar!$B$9)),0))</f>
        <v/>
      </c>
      <c r="K293" s="15">
        <f>IF(OR(G293="",F293=""),"",(F293*(1-Ayarlar!$B$6)-(F293*(1-Ayarlar!$B$6)*Ayarlar!$B$7+Ayarlar!$B$8)-(G293*Ayarlar!$B$3+Ayarlar!$B$4+Ayarlar!$B$5))/(F293*(1-Ayarlar!$B$6)))</f>
        <v/>
      </c>
      <c r="L293" s="3">
        <f>IF(G293="","GRAM EKSİK",IF(F293&gt;30000,"FİYAT ŞÜPHELİ",IF(K293&lt;0,"ZARARDA",IF(F293&lt;I293,"RİSKLİ","ok"))))</f>
        <v/>
      </c>
      <c r="M293" s="16" t="inlineStr">
        <is>
          <t>https://www.etsy.com/listing/1862661659</t>
        </is>
      </c>
    </row>
    <row r="294">
      <c r="A294" s="9" t="inlineStr">
        <is>
          <t>chains</t>
        </is>
      </c>
      <c r="B294" s="9" t="inlineStr">
        <is>
          <t>14K Rose Gold Round Box Chain Necklace - Women and Men</t>
        </is>
      </c>
      <c r="C294" s="9" t="n">
        <v>1862661659</v>
      </c>
      <c r="D294" s="9" t="inlineStr">
        <is>
          <t>CRDR4-20</t>
        </is>
      </c>
      <c r="E294" s="9" t="inlineStr">
        <is>
          <t>description</t>
        </is>
      </c>
      <c r="F294" s="10" t="n">
        <v>3144</v>
      </c>
      <c r="G294" s="18" t="n">
        <v>14.14</v>
      </c>
      <c r="H294" s="10">
        <f>IF(G294="","",G294*Ayarlar!$B$3+Ayarlar!$B$4+Ayarlar!$B$5)</f>
        <v/>
      </c>
      <c r="I294" s="10">
        <f>IF(G294="","",ROUNDUP(((G294*Ayarlar!$B$3+Ayarlar!$B$4+Ayarlar!$B$5)+Ayarlar!$B$8)/((1-Ayarlar!$B$6)*(1-Ayarlar!$B$7)),0))</f>
        <v/>
      </c>
      <c r="J294" s="10">
        <f>IF(G294="","",ROUNDUP(((G294*Ayarlar!$B$3+Ayarlar!$B$4+Ayarlar!$B$5)+Ayarlar!$B$8)/((1-Ayarlar!$B$6)*(1-Ayarlar!$B$7-Ayarlar!$B$9)),0))</f>
        <v/>
      </c>
      <c r="K294" s="12">
        <f>IF(OR(G294="",F294=""),"",(F294*(1-Ayarlar!$B$6)-(F294*(1-Ayarlar!$B$6)*Ayarlar!$B$7+Ayarlar!$B$8)-(G294*Ayarlar!$B$3+Ayarlar!$B$4+Ayarlar!$B$5))/(F294*(1-Ayarlar!$B$6)))</f>
        <v/>
      </c>
      <c r="L294" s="9">
        <f>IF(G294="","GRAM EKSİK",IF(F294&gt;30000,"FİYAT ŞÜPHELİ",IF(K294&lt;0,"ZARARDA",IF(F294&lt;I294,"RİSKLİ","ok"))))</f>
        <v/>
      </c>
      <c r="M294" s="13" t="inlineStr">
        <is>
          <t>https://www.etsy.com/listing/1862661659</t>
        </is>
      </c>
    </row>
    <row r="295">
      <c r="A295" s="3" t="inlineStr">
        <is>
          <t>chains</t>
        </is>
      </c>
      <c r="B295" s="3" t="inlineStr">
        <is>
          <t>14K Rose Gold Round Box Chain Necklace - Women and Men</t>
        </is>
      </c>
      <c r="C295" s="3" t="n">
        <v>1862661659</v>
      </c>
      <c r="D295" s="3" t="inlineStr">
        <is>
          <t>CRDR4-22</t>
        </is>
      </c>
      <c r="E295" s="3" t="inlineStr">
        <is>
          <t>shipstation</t>
        </is>
      </c>
      <c r="F295" s="14" t="n">
        <v>3441</v>
      </c>
      <c r="G295" s="17" t="n">
        <v>14.9</v>
      </c>
      <c r="H295" s="14">
        <f>IF(G295="","",G295*Ayarlar!$B$3+Ayarlar!$B$4+Ayarlar!$B$5)</f>
        <v/>
      </c>
      <c r="I295" s="14">
        <f>IF(G295="","",ROUNDUP(((G295*Ayarlar!$B$3+Ayarlar!$B$4+Ayarlar!$B$5)+Ayarlar!$B$8)/((1-Ayarlar!$B$6)*(1-Ayarlar!$B$7)),0))</f>
        <v/>
      </c>
      <c r="J295" s="14">
        <f>IF(G295="","",ROUNDUP(((G295*Ayarlar!$B$3+Ayarlar!$B$4+Ayarlar!$B$5)+Ayarlar!$B$8)/((1-Ayarlar!$B$6)*(1-Ayarlar!$B$7-Ayarlar!$B$9)),0))</f>
        <v/>
      </c>
      <c r="K295" s="15">
        <f>IF(OR(G295="",F295=""),"",(F295*(1-Ayarlar!$B$6)-(F295*(1-Ayarlar!$B$6)*Ayarlar!$B$7+Ayarlar!$B$8)-(G295*Ayarlar!$B$3+Ayarlar!$B$4+Ayarlar!$B$5))/(F295*(1-Ayarlar!$B$6)))</f>
        <v/>
      </c>
      <c r="L295" s="3">
        <f>IF(G295="","GRAM EKSİK",IF(F295&gt;30000,"FİYAT ŞÜPHELİ",IF(K295&lt;0,"ZARARDA",IF(F295&lt;I295,"RİSKLİ","ok"))))</f>
        <v/>
      </c>
      <c r="M295" s="16" t="inlineStr">
        <is>
          <t>https://www.etsy.com/listing/1862661659</t>
        </is>
      </c>
    </row>
    <row r="296">
      <c r="A296" s="9" t="inlineStr">
        <is>
          <t>chains</t>
        </is>
      </c>
      <c r="B296" s="9" t="inlineStr">
        <is>
          <t>14K Rose Gold Round Box Chain Necklace - Women and Men</t>
        </is>
      </c>
      <c r="C296" s="9" t="n">
        <v>1862661659</v>
      </c>
      <c r="D296" s="9" t="inlineStr">
        <is>
          <t>CRDR4-24</t>
        </is>
      </c>
      <c r="E296" s="9" t="inlineStr">
        <is>
          <t>shipstation</t>
        </is>
      </c>
      <c r="F296" s="10" t="n">
        <v>3744</v>
      </c>
      <c r="G296" s="18" t="n">
        <v>17</v>
      </c>
      <c r="H296" s="10">
        <f>IF(G296="","",G296*Ayarlar!$B$3+Ayarlar!$B$4+Ayarlar!$B$5)</f>
        <v/>
      </c>
      <c r="I296" s="10">
        <f>IF(G296="","",ROUNDUP(((G296*Ayarlar!$B$3+Ayarlar!$B$4+Ayarlar!$B$5)+Ayarlar!$B$8)/((1-Ayarlar!$B$6)*(1-Ayarlar!$B$7)),0))</f>
        <v/>
      </c>
      <c r="J296" s="10">
        <f>IF(G296="","",ROUNDUP(((G296*Ayarlar!$B$3+Ayarlar!$B$4+Ayarlar!$B$5)+Ayarlar!$B$8)/((1-Ayarlar!$B$6)*(1-Ayarlar!$B$7-Ayarlar!$B$9)),0))</f>
        <v/>
      </c>
      <c r="K296" s="12">
        <f>IF(OR(G296="",F296=""),"",(F296*(1-Ayarlar!$B$6)-(F296*(1-Ayarlar!$B$6)*Ayarlar!$B$7+Ayarlar!$B$8)-(G296*Ayarlar!$B$3+Ayarlar!$B$4+Ayarlar!$B$5))/(F296*(1-Ayarlar!$B$6)))</f>
        <v/>
      </c>
      <c r="L296" s="9">
        <f>IF(G296="","GRAM EKSİK",IF(F296&gt;30000,"FİYAT ŞÜPHELİ",IF(K296&lt;0,"ZARARDA",IF(F296&lt;I296,"RİSKLİ","ok"))))</f>
        <v/>
      </c>
      <c r="M296" s="13" t="inlineStr">
        <is>
          <t>https://www.etsy.com/listing/1862661659</t>
        </is>
      </c>
    </row>
    <row r="297">
      <c r="A297" s="3" t="inlineStr">
        <is>
          <t>chains</t>
        </is>
      </c>
      <c r="B297" s="3" t="inlineStr">
        <is>
          <t>14K Rose Gold Round Box Chain Necklace - Women and Men</t>
        </is>
      </c>
      <c r="C297" s="3" t="n">
        <v>1862661659</v>
      </c>
      <c r="D297" s="3" t="inlineStr">
        <is>
          <t>CRDR5-16</t>
        </is>
      </c>
      <c r="E297" s="3" t="inlineStr">
        <is>
          <t>description</t>
        </is>
      </c>
      <c r="F297" s="14" t="n">
        <v>2999</v>
      </c>
      <c r="G297" s="17" t="n">
        <v>14.07</v>
      </c>
      <c r="H297" s="14">
        <f>IF(G297="","",G297*Ayarlar!$B$3+Ayarlar!$B$4+Ayarlar!$B$5)</f>
        <v/>
      </c>
      <c r="I297" s="14">
        <f>IF(G297="","",ROUNDUP(((G297*Ayarlar!$B$3+Ayarlar!$B$4+Ayarlar!$B$5)+Ayarlar!$B$8)/((1-Ayarlar!$B$6)*(1-Ayarlar!$B$7)),0))</f>
        <v/>
      </c>
      <c r="J297" s="14">
        <f>IF(G297="","",ROUNDUP(((G297*Ayarlar!$B$3+Ayarlar!$B$4+Ayarlar!$B$5)+Ayarlar!$B$8)/((1-Ayarlar!$B$6)*(1-Ayarlar!$B$7-Ayarlar!$B$9)),0))</f>
        <v/>
      </c>
      <c r="K297" s="15">
        <f>IF(OR(G297="",F297=""),"",(F297*(1-Ayarlar!$B$6)-(F297*(1-Ayarlar!$B$6)*Ayarlar!$B$7+Ayarlar!$B$8)-(G297*Ayarlar!$B$3+Ayarlar!$B$4+Ayarlar!$B$5))/(F297*(1-Ayarlar!$B$6)))</f>
        <v/>
      </c>
      <c r="L297" s="3">
        <f>IF(G297="","GRAM EKSİK",IF(F297&gt;30000,"FİYAT ŞÜPHELİ",IF(K297&lt;0,"ZARARDA",IF(F297&lt;I297,"RİSKLİ","ok"))))</f>
        <v/>
      </c>
      <c r="M297" s="16" t="inlineStr">
        <is>
          <t>https://www.etsy.com/listing/1862661659</t>
        </is>
      </c>
    </row>
    <row r="298">
      <c r="A298" s="9" t="inlineStr">
        <is>
          <t>chains</t>
        </is>
      </c>
      <c r="B298" s="9" t="inlineStr">
        <is>
          <t>14K Rose Gold Round Box Chain Necklace - Women and Men</t>
        </is>
      </c>
      <c r="C298" s="9" t="n">
        <v>1862661659</v>
      </c>
      <c r="D298" s="9" t="inlineStr">
        <is>
          <t>CRDR5-18</t>
        </is>
      </c>
      <c r="E298" s="9" t="inlineStr">
        <is>
          <t>description</t>
        </is>
      </c>
      <c r="F298" s="10" t="n">
        <v>3374</v>
      </c>
      <c r="G298" s="18" t="n">
        <v>15.83</v>
      </c>
      <c r="H298" s="10">
        <f>IF(G298="","",G298*Ayarlar!$B$3+Ayarlar!$B$4+Ayarlar!$B$5)</f>
        <v/>
      </c>
      <c r="I298" s="10">
        <f>IF(G298="","",ROUNDUP(((G298*Ayarlar!$B$3+Ayarlar!$B$4+Ayarlar!$B$5)+Ayarlar!$B$8)/((1-Ayarlar!$B$6)*(1-Ayarlar!$B$7)),0))</f>
        <v/>
      </c>
      <c r="J298" s="10">
        <f>IF(G298="","",ROUNDUP(((G298*Ayarlar!$B$3+Ayarlar!$B$4+Ayarlar!$B$5)+Ayarlar!$B$8)/((1-Ayarlar!$B$6)*(1-Ayarlar!$B$7-Ayarlar!$B$9)),0))</f>
        <v/>
      </c>
      <c r="K298" s="12">
        <f>IF(OR(G298="",F298=""),"",(F298*(1-Ayarlar!$B$6)-(F298*(1-Ayarlar!$B$6)*Ayarlar!$B$7+Ayarlar!$B$8)-(G298*Ayarlar!$B$3+Ayarlar!$B$4+Ayarlar!$B$5))/(F298*(1-Ayarlar!$B$6)))</f>
        <v/>
      </c>
      <c r="L298" s="9">
        <f>IF(G298="","GRAM EKSİK",IF(F298&gt;30000,"FİYAT ŞÜPHELİ",IF(K298&lt;0,"ZARARDA",IF(F298&lt;I298,"RİSKLİ","ok"))))</f>
        <v/>
      </c>
      <c r="M298" s="13" t="inlineStr">
        <is>
          <t>https://www.etsy.com/listing/1862661659</t>
        </is>
      </c>
    </row>
    <row r="299">
      <c r="A299" s="3" t="inlineStr">
        <is>
          <t>chains</t>
        </is>
      </c>
      <c r="B299" s="3" t="inlineStr">
        <is>
          <t>14K Rose Gold Round Box Chain Necklace - Women and Men</t>
        </is>
      </c>
      <c r="C299" s="3" t="n">
        <v>1862661659</v>
      </c>
      <c r="D299" s="3" t="inlineStr">
        <is>
          <t>CRDR5-20</t>
        </is>
      </c>
      <c r="E299" s="3" t="inlineStr">
        <is>
          <t>description</t>
        </is>
      </c>
      <c r="F299" s="14" t="n">
        <v>3748</v>
      </c>
      <c r="G299" s="17" t="n">
        <v>17.58</v>
      </c>
      <c r="H299" s="14">
        <f>IF(G299="","",G299*Ayarlar!$B$3+Ayarlar!$B$4+Ayarlar!$B$5)</f>
        <v/>
      </c>
      <c r="I299" s="14">
        <f>IF(G299="","",ROUNDUP(((G299*Ayarlar!$B$3+Ayarlar!$B$4+Ayarlar!$B$5)+Ayarlar!$B$8)/((1-Ayarlar!$B$6)*(1-Ayarlar!$B$7)),0))</f>
        <v/>
      </c>
      <c r="J299" s="14">
        <f>IF(G299="","",ROUNDUP(((G299*Ayarlar!$B$3+Ayarlar!$B$4+Ayarlar!$B$5)+Ayarlar!$B$8)/((1-Ayarlar!$B$6)*(1-Ayarlar!$B$7-Ayarlar!$B$9)),0))</f>
        <v/>
      </c>
      <c r="K299" s="15">
        <f>IF(OR(G299="",F299=""),"",(F299*(1-Ayarlar!$B$6)-(F299*(1-Ayarlar!$B$6)*Ayarlar!$B$7+Ayarlar!$B$8)-(G299*Ayarlar!$B$3+Ayarlar!$B$4+Ayarlar!$B$5))/(F299*(1-Ayarlar!$B$6)))</f>
        <v/>
      </c>
      <c r="L299" s="3">
        <f>IF(G299="","GRAM EKSİK",IF(F299&gt;30000,"FİYAT ŞÜPHELİ",IF(K299&lt;0,"ZARARDA",IF(F299&lt;I299,"RİSKLİ","ok"))))</f>
        <v/>
      </c>
      <c r="M299" s="16" t="inlineStr">
        <is>
          <t>https://www.etsy.com/listing/1862661659</t>
        </is>
      </c>
    </row>
    <row r="300">
      <c r="A300" s="9" t="inlineStr">
        <is>
          <t>chains</t>
        </is>
      </c>
      <c r="B300" s="9" t="inlineStr">
        <is>
          <t>14K Rose Gold Round Box Chain Necklace - Women and Men</t>
        </is>
      </c>
      <c r="C300" s="9" t="n">
        <v>1862661659</v>
      </c>
      <c r="D300" s="9" t="inlineStr">
        <is>
          <t>CRDR5-22</t>
        </is>
      </c>
      <c r="E300" s="9" t="inlineStr">
        <is>
          <t>description</t>
        </is>
      </c>
      <c r="F300" s="10" t="n">
        <v>4123</v>
      </c>
      <c r="G300" s="18" t="n">
        <v>19.34</v>
      </c>
      <c r="H300" s="10">
        <f>IF(G300="","",G300*Ayarlar!$B$3+Ayarlar!$B$4+Ayarlar!$B$5)</f>
        <v/>
      </c>
      <c r="I300" s="10">
        <f>IF(G300="","",ROUNDUP(((G300*Ayarlar!$B$3+Ayarlar!$B$4+Ayarlar!$B$5)+Ayarlar!$B$8)/((1-Ayarlar!$B$6)*(1-Ayarlar!$B$7)),0))</f>
        <v/>
      </c>
      <c r="J300" s="10">
        <f>IF(G300="","",ROUNDUP(((G300*Ayarlar!$B$3+Ayarlar!$B$4+Ayarlar!$B$5)+Ayarlar!$B$8)/((1-Ayarlar!$B$6)*(1-Ayarlar!$B$7-Ayarlar!$B$9)),0))</f>
        <v/>
      </c>
      <c r="K300" s="12">
        <f>IF(OR(G300="",F300=""),"",(F300*(1-Ayarlar!$B$6)-(F300*(1-Ayarlar!$B$6)*Ayarlar!$B$7+Ayarlar!$B$8)-(G300*Ayarlar!$B$3+Ayarlar!$B$4+Ayarlar!$B$5))/(F300*(1-Ayarlar!$B$6)))</f>
        <v/>
      </c>
      <c r="L300" s="9">
        <f>IF(G300="","GRAM EKSİK",IF(F300&gt;30000,"FİYAT ŞÜPHELİ",IF(K300&lt;0,"ZARARDA",IF(F300&lt;I300,"RİSKLİ","ok"))))</f>
        <v/>
      </c>
      <c r="M300" s="13" t="inlineStr">
        <is>
          <t>https://www.etsy.com/listing/1862661659</t>
        </is>
      </c>
    </row>
    <row r="301">
      <c r="A301" s="3" t="inlineStr">
        <is>
          <t>chains</t>
        </is>
      </c>
      <c r="B301" s="3" t="inlineStr">
        <is>
          <t>14K Rose Gold Round Box Chain Necklace - Women and Men</t>
        </is>
      </c>
      <c r="C301" s="3" t="n">
        <v>1862661659</v>
      </c>
      <c r="D301" s="3" t="inlineStr">
        <is>
          <t>CRDR5-24</t>
        </is>
      </c>
      <c r="E301" s="3" t="inlineStr">
        <is>
          <t>description</t>
        </is>
      </c>
      <c r="F301" s="14" t="n">
        <v>4498</v>
      </c>
      <c r="G301" s="17" t="n">
        <v>21.1</v>
      </c>
      <c r="H301" s="14">
        <f>IF(G301="","",G301*Ayarlar!$B$3+Ayarlar!$B$4+Ayarlar!$B$5)</f>
        <v/>
      </c>
      <c r="I301" s="14">
        <f>IF(G301="","",ROUNDUP(((G301*Ayarlar!$B$3+Ayarlar!$B$4+Ayarlar!$B$5)+Ayarlar!$B$8)/((1-Ayarlar!$B$6)*(1-Ayarlar!$B$7)),0))</f>
        <v/>
      </c>
      <c r="J301" s="14">
        <f>IF(G301="","",ROUNDUP(((G301*Ayarlar!$B$3+Ayarlar!$B$4+Ayarlar!$B$5)+Ayarlar!$B$8)/((1-Ayarlar!$B$6)*(1-Ayarlar!$B$7-Ayarlar!$B$9)),0))</f>
        <v/>
      </c>
      <c r="K301" s="15">
        <f>IF(OR(G301="",F301=""),"",(F301*(1-Ayarlar!$B$6)-(F301*(1-Ayarlar!$B$6)*Ayarlar!$B$7+Ayarlar!$B$8)-(G301*Ayarlar!$B$3+Ayarlar!$B$4+Ayarlar!$B$5))/(F301*(1-Ayarlar!$B$6)))</f>
        <v/>
      </c>
      <c r="L301" s="3">
        <f>IF(G301="","GRAM EKSİK",IF(F301&gt;30000,"FİYAT ŞÜPHELİ",IF(K301&lt;0,"ZARARDA",IF(F301&lt;I301,"RİSKLİ","ok"))))</f>
        <v/>
      </c>
      <c r="M301" s="16" t="inlineStr">
        <is>
          <t>https://www.etsy.com/listing/1862661659</t>
        </is>
      </c>
    </row>
    <row r="302">
      <c r="A302" s="9" t="inlineStr">
        <is>
          <t>chains</t>
        </is>
      </c>
      <c r="B302" s="9" t="inlineStr">
        <is>
          <t>14K Rose Gold Round Box Chain Necklace - Women and Men</t>
        </is>
      </c>
      <c r="C302" s="9" t="n">
        <v>1862661659</v>
      </c>
      <c r="D302" s="9" t="inlineStr">
        <is>
          <t>CRDR6-16</t>
        </is>
      </c>
      <c r="E302" s="9" t="inlineStr">
        <is>
          <t>description</t>
        </is>
      </c>
      <c r="F302" s="10" t="n">
        <v>3374</v>
      </c>
      <c r="G302" s="18" t="n">
        <v>15.93</v>
      </c>
      <c r="H302" s="10">
        <f>IF(G302="","",G302*Ayarlar!$B$3+Ayarlar!$B$4+Ayarlar!$B$5)</f>
        <v/>
      </c>
      <c r="I302" s="10">
        <f>IF(G302="","",ROUNDUP(((G302*Ayarlar!$B$3+Ayarlar!$B$4+Ayarlar!$B$5)+Ayarlar!$B$8)/((1-Ayarlar!$B$6)*(1-Ayarlar!$B$7)),0))</f>
        <v/>
      </c>
      <c r="J302" s="10">
        <f>IF(G302="","",ROUNDUP(((G302*Ayarlar!$B$3+Ayarlar!$B$4+Ayarlar!$B$5)+Ayarlar!$B$8)/((1-Ayarlar!$B$6)*(1-Ayarlar!$B$7-Ayarlar!$B$9)),0))</f>
        <v/>
      </c>
      <c r="K302" s="12">
        <f>IF(OR(G302="",F302=""),"",(F302*(1-Ayarlar!$B$6)-(F302*(1-Ayarlar!$B$6)*Ayarlar!$B$7+Ayarlar!$B$8)-(G302*Ayarlar!$B$3+Ayarlar!$B$4+Ayarlar!$B$5))/(F302*(1-Ayarlar!$B$6)))</f>
        <v/>
      </c>
      <c r="L302" s="9">
        <f>IF(G302="","GRAM EKSİK",IF(F302&gt;30000,"FİYAT ŞÜPHELİ",IF(K302&lt;0,"ZARARDA",IF(F302&lt;I302,"RİSKLİ","ok"))))</f>
        <v/>
      </c>
      <c r="M302" s="13" t="inlineStr">
        <is>
          <t>https://www.etsy.com/listing/1862661659</t>
        </is>
      </c>
    </row>
    <row r="303">
      <c r="A303" s="3" t="inlineStr">
        <is>
          <t>chains</t>
        </is>
      </c>
      <c r="B303" s="3" t="inlineStr">
        <is>
          <t>14K Rose Gold Round Box Chain Necklace - Women and Men</t>
        </is>
      </c>
      <c r="C303" s="3" t="n">
        <v>1862661659</v>
      </c>
      <c r="D303" s="3" t="inlineStr">
        <is>
          <t>CRDR6-18</t>
        </is>
      </c>
      <c r="E303" s="3" t="inlineStr">
        <is>
          <t>description</t>
        </is>
      </c>
      <c r="F303" s="14" t="n">
        <v>3787</v>
      </c>
      <c r="G303" s="17" t="n">
        <v>17.92</v>
      </c>
      <c r="H303" s="14">
        <f>IF(G303="","",G303*Ayarlar!$B$3+Ayarlar!$B$4+Ayarlar!$B$5)</f>
        <v/>
      </c>
      <c r="I303" s="14">
        <f>IF(G303="","",ROUNDUP(((G303*Ayarlar!$B$3+Ayarlar!$B$4+Ayarlar!$B$5)+Ayarlar!$B$8)/((1-Ayarlar!$B$6)*(1-Ayarlar!$B$7)),0))</f>
        <v/>
      </c>
      <c r="J303" s="14">
        <f>IF(G303="","",ROUNDUP(((G303*Ayarlar!$B$3+Ayarlar!$B$4+Ayarlar!$B$5)+Ayarlar!$B$8)/((1-Ayarlar!$B$6)*(1-Ayarlar!$B$7-Ayarlar!$B$9)),0))</f>
        <v/>
      </c>
      <c r="K303" s="15">
        <f>IF(OR(G303="",F303=""),"",(F303*(1-Ayarlar!$B$6)-(F303*(1-Ayarlar!$B$6)*Ayarlar!$B$7+Ayarlar!$B$8)-(G303*Ayarlar!$B$3+Ayarlar!$B$4+Ayarlar!$B$5))/(F303*(1-Ayarlar!$B$6)))</f>
        <v/>
      </c>
      <c r="L303" s="3">
        <f>IF(G303="","GRAM EKSİK",IF(F303&gt;30000,"FİYAT ŞÜPHELİ",IF(K303&lt;0,"ZARARDA",IF(F303&lt;I303,"RİSKLİ","ok"))))</f>
        <v/>
      </c>
      <c r="M303" s="16" t="inlineStr">
        <is>
          <t>https://www.etsy.com/listing/1862661659</t>
        </is>
      </c>
    </row>
    <row r="304">
      <c r="A304" s="9" t="inlineStr">
        <is>
          <t>chains</t>
        </is>
      </c>
      <c r="B304" s="9" t="inlineStr">
        <is>
          <t>14K Rose Gold Round Box Chain Necklace - Women and Men</t>
        </is>
      </c>
      <c r="C304" s="9" t="n">
        <v>1862661659</v>
      </c>
      <c r="D304" s="9" t="inlineStr">
        <is>
          <t>CRDR6-20</t>
        </is>
      </c>
      <c r="E304" s="9" t="inlineStr">
        <is>
          <t>description</t>
        </is>
      </c>
      <c r="F304" s="10" t="n">
        <v>4200</v>
      </c>
      <c r="G304" s="18" t="n">
        <v>19.91</v>
      </c>
      <c r="H304" s="10">
        <f>IF(G304="","",G304*Ayarlar!$B$3+Ayarlar!$B$4+Ayarlar!$B$5)</f>
        <v/>
      </c>
      <c r="I304" s="10">
        <f>IF(G304="","",ROUNDUP(((G304*Ayarlar!$B$3+Ayarlar!$B$4+Ayarlar!$B$5)+Ayarlar!$B$8)/((1-Ayarlar!$B$6)*(1-Ayarlar!$B$7)),0))</f>
        <v/>
      </c>
      <c r="J304" s="10">
        <f>IF(G304="","",ROUNDUP(((G304*Ayarlar!$B$3+Ayarlar!$B$4+Ayarlar!$B$5)+Ayarlar!$B$8)/((1-Ayarlar!$B$6)*(1-Ayarlar!$B$7-Ayarlar!$B$9)),0))</f>
        <v/>
      </c>
      <c r="K304" s="12">
        <f>IF(OR(G304="",F304=""),"",(F304*(1-Ayarlar!$B$6)-(F304*(1-Ayarlar!$B$6)*Ayarlar!$B$7+Ayarlar!$B$8)-(G304*Ayarlar!$B$3+Ayarlar!$B$4+Ayarlar!$B$5))/(F304*(1-Ayarlar!$B$6)))</f>
        <v/>
      </c>
      <c r="L304" s="9">
        <f>IF(G304="","GRAM EKSİK",IF(F304&gt;30000,"FİYAT ŞÜPHELİ",IF(K304&lt;0,"ZARARDA",IF(F304&lt;I304,"RİSKLİ","ok"))))</f>
        <v/>
      </c>
      <c r="M304" s="13" t="inlineStr">
        <is>
          <t>https://www.etsy.com/listing/1862661659</t>
        </is>
      </c>
    </row>
    <row r="305">
      <c r="A305" s="3" t="inlineStr">
        <is>
          <t>chains</t>
        </is>
      </c>
      <c r="B305" s="3" t="inlineStr">
        <is>
          <t>14K Rose Gold Round Box Chain Necklace - Women and Men</t>
        </is>
      </c>
      <c r="C305" s="3" t="n">
        <v>1862661659</v>
      </c>
      <c r="D305" s="3" t="inlineStr">
        <is>
          <t>CRDR6-22</t>
        </is>
      </c>
      <c r="E305" s="3" t="inlineStr">
        <is>
          <t>description</t>
        </is>
      </c>
      <c r="F305" s="14" t="n">
        <v>4612</v>
      </c>
      <c r="G305" s="17" t="n">
        <v>21.9</v>
      </c>
      <c r="H305" s="14">
        <f>IF(G305="","",G305*Ayarlar!$B$3+Ayarlar!$B$4+Ayarlar!$B$5)</f>
        <v/>
      </c>
      <c r="I305" s="14">
        <f>IF(G305="","",ROUNDUP(((G305*Ayarlar!$B$3+Ayarlar!$B$4+Ayarlar!$B$5)+Ayarlar!$B$8)/((1-Ayarlar!$B$6)*(1-Ayarlar!$B$7)),0))</f>
        <v/>
      </c>
      <c r="J305" s="14">
        <f>IF(G305="","",ROUNDUP(((G305*Ayarlar!$B$3+Ayarlar!$B$4+Ayarlar!$B$5)+Ayarlar!$B$8)/((1-Ayarlar!$B$6)*(1-Ayarlar!$B$7-Ayarlar!$B$9)),0))</f>
        <v/>
      </c>
      <c r="K305" s="15">
        <f>IF(OR(G305="",F305=""),"",(F305*(1-Ayarlar!$B$6)-(F305*(1-Ayarlar!$B$6)*Ayarlar!$B$7+Ayarlar!$B$8)-(G305*Ayarlar!$B$3+Ayarlar!$B$4+Ayarlar!$B$5))/(F305*(1-Ayarlar!$B$6)))</f>
        <v/>
      </c>
      <c r="L305" s="3">
        <f>IF(G305="","GRAM EKSİK",IF(F305&gt;30000,"FİYAT ŞÜPHELİ",IF(K305&lt;0,"ZARARDA",IF(F305&lt;I305,"RİSKLİ","ok"))))</f>
        <v/>
      </c>
      <c r="M305" s="16" t="inlineStr">
        <is>
          <t>https://www.etsy.com/listing/1862661659</t>
        </is>
      </c>
    </row>
    <row r="306">
      <c r="A306" s="9" t="inlineStr">
        <is>
          <t>chains</t>
        </is>
      </c>
      <c r="B306" s="9" t="inlineStr">
        <is>
          <t>14K Rose Gold Round Box Chain Necklace - Women and Men</t>
        </is>
      </c>
      <c r="C306" s="9" t="n">
        <v>1862661659</v>
      </c>
      <c r="D306" s="9" t="inlineStr">
        <is>
          <t>CRDR6-24</t>
        </is>
      </c>
      <c r="E306" s="9" t="inlineStr">
        <is>
          <t>description</t>
        </is>
      </c>
      <c r="F306" s="10" t="n">
        <v>5061</v>
      </c>
      <c r="G306" s="18" t="n">
        <v>23.89</v>
      </c>
      <c r="H306" s="10">
        <f>IF(G306="","",G306*Ayarlar!$B$3+Ayarlar!$B$4+Ayarlar!$B$5)</f>
        <v/>
      </c>
      <c r="I306" s="10">
        <f>IF(G306="","",ROUNDUP(((G306*Ayarlar!$B$3+Ayarlar!$B$4+Ayarlar!$B$5)+Ayarlar!$B$8)/((1-Ayarlar!$B$6)*(1-Ayarlar!$B$7)),0))</f>
        <v/>
      </c>
      <c r="J306" s="10">
        <f>IF(G306="","",ROUNDUP(((G306*Ayarlar!$B$3+Ayarlar!$B$4+Ayarlar!$B$5)+Ayarlar!$B$8)/((1-Ayarlar!$B$6)*(1-Ayarlar!$B$7-Ayarlar!$B$9)),0))</f>
        <v/>
      </c>
      <c r="K306" s="12">
        <f>IF(OR(G306="",F306=""),"",(F306*(1-Ayarlar!$B$6)-(F306*(1-Ayarlar!$B$6)*Ayarlar!$B$7+Ayarlar!$B$8)-(G306*Ayarlar!$B$3+Ayarlar!$B$4+Ayarlar!$B$5))/(F306*(1-Ayarlar!$B$6)))</f>
        <v/>
      </c>
      <c r="L306" s="9">
        <f>IF(G306="","GRAM EKSİK",IF(F306&gt;30000,"FİYAT ŞÜPHELİ",IF(K306&lt;0,"ZARARDA",IF(F306&lt;I306,"RİSKLİ","ok"))))</f>
        <v/>
      </c>
      <c r="M306" s="13" t="inlineStr">
        <is>
          <t>https://www.etsy.com/listing/1862661659</t>
        </is>
      </c>
    </row>
    <row r="307">
      <c r="A307" s="3" t="inlineStr">
        <is>
          <t>chains</t>
        </is>
      </c>
      <c r="B307" s="3" t="inlineStr">
        <is>
          <t>14K Solid Gold Beaded Ball Chain Necklace, Diamond Cut</t>
        </is>
      </c>
      <c r="C307" s="3" t="n">
        <v>1485089843</v>
      </c>
      <c r="D307" s="3" t="inlineStr">
        <is>
          <t>CM40F-16</t>
        </is>
      </c>
      <c r="E307" s="3" t="inlineStr">
        <is>
          <t>description</t>
        </is>
      </c>
      <c r="F307" s="14" t="n">
        <v>442</v>
      </c>
      <c r="G307" s="17" t="n">
        <v>1.54</v>
      </c>
      <c r="H307" s="14">
        <f>IF(G307="","",G307*Ayarlar!$B$3+Ayarlar!$B$4+Ayarlar!$B$5)</f>
        <v/>
      </c>
      <c r="I307" s="14">
        <f>IF(G307="","",ROUNDUP(((G307*Ayarlar!$B$3+Ayarlar!$B$4+Ayarlar!$B$5)+Ayarlar!$B$8)/((1-Ayarlar!$B$6)*(1-Ayarlar!$B$7)),0))</f>
        <v/>
      </c>
      <c r="J307" s="14">
        <f>IF(G307="","",ROUNDUP(((G307*Ayarlar!$B$3+Ayarlar!$B$4+Ayarlar!$B$5)+Ayarlar!$B$8)/((1-Ayarlar!$B$6)*(1-Ayarlar!$B$7-Ayarlar!$B$9)),0))</f>
        <v/>
      </c>
      <c r="K307" s="15">
        <f>IF(OR(G307="",F307=""),"",(F307*(1-Ayarlar!$B$6)-(F307*(1-Ayarlar!$B$6)*Ayarlar!$B$7+Ayarlar!$B$8)-(G307*Ayarlar!$B$3+Ayarlar!$B$4+Ayarlar!$B$5))/(F307*(1-Ayarlar!$B$6)))</f>
        <v/>
      </c>
      <c r="L307" s="3">
        <f>IF(G307="","GRAM EKSİK",IF(F307&gt;30000,"FİYAT ŞÜPHELİ",IF(K307&lt;0,"ZARARDA",IF(F307&lt;I307,"RİSKLİ","ok"))))</f>
        <v/>
      </c>
      <c r="M307" s="16" t="inlineStr">
        <is>
          <t>https://www.etsy.com/listing/1485089843</t>
        </is>
      </c>
    </row>
    <row r="308">
      <c r="A308" s="9" t="inlineStr">
        <is>
          <t>chains</t>
        </is>
      </c>
      <c r="B308" s="9" t="inlineStr">
        <is>
          <t>14K Solid Gold Beaded Ball Chain Necklace, Diamond Cut</t>
        </is>
      </c>
      <c r="C308" s="9" t="n">
        <v>1485089843</v>
      </c>
      <c r="D308" s="9" t="inlineStr">
        <is>
          <t>CM40F-18</t>
        </is>
      </c>
      <c r="E308" s="9" t="inlineStr">
        <is>
          <t>description</t>
        </is>
      </c>
      <c r="F308" s="10" t="n">
        <v>168</v>
      </c>
      <c r="G308" s="18" t="n">
        <v>1.73</v>
      </c>
      <c r="H308" s="10">
        <f>IF(G308="","",G308*Ayarlar!$B$3+Ayarlar!$B$4+Ayarlar!$B$5)</f>
        <v/>
      </c>
      <c r="I308" s="10">
        <f>IF(G308="","",ROUNDUP(((G308*Ayarlar!$B$3+Ayarlar!$B$4+Ayarlar!$B$5)+Ayarlar!$B$8)/((1-Ayarlar!$B$6)*(1-Ayarlar!$B$7)),0))</f>
        <v/>
      </c>
      <c r="J308" s="10">
        <f>IF(G308="","",ROUNDUP(((G308*Ayarlar!$B$3+Ayarlar!$B$4+Ayarlar!$B$5)+Ayarlar!$B$8)/((1-Ayarlar!$B$6)*(1-Ayarlar!$B$7-Ayarlar!$B$9)),0))</f>
        <v/>
      </c>
      <c r="K308" s="12">
        <f>IF(OR(G308="",F308=""),"",(F308*(1-Ayarlar!$B$6)-(F308*(1-Ayarlar!$B$6)*Ayarlar!$B$7+Ayarlar!$B$8)-(G308*Ayarlar!$B$3+Ayarlar!$B$4+Ayarlar!$B$5))/(F308*(1-Ayarlar!$B$6)))</f>
        <v/>
      </c>
      <c r="L308" s="9">
        <f>IF(G308="","GRAM EKSİK",IF(F308&gt;30000,"FİYAT ŞÜPHELİ",IF(K308&lt;0,"ZARARDA",IF(F308&lt;I308,"RİSKLİ","ok"))))</f>
        <v/>
      </c>
      <c r="M308" s="13" t="inlineStr">
        <is>
          <t>https://www.etsy.com/listing/1485089843</t>
        </is>
      </c>
    </row>
    <row r="309">
      <c r="A309" s="3" t="inlineStr">
        <is>
          <t>chains</t>
        </is>
      </c>
      <c r="B309" s="3" t="inlineStr">
        <is>
          <t>14K Solid Gold Beaded Ball Chain Necklace, Diamond Cut</t>
        </is>
      </c>
      <c r="C309" s="3" t="n">
        <v>1485089843</v>
      </c>
      <c r="D309" s="3" t="inlineStr">
        <is>
          <t>CM40F-20</t>
        </is>
      </c>
      <c r="E309" s="3" t="inlineStr">
        <is>
          <t>description</t>
        </is>
      </c>
      <c r="F309" s="14" t="n">
        <v>197</v>
      </c>
      <c r="G309" s="17" t="n">
        <v>1.92</v>
      </c>
      <c r="H309" s="14">
        <f>IF(G309="","",G309*Ayarlar!$B$3+Ayarlar!$B$4+Ayarlar!$B$5)</f>
        <v/>
      </c>
      <c r="I309" s="14">
        <f>IF(G309="","",ROUNDUP(((G309*Ayarlar!$B$3+Ayarlar!$B$4+Ayarlar!$B$5)+Ayarlar!$B$8)/((1-Ayarlar!$B$6)*(1-Ayarlar!$B$7)),0))</f>
        <v/>
      </c>
      <c r="J309" s="14">
        <f>IF(G309="","",ROUNDUP(((G309*Ayarlar!$B$3+Ayarlar!$B$4+Ayarlar!$B$5)+Ayarlar!$B$8)/((1-Ayarlar!$B$6)*(1-Ayarlar!$B$7-Ayarlar!$B$9)),0))</f>
        <v/>
      </c>
      <c r="K309" s="15">
        <f>IF(OR(G309="",F309=""),"",(F309*(1-Ayarlar!$B$6)-(F309*(1-Ayarlar!$B$6)*Ayarlar!$B$7+Ayarlar!$B$8)-(G309*Ayarlar!$B$3+Ayarlar!$B$4+Ayarlar!$B$5))/(F309*(1-Ayarlar!$B$6)))</f>
        <v/>
      </c>
      <c r="L309" s="3">
        <f>IF(G309="","GRAM EKSİK",IF(F309&gt;30000,"FİYAT ŞÜPHELİ",IF(K309&lt;0,"ZARARDA",IF(F309&lt;I309,"RİSKLİ","ok"))))</f>
        <v/>
      </c>
      <c r="M309" s="16" t="inlineStr">
        <is>
          <t>https://www.etsy.com/listing/1485089843</t>
        </is>
      </c>
    </row>
    <row r="310">
      <c r="A310" s="9" t="inlineStr">
        <is>
          <t>chains</t>
        </is>
      </c>
      <c r="B310" s="9" t="inlineStr">
        <is>
          <t>14K Solid Gold Beaded Ball Chain Necklace, Diamond Cut</t>
        </is>
      </c>
      <c r="C310" s="9" t="n">
        <v>1485089843</v>
      </c>
      <c r="D310" s="9" t="inlineStr">
        <is>
          <t>CM40F-22</t>
        </is>
      </c>
      <c r="E310" s="9" t="inlineStr">
        <is>
          <t>description</t>
        </is>
      </c>
      <c r="F310" s="10" t="n">
        <v>14</v>
      </c>
      <c r="G310" s="18" t="n">
        <v>2.11</v>
      </c>
      <c r="H310" s="10">
        <f>IF(G310="","",G310*Ayarlar!$B$3+Ayarlar!$B$4+Ayarlar!$B$5)</f>
        <v/>
      </c>
      <c r="I310" s="10">
        <f>IF(G310="","",ROUNDUP(((G310*Ayarlar!$B$3+Ayarlar!$B$4+Ayarlar!$B$5)+Ayarlar!$B$8)/((1-Ayarlar!$B$6)*(1-Ayarlar!$B$7)),0))</f>
        <v/>
      </c>
      <c r="J310" s="10">
        <f>IF(G310="","",ROUNDUP(((G310*Ayarlar!$B$3+Ayarlar!$B$4+Ayarlar!$B$5)+Ayarlar!$B$8)/((1-Ayarlar!$B$6)*(1-Ayarlar!$B$7-Ayarlar!$B$9)),0))</f>
        <v/>
      </c>
      <c r="K310" s="12">
        <f>IF(OR(G310="",F310=""),"",(F310*(1-Ayarlar!$B$6)-(F310*(1-Ayarlar!$B$6)*Ayarlar!$B$7+Ayarlar!$B$8)-(G310*Ayarlar!$B$3+Ayarlar!$B$4+Ayarlar!$B$5))/(F310*(1-Ayarlar!$B$6)))</f>
        <v/>
      </c>
      <c r="L310" s="9">
        <f>IF(G310="","GRAM EKSİK",IF(F310&gt;30000,"FİYAT ŞÜPHELİ",IF(K310&lt;0,"ZARARDA",IF(F310&lt;I310,"RİSKLİ","ok"))))</f>
        <v/>
      </c>
      <c r="M310" s="13" t="inlineStr">
        <is>
          <t>https://www.etsy.com/listing/1485089843</t>
        </is>
      </c>
    </row>
    <row r="311">
      <c r="A311" s="3" t="inlineStr">
        <is>
          <t>chains</t>
        </is>
      </c>
      <c r="B311" s="3" t="inlineStr">
        <is>
          <t>14K Solid Gold Beaded Ball Chain Necklace, Diamond Cut</t>
        </is>
      </c>
      <c r="C311" s="3" t="n">
        <v>1485089843</v>
      </c>
      <c r="D311" s="3" t="inlineStr">
        <is>
          <t>CM40F-24</t>
        </is>
      </c>
      <c r="E311" s="3" t="inlineStr">
        <is>
          <t>description</t>
        </is>
      </c>
      <c r="F311" s="14" t="n">
        <v>16</v>
      </c>
      <c r="G311" s="17" t="n">
        <v>2.31</v>
      </c>
      <c r="H311" s="14">
        <f>IF(G311="","",G311*Ayarlar!$B$3+Ayarlar!$B$4+Ayarlar!$B$5)</f>
        <v/>
      </c>
      <c r="I311" s="14">
        <f>IF(G311="","",ROUNDUP(((G311*Ayarlar!$B$3+Ayarlar!$B$4+Ayarlar!$B$5)+Ayarlar!$B$8)/((1-Ayarlar!$B$6)*(1-Ayarlar!$B$7)),0))</f>
        <v/>
      </c>
      <c r="J311" s="14">
        <f>IF(G311="","",ROUNDUP(((G311*Ayarlar!$B$3+Ayarlar!$B$4+Ayarlar!$B$5)+Ayarlar!$B$8)/((1-Ayarlar!$B$6)*(1-Ayarlar!$B$7-Ayarlar!$B$9)),0))</f>
        <v/>
      </c>
      <c r="K311" s="15">
        <f>IF(OR(G311="",F311=""),"",(F311*(1-Ayarlar!$B$6)-(F311*(1-Ayarlar!$B$6)*Ayarlar!$B$7+Ayarlar!$B$8)-(G311*Ayarlar!$B$3+Ayarlar!$B$4+Ayarlar!$B$5))/(F311*(1-Ayarlar!$B$6)))</f>
        <v/>
      </c>
      <c r="L311" s="3">
        <f>IF(G311="","GRAM EKSİK",IF(F311&gt;30000,"FİYAT ŞÜPHELİ",IF(K311&lt;0,"ZARARDA",IF(F311&lt;I311,"RİSKLİ","ok"))))</f>
        <v/>
      </c>
      <c r="M311" s="16" t="inlineStr">
        <is>
          <t>https://www.etsy.com/listing/1485089843</t>
        </is>
      </c>
    </row>
    <row r="312">
      <c r="A312" s="9" t="inlineStr">
        <is>
          <t>chains</t>
        </is>
      </c>
      <c r="B312" s="9" t="inlineStr">
        <is>
          <t>14K Solid Gold Beaded Ball Chain Necklace, Diamond Cut</t>
        </is>
      </c>
      <c r="C312" s="9" t="n">
        <v>1485089843</v>
      </c>
      <c r="D312" s="9" t="inlineStr">
        <is>
          <t>CM41F-16</t>
        </is>
      </c>
      <c r="E312" s="9" t="inlineStr">
        <is>
          <t>description</t>
        </is>
      </c>
      <c r="F312" s="10" t="n">
        <v>20</v>
      </c>
      <c r="G312" s="18" t="n">
        <v>3.08</v>
      </c>
      <c r="H312" s="10">
        <f>IF(G312="","",G312*Ayarlar!$B$3+Ayarlar!$B$4+Ayarlar!$B$5)</f>
        <v/>
      </c>
      <c r="I312" s="10">
        <f>IF(G312="","",ROUNDUP(((G312*Ayarlar!$B$3+Ayarlar!$B$4+Ayarlar!$B$5)+Ayarlar!$B$8)/((1-Ayarlar!$B$6)*(1-Ayarlar!$B$7)),0))</f>
        <v/>
      </c>
      <c r="J312" s="10">
        <f>IF(G312="","",ROUNDUP(((G312*Ayarlar!$B$3+Ayarlar!$B$4+Ayarlar!$B$5)+Ayarlar!$B$8)/((1-Ayarlar!$B$6)*(1-Ayarlar!$B$7-Ayarlar!$B$9)),0))</f>
        <v/>
      </c>
      <c r="K312" s="12">
        <f>IF(OR(G312="",F312=""),"",(F312*(1-Ayarlar!$B$6)-(F312*(1-Ayarlar!$B$6)*Ayarlar!$B$7+Ayarlar!$B$8)-(G312*Ayarlar!$B$3+Ayarlar!$B$4+Ayarlar!$B$5))/(F312*(1-Ayarlar!$B$6)))</f>
        <v/>
      </c>
      <c r="L312" s="9">
        <f>IF(G312="","GRAM EKSİK",IF(F312&gt;30000,"FİYAT ŞÜPHELİ",IF(K312&lt;0,"ZARARDA",IF(F312&lt;I312,"RİSKLİ","ok"))))</f>
        <v/>
      </c>
      <c r="M312" s="13" t="inlineStr">
        <is>
          <t>https://www.etsy.com/listing/1485089843</t>
        </is>
      </c>
    </row>
    <row r="313">
      <c r="A313" s="3" t="inlineStr">
        <is>
          <t>chains</t>
        </is>
      </c>
      <c r="B313" s="3" t="inlineStr">
        <is>
          <t>14K Solid Gold Beaded Ball Chain Necklace, Diamond Cut</t>
        </is>
      </c>
      <c r="C313" s="3" t="n">
        <v>1485089843</v>
      </c>
      <c r="D313" s="3" t="inlineStr">
        <is>
          <t>CM41F-18</t>
        </is>
      </c>
      <c r="E313" s="3" t="inlineStr">
        <is>
          <t>description</t>
        </is>
      </c>
      <c r="F313" s="14" t="n">
        <v>602</v>
      </c>
      <c r="G313" s="17" t="n">
        <v>3.47</v>
      </c>
      <c r="H313" s="14">
        <f>IF(G313="","",G313*Ayarlar!$B$3+Ayarlar!$B$4+Ayarlar!$B$5)</f>
        <v/>
      </c>
      <c r="I313" s="14">
        <f>IF(G313="","",ROUNDUP(((G313*Ayarlar!$B$3+Ayarlar!$B$4+Ayarlar!$B$5)+Ayarlar!$B$8)/((1-Ayarlar!$B$6)*(1-Ayarlar!$B$7)),0))</f>
        <v/>
      </c>
      <c r="J313" s="14">
        <f>IF(G313="","",ROUNDUP(((G313*Ayarlar!$B$3+Ayarlar!$B$4+Ayarlar!$B$5)+Ayarlar!$B$8)/((1-Ayarlar!$B$6)*(1-Ayarlar!$B$7-Ayarlar!$B$9)),0))</f>
        <v/>
      </c>
      <c r="K313" s="15">
        <f>IF(OR(G313="",F313=""),"",(F313*(1-Ayarlar!$B$6)-(F313*(1-Ayarlar!$B$6)*Ayarlar!$B$7+Ayarlar!$B$8)-(G313*Ayarlar!$B$3+Ayarlar!$B$4+Ayarlar!$B$5))/(F313*(1-Ayarlar!$B$6)))</f>
        <v/>
      </c>
      <c r="L313" s="3">
        <f>IF(G313="","GRAM EKSİK",IF(F313&gt;30000,"FİYAT ŞÜPHELİ",IF(K313&lt;0,"ZARARDA",IF(F313&lt;I313,"RİSKLİ","ok"))))</f>
        <v/>
      </c>
      <c r="M313" s="16" t="inlineStr">
        <is>
          <t>https://www.etsy.com/listing/1485089843</t>
        </is>
      </c>
    </row>
    <row r="314">
      <c r="A314" s="9" t="inlineStr">
        <is>
          <t>chains</t>
        </is>
      </c>
      <c r="B314" s="9" t="inlineStr">
        <is>
          <t>14K Solid Gold Beaded Ball Chain Necklace, Diamond Cut</t>
        </is>
      </c>
      <c r="C314" s="9" t="n">
        <v>1485089843</v>
      </c>
      <c r="D314" s="9" t="inlineStr">
        <is>
          <t>CM41F-20</t>
        </is>
      </c>
      <c r="E314" s="9" t="inlineStr">
        <is>
          <t>description</t>
        </is>
      </c>
      <c r="F314" s="10" t="n">
        <v>668</v>
      </c>
      <c r="G314" s="18" t="n">
        <v>3.86</v>
      </c>
      <c r="H314" s="10">
        <f>IF(G314="","",G314*Ayarlar!$B$3+Ayarlar!$B$4+Ayarlar!$B$5)</f>
        <v/>
      </c>
      <c r="I314" s="10">
        <f>IF(G314="","",ROUNDUP(((G314*Ayarlar!$B$3+Ayarlar!$B$4+Ayarlar!$B$5)+Ayarlar!$B$8)/((1-Ayarlar!$B$6)*(1-Ayarlar!$B$7)),0))</f>
        <v/>
      </c>
      <c r="J314" s="10">
        <f>IF(G314="","",ROUNDUP(((G314*Ayarlar!$B$3+Ayarlar!$B$4+Ayarlar!$B$5)+Ayarlar!$B$8)/((1-Ayarlar!$B$6)*(1-Ayarlar!$B$7-Ayarlar!$B$9)),0))</f>
        <v/>
      </c>
      <c r="K314" s="12">
        <f>IF(OR(G314="",F314=""),"",(F314*(1-Ayarlar!$B$6)-(F314*(1-Ayarlar!$B$6)*Ayarlar!$B$7+Ayarlar!$B$8)-(G314*Ayarlar!$B$3+Ayarlar!$B$4+Ayarlar!$B$5))/(F314*(1-Ayarlar!$B$6)))</f>
        <v/>
      </c>
      <c r="L314" s="9">
        <f>IF(G314="","GRAM EKSİK",IF(F314&gt;30000,"FİYAT ŞÜPHELİ",IF(K314&lt;0,"ZARARDA",IF(F314&lt;I314,"RİSKLİ","ok"))))</f>
        <v/>
      </c>
      <c r="M314" s="13" t="inlineStr">
        <is>
          <t>https://www.etsy.com/listing/1485089843</t>
        </is>
      </c>
    </row>
    <row r="315">
      <c r="A315" s="3" t="inlineStr">
        <is>
          <t>chains</t>
        </is>
      </c>
      <c r="B315" s="3" t="inlineStr">
        <is>
          <t>14K Solid Gold Beaded Ball Chain Necklace, Diamond Cut</t>
        </is>
      </c>
      <c r="C315" s="3" t="n">
        <v>1485089843</v>
      </c>
      <c r="D315" s="3" t="inlineStr">
        <is>
          <t>CM41F-22</t>
        </is>
      </c>
      <c r="E315" s="3" t="inlineStr">
        <is>
          <t>description</t>
        </is>
      </c>
      <c r="F315" s="14" t="n">
        <v>28</v>
      </c>
      <c r="G315" s="17" t="n">
        <v>4.24</v>
      </c>
      <c r="H315" s="14">
        <f>IF(G315="","",G315*Ayarlar!$B$3+Ayarlar!$B$4+Ayarlar!$B$5)</f>
        <v/>
      </c>
      <c r="I315" s="14">
        <f>IF(G315="","",ROUNDUP(((G315*Ayarlar!$B$3+Ayarlar!$B$4+Ayarlar!$B$5)+Ayarlar!$B$8)/((1-Ayarlar!$B$6)*(1-Ayarlar!$B$7)),0))</f>
        <v/>
      </c>
      <c r="J315" s="14">
        <f>IF(G315="","",ROUNDUP(((G315*Ayarlar!$B$3+Ayarlar!$B$4+Ayarlar!$B$5)+Ayarlar!$B$8)/((1-Ayarlar!$B$6)*(1-Ayarlar!$B$7-Ayarlar!$B$9)),0))</f>
        <v/>
      </c>
      <c r="K315" s="15">
        <f>IF(OR(G315="",F315=""),"",(F315*(1-Ayarlar!$B$6)-(F315*(1-Ayarlar!$B$6)*Ayarlar!$B$7+Ayarlar!$B$8)-(G315*Ayarlar!$B$3+Ayarlar!$B$4+Ayarlar!$B$5))/(F315*(1-Ayarlar!$B$6)))</f>
        <v/>
      </c>
      <c r="L315" s="3">
        <f>IF(G315="","GRAM EKSİK",IF(F315&gt;30000,"FİYAT ŞÜPHELİ",IF(K315&lt;0,"ZARARDA",IF(F315&lt;I315,"RİSKLİ","ok"))))</f>
        <v/>
      </c>
      <c r="M315" s="16" t="inlineStr">
        <is>
          <t>https://www.etsy.com/listing/1485089843</t>
        </is>
      </c>
    </row>
    <row r="316">
      <c r="A316" s="9" t="inlineStr">
        <is>
          <t>chains</t>
        </is>
      </c>
      <c r="B316" s="9" t="inlineStr">
        <is>
          <t>14K Solid Gold Beaded Ball Chain Necklace, Diamond Cut</t>
        </is>
      </c>
      <c r="C316" s="9" t="n">
        <v>1485089843</v>
      </c>
      <c r="D316" s="9" t="inlineStr">
        <is>
          <t>CM41F-24</t>
        </is>
      </c>
      <c r="E316" s="9" t="inlineStr">
        <is>
          <t>description</t>
        </is>
      </c>
      <c r="F316" s="10" t="n">
        <v>30</v>
      </c>
      <c r="G316" s="18" t="n">
        <v>4.63</v>
      </c>
      <c r="H316" s="10">
        <f>IF(G316="","",G316*Ayarlar!$B$3+Ayarlar!$B$4+Ayarlar!$B$5)</f>
        <v/>
      </c>
      <c r="I316" s="10">
        <f>IF(G316="","",ROUNDUP(((G316*Ayarlar!$B$3+Ayarlar!$B$4+Ayarlar!$B$5)+Ayarlar!$B$8)/((1-Ayarlar!$B$6)*(1-Ayarlar!$B$7)),0))</f>
        <v/>
      </c>
      <c r="J316" s="10">
        <f>IF(G316="","",ROUNDUP(((G316*Ayarlar!$B$3+Ayarlar!$B$4+Ayarlar!$B$5)+Ayarlar!$B$8)/((1-Ayarlar!$B$6)*(1-Ayarlar!$B$7-Ayarlar!$B$9)),0))</f>
        <v/>
      </c>
      <c r="K316" s="12">
        <f>IF(OR(G316="",F316=""),"",(F316*(1-Ayarlar!$B$6)-(F316*(1-Ayarlar!$B$6)*Ayarlar!$B$7+Ayarlar!$B$8)-(G316*Ayarlar!$B$3+Ayarlar!$B$4+Ayarlar!$B$5))/(F316*(1-Ayarlar!$B$6)))</f>
        <v/>
      </c>
      <c r="L316" s="9">
        <f>IF(G316="","GRAM EKSİK",IF(F316&gt;30000,"FİYAT ŞÜPHELİ",IF(K316&lt;0,"ZARARDA",IF(F316&lt;I316,"RİSKLİ","ok"))))</f>
        <v/>
      </c>
      <c r="M316" s="13" t="inlineStr">
        <is>
          <t>https://www.etsy.com/listing/1485089843</t>
        </is>
      </c>
    </row>
    <row r="317">
      <c r="A317" s="3" t="inlineStr">
        <is>
          <t>chains</t>
        </is>
      </c>
      <c r="B317" s="3" t="inlineStr">
        <is>
          <t>14K Solid Gold Beaded Ball Chain Necklace, Diamond Cut</t>
        </is>
      </c>
      <c r="C317" s="3" t="n">
        <v>1485089843</v>
      </c>
      <c r="D317" s="3" t="inlineStr">
        <is>
          <t>CM42F-16</t>
        </is>
      </c>
      <c r="E317" s="3" t="inlineStr">
        <is>
          <t>description</t>
        </is>
      </c>
      <c r="F317" s="14" t="n">
        <v>840</v>
      </c>
      <c r="G317" s="17" t="n">
        <v>4.53</v>
      </c>
      <c r="H317" s="14">
        <f>IF(G317="","",G317*Ayarlar!$B$3+Ayarlar!$B$4+Ayarlar!$B$5)</f>
        <v/>
      </c>
      <c r="I317" s="14">
        <f>IF(G317="","",ROUNDUP(((G317*Ayarlar!$B$3+Ayarlar!$B$4+Ayarlar!$B$5)+Ayarlar!$B$8)/((1-Ayarlar!$B$6)*(1-Ayarlar!$B$7)),0))</f>
        <v/>
      </c>
      <c r="J317" s="14">
        <f>IF(G317="","",ROUNDUP(((G317*Ayarlar!$B$3+Ayarlar!$B$4+Ayarlar!$B$5)+Ayarlar!$B$8)/((1-Ayarlar!$B$6)*(1-Ayarlar!$B$7-Ayarlar!$B$9)),0))</f>
        <v/>
      </c>
      <c r="K317" s="15">
        <f>IF(OR(G317="",F317=""),"",(F317*(1-Ayarlar!$B$6)-(F317*(1-Ayarlar!$B$6)*Ayarlar!$B$7+Ayarlar!$B$8)-(G317*Ayarlar!$B$3+Ayarlar!$B$4+Ayarlar!$B$5))/(F317*(1-Ayarlar!$B$6)))</f>
        <v/>
      </c>
      <c r="L317" s="3">
        <f>IF(G317="","GRAM EKSİK",IF(F317&gt;30000,"FİYAT ŞÜPHELİ",IF(K317&lt;0,"ZARARDA",IF(F317&lt;I317,"RİSKLİ","ok"))))</f>
        <v/>
      </c>
      <c r="M317" s="16" t="inlineStr">
        <is>
          <t>https://www.etsy.com/listing/1485089843</t>
        </is>
      </c>
    </row>
    <row r="318">
      <c r="A318" s="9" t="inlineStr">
        <is>
          <t>chains</t>
        </is>
      </c>
      <c r="B318" s="9" t="inlineStr">
        <is>
          <t>14K Solid Gold Beaded Ball Chain Necklace, Diamond Cut</t>
        </is>
      </c>
      <c r="C318" s="9" t="n">
        <v>1485089843</v>
      </c>
      <c r="D318" s="9" t="inlineStr">
        <is>
          <t>CM42F-18</t>
        </is>
      </c>
      <c r="E318" s="9" t="inlineStr">
        <is>
          <t>description</t>
        </is>
      </c>
      <c r="F318" s="10" t="n">
        <v>946</v>
      </c>
      <c r="G318" s="18" t="n">
        <v>5.1</v>
      </c>
      <c r="H318" s="10">
        <f>IF(G318="","",G318*Ayarlar!$B$3+Ayarlar!$B$4+Ayarlar!$B$5)</f>
        <v/>
      </c>
      <c r="I318" s="10">
        <f>IF(G318="","",ROUNDUP(((G318*Ayarlar!$B$3+Ayarlar!$B$4+Ayarlar!$B$5)+Ayarlar!$B$8)/((1-Ayarlar!$B$6)*(1-Ayarlar!$B$7)),0))</f>
        <v/>
      </c>
      <c r="J318" s="10">
        <f>IF(G318="","",ROUNDUP(((G318*Ayarlar!$B$3+Ayarlar!$B$4+Ayarlar!$B$5)+Ayarlar!$B$8)/((1-Ayarlar!$B$6)*(1-Ayarlar!$B$7-Ayarlar!$B$9)),0))</f>
        <v/>
      </c>
      <c r="K318" s="12">
        <f>IF(OR(G318="",F318=""),"",(F318*(1-Ayarlar!$B$6)-(F318*(1-Ayarlar!$B$6)*Ayarlar!$B$7+Ayarlar!$B$8)-(G318*Ayarlar!$B$3+Ayarlar!$B$4+Ayarlar!$B$5))/(F318*(1-Ayarlar!$B$6)))</f>
        <v/>
      </c>
      <c r="L318" s="9">
        <f>IF(G318="","GRAM EKSİK",IF(F318&gt;30000,"FİYAT ŞÜPHELİ",IF(K318&lt;0,"ZARARDA",IF(F318&lt;I318,"RİSKLİ","ok"))))</f>
        <v/>
      </c>
      <c r="M318" s="13" t="inlineStr">
        <is>
          <t>https://www.etsy.com/listing/1485089843</t>
        </is>
      </c>
    </row>
    <row r="319">
      <c r="A319" s="3" t="inlineStr">
        <is>
          <t>chains</t>
        </is>
      </c>
      <c r="B319" s="3" t="inlineStr">
        <is>
          <t>14K Solid Gold Beaded Ball Chain Necklace, Diamond Cut</t>
        </is>
      </c>
      <c r="C319" s="3" t="n">
        <v>1485089843</v>
      </c>
      <c r="D319" s="3" t="inlineStr">
        <is>
          <t>CM42F-20</t>
        </is>
      </c>
      <c r="E319" s="3" t="inlineStr">
        <is>
          <t>shipstation</t>
        </is>
      </c>
      <c r="F319" s="14" t="n">
        <v>1058</v>
      </c>
      <c r="G319" s="17" t="n">
        <v>6.7</v>
      </c>
      <c r="H319" s="14">
        <f>IF(G319="","",G319*Ayarlar!$B$3+Ayarlar!$B$4+Ayarlar!$B$5)</f>
        <v/>
      </c>
      <c r="I319" s="14">
        <f>IF(G319="","",ROUNDUP(((G319*Ayarlar!$B$3+Ayarlar!$B$4+Ayarlar!$B$5)+Ayarlar!$B$8)/((1-Ayarlar!$B$6)*(1-Ayarlar!$B$7)),0))</f>
        <v/>
      </c>
      <c r="J319" s="14">
        <f>IF(G319="","",ROUNDUP(((G319*Ayarlar!$B$3+Ayarlar!$B$4+Ayarlar!$B$5)+Ayarlar!$B$8)/((1-Ayarlar!$B$6)*(1-Ayarlar!$B$7-Ayarlar!$B$9)),0))</f>
        <v/>
      </c>
      <c r="K319" s="15">
        <f>IF(OR(G319="",F319=""),"",(F319*(1-Ayarlar!$B$6)-(F319*(1-Ayarlar!$B$6)*Ayarlar!$B$7+Ayarlar!$B$8)-(G319*Ayarlar!$B$3+Ayarlar!$B$4+Ayarlar!$B$5))/(F319*(1-Ayarlar!$B$6)))</f>
        <v/>
      </c>
      <c r="L319" s="3">
        <f>IF(G319="","GRAM EKSİK",IF(F319&gt;30000,"FİYAT ŞÜPHELİ",IF(K319&lt;0,"ZARARDA",IF(F319&lt;I319,"RİSKLİ","ok"))))</f>
        <v/>
      </c>
      <c r="M319" s="16" t="inlineStr">
        <is>
          <t>https://www.etsy.com/listing/1485089843</t>
        </is>
      </c>
    </row>
    <row r="320">
      <c r="A320" s="9" t="inlineStr">
        <is>
          <t>chains</t>
        </is>
      </c>
      <c r="B320" s="9" t="inlineStr">
        <is>
          <t>14K Solid Gold Beaded Ball Chain Necklace, Diamond Cut</t>
        </is>
      </c>
      <c r="C320" s="9" t="n">
        <v>1485089843</v>
      </c>
      <c r="D320" s="9" t="inlineStr">
        <is>
          <t>CM42F-22</t>
        </is>
      </c>
      <c r="E320" s="9" t="inlineStr">
        <is>
          <t>description</t>
        </is>
      </c>
      <c r="F320" s="10" t="n">
        <v>1156</v>
      </c>
      <c r="G320" s="18" t="n">
        <v>6.23</v>
      </c>
      <c r="H320" s="10">
        <f>IF(G320="","",G320*Ayarlar!$B$3+Ayarlar!$B$4+Ayarlar!$B$5)</f>
        <v/>
      </c>
      <c r="I320" s="10">
        <f>IF(G320="","",ROUNDUP(((G320*Ayarlar!$B$3+Ayarlar!$B$4+Ayarlar!$B$5)+Ayarlar!$B$8)/((1-Ayarlar!$B$6)*(1-Ayarlar!$B$7)),0))</f>
        <v/>
      </c>
      <c r="J320" s="10">
        <f>IF(G320="","",ROUNDUP(((G320*Ayarlar!$B$3+Ayarlar!$B$4+Ayarlar!$B$5)+Ayarlar!$B$8)/((1-Ayarlar!$B$6)*(1-Ayarlar!$B$7-Ayarlar!$B$9)),0))</f>
        <v/>
      </c>
      <c r="K320" s="12">
        <f>IF(OR(G320="",F320=""),"",(F320*(1-Ayarlar!$B$6)-(F320*(1-Ayarlar!$B$6)*Ayarlar!$B$7+Ayarlar!$B$8)-(G320*Ayarlar!$B$3+Ayarlar!$B$4+Ayarlar!$B$5))/(F320*(1-Ayarlar!$B$6)))</f>
        <v/>
      </c>
      <c r="L320" s="9">
        <f>IF(G320="","GRAM EKSİK",IF(F320&gt;30000,"FİYAT ŞÜPHELİ",IF(K320&lt;0,"ZARARDA",IF(F320&lt;I320,"RİSKLİ","ok"))))</f>
        <v/>
      </c>
      <c r="M320" s="13" t="inlineStr">
        <is>
          <t>https://www.etsy.com/listing/1485089843</t>
        </is>
      </c>
    </row>
    <row r="321">
      <c r="A321" s="3" t="inlineStr">
        <is>
          <t>chains</t>
        </is>
      </c>
      <c r="B321" s="3" t="inlineStr">
        <is>
          <t>14K Solid Gold Beaded Ball Chain Necklace, Diamond Cut</t>
        </is>
      </c>
      <c r="C321" s="3" t="n">
        <v>1485089843</v>
      </c>
      <c r="D321" s="3" t="inlineStr">
        <is>
          <t>CM42F-24</t>
        </is>
      </c>
      <c r="E321" s="3" t="inlineStr">
        <is>
          <t>description</t>
        </is>
      </c>
      <c r="F321" s="14" t="n">
        <v>1261</v>
      </c>
      <c r="G321" s="17" t="n">
        <v>6.8</v>
      </c>
      <c r="H321" s="14">
        <f>IF(G321="","",G321*Ayarlar!$B$3+Ayarlar!$B$4+Ayarlar!$B$5)</f>
        <v/>
      </c>
      <c r="I321" s="14">
        <f>IF(G321="","",ROUNDUP(((G321*Ayarlar!$B$3+Ayarlar!$B$4+Ayarlar!$B$5)+Ayarlar!$B$8)/((1-Ayarlar!$B$6)*(1-Ayarlar!$B$7)),0))</f>
        <v/>
      </c>
      <c r="J321" s="14">
        <f>IF(G321="","",ROUNDUP(((G321*Ayarlar!$B$3+Ayarlar!$B$4+Ayarlar!$B$5)+Ayarlar!$B$8)/((1-Ayarlar!$B$6)*(1-Ayarlar!$B$7-Ayarlar!$B$9)),0))</f>
        <v/>
      </c>
      <c r="K321" s="15">
        <f>IF(OR(G321="",F321=""),"",(F321*(1-Ayarlar!$B$6)-(F321*(1-Ayarlar!$B$6)*Ayarlar!$B$7+Ayarlar!$B$8)-(G321*Ayarlar!$B$3+Ayarlar!$B$4+Ayarlar!$B$5))/(F321*(1-Ayarlar!$B$6)))</f>
        <v/>
      </c>
      <c r="L321" s="3">
        <f>IF(G321="","GRAM EKSİK",IF(F321&gt;30000,"FİYAT ŞÜPHELİ",IF(K321&lt;0,"ZARARDA",IF(F321&lt;I321,"RİSKLİ","ok"))))</f>
        <v/>
      </c>
      <c r="M321" s="16" t="inlineStr">
        <is>
          <t>https://www.etsy.com/listing/1485089843</t>
        </is>
      </c>
    </row>
    <row r="322">
      <c r="A322" s="9" t="inlineStr">
        <is>
          <t>chains</t>
        </is>
      </c>
      <c r="B322" s="9" t="inlineStr">
        <is>
          <t>14K Solid Gold Beaded Ball Chain Necklace, Diamond Cut</t>
        </is>
      </c>
      <c r="C322" s="9" t="n">
        <v>1485089843</v>
      </c>
      <c r="D322" s="9" t="inlineStr">
        <is>
          <t>CM43F-16</t>
        </is>
      </c>
      <c r="E322" s="9" t="inlineStr">
        <is>
          <t>description</t>
        </is>
      </c>
      <c r="F322" s="10" t="n">
        <v>1803</v>
      </c>
      <c r="G322" s="18" t="n">
        <v>9.960000000000001</v>
      </c>
      <c r="H322" s="10">
        <f>IF(G322="","",G322*Ayarlar!$B$3+Ayarlar!$B$4+Ayarlar!$B$5)</f>
        <v/>
      </c>
      <c r="I322" s="10">
        <f>IF(G322="","",ROUNDUP(((G322*Ayarlar!$B$3+Ayarlar!$B$4+Ayarlar!$B$5)+Ayarlar!$B$8)/((1-Ayarlar!$B$6)*(1-Ayarlar!$B$7)),0))</f>
        <v/>
      </c>
      <c r="J322" s="10">
        <f>IF(G322="","",ROUNDUP(((G322*Ayarlar!$B$3+Ayarlar!$B$4+Ayarlar!$B$5)+Ayarlar!$B$8)/((1-Ayarlar!$B$6)*(1-Ayarlar!$B$7-Ayarlar!$B$9)),0))</f>
        <v/>
      </c>
      <c r="K322" s="12">
        <f>IF(OR(G322="",F322=""),"",(F322*(1-Ayarlar!$B$6)-(F322*(1-Ayarlar!$B$6)*Ayarlar!$B$7+Ayarlar!$B$8)-(G322*Ayarlar!$B$3+Ayarlar!$B$4+Ayarlar!$B$5))/(F322*(1-Ayarlar!$B$6)))</f>
        <v/>
      </c>
      <c r="L322" s="9">
        <f>IF(G322="","GRAM EKSİK",IF(F322&gt;30000,"FİYAT ŞÜPHELİ",IF(K322&lt;0,"ZARARDA",IF(F322&lt;I322,"RİSKLİ","ok"))))</f>
        <v/>
      </c>
      <c r="M322" s="13" t="inlineStr">
        <is>
          <t>https://www.etsy.com/listing/1485089843</t>
        </is>
      </c>
    </row>
    <row r="323">
      <c r="A323" s="3" t="inlineStr">
        <is>
          <t>chains</t>
        </is>
      </c>
      <c r="B323" s="3" t="inlineStr">
        <is>
          <t>14K Solid Gold Beaded Ball Chain Necklace, Diamond Cut</t>
        </is>
      </c>
      <c r="C323" s="3" t="n">
        <v>1485089843</v>
      </c>
      <c r="D323" s="3" t="inlineStr">
        <is>
          <t>CM43F-18</t>
        </is>
      </c>
      <c r="E323" s="3" t="inlineStr">
        <is>
          <t>description</t>
        </is>
      </c>
      <c r="F323" s="14" t="n">
        <v>2020</v>
      </c>
      <c r="G323" s="17" t="n">
        <v>11.2</v>
      </c>
      <c r="H323" s="14">
        <f>IF(G323="","",G323*Ayarlar!$B$3+Ayarlar!$B$4+Ayarlar!$B$5)</f>
        <v/>
      </c>
      <c r="I323" s="14">
        <f>IF(G323="","",ROUNDUP(((G323*Ayarlar!$B$3+Ayarlar!$B$4+Ayarlar!$B$5)+Ayarlar!$B$8)/((1-Ayarlar!$B$6)*(1-Ayarlar!$B$7)),0))</f>
        <v/>
      </c>
      <c r="J323" s="14">
        <f>IF(G323="","",ROUNDUP(((G323*Ayarlar!$B$3+Ayarlar!$B$4+Ayarlar!$B$5)+Ayarlar!$B$8)/((1-Ayarlar!$B$6)*(1-Ayarlar!$B$7-Ayarlar!$B$9)),0))</f>
        <v/>
      </c>
      <c r="K323" s="15">
        <f>IF(OR(G323="",F323=""),"",(F323*(1-Ayarlar!$B$6)-(F323*(1-Ayarlar!$B$6)*Ayarlar!$B$7+Ayarlar!$B$8)-(G323*Ayarlar!$B$3+Ayarlar!$B$4+Ayarlar!$B$5))/(F323*(1-Ayarlar!$B$6)))</f>
        <v/>
      </c>
      <c r="L323" s="3">
        <f>IF(G323="","GRAM EKSİK",IF(F323&gt;30000,"FİYAT ŞÜPHELİ",IF(K323&lt;0,"ZARARDA",IF(F323&lt;I323,"RİSKLİ","ok"))))</f>
        <v/>
      </c>
      <c r="M323" s="16" t="inlineStr">
        <is>
          <t>https://www.etsy.com/listing/1485089843</t>
        </is>
      </c>
    </row>
    <row r="324">
      <c r="A324" s="9" t="inlineStr">
        <is>
          <t>chains</t>
        </is>
      </c>
      <c r="B324" s="9" t="inlineStr">
        <is>
          <t>14K Solid Gold Beaded Ball Chain Necklace, Diamond Cut</t>
        </is>
      </c>
      <c r="C324" s="9" t="n">
        <v>1485089843</v>
      </c>
      <c r="D324" s="9" t="inlineStr">
        <is>
          <t>CM43F-20</t>
        </is>
      </c>
      <c r="E324" s="9" t="inlineStr">
        <is>
          <t>description</t>
        </is>
      </c>
      <c r="F324" s="10" t="n">
        <v>2225</v>
      </c>
      <c r="G324" s="18" t="n">
        <v>12.44</v>
      </c>
      <c r="H324" s="10">
        <f>IF(G324="","",G324*Ayarlar!$B$3+Ayarlar!$B$4+Ayarlar!$B$5)</f>
        <v/>
      </c>
      <c r="I324" s="10">
        <f>IF(G324="","",ROUNDUP(((G324*Ayarlar!$B$3+Ayarlar!$B$4+Ayarlar!$B$5)+Ayarlar!$B$8)/((1-Ayarlar!$B$6)*(1-Ayarlar!$B$7)),0))</f>
        <v/>
      </c>
      <c r="J324" s="10">
        <f>IF(G324="","",ROUNDUP(((G324*Ayarlar!$B$3+Ayarlar!$B$4+Ayarlar!$B$5)+Ayarlar!$B$8)/((1-Ayarlar!$B$6)*(1-Ayarlar!$B$7-Ayarlar!$B$9)),0))</f>
        <v/>
      </c>
      <c r="K324" s="12">
        <f>IF(OR(G324="",F324=""),"",(F324*(1-Ayarlar!$B$6)-(F324*(1-Ayarlar!$B$6)*Ayarlar!$B$7+Ayarlar!$B$8)-(G324*Ayarlar!$B$3+Ayarlar!$B$4+Ayarlar!$B$5))/(F324*(1-Ayarlar!$B$6)))</f>
        <v/>
      </c>
      <c r="L324" s="9">
        <f>IF(G324="","GRAM EKSİK",IF(F324&gt;30000,"FİYAT ŞÜPHELİ",IF(K324&lt;0,"ZARARDA",IF(F324&lt;I324,"RİSKLİ","ok"))))</f>
        <v/>
      </c>
      <c r="M324" s="13" t="inlineStr">
        <is>
          <t>https://www.etsy.com/listing/1485089843</t>
        </is>
      </c>
    </row>
    <row r="325">
      <c r="A325" s="3" t="inlineStr">
        <is>
          <t>chains</t>
        </is>
      </c>
      <c r="B325" s="3" t="inlineStr">
        <is>
          <t>14K Solid Gold Beaded Ball Chain Necklace, Diamond Cut</t>
        </is>
      </c>
      <c r="C325" s="3" t="n">
        <v>1485089843</v>
      </c>
      <c r="D325" s="3" t="inlineStr">
        <is>
          <t>CM43F-22</t>
        </is>
      </c>
      <c r="E325" s="3" t="inlineStr">
        <is>
          <t>description</t>
        </is>
      </c>
      <c r="F325" s="14" t="n">
        <v>2408</v>
      </c>
      <c r="G325" s="17" t="n">
        <v>13.69</v>
      </c>
      <c r="H325" s="14">
        <f>IF(G325="","",G325*Ayarlar!$B$3+Ayarlar!$B$4+Ayarlar!$B$5)</f>
        <v/>
      </c>
      <c r="I325" s="14">
        <f>IF(G325="","",ROUNDUP(((G325*Ayarlar!$B$3+Ayarlar!$B$4+Ayarlar!$B$5)+Ayarlar!$B$8)/((1-Ayarlar!$B$6)*(1-Ayarlar!$B$7)),0))</f>
        <v/>
      </c>
      <c r="J325" s="14">
        <f>IF(G325="","",ROUNDUP(((G325*Ayarlar!$B$3+Ayarlar!$B$4+Ayarlar!$B$5)+Ayarlar!$B$8)/((1-Ayarlar!$B$6)*(1-Ayarlar!$B$7-Ayarlar!$B$9)),0))</f>
        <v/>
      </c>
      <c r="K325" s="15">
        <f>IF(OR(G325="",F325=""),"",(F325*(1-Ayarlar!$B$6)-(F325*(1-Ayarlar!$B$6)*Ayarlar!$B$7+Ayarlar!$B$8)-(G325*Ayarlar!$B$3+Ayarlar!$B$4+Ayarlar!$B$5))/(F325*(1-Ayarlar!$B$6)))</f>
        <v/>
      </c>
      <c r="L325" s="3">
        <f>IF(G325="","GRAM EKSİK",IF(F325&gt;30000,"FİYAT ŞÜPHELİ",IF(K325&lt;0,"ZARARDA",IF(F325&lt;I325,"RİSKLİ","ok"))))</f>
        <v/>
      </c>
      <c r="M325" s="16" t="inlineStr">
        <is>
          <t>https://www.etsy.com/listing/1485089843</t>
        </is>
      </c>
    </row>
    <row r="326">
      <c r="A326" s="9" t="inlineStr">
        <is>
          <t>chains</t>
        </is>
      </c>
      <c r="B326" s="9" t="inlineStr">
        <is>
          <t>14K Solid Gold Beaded Ball Chain Necklace, Diamond Cut</t>
        </is>
      </c>
      <c r="C326" s="9" t="n">
        <v>1485089843</v>
      </c>
      <c r="D326" s="9" t="inlineStr">
        <is>
          <t>CM43F-24</t>
        </is>
      </c>
      <c r="E326" s="9" t="inlineStr">
        <is>
          <t>description</t>
        </is>
      </c>
      <c r="F326" s="10" t="n">
        <v>2647</v>
      </c>
      <c r="G326" s="18" t="n">
        <v>14.93</v>
      </c>
      <c r="H326" s="10">
        <f>IF(G326="","",G326*Ayarlar!$B$3+Ayarlar!$B$4+Ayarlar!$B$5)</f>
        <v/>
      </c>
      <c r="I326" s="10">
        <f>IF(G326="","",ROUNDUP(((G326*Ayarlar!$B$3+Ayarlar!$B$4+Ayarlar!$B$5)+Ayarlar!$B$8)/((1-Ayarlar!$B$6)*(1-Ayarlar!$B$7)),0))</f>
        <v/>
      </c>
      <c r="J326" s="10">
        <f>IF(G326="","",ROUNDUP(((G326*Ayarlar!$B$3+Ayarlar!$B$4+Ayarlar!$B$5)+Ayarlar!$B$8)/((1-Ayarlar!$B$6)*(1-Ayarlar!$B$7-Ayarlar!$B$9)),0))</f>
        <v/>
      </c>
      <c r="K326" s="12">
        <f>IF(OR(G326="",F326=""),"",(F326*(1-Ayarlar!$B$6)-(F326*(1-Ayarlar!$B$6)*Ayarlar!$B$7+Ayarlar!$B$8)-(G326*Ayarlar!$B$3+Ayarlar!$B$4+Ayarlar!$B$5))/(F326*(1-Ayarlar!$B$6)))</f>
        <v/>
      </c>
      <c r="L326" s="9">
        <f>IF(G326="","GRAM EKSİK",IF(F326&gt;30000,"FİYAT ŞÜPHELİ",IF(K326&lt;0,"ZARARDA",IF(F326&lt;I326,"RİSKLİ","ok"))))</f>
        <v/>
      </c>
      <c r="M326" s="13" t="inlineStr">
        <is>
          <t>https://www.etsy.com/listing/1485089843</t>
        </is>
      </c>
    </row>
    <row r="327">
      <c r="A327" s="3" t="inlineStr">
        <is>
          <t>chains</t>
        </is>
      </c>
      <c r="B327" s="3" t="inlineStr">
        <is>
          <t>14K Solid Gold Beaded Ball Chain Necklace, Diamond Cut</t>
        </is>
      </c>
      <c r="C327" s="3" t="n">
        <v>1485089843</v>
      </c>
      <c r="D327" s="3" t="inlineStr">
        <is>
          <t>CM44F-16</t>
        </is>
      </c>
      <c r="E327" s="3" t="inlineStr">
        <is>
          <t>description</t>
        </is>
      </c>
      <c r="F327" s="14" t="n">
        <v>3008</v>
      </c>
      <c r="G327" s="17" t="n">
        <v>16.93</v>
      </c>
      <c r="H327" s="14">
        <f>IF(G327="","",G327*Ayarlar!$B$3+Ayarlar!$B$4+Ayarlar!$B$5)</f>
        <v/>
      </c>
      <c r="I327" s="14">
        <f>IF(G327="","",ROUNDUP(((G327*Ayarlar!$B$3+Ayarlar!$B$4+Ayarlar!$B$5)+Ayarlar!$B$8)/((1-Ayarlar!$B$6)*(1-Ayarlar!$B$7)),0))</f>
        <v/>
      </c>
      <c r="J327" s="14">
        <f>IF(G327="","",ROUNDUP(((G327*Ayarlar!$B$3+Ayarlar!$B$4+Ayarlar!$B$5)+Ayarlar!$B$8)/((1-Ayarlar!$B$6)*(1-Ayarlar!$B$7-Ayarlar!$B$9)),0))</f>
        <v/>
      </c>
      <c r="K327" s="15">
        <f>IF(OR(G327="",F327=""),"",(F327*(1-Ayarlar!$B$6)-(F327*(1-Ayarlar!$B$6)*Ayarlar!$B$7+Ayarlar!$B$8)-(G327*Ayarlar!$B$3+Ayarlar!$B$4+Ayarlar!$B$5))/(F327*(1-Ayarlar!$B$6)))</f>
        <v/>
      </c>
      <c r="L327" s="3">
        <f>IF(G327="","GRAM EKSİK",IF(F327&gt;30000,"FİYAT ŞÜPHELİ",IF(K327&lt;0,"ZARARDA",IF(F327&lt;I327,"RİSKLİ","ok"))))</f>
        <v/>
      </c>
      <c r="M327" s="16" t="inlineStr">
        <is>
          <t>https://www.etsy.com/listing/1485089843</t>
        </is>
      </c>
    </row>
    <row r="328">
      <c r="A328" s="9" t="inlineStr">
        <is>
          <t>chains</t>
        </is>
      </c>
      <c r="B328" s="9" t="inlineStr">
        <is>
          <t>14K Solid Gold Beaded Ball Chain Necklace, Diamond Cut</t>
        </is>
      </c>
      <c r="C328" s="9" t="n">
        <v>1485089843</v>
      </c>
      <c r="D328" s="9" t="inlineStr">
        <is>
          <t>CM44F-18</t>
        </is>
      </c>
      <c r="E328" s="9" t="inlineStr">
        <is>
          <t>description</t>
        </is>
      </c>
      <c r="F328" s="10" t="n">
        <v>3369</v>
      </c>
      <c r="G328" s="18" t="n">
        <v>19.05</v>
      </c>
      <c r="H328" s="10">
        <f>IF(G328="","",G328*Ayarlar!$B$3+Ayarlar!$B$4+Ayarlar!$B$5)</f>
        <v/>
      </c>
      <c r="I328" s="10">
        <f>IF(G328="","",ROUNDUP(((G328*Ayarlar!$B$3+Ayarlar!$B$4+Ayarlar!$B$5)+Ayarlar!$B$8)/((1-Ayarlar!$B$6)*(1-Ayarlar!$B$7)),0))</f>
        <v/>
      </c>
      <c r="J328" s="10">
        <f>IF(G328="","",ROUNDUP(((G328*Ayarlar!$B$3+Ayarlar!$B$4+Ayarlar!$B$5)+Ayarlar!$B$8)/((1-Ayarlar!$B$6)*(1-Ayarlar!$B$7-Ayarlar!$B$9)),0))</f>
        <v/>
      </c>
      <c r="K328" s="12">
        <f>IF(OR(G328="",F328=""),"",(F328*(1-Ayarlar!$B$6)-(F328*(1-Ayarlar!$B$6)*Ayarlar!$B$7+Ayarlar!$B$8)-(G328*Ayarlar!$B$3+Ayarlar!$B$4+Ayarlar!$B$5))/(F328*(1-Ayarlar!$B$6)))</f>
        <v/>
      </c>
      <c r="L328" s="9">
        <f>IF(G328="","GRAM EKSİK",IF(F328&gt;30000,"FİYAT ŞÜPHELİ",IF(K328&lt;0,"ZARARDA",IF(F328&lt;I328,"RİSKLİ","ok"))))</f>
        <v/>
      </c>
      <c r="M328" s="13" t="inlineStr">
        <is>
          <t>https://www.etsy.com/listing/1485089843</t>
        </is>
      </c>
    </row>
    <row r="329">
      <c r="A329" s="3" t="inlineStr">
        <is>
          <t>chains</t>
        </is>
      </c>
      <c r="B329" s="3" t="inlineStr">
        <is>
          <t>14K Solid Gold Beaded Ball Chain Necklace, Diamond Cut</t>
        </is>
      </c>
      <c r="C329" s="3" t="n">
        <v>1485089843</v>
      </c>
      <c r="D329" s="3" t="inlineStr">
        <is>
          <t>CM44F-20</t>
        </is>
      </c>
      <c r="E329" s="3" t="inlineStr">
        <is>
          <t>description</t>
        </is>
      </c>
      <c r="F329" s="14" t="n">
        <v>3731</v>
      </c>
      <c r="G329" s="17" t="n">
        <v>21.17</v>
      </c>
      <c r="H329" s="14">
        <f>IF(G329="","",G329*Ayarlar!$B$3+Ayarlar!$B$4+Ayarlar!$B$5)</f>
        <v/>
      </c>
      <c r="I329" s="14">
        <f>IF(G329="","",ROUNDUP(((G329*Ayarlar!$B$3+Ayarlar!$B$4+Ayarlar!$B$5)+Ayarlar!$B$8)/((1-Ayarlar!$B$6)*(1-Ayarlar!$B$7)),0))</f>
        <v/>
      </c>
      <c r="J329" s="14">
        <f>IF(G329="","",ROUNDUP(((G329*Ayarlar!$B$3+Ayarlar!$B$4+Ayarlar!$B$5)+Ayarlar!$B$8)/((1-Ayarlar!$B$6)*(1-Ayarlar!$B$7-Ayarlar!$B$9)),0))</f>
        <v/>
      </c>
      <c r="K329" s="15">
        <f>IF(OR(G329="",F329=""),"",(F329*(1-Ayarlar!$B$6)-(F329*(1-Ayarlar!$B$6)*Ayarlar!$B$7+Ayarlar!$B$8)-(G329*Ayarlar!$B$3+Ayarlar!$B$4+Ayarlar!$B$5))/(F329*(1-Ayarlar!$B$6)))</f>
        <v/>
      </c>
      <c r="L329" s="3">
        <f>IF(G329="","GRAM EKSİK",IF(F329&gt;30000,"FİYAT ŞÜPHELİ",IF(K329&lt;0,"ZARARDA",IF(F329&lt;I329,"RİSKLİ","ok"))))</f>
        <v/>
      </c>
      <c r="M329" s="16" t="inlineStr">
        <is>
          <t>https://www.etsy.com/listing/1485089843</t>
        </is>
      </c>
    </row>
    <row r="330">
      <c r="A330" s="9" t="inlineStr">
        <is>
          <t>chains</t>
        </is>
      </c>
      <c r="B330" s="9" t="inlineStr">
        <is>
          <t>14K Solid Gold Beaded Ball Chain Necklace, Diamond Cut</t>
        </is>
      </c>
      <c r="C330" s="9" t="n">
        <v>1485089843</v>
      </c>
      <c r="D330" s="9" t="inlineStr">
        <is>
          <t>CM44F-22</t>
        </is>
      </c>
      <c r="E330" s="9" t="inlineStr">
        <is>
          <t>description</t>
        </is>
      </c>
      <c r="F330" s="10" t="n">
        <v>4091</v>
      </c>
      <c r="G330" s="18" t="n">
        <v>23.28</v>
      </c>
      <c r="H330" s="10">
        <f>IF(G330="","",G330*Ayarlar!$B$3+Ayarlar!$B$4+Ayarlar!$B$5)</f>
        <v/>
      </c>
      <c r="I330" s="10">
        <f>IF(G330="","",ROUNDUP(((G330*Ayarlar!$B$3+Ayarlar!$B$4+Ayarlar!$B$5)+Ayarlar!$B$8)/((1-Ayarlar!$B$6)*(1-Ayarlar!$B$7)),0))</f>
        <v/>
      </c>
      <c r="J330" s="10">
        <f>IF(G330="","",ROUNDUP(((G330*Ayarlar!$B$3+Ayarlar!$B$4+Ayarlar!$B$5)+Ayarlar!$B$8)/((1-Ayarlar!$B$6)*(1-Ayarlar!$B$7-Ayarlar!$B$9)),0))</f>
        <v/>
      </c>
      <c r="K330" s="12">
        <f>IF(OR(G330="",F330=""),"",(F330*(1-Ayarlar!$B$6)-(F330*(1-Ayarlar!$B$6)*Ayarlar!$B$7+Ayarlar!$B$8)-(G330*Ayarlar!$B$3+Ayarlar!$B$4+Ayarlar!$B$5))/(F330*(1-Ayarlar!$B$6)))</f>
        <v/>
      </c>
      <c r="L330" s="9">
        <f>IF(G330="","GRAM EKSİK",IF(F330&gt;30000,"FİYAT ŞÜPHELİ",IF(K330&lt;0,"ZARARDA",IF(F330&lt;I330,"RİSKLİ","ok"))))</f>
        <v/>
      </c>
      <c r="M330" s="13" t="inlineStr">
        <is>
          <t>https://www.etsy.com/listing/1485089843</t>
        </is>
      </c>
    </row>
    <row r="331">
      <c r="A331" s="3" t="inlineStr">
        <is>
          <t>chains</t>
        </is>
      </c>
      <c r="B331" s="3" t="inlineStr">
        <is>
          <t>14K Solid Gold Beaded Ball Chain Necklace, Diamond Cut</t>
        </is>
      </c>
      <c r="C331" s="3" t="n">
        <v>1485089843</v>
      </c>
      <c r="D331" s="3" t="inlineStr">
        <is>
          <t>CM44F-24</t>
        </is>
      </c>
      <c r="E331" s="3" t="inlineStr">
        <is>
          <t>description</t>
        </is>
      </c>
      <c r="F331" s="14" t="n">
        <v>4454</v>
      </c>
      <c r="G331" s="17" t="n">
        <v>25.4</v>
      </c>
      <c r="H331" s="14">
        <f>IF(G331="","",G331*Ayarlar!$B$3+Ayarlar!$B$4+Ayarlar!$B$5)</f>
        <v/>
      </c>
      <c r="I331" s="14">
        <f>IF(G331="","",ROUNDUP(((G331*Ayarlar!$B$3+Ayarlar!$B$4+Ayarlar!$B$5)+Ayarlar!$B$8)/((1-Ayarlar!$B$6)*(1-Ayarlar!$B$7)),0))</f>
        <v/>
      </c>
      <c r="J331" s="14">
        <f>IF(G331="","",ROUNDUP(((G331*Ayarlar!$B$3+Ayarlar!$B$4+Ayarlar!$B$5)+Ayarlar!$B$8)/((1-Ayarlar!$B$6)*(1-Ayarlar!$B$7-Ayarlar!$B$9)),0))</f>
        <v/>
      </c>
      <c r="K331" s="15">
        <f>IF(OR(G331="",F331=""),"",(F331*(1-Ayarlar!$B$6)-(F331*(1-Ayarlar!$B$6)*Ayarlar!$B$7+Ayarlar!$B$8)-(G331*Ayarlar!$B$3+Ayarlar!$B$4+Ayarlar!$B$5))/(F331*(1-Ayarlar!$B$6)))</f>
        <v/>
      </c>
      <c r="L331" s="3">
        <f>IF(G331="","GRAM EKSİK",IF(F331&gt;30000,"FİYAT ŞÜPHELİ",IF(K331&lt;0,"ZARARDA",IF(F331&lt;I331,"RİSKLİ","ok"))))</f>
        <v/>
      </c>
      <c r="M331" s="16" t="inlineStr">
        <is>
          <t>https://www.etsy.com/listing/1485089843</t>
        </is>
      </c>
    </row>
    <row r="332">
      <c r="A332" s="9" t="inlineStr">
        <is>
          <t>chains</t>
        </is>
      </c>
      <c r="B332" s="9" t="inlineStr">
        <is>
          <t>14K Solid Gold Diamond Cut Valentino Bracelet / Tri Color Li</t>
        </is>
      </c>
      <c r="C332" s="9" t="n">
        <v>1355681376</v>
      </c>
      <c r="D332" s="9" t="inlineStr">
        <is>
          <t>BVLN1F-7</t>
        </is>
      </c>
      <c r="E332" s="9" t="inlineStr">
        <is>
          <t>description</t>
        </is>
      </c>
      <c r="F332" s="10" t="n">
        <v>268</v>
      </c>
      <c r="G332" s="18" t="n">
        <v>1.6</v>
      </c>
      <c r="H332" s="10">
        <f>IF(G332="","",G332*Ayarlar!$B$3+Ayarlar!$B$4+Ayarlar!$B$5)</f>
        <v/>
      </c>
      <c r="I332" s="10">
        <f>IF(G332="","",ROUNDUP(((G332*Ayarlar!$B$3+Ayarlar!$B$4+Ayarlar!$B$5)+Ayarlar!$B$8)/((1-Ayarlar!$B$6)*(1-Ayarlar!$B$7)),0))</f>
        <v/>
      </c>
      <c r="J332" s="10">
        <f>IF(G332="","",ROUNDUP(((G332*Ayarlar!$B$3+Ayarlar!$B$4+Ayarlar!$B$5)+Ayarlar!$B$8)/((1-Ayarlar!$B$6)*(1-Ayarlar!$B$7-Ayarlar!$B$9)),0))</f>
        <v/>
      </c>
      <c r="K332" s="12">
        <f>IF(OR(G332="",F332=""),"",(F332*(1-Ayarlar!$B$6)-(F332*(1-Ayarlar!$B$6)*Ayarlar!$B$7+Ayarlar!$B$8)-(G332*Ayarlar!$B$3+Ayarlar!$B$4+Ayarlar!$B$5))/(F332*(1-Ayarlar!$B$6)))</f>
        <v/>
      </c>
      <c r="L332" s="9">
        <f>IF(G332="","GRAM EKSİK",IF(F332&gt;30000,"FİYAT ŞÜPHELİ",IF(K332&lt;0,"ZARARDA",IF(F332&lt;I332,"RİSKLİ","ok"))))</f>
        <v/>
      </c>
      <c r="M332" s="13" t="inlineStr">
        <is>
          <t>https://www.etsy.com/listing/1355681376</t>
        </is>
      </c>
    </row>
    <row r="333">
      <c r="A333" s="3" t="inlineStr">
        <is>
          <t>chains</t>
        </is>
      </c>
      <c r="B333" s="3" t="inlineStr">
        <is>
          <t>14K Solid Gold Diamond Cut Valentino Bracelet / Tri Color Li</t>
        </is>
      </c>
      <c r="C333" s="3" t="n">
        <v>1355681376</v>
      </c>
      <c r="D333" s="3" t="inlineStr">
        <is>
          <t>BVLN1F-7.5</t>
        </is>
      </c>
      <c r="E333" s="3" t="inlineStr">
        <is>
          <t>description</t>
        </is>
      </c>
      <c r="F333" s="14" t="n">
        <v>279</v>
      </c>
      <c r="G333" s="17" t="n">
        <v>1.6</v>
      </c>
      <c r="H333" s="14">
        <f>IF(G333="","",G333*Ayarlar!$B$3+Ayarlar!$B$4+Ayarlar!$B$5)</f>
        <v/>
      </c>
      <c r="I333" s="14">
        <f>IF(G333="","",ROUNDUP(((G333*Ayarlar!$B$3+Ayarlar!$B$4+Ayarlar!$B$5)+Ayarlar!$B$8)/((1-Ayarlar!$B$6)*(1-Ayarlar!$B$7)),0))</f>
        <v/>
      </c>
      <c r="J333" s="14">
        <f>IF(G333="","",ROUNDUP(((G333*Ayarlar!$B$3+Ayarlar!$B$4+Ayarlar!$B$5)+Ayarlar!$B$8)/((1-Ayarlar!$B$6)*(1-Ayarlar!$B$7-Ayarlar!$B$9)),0))</f>
        <v/>
      </c>
      <c r="K333" s="15">
        <f>IF(OR(G333="",F333=""),"",(F333*(1-Ayarlar!$B$6)-(F333*(1-Ayarlar!$B$6)*Ayarlar!$B$7+Ayarlar!$B$8)-(G333*Ayarlar!$B$3+Ayarlar!$B$4+Ayarlar!$B$5))/(F333*(1-Ayarlar!$B$6)))</f>
        <v/>
      </c>
      <c r="L333" s="3">
        <f>IF(G333="","GRAM EKSİK",IF(F333&gt;30000,"FİYAT ŞÜPHELİ",IF(K333&lt;0,"ZARARDA",IF(F333&lt;I333,"RİSKLİ","ok"))))</f>
        <v/>
      </c>
      <c r="M333" s="16" t="inlineStr">
        <is>
          <t>https://www.etsy.com/listing/1355681376</t>
        </is>
      </c>
    </row>
    <row r="334">
      <c r="A334" s="9" t="inlineStr">
        <is>
          <t>chains</t>
        </is>
      </c>
      <c r="B334" s="9" t="inlineStr">
        <is>
          <t>14K Solid Gold Diamond Cut Valentino Bracelet / Tri Color Li</t>
        </is>
      </c>
      <c r="C334" s="9" t="n">
        <v>1355681376</v>
      </c>
      <c r="D334" s="9" t="inlineStr">
        <is>
          <t>BVLN1F-8</t>
        </is>
      </c>
      <c r="E334" s="9" t="inlineStr">
        <is>
          <t>description</t>
        </is>
      </c>
      <c r="F334" s="10" t="n">
        <v>290</v>
      </c>
      <c r="G334" s="18" t="n">
        <v>1.6</v>
      </c>
      <c r="H334" s="10">
        <f>IF(G334="","",G334*Ayarlar!$B$3+Ayarlar!$B$4+Ayarlar!$B$5)</f>
        <v/>
      </c>
      <c r="I334" s="10">
        <f>IF(G334="","",ROUNDUP(((G334*Ayarlar!$B$3+Ayarlar!$B$4+Ayarlar!$B$5)+Ayarlar!$B$8)/((1-Ayarlar!$B$6)*(1-Ayarlar!$B$7)),0))</f>
        <v/>
      </c>
      <c r="J334" s="10">
        <f>IF(G334="","",ROUNDUP(((G334*Ayarlar!$B$3+Ayarlar!$B$4+Ayarlar!$B$5)+Ayarlar!$B$8)/((1-Ayarlar!$B$6)*(1-Ayarlar!$B$7-Ayarlar!$B$9)),0))</f>
        <v/>
      </c>
      <c r="K334" s="12">
        <f>IF(OR(G334="",F334=""),"",(F334*(1-Ayarlar!$B$6)-(F334*(1-Ayarlar!$B$6)*Ayarlar!$B$7+Ayarlar!$B$8)-(G334*Ayarlar!$B$3+Ayarlar!$B$4+Ayarlar!$B$5))/(F334*(1-Ayarlar!$B$6)))</f>
        <v/>
      </c>
      <c r="L334" s="9">
        <f>IF(G334="","GRAM EKSİK",IF(F334&gt;30000,"FİYAT ŞÜPHELİ",IF(K334&lt;0,"ZARARDA",IF(F334&lt;I334,"RİSKLİ","ok"))))</f>
        <v/>
      </c>
      <c r="M334" s="13" t="inlineStr">
        <is>
          <t>https://www.etsy.com/listing/1355681376</t>
        </is>
      </c>
    </row>
    <row r="335">
      <c r="A335" s="3" t="inlineStr">
        <is>
          <t>chains</t>
        </is>
      </c>
      <c r="B335" s="3" t="inlineStr">
        <is>
          <t>14K Solid Gold Diamond Cut Valentino Bracelet / Tri Color Li</t>
        </is>
      </c>
      <c r="C335" s="3" t="n">
        <v>1355681376</v>
      </c>
      <c r="D335" s="3" t="inlineStr">
        <is>
          <t>BVLN2F-7</t>
        </is>
      </c>
      <c r="E335" s="3" t="inlineStr">
        <is>
          <t>description</t>
        </is>
      </c>
      <c r="F335" s="14" t="n">
        <v>339</v>
      </c>
      <c r="G335" s="17" t="n">
        <v>2.21</v>
      </c>
      <c r="H335" s="14">
        <f>IF(G335="","",G335*Ayarlar!$B$3+Ayarlar!$B$4+Ayarlar!$B$5)</f>
        <v/>
      </c>
      <c r="I335" s="14">
        <f>IF(G335="","",ROUNDUP(((G335*Ayarlar!$B$3+Ayarlar!$B$4+Ayarlar!$B$5)+Ayarlar!$B$8)/((1-Ayarlar!$B$6)*(1-Ayarlar!$B$7)),0))</f>
        <v/>
      </c>
      <c r="J335" s="14">
        <f>IF(G335="","",ROUNDUP(((G335*Ayarlar!$B$3+Ayarlar!$B$4+Ayarlar!$B$5)+Ayarlar!$B$8)/((1-Ayarlar!$B$6)*(1-Ayarlar!$B$7-Ayarlar!$B$9)),0))</f>
        <v/>
      </c>
      <c r="K335" s="15">
        <f>IF(OR(G335="",F335=""),"",(F335*(1-Ayarlar!$B$6)-(F335*(1-Ayarlar!$B$6)*Ayarlar!$B$7+Ayarlar!$B$8)-(G335*Ayarlar!$B$3+Ayarlar!$B$4+Ayarlar!$B$5))/(F335*(1-Ayarlar!$B$6)))</f>
        <v/>
      </c>
      <c r="L335" s="3">
        <f>IF(G335="","GRAM EKSİK",IF(F335&gt;30000,"FİYAT ŞÜPHELİ",IF(K335&lt;0,"ZARARDA",IF(F335&lt;I335,"RİSKLİ","ok"))))</f>
        <v/>
      </c>
      <c r="M335" s="16" t="inlineStr">
        <is>
          <t>https://www.etsy.com/listing/1355681376</t>
        </is>
      </c>
    </row>
    <row r="336">
      <c r="A336" s="9" t="inlineStr">
        <is>
          <t>chains</t>
        </is>
      </c>
      <c r="B336" s="9" t="inlineStr">
        <is>
          <t>14K Solid Gold Diamond Cut Valentino Bracelet / Tri Color Li</t>
        </is>
      </c>
      <c r="C336" s="9" t="n">
        <v>1355681376</v>
      </c>
      <c r="D336" s="9" t="inlineStr">
        <is>
          <t>BVLN2F-7.5</t>
        </is>
      </c>
      <c r="E336" s="9" t="inlineStr">
        <is>
          <t>description</t>
        </is>
      </c>
      <c r="F336" s="10" t="n">
        <v>372</v>
      </c>
      <c r="G336" s="18" t="n">
        <v>2.21</v>
      </c>
      <c r="H336" s="10">
        <f>IF(G336="","",G336*Ayarlar!$B$3+Ayarlar!$B$4+Ayarlar!$B$5)</f>
        <v/>
      </c>
      <c r="I336" s="10">
        <f>IF(G336="","",ROUNDUP(((G336*Ayarlar!$B$3+Ayarlar!$B$4+Ayarlar!$B$5)+Ayarlar!$B$8)/((1-Ayarlar!$B$6)*(1-Ayarlar!$B$7)),0))</f>
        <v/>
      </c>
      <c r="J336" s="10">
        <f>IF(G336="","",ROUNDUP(((G336*Ayarlar!$B$3+Ayarlar!$B$4+Ayarlar!$B$5)+Ayarlar!$B$8)/((1-Ayarlar!$B$6)*(1-Ayarlar!$B$7-Ayarlar!$B$9)),0))</f>
        <v/>
      </c>
      <c r="K336" s="12">
        <f>IF(OR(G336="",F336=""),"",(F336*(1-Ayarlar!$B$6)-(F336*(1-Ayarlar!$B$6)*Ayarlar!$B$7+Ayarlar!$B$8)-(G336*Ayarlar!$B$3+Ayarlar!$B$4+Ayarlar!$B$5))/(F336*(1-Ayarlar!$B$6)))</f>
        <v/>
      </c>
      <c r="L336" s="9">
        <f>IF(G336="","GRAM EKSİK",IF(F336&gt;30000,"FİYAT ŞÜPHELİ",IF(K336&lt;0,"ZARARDA",IF(F336&lt;I336,"RİSKLİ","ok"))))</f>
        <v/>
      </c>
      <c r="M336" s="13" t="inlineStr">
        <is>
          <t>https://www.etsy.com/listing/1355681376</t>
        </is>
      </c>
    </row>
    <row r="337">
      <c r="A337" s="3" t="inlineStr">
        <is>
          <t>chains</t>
        </is>
      </c>
      <c r="B337" s="3" t="inlineStr">
        <is>
          <t>14K Solid Gold Diamond Cut Valentino Bracelet / Tri Color Li</t>
        </is>
      </c>
      <c r="C337" s="3" t="n">
        <v>1355681376</v>
      </c>
      <c r="D337" s="3" t="inlineStr">
        <is>
          <t>BVLN2F-8</t>
        </is>
      </c>
      <c r="E337" s="3" t="inlineStr">
        <is>
          <t>description</t>
        </is>
      </c>
      <c r="F337" s="14" t="n">
        <v>406</v>
      </c>
      <c r="G337" s="17" t="n">
        <v>2.21</v>
      </c>
      <c r="H337" s="14">
        <f>IF(G337="","",G337*Ayarlar!$B$3+Ayarlar!$B$4+Ayarlar!$B$5)</f>
        <v/>
      </c>
      <c r="I337" s="14">
        <f>IF(G337="","",ROUNDUP(((G337*Ayarlar!$B$3+Ayarlar!$B$4+Ayarlar!$B$5)+Ayarlar!$B$8)/((1-Ayarlar!$B$6)*(1-Ayarlar!$B$7)),0))</f>
        <v/>
      </c>
      <c r="J337" s="14">
        <f>IF(G337="","",ROUNDUP(((G337*Ayarlar!$B$3+Ayarlar!$B$4+Ayarlar!$B$5)+Ayarlar!$B$8)/((1-Ayarlar!$B$6)*(1-Ayarlar!$B$7-Ayarlar!$B$9)),0))</f>
        <v/>
      </c>
      <c r="K337" s="15">
        <f>IF(OR(G337="",F337=""),"",(F337*(1-Ayarlar!$B$6)-(F337*(1-Ayarlar!$B$6)*Ayarlar!$B$7+Ayarlar!$B$8)-(G337*Ayarlar!$B$3+Ayarlar!$B$4+Ayarlar!$B$5))/(F337*(1-Ayarlar!$B$6)))</f>
        <v/>
      </c>
      <c r="L337" s="3">
        <f>IF(G337="","GRAM EKSİK",IF(F337&gt;30000,"FİYAT ŞÜPHELİ",IF(K337&lt;0,"ZARARDA",IF(F337&lt;I337,"RİSKLİ","ok"))))</f>
        <v/>
      </c>
      <c r="M337" s="16" t="inlineStr">
        <is>
          <t>https://www.etsy.com/listing/1355681376</t>
        </is>
      </c>
    </row>
    <row r="338">
      <c r="A338" s="9" t="inlineStr">
        <is>
          <t>chains</t>
        </is>
      </c>
      <c r="B338" s="9" t="inlineStr">
        <is>
          <t>14K Solid Gold Diamond Cut Valentino Bracelet / Tri Color Li</t>
        </is>
      </c>
      <c r="C338" s="9" t="n">
        <v>1355681376</v>
      </c>
      <c r="D338" s="9" t="inlineStr">
        <is>
          <t>BVLN35F-7</t>
        </is>
      </c>
      <c r="E338" s="9" t="inlineStr">
        <is>
          <t>description</t>
        </is>
      </c>
      <c r="F338" s="10" t="n">
        <v>551</v>
      </c>
      <c r="G338" s="18" t="n">
        <v>3.09</v>
      </c>
      <c r="H338" s="10">
        <f>IF(G338="","",G338*Ayarlar!$B$3+Ayarlar!$B$4+Ayarlar!$B$5)</f>
        <v/>
      </c>
      <c r="I338" s="10">
        <f>IF(G338="","",ROUNDUP(((G338*Ayarlar!$B$3+Ayarlar!$B$4+Ayarlar!$B$5)+Ayarlar!$B$8)/((1-Ayarlar!$B$6)*(1-Ayarlar!$B$7)),0))</f>
        <v/>
      </c>
      <c r="J338" s="10">
        <f>IF(G338="","",ROUNDUP(((G338*Ayarlar!$B$3+Ayarlar!$B$4+Ayarlar!$B$5)+Ayarlar!$B$8)/((1-Ayarlar!$B$6)*(1-Ayarlar!$B$7-Ayarlar!$B$9)),0))</f>
        <v/>
      </c>
      <c r="K338" s="12">
        <f>IF(OR(G338="",F338=""),"",(F338*(1-Ayarlar!$B$6)-(F338*(1-Ayarlar!$B$6)*Ayarlar!$B$7+Ayarlar!$B$8)-(G338*Ayarlar!$B$3+Ayarlar!$B$4+Ayarlar!$B$5))/(F338*(1-Ayarlar!$B$6)))</f>
        <v/>
      </c>
      <c r="L338" s="9">
        <f>IF(G338="","GRAM EKSİK",IF(F338&gt;30000,"FİYAT ŞÜPHELİ",IF(K338&lt;0,"ZARARDA",IF(F338&lt;I338,"RİSKLİ","ok"))))</f>
        <v/>
      </c>
      <c r="M338" s="13" t="inlineStr">
        <is>
          <t>https://www.etsy.com/listing/1355681376</t>
        </is>
      </c>
    </row>
    <row r="339">
      <c r="A339" s="3" t="inlineStr">
        <is>
          <t>chains</t>
        </is>
      </c>
      <c r="B339" s="3" t="inlineStr">
        <is>
          <t>14K Solid Gold Diamond Cut Valentino Bracelet / Tri Color Li</t>
        </is>
      </c>
      <c r="C339" s="3" t="n">
        <v>1355681376</v>
      </c>
      <c r="D339" s="3" t="inlineStr">
        <is>
          <t>BVLN35F-7.5</t>
        </is>
      </c>
      <c r="E339" s="3" t="inlineStr">
        <is>
          <t>description</t>
        </is>
      </c>
      <c r="F339" s="14" t="n">
        <v>579</v>
      </c>
      <c r="G339" s="17" t="n">
        <v>3.09</v>
      </c>
      <c r="H339" s="14">
        <f>IF(G339="","",G339*Ayarlar!$B$3+Ayarlar!$B$4+Ayarlar!$B$5)</f>
        <v/>
      </c>
      <c r="I339" s="14">
        <f>IF(G339="","",ROUNDUP(((G339*Ayarlar!$B$3+Ayarlar!$B$4+Ayarlar!$B$5)+Ayarlar!$B$8)/((1-Ayarlar!$B$6)*(1-Ayarlar!$B$7)),0))</f>
        <v/>
      </c>
      <c r="J339" s="14">
        <f>IF(G339="","",ROUNDUP(((G339*Ayarlar!$B$3+Ayarlar!$B$4+Ayarlar!$B$5)+Ayarlar!$B$8)/((1-Ayarlar!$B$6)*(1-Ayarlar!$B$7-Ayarlar!$B$9)),0))</f>
        <v/>
      </c>
      <c r="K339" s="15">
        <f>IF(OR(G339="",F339=""),"",(F339*(1-Ayarlar!$B$6)-(F339*(1-Ayarlar!$B$6)*Ayarlar!$B$7+Ayarlar!$B$8)-(G339*Ayarlar!$B$3+Ayarlar!$B$4+Ayarlar!$B$5))/(F339*(1-Ayarlar!$B$6)))</f>
        <v/>
      </c>
      <c r="L339" s="3">
        <f>IF(G339="","GRAM EKSİK",IF(F339&gt;30000,"FİYAT ŞÜPHELİ",IF(K339&lt;0,"ZARARDA",IF(F339&lt;I339,"RİSKLİ","ok"))))</f>
        <v/>
      </c>
      <c r="M339" s="16" t="inlineStr">
        <is>
          <t>https://www.etsy.com/listing/1355681376</t>
        </is>
      </c>
    </row>
    <row r="340">
      <c r="A340" s="9" t="inlineStr">
        <is>
          <t>chains</t>
        </is>
      </c>
      <c r="B340" s="9" t="inlineStr">
        <is>
          <t>14K Solid Gold Diamond Cut Valentino Bracelet / Tri Color Li</t>
        </is>
      </c>
      <c r="C340" s="9" t="n">
        <v>1355681376</v>
      </c>
      <c r="D340" s="9" t="inlineStr">
        <is>
          <t>BVLN35F-8</t>
        </is>
      </c>
      <c r="E340" s="9" t="inlineStr">
        <is>
          <t>description</t>
        </is>
      </c>
      <c r="F340" s="10" t="n">
        <v>635</v>
      </c>
      <c r="G340" s="18" t="n">
        <v>3.09</v>
      </c>
      <c r="H340" s="10">
        <f>IF(G340="","",G340*Ayarlar!$B$3+Ayarlar!$B$4+Ayarlar!$B$5)</f>
        <v/>
      </c>
      <c r="I340" s="10">
        <f>IF(G340="","",ROUNDUP(((G340*Ayarlar!$B$3+Ayarlar!$B$4+Ayarlar!$B$5)+Ayarlar!$B$8)/((1-Ayarlar!$B$6)*(1-Ayarlar!$B$7)),0))</f>
        <v/>
      </c>
      <c r="J340" s="10">
        <f>IF(G340="","",ROUNDUP(((G340*Ayarlar!$B$3+Ayarlar!$B$4+Ayarlar!$B$5)+Ayarlar!$B$8)/((1-Ayarlar!$B$6)*(1-Ayarlar!$B$7-Ayarlar!$B$9)),0))</f>
        <v/>
      </c>
      <c r="K340" s="12">
        <f>IF(OR(G340="",F340=""),"",(F340*(1-Ayarlar!$B$6)-(F340*(1-Ayarlar!$B$6)*Ayarlar!$B$7+Ayarlar!$B$8)-(G340*Ayarlar!$B$3+Ayarlar!$B$4+Ayarlar!$B$5))/(F340*(1-Ayarlar!$B$6)))</f>
        <v/>
      </c>
      <c r="L340" s="9">
        <f>IF(G340="","GRAM EKSİK",IF(F340&gt;30000,"FİYAT ŞÜPHELİ",IF(K340&lt;0,"ZARARDA",IF(F340&lt;I340,"RİSKLİ","ok"))))</f>
        <v/>
      </c>
      <c r="M340" s="13" t="inlineStr">
        <is>
          <t>https://www.etsy.com/listing/1355681376</t>
        </is>
      </c>
    </row>
    <row r="341">
      <c r="A341" s="3" t="inlineStr">
        <is>
          <t>chains</t>
        </is>
      </c>
      <c r="B341" s="3" t="inlineStr">
        <is>
          <t>14K Solid Gold Diamond Cut Valentino Bracelet / Tri Color Li</t>
        </is>
      </c>
      <c r="C341" s="3" t="n">
        <v>1355681376</v>
      </c>
      <c r="D341" s="3" t="inlineStr">
        <is>
          <t>BVLN3F-7</t>
        </is>
      </c>
      <c r="E341" s="3" t="inlineStr">
        <is>
          <t>description</t>
        </is>
      </c>
      <c r="F341" s="14" t="n">
        <v>493</v>
      </c>
      <c r="G341" s="17" t="n">
        <v>2.8</v>
      </c>
      <c r="H341" s="14">
        <f>IF(G341="","",G341*Ayarlar!$B$3+Ayarlar!$B$4+Ayarlar!$B$5)</f>
        <v/>
      </c>
      <c r="I341" s="14">
        <f>IF(G341="","",ROUNDUP(((G341*Ayarlar!$B$3+Ayarlar!$B$4+Ayarlar!$B$5)+Ayarlar!$B$8)/((1-Ayarlar!$B$6)*(1-Ayarlar!$B$7)),0))</f>
        <v/>
      </c>
      <c r="J341" s="14">
        <f>IF(G341="","",ROUNDUP(((G341*Ayarlar!$B$3+Ayarlar!$B$4+Ayarlar!$B$5)+Ayarlar!$B$8)/((1-Ayarlar!$B$6)*(1-Ayarlar!$B$7-Ayarlar!$B$9)),0))</f>
        <v/>
      </c>
      <c r="K341" s="15">
        <f>IF(OR(G341="",F341=""),"",(F341*(1-Ayarlar!$B$6)-(F341*(1-Ayarlar!$B$6)*Ayarlar!$B$7+Ayarlar!$B$8)-(G341*Ayarlar!$B$3+Ayarlar!$B$4+Ayarlar!$B$5))/(F341*(1-Ayarlar!$B$6)))</f>
        <v/>
      </c>
      <c r="L341" s="3">
        <f>IF(G341="","GRAM EKSİK",IF(F341&gt;30000,"FİYAT ŞÜPHELİ",IF(K341&lt;0,"ZARARDA",IF(F341&lt;I341,"RİSKLİ","ok"))))</f>
        <v/>
      </c>
      <c r="M341" s="16" t="inlineStr">
        <is>
          <t>https://www.etsy.com/listing/1355681376</t>
        </is>
      </c>
    </row>
    <row r="342">
      <c r="A342" s="9" t="inlineStr">
        <is>
          <t>chains</t>
        </is>
      </c>
      <c r="B342" s="9" t="inlineStr">
        <is>
          <t>14K Solid Gold Diamond Cut Valentino Bracelet / Tri Color Li</t>
        </is>
      </c>
      <c r="C342" s="9" t="n">
        <v>1355681376</v>
      </c>
      <c r="D342" s="9" t="inlineStr">
        <is>
          <t>BVLN3F-7.5</t>
        </is>
      </c>
      <c r="E342" s="9" t="inlineStr">
        <is>
          <t>description</t>
        </is>
      </c>
      <c r="F342" s="10" t="n">
        <v>521</v>
      </c>
      <c r="G342" s="18" t="n">
        <v>2.8</v>
      </c>
      <c r="H342" s="10">
        <f>IF(G342="","",G342*Ayarlar!$B$3+Ayarlar!$B$4+Ayarlar!$B$5)</f>
        <v/>
      </c>
      <c r="I342" s="10">
        <f>IF(G342="","",ROUNDUP(((G342*Ayarlar!$B$3+Ayarlar!$B$4+Ayarlar!$B$5)+Ayarlar!$B$8)/((1-Ayarlar!$B$6)*(1-Ayarlar!$B$7)),0))</f>
        <v/>
      </c>
      <c r="J342" s="10">
        <f>IF(G342="","",ROUNDUP(((G342*Ayarlar!$B$3+Ayarlar!$B$4+Ayarlar!$B$5)+Ayarlar!$B$8)/((1-Ayarlar!$B$6)*(1-Ayarlar!$B$7-Ayarlar!$B$9)),0))</f>
        <v/>
      </c>
      <c r="K342" s="12">
        <f>IF(OR(G342="",F342=""),"",(F342*(1-Ayarlar!$B$6)-(F342*(1-Ayarlar!$B$6)*Ayarlar!$B$7+Ayarlar!$B$8)-(G342*Ayarlar!$B$3+Ayarlar!$B$4+Ayarlar!$B$5))/(F342*(1-Ayarlar!$B$6)))</f>
        <v/>
      </c>
      <c r="L342" s="9">
        <f>IF(G342="","GRAM EKSİK",IF(F342&gt;30000,"FİYAT ŞÜPHELİ",IF(K342&lt;0,"ZARARDA",IF(F342&lt;I342,"RİSKLİ","ok"))))</f>
        <v/>
      </c>
      <c r="M342" s="13" t="inlineStr">
        <is>
          <t>https://www.etsy.com/listing/1355681376</t>
        </is>
      </c>
    </row>
    <row r="343">
      <c r="A343" s="3" t="inlineStr">
        <is>
          <t>chains</t>
        </is>
      </c>
      <c r="B343" s="3" t="inlineStr">
        <is>
          <t>14K Solid Gold Diamond Cut Valentino Bracelet / Tri Color Li</t>
        </is>
      </c>
      <c r="C343" s="3" t="n">
        <v>1355681376</v>
      </c>
      <c r="D343" s="3" t="inlineStr">
        <is>
          <t>BVLN3F-8</t>
        </is>
      </c>
      <c r="E343" s="3" t="inlineStr">
        <is>
          <t>description</t>
        </is>
      </c>
      <c r="F343" s="14" t="n">
        <v>554</v>
      </c>
      <c r="G343" s="17" t="n">
        <v>2.8</v>
      </c>
      <c r="H343" s="14">
        <f>IF(G343="","",G343*Ayarlar!$B$3+Ayarlar!$B$4+Ayarlar!$B$5)</f>
        <v/>
      </c>
      <c r="I343" s="14">
        <f>IF(G343="","",ROUNDUP(((G343*Ayarlar!$B$3+Ayarlar!$B$4+Ayarlar!$B$5)+Ayarlar!$B$8)/((1-Ayarlar!$B$6)*(1-Ayarlar!$B$7)),0))</f>
        <v/>
      </c>
      <c r="J343" s="14">
        <f>IF(G343="","",ROUNDUP(((G343*Ayarlar!$B$3+Ayarlar!$B$4+Ayarlar!$B$5)+Ayarlar!$B$8)/((1-Ayarlar!$B$6)*(1-Ayarlar!$B$7-Ayarlar!$B$9)),0))</f>
        <v/>
      </c>
      <c r="K343" s="15">
        <f>IF(OR(G343="",F343=""),"",(F343*(1-Ayarlar!$B$6)-(F343*(1-Ayarlar!$B$6)*Ayarlar!$B$7+Ayarlar!$B$8)-(G343*Ayarlar!$B$3+Ayarlar!$B$4+Ayarlar!$B$5))/(F343*(1-Ayarlar!$B$6)))</f>
        <v/>
      </c>
      <c r="L343" s="3">
        <f>IF(G343="","GRAM EKSİK",IF(F343&gt;30000,"FİYAT ŞÜPHELİ",IF(K343&lt;0,"ZARARDA",IF(F343&lt;I343,"RİSKLİ","ok"))))</f>
        <v/>
      </c>
      <c r="M343" s="16" t="inlineStr">
        <is>
          <t>https://www.etsy.com/listing/1355681376</t>
        </is>
      </c>
    </row>
    <row r="344">
      <c r="A344" s="9" t="inlineStr">
        <is>
          <t>chains</t>
        </is>
      </c>
      <c r="B344" s="9" t="inlineStr">
        <is>
          <t>14K Solid Gold Diamond Cut Valentino Bracelet / Tri Color Li</t>
        </is>
      </c>
      <c r="C344" s="9" t="n">
        <v>1355681376</v>
      </c>
      <c r="D344" s="9" t="inlineStr">
        <is>
          <t>BVLN4F-7</t>
        </is>
      </c>
      <c r="E344" s="9" t="inlineStr">
        <is>
          <t>description</t>
        </is>
      </c>
      <c r="F344" s="10" t="n">
        <v>570</v>
      </c>
      <c r="G344" s="18" t="n">
        <v>3.57</v>
      </c>
      <c r="H344" s="10">
        <f>IF(G344="","",G344*Ayarlar!$B$3+Ayarlar!$B$4+Ayarlar!$B$5)</f>
        <v/>
      </c>
      <c r="I344" s="10">
        <f>IF(G344="","",ROUNDUP(((G344*Ayarlar!$B$3+Ayarlar!$B$4+Ayarlar!$B$5)+Ayarlar!$B$8)/((1-Ayarlar!$B$6)*(1-Ayarlar!$B$7)),0))</f>
        <v/>
      </c>
      <c r="J344" s="10">
        <f>IF(G344="","",ROUNDUP(((G344*Ayarlar!$B$3+Ayarlar!$B$4+Ayarlar!$B$5)+Ayarlar!$B$8)/((1-Ayarlar!$B$6)*(1-Ayarlar!$B$7-Ayarlar!$B$9)),0))</f>
        <v/>
      </c>
      <c r="K344" s="12">
        <f>IF(OR(G344="",F344=""),"",(F344*(1-Ayarlar!$B$6)-(F344*(1-Ayarlar!$B$6)*Ayarlar!$B$7+Ayarlar!$B$8)-(G344*Ayarlar!$B$3+Ayarlar!$B$4+Ayarlar!$B$5))/(F344*(1-Ayarlar!$B$6)))</f>
        <v/>
      </c>
      <c r="L344" s="9">
        <f>IF(G344="","GRAM EKSİK",IF(F344&gt;30000,"FİYAT ŞÜPHELİ",IF(K344&lt;0,"ZARARDA",IF(F344&lt;I344,"RİSKLİ","ok"))))</f>
        <v/>
      </c>
      <c r="M344" s="13" t="inlineStr">
        <is>
          <t>https://www.etsy.com/listing/1355681376</t>
        </is>
      </c>
    </row>
    <row r="345">
      <c r="A345" s="3" t="inlineStr">
        <is>
          <t>chains</t>
        </is>
      </c>
      <c r="B345" s="3" t="inlineStr">
        <is>
          <t>14K Solid Gold Diamond Cut Valentino Bracelet / Tri Color Li</t>
        </is>
      </c>
      <c r="C345" s="3" t="n">
        <v>1355681376</v>
      </c>
      <c r="D345" s="3" t="inlineStr">
        <is>
          <t>BVLN4F-7.5</t>
        </is>
      </c>
      <c r="E345" s="3" t="inlineStr">
        <is>
          <t>description</t>
        </is>
      </c>
      <c r="F345" s="14" t="n">
        <v>626</v>
      </c>
      <c r="G345" s="17" t="n">
        <v>3.57</v>
      </c>
      <c r="H345" s="14">
        <f>IF(G345="","",G345*Ayarlar!$B$3+Ayarlar!$B$4+Ayarlar!$B$5)</f>
        <v/>
      </c>
      <c r="I345" s="14">
        <f>IF(G345="","",ROUNDUP(((G345*Ayarlar!$B$3+Ayarlar!$B$4+Ayarlar!$B$5)+Ayarlar!$B$8)/((1-Ayarlar!$B$6)*(1-Ayarlar!$B$7)),0))</f>
        <v/>
      </c>
      <c r="J345" s="14">
        <f>IF(G345="","",ROUNDUP(((G345*Ayarlar!$B$3+Ayarlar!$B$4+Ayarlar!$B$5)+Ayarlar!$B$8)/((1-Ayarlar!$B$6)*(1-Ayarlar!$B$7-Ayarlar!$B$9)),0))</f>
        <v/>
      </c>
      <c r="K345" s="15">
        <f>IF(OR(G345="",F345=""),"",(F345*(1-Ayarlar!$B$6)-(F345*(1-Ayarlar!$B$6)*Ayarlar!$B$7+Ayarlar!$B$8)-(G345*Ayarlar!$B$3+Ayarlar!$B$4+Ayarlar!$B$5))/(F345*(1-Ayarlar!$B$6)))</f>
        <v/>
      </c>
      <c r="L345" s="3">
        <f>IF(G345="","GRAM EKSİK",IF(F345&gt;30000,"FİYAT ŞÜPHELİ",IF(K345&lt;0,"ZARARDA",IF(F345&lt;I345,"RİSKLİ","ok"))))</f>
        <v/>
      </c>
      <c r="M345" s="16" t="inlineStr">
        <is>
          <t>https://www.etsy.com/listing/1355681376</t>
        </is>
      </c>
    </row>
    <row r="346">
      <c r="A346" s="9" t="inlineStr">
        <is>
          <t>chains</t>
        </is>
      </c>
      <c r="B346" s="9" t="inlineStr">
        <is>
          <t>14K Solid Gold Diamond Cut Valentino Bracelet / Tri Color Li</t>
        </is>
      </c>
      <c r="C346" s="9" t="n">
        <v>1355681376</v>
      </c>
      <c r="D346" s="9" t="inlineStr">
        <is>
          <t>BVLN4F-8</t>
        </is>
      </c>
      <c r="E346" s="9" t="inlineStr">
        <is>
          <t>description</t>
        </is>
      </c>
      <c r="F346" s="10" t="n">
        <v>749</v>
      </c>
      <c r="G346" s="18" t="n">
        <v>3.57</v>
      </c>
      <c r="H346" s="10">
        <f>IF(G346="","",G346*Ayarlar!$B$3+Ayarlar!$B$4+Ayarlar!$B$5)</f>
        <v/>
      </c>
      <c r="I346" s="10">
        <f>IF(G346="","",ROUNDUP(((G346*Ayarlar!$B$3+Ayarlar!$B$4+Ayarlar!$B$5)+Ayarlar!$B$8)/((1-Ayarlar!$B$6)*(1-Ayarlar!$B$7)),0))</f>
        <v/>
      </c>
      <c r="J346" s="10">
        <f>IF(G346="","",ROUNDUP(((G346*Ayarlar!$B$3+Ayarlar!$B$4+Ayarlar!$B$5)+Ayarlar!$B$8)/((1-Ayarlar!$B$6)*(1-Ayarlar!$B$7-Ayarlar!$B$9)),0))</f>
        <v/>
      </c>
      <c r="K346" s="12">
        <f>IF(OR(G346="",F346=""),"",(F346*(1-Ayarlar!$B$6)-(F346*(1-Ayarlar!$B$6)*Ayarlar!$B$7+Ayarlar!$B$8)-(G346*Ayarlar!$B$3+Ayarlar!$B$4+Ayarlar!$B$5))/(F346*(1-Ayarlar!$B$6)))</f>
        <v/>
      </c>
      <c r="L346" s="9">
        <f>IF(G346="","GRAM EKSİK",IF(F346&gt;30000,"FİYAT ŞÜPHELİ",IF(K346&lt;0,"ZARARDA",IF(F346&lt;I346,"RİSKLİ","ok"))))</f>
        <v/>
      </c>
      <c r="M346" s="13" t="inlineStr">
        <is>
          <t>https://www.etsy.com/listing/1355681376</t>
        </is>
      </c>
    </row>
    <row r="347">
      <c r="A347" s="3" t="inlineStr">
        <is>
          <t>chains</t>
        </is>
      </c>
      <c r="B347" s="3" t="inlineStr">
        <is>
          <t>14K Solid Gold Diamond Cut Valentino Bracelet / Tri Color Li</t>
        </is>
      </c>
      <c r="C347" s="3" t="n">
        <v>1355681376</v>
      </c>
      <c r="D347" s="3" t="inlineStr">
        <is>
          <t>BVLN5F-7</t>
        </is>
      </c>
      <c r="E347" s="3" t="inlineStr">
        <is>
          <t>description</t>
        </is>
      </c>
      <c r="F347" s="14" t="n">
        <v>585</v>
      </c>
      <c r="G347" s="17" t="n">
        <v>4.03</v>
      </c>
      <c r="H347" s="14">
        <f>IF(G347="","",G347*Ayarlar!$B$3+Ayarlar!$B$4+Ayarlar!$B$5)</f>
        <v/>
      </c>
      <c r="I347" s="14">
        <f>IF(G347="","",ROUNDUP(((G347*Ayarlar!$B$3+Ayarlar!$B$4+Ayarlar!$B$5)+Ayarlar!$B$8)/((1-Ayarlar!$B$6)*(1-Ayarlar!$B$7)),0))</f>
        <v/>
      </c>
      <c r="J347" s="14">
        <f>IF(G347="","",ROUNDUP(((G347*Ayarlar!$B$3+Ayarlar!$B$4+Ayarlar!$B$5)+Ayarlar!$B$8)/((1-Ayarlar!$B$6)*(1-Ayarlar!$B$7-Ayarlar!$B$9)),0))</f>
        <v/>
      </c>
      <c r="K347" s="15">
        <f>IF(OR(G347="",F347=""),"",(F347*(1-Ayarlar!$B$6)-(F347*(1-Ayarlar!$B$6)*Ayarlar!$B$7+Ayarlar!$B$8)-(G347*Ayarlar!$B$3+Ayarlar!$B$4+Ayarlar!$B$5))/(F347*(1-Ayarlar!$B$6)))</f>
        <v/>
      </c>
      <c r="L347" s="3">
        <f>IF(G347="","GRAM EKSİK",IF(F347&gt;30000,"FİYAT ŞÜPHELİ",IF(K347&lt;0,"ZARARDA",IF(F347&lt;I347,"RİSKLİ","ok"))))</f>
        <v/>
      </c>
      <c r="M347" s="16" t="inlineStr">
        <is>
          <t>https://www.etsy.com/listing/1355681376</t>
        </is>
      </c>
    </row>
    <row r="348">
      <c r="A348" s="9" t="inlineStr">
        <is>
          <t>chains</t>
        </is>
      </c>
      <c r="B348" s="9" t="inlineStr">
        <is>
          <t>14K Solid Gold Diamond Cut Valentino Bracelet / Tri Color Li</t>
        </is>
      </c>
      <c r="C348" s="9" t="n">
        <v>1355681376</v>
      </c>
      <c r="D348" s="9" t="inlineStr">
        <is>
          <t>BVLN5F-7.5</t>
        </is>
      </c>
      <c r="E348" s="9" t="inlineStr">
        <is>
          <t>description</t>
        </is>
      </c>
      <c r="F348" s="10" t="n">
        <v>635</v>
      </c>
      <c r="G348" s="18" t="n">
        <v>4.03</v>
      </c>
      <c r="H348" s="10">
        <f>IF(G348="","",G348*Ayarlar!$B$3+Ayarlar!$B$4+Ayarlar!$B$5)</f>
        <v/>
      </c>
      <c r="I348" s="10">
        <f>IF(G348="","",ROUNDUP(((G348*Ayarlar!$B$3+Ayarlar!$B$4+Ayarlar!$B$5)+Ayarlar!$B$8)/((1-Ayarlar!$B$6)*(1-Ayarlar!$B$7)),0))</f>
        <v/>
      </c>
      <c r="J348" s="10">
        <f>IF(G348="","",ROUNDUP(((G348*Ayarlar!$B$3+Ayarlar!$B$4+Ayarlar!$B$5)+Ayarlar!$B$8)/((1-Ayarlar!$B$6)*(1-Ayarlar!$B$7-Ayarlar!$B$9)),0))</f>
        <v/>
      </c>
      <c r="K348" s="12">
        <f>IF(OR(G348="",F348=""),"",(F348*(1-Ayarlar!$B$6)-(F348*(1-Ayarlar!$B$6)*Ayarlar!$B$7+Ayarlar!$B$8)-(G348*Ayarlar!$B$3+Ayarlar!$B$4+Ayarlar!$B$5))/(F348*(1-Ayarlar!$B$6)))</f>
        <v/>
      </c>
      <c r="L348" s="9">
        <f>IF(G348="","GRAM EKSİK",IF(F348&gt;30000,"FİYAT ŞÜPHELİ",IF(K348&lt;0,"ZARARDA",IF(F348&lt;I348,"RİSKLİ","ok"))))</f>
        <v/>
      </c>
      <c r="M348" s="13" t="inlineStr">
        <is>
          <t>https://www.etsy.com/listing/1355681376</t>
        </is>
      </c>
    </row>
    <row r="349">
      <c r="A349" s="3" t="inlineStr">
        <is>
          <t>chains</t>
        </is>
      </c>
      <c r="B349" s="3" t="inlineStr">
        <is>
          <t>14K Solid Gold Diamond Cut Valentino Bracelet / Tri Color Li</t>
        </is>
      </c>
      <c r="C349" s="3" t="n">
        <v>1355681376</v>
      </c>
      <c r="D349" s="3" t="inlineStr">
        <is>
          <t>BVLN5F-8</t>
        </is>
      </c>
      <c r="E349" s="3" t="inlineStr">
        <is>
          <t>description</t>
        </is>
      </c>
      <c r="F349" s="14" t="n">
        <v>669</v>
      </c>
      <c r="G349" s="17" t="n">
        <v>4.03</v>
      </c>
      <c r="H349" s="14">
        <f>IF(G349="","",G349*Ayarlar!$B$3+Ayarlar!$B$4+Ayarlar!$B$5)</f>
        <v/>
      </c>
      <c r="I349" s="14">
        <f>IF(G349="","",ROUNDUP(((G349*Ayarlar!$B$3+Ayarlar!$B$4+Ayarlar!$B$5)+Ayarlar!$B$8)/((1-Ayarlar!$B$6)*(1-Ayarlar!$B$7)),0))</f>
        <v/>
      </c>
      <c r="J349" s="14">
        <f>IF(G349="","",ROUNDUP(((G349*Ayarlar!$B$3+Ayarlar!$B$4+Ayarlar!$B$5)+Ayarlar!$B$8)/((1-Ayarlar!$B$6)*(1-Ayarlar!$B$7-Ayarlar!$B$9)),0))</f>
        <v/>
      </c>
      <c r="K349" s="15">
        <f>IF(OR(G349="",F349=""),"",(F349*(1-Ayarlar!$B$6)-(F349*(1-Ayarlar!$B$6)*Ayarlar!$B$7+Ayarlar!$B$8)-(G349*Ayarlar!$B$3+Ayarlar!$B$4+Ayarlar!$B$5))/(F349*(1-Ayarlar!$B$6)))</f>
        <v/>
      </c>
      <c r="L349" s="3">
        <f>IF(G349="","GRAM EKSİK",IF(F349&gt;30000,"FİYAT ŞÜPHELİ",IF(K349&lt;0,"ZARARDA",IF(F349&lt;I349,"RİSKLİ","ok"))))</f>
        <v/>
      </c>
      <c r="M349" s="16" t="inlineStr">
        <is>
          <t>https://www.etsy.com/listing/1355681376</t>
        </is>
      </c>
    </row>
    <row r="350">
      <c r="A350" s="9" t="inlineStr">
        <is>
          <t>chains</t>
        </is>
      </c>
      <c r="B350" s="9" t="inlineStr">
        <is>
          <t>14K Solid Gold Diamond Cut Valentino Bracelet / Tri Color Li</t>
        </is>
      </c>
      <c r="C350" s="9" t="n">
        <v>1355681376</v>
      </c>
      <c r="D350" s="9" t="inlineStr">
        <is>
          <t>BVLN6F-7</t>
        </is>
      </c>
      <c r="E350" s="9" t="inlineStr">
        <is>
          <t>description</t>
        </is>
      </c>
      <c r="F350" s="10" t="n">
        <v>1224</v>
      </c>
      <c r="G350" s="18" t="n">
        <v>8.15</v>
      </c>
      <c r="H350" s="10">
        <f>IF(G350="","",G350*Ayarlar!$B$3+Ayarlar!$B$4+Ayarlar!$B$5)</f>
        <v/>
      </c>
      <c r="I350" s="10">
        <f>IF(G350="","",ROUNDUP(((G350*Ayarlar!$B$3+Ayarlar!$B$4+Ayarlar!$B$5)+Ayarlar!$B$8)/((1-Ayarlar!$B$6)*(1-Ayarlar!$B$7)),0))</f>
        <v/>
      </c>
      <c r="J350" s="10">
        <f>IF(G350="","",ROUNDUP(((G350*Ayarlar!$B$3+Ayarlar!$B$4+Ayarlar!$B$5)+Ayarlar!$B$8)/((1-Ayarlar!$B$6)*(1-Ayarlar!$B$7-Ayarlar!$B$9)),0))</f>
        <v/>
      </c>
      <c r="K350" s="12">
        <f>IF(OR(G350="",F350=""),"",(F350*(1-Ayarlar!$B$6)-(F350*(1-Ayarlar!$B$6)*Ayarlar!$B$7+Ayarlar!$B$8)-(G350*Ayarlar!$B$3+Ayarlar!$B$4+Ayarlar!$B$5))/(F350*(1-Ayarlar!$B$6)))</f>
        <v/>
      </c>
      <c r="L350" s="9">
        <f>IF(G350="","GRAM EKSİK",IF(F350&gt;30000,"FİYAT ŞÜPHELİ",IF(K350&lt;0,"ZARARDA",IF(F350&lt;I350,"RİSKLİ","ok"))))</f>
        <v/>
      </c>
      <c r="M350" s="13" t="inlineStr">
        <is>
          <t>https://www.etsy.com/listing/1355681376</t>
        </is>
      </c>
    </row>
    <row r="351">
      <c r="A351" s="3" t="inlineStr">
        <is>
          <t>chains</t>
        </is>
      </c>
      <c r="B351" s="3" t="inlineStr">
        <is>
          <t>14K Solid Gold Diamond Cut Valentino Bracelet / Tri Color Li</t>
        </is>
      </c>
      <c r="C351" s="3" t="n">
        <v>1355681376</v>
      </c>
      <c r="D351" s="3" t="inlineStr">
        <is>
          <t>BVLN6F-7.5</t>
        </is>
      </c>
      <c r="E351" s="3" t="inlineStr">
        <is>
          <t>description</t>
        </is>
      </c>
      <c r="F351" s="14" t="n">
        <v>1308</v>
      </c>
      <c r="G351" s="17" t="n">
        <v>8.15</v>
      </c>
      <c r="H351" s="14">
        <f>IF(G351="","",G351*Ayarlar!$B$3+Ayarlar!$B$4+Ayarlar!$B$5)</f>
        <v/>
      </c>
      <c r="I351" s="14">
        <f>IF(G351="","",ROUNDUP(((G351*Ayarlar!$B$3+Ayarlar!$B$4+Ayarlar!$B$5)+Ayarlar!$B$8)/((1-Ayarlar!$B$6)*(1-Ayarlar!$B$7)),0))</f>
        <v/>
      </c>
      <c r="J351" s="14">
        <f>IF(G351="","",ROUNDUP(((G351*Ayarlar!$B$3+Ayarlar!$B$4+Ayarlar!$B$5)+Ayarlar!$B$8)/((1-Ayarlar!$B$6)*(1-Ayarlar!$B$7-Ayarlar!$B$9)),0))</f>
        <v/>
      </c>
      <c r="K351" s="15">
        <f>IF(OR(G351="",F351=""),"",(F351*(1-Ayarlar!$B$6)-(F351*(1-Ayarlar!$B$6)*Ayarlar!$B$7+Ayarlar!$B$8)-(G351*Ayarlar!$B$3+Ayarlar!$B$4+Ayarlar!$B$5))/(F351*(1-Ayarlar!$B$6)))</f>
        <v/>
      </c>
      <c r="L351" s="3">
        <f>IF(G351="","GRAM EKSİK",IF(F351&gt;30000,"FİYAT ŞÜPHELİ",IF(K351&lt;0,"ZARARDA",IF(F351&lt;I351,"RİSKLİ","ok"))))</f>
        <v/>
      </c>
      <c r="M351" s="16" t="inlineStr">
        <is>
          <t>https://www.etsy.com/listing/1355681376</t>
        </is>
      </c>
    </row>
    <row r="352">
      <c r="A352" s="9" t="inlineStr">
        <is>
          <t>chains</t>
        </is>
      </c>
      <c r="B352" s="9" t="inlineStr">
        <is>
          <t>14K Solid Gold Diamond Cut Valentino Bracelet / Tri Color Li</t>
        </is>
      </c>
      <c r="C352" s="9" t="n">
        <v>1355681376</v>
      </c>
      <c r="D352" s="9" t="inlineStr">
        <is>
          <t>BVLN6F-8</t>
        </is>
      </c>
      <c r="E352" s="9" t="inlineStr">
        <is>
          <t>description</t>
        </is>
      </c>
      <c r="F352" s="10" t="n">
        <v>1392</v>
      </c>
      <c r="G352" s="18" t="n">
        <v>8.15</v>
      </c>
      <c r="H352" s="10">
        <f>IF(G352="","",G352*Ayarlar!$B$3+Ayarlar!$B$4+Ayarlar!$B$5)</f>
        <v/>
      </c>
      <c r="I352" s="10">
        <f>IF(G352="","",ROUNDUP(((G352*Ayarlar!$B$3+Ayarlar!$B$4+Ayarlar!$B$5)+Ayarlar!$B$8)/((1-Ayarlar!$B$6)*(1-Ayarlar!$B$7)),0))</f>
        <v/>
      </c>
      <c r="J352" s="10">
        <f>IF(G352="","",ROUNDUP(((G352*Ayarlar!$B$3+Ayarlar!$B$4+Ayarlar!$B$5)+Ayarlar!$B$8)/((1-Ayarlar!$B$6)*(1-Ayarlar!$B$7-Ayarlar!$B$9)),0))</f>
        <v/>
      </c>
      <c r="K352" s="12">
        <f>IF(OR(G352="",F352=""),"",(F352*(1-Ayarlar!$B$6)-(F352*(1-Ayarlar!$B$6)*Ayarlar!$B$7+Ayarlar!$B$8)-(G352*Ayarlar!$B$3+Ayarlar!$B$4+Ayarlar!$B$5))/(F352*(1-Ayarlar!$B$6)))</f>
        <v/>
      </c>
      <c r="L352" s="9">
        <f>IF(G352="","GRAM EKSİK",IF(F352&gt;30000,"FİYAT ŞÜPHELİ",IF(K352&lt;0,"ZARARDA",IF(F352&lt;I352,"RİSKLİ","ok"))))</f>
        <v/>
      </c>
      <c r="M352" s="13" t="inlineStr">
        <is>
          <t>https://www.etsy.com/listing/1355681376</t>
        </is>
      </c>
    </row>
    <row r="353">
      <c r="A353" s="3" t="inlineStr">
        <is>
          <t>chains</t>
        </is>
      </c>
      <c r="B353" s="3" t="inlineStr">
        <is>
          <t xml:space="preserve">14K Solid Gold Paperclip Chain Necklace – Dainty Minimalist </t>
        </is>
      </c>
      <c r="C353" s="3" t="n">
        <v>1863543744</v>
      </c>
      <c r="D353" s="3" t="inlineStr">
        <is>
          <t>CSP37-16</t>
        </is>
      </c>
      <c r="E353" s="3" t="inlineStr">
        <is>
          <t>description</t>
        </is>
      </c>
      <c r="F353" s="14" t="n">
        <v>1565</v>
      </c>
      <c r="G353" s="17" t="n">
        <v>8.92</v>
      </c>
      <c r="H353" s="14">
        <f>IF(G353="","",G353*Ayarlar!$B$3+Ayarlar!$B$4+Ayarlar!$B$5)</f>
        <v/>
      </c>
      <c r="I353" s="14">
        <f>IF(G353="","",ROUNDUP(((G353*Ayarlar!$B$3+Ayarlar!$B$4+Ayarlar!$B$5)+Ayarlar!$B$8)/((1-Ayarlar!$B$6)*(1-Ayarlar!$B$7)),0))</f>
        <v/>
      </c>
      <c r="J353" s="14">
        <f>IF(G353="","",ROUNDUP(((G353*Ayarlar!$B$3+Ayarlar!$B$4+Ayarlar!$B$5)+Ayarlar!$B$8)/((1-Ayarlar!$B$6)*(1-Ayarlar!$B$7-Ayarlar!$B$9)),0))</f>
        <v/>
      </c>
      <c r="K353" s="15">
        <f>IF(OR(G353="",F353=""),"",(F353*(1-Ayarlar!$B$6)-(F353*(1-Ayarlar!$B$6)*Ayarlar!$B$7+Ayarlar!$B$8)-(G353*Ayarlar!$B$3+Ayarlar!$B$4+Ayarlar!$B$5))/(F353*(1-Ayarlar!$B$6)))</f>
        <v/>
      </c>
      <c r="L353" s="3">
        <f>IF(G353="","GRAM EKSİK",IF(F353&gt;30000,"FİYAT ŞÜPHELİ",IF(K353&lt;0,"ZARARDA",IF(F353&lt;I353,"RİSKLİ","ok"))))</f>
        <v/>
      </c>
      <c r="M353" s="16" t="inlineStr">
        <is>
          <t>https://www.etsy.com/listing/1863543744</t>
        </is>
      </c>
    </row>
    <row r="354">
      <c r="A354" s="9" t="inlineStr">
        <is>
          <t>chains</t>
        </is>
      </c>
      <c r="B354" s="9" t="inlineStr">
        <is>
          <t xml:space="preserve">14K Solid Gold Paperclip Chain Necklace – Dainty Minimalist </t>
        </is>
      </c>
      <c r="C354" s="9" t="n">
        <v>1863543744</v>
      </c>
      <c r="D354" s="9" t="inlineStr">
        <is>
          <t>CSP37-18</t>
        </is>
      </c>
      <c r="E354" s="9" t="inlineStr">
        <is>
          <t>description</t>
        </is>
      </c>
      <c r="F354" s="10" t="n">
        <v>1804</v>
      </c>
      <c r="G354" s="18" t="n">
        <v>10.04</v>
      </c>
      <c r="H354" s="10">
        <f>IF(G354="","",G354*Ayarlar!$B$3+Ayarlar!$B$4+Ayarlar!$B$5)</f>
        <v/>
      </c>
      <c r="I354" s="10">
        <f>IF(G354="","",ROUNDUP(((G354*Ayarlar!$B$3+Ayarlar!$B$4+Ayarlar!$B$5)+Ayarlar!$B$8)/((1-Ayarlar!$B$6)*(1-Ayarlar!$B$7)),0))</f>
        <v/>
      </c>
      <c r="J354" s="10">
        <f>IF(G354="","",ROUNDUP(((G354*Ayarlar!$B$3+Ayarlar!$B$4+Ayarlar!$B$5)+Ayarlar!$B$8)/((1-Ayarlar!$B$6)*(1-Ayarlar!$B$7-Ayarlar!$B$9)),0))</f>
        <v/>
      </c>
      <c r="K354" s="12">
        <f>IF(OR(G354="",F354=""),"",(F354*(1-Ayarlar!$B$6)-(F354*(1-Ayarlar!$B$6)*Ayarlar!$B$7+Ayarlar!$B$8)-(G354*Ayarlar!$B$3+Ayarlar!$B$4+Ayarlar!$B$5))/(F354*(1-Ayarlar!$B$6)))</f>
        <v/>
      </c>
      <c r="L354" s="9">
        <f>IF(G354="","GRAM EKSİK",IF(F354&gt;30000,"FİYAT ŞÜPHELİ",IF(K354&lt;0,"ZARARDA",IF(F354&lt;I354,"RİSKLİ","ok"))))</f>
        <v/>
      </c>
      <c r="M354" s="13" t="inlineStr">
        <is>
          <t>https://www.etsy.com/listing/1863543744</t>
        </is>
      </c>
    </row>
    <row r="355">
      <c r="A355" s="3" t="inlineStr">
        <is>
          <t>chains</t>
        </is>
      </c>
      <c r="B355" s="3" t="inlineStr">
        <is>
          <t xml:space="preserve">14K Solid Gold Paperclip Chain Necklace – Dainty Minimalist </t>
        </is>
      </c>
      <c r="C355" s="3" t="n">
        <v>1863543744</v>
      </c>
      <c r="D355" s="3" t="inlineStr">
        <is>
          <t>CSP37-20</t>
        </is>
      </c>
      <c r="E355" s="3" t="inlineStr">
        <is>
          <t>description</t>
        </is>
      </c>
      <c r="F355" s="14" t="n">
        <v>1985</v>
      </c>
      <c r="G355" s="17" t="n">
        <v>11.15</v>
      </c>
      <c r="H355" s="14">
        <f>IF(G355="","",G355*Ayarlar!$B$3+Ayarlar!$B$4+Ayarlar!$B$5)</f>
        <v/>
      </c>
      <c r="I355" s="14">
        <f>IF(G355="","",ROUNDUP(((G355*Ayarlar!$B$3+Ayarlar!$B$4+Ayarlar!$B$5)+Ayarlar!$B$8)/((1-Ayarlar!$B$6)*(1-Ayarlar!$B$7)),0))</f>
        <v/>
      </c>
      <c r="J355" s="14">
        <f>IF(G355="","",ROUNDUP(((G355*Ayarlar!$B$3+Ayarlar!$B$4+Ayarlar!$B$5)+Ayarlar!$B$8)/((1-Ayarlar!$B$6)*(1-Ayarlar!$B$7-Ayarlar!$B$9)),0))</f>
        <v/>
      </c>
      <c r="K355" s="15">
        <f>IF(OR(G355="",F355=""),"",(F355*(1-Ayarlar!$B$6)-(F355*(1-Ayarlar!$B$6)*Ayarlar!$B$7+Ayarlar!$B$8)-(G355*Ayarlar!$B$3+Ayarlar!$B$4+Ayarlar!$B$5))/(F355*(1-Ayarlar!$B$6)))</f>
        <v/>
      </c>
      <c r="L355" s="3">
        <f>IF(G355="","GRAM EKSİK",IF(F355&gt;30000,"FİYAT ŞÜPHELİ",IF(K355&lt;0,"ZARARDA",IF(F355&lt;I355,"RİSKLİ","ok"))))</f>
        <v/>
      </c>
      <c r="M355" s="16" t="inlineStr">
        <is>
          <t>https://www.etsy.com/listing/1863543744</t>
        </is>
      </c>
    </row>
    <row r="356">
      <c r="A356" s="9" t="inlineStr">
        <is>
          <t>chains</t>
        </is>
      </c>
      <c r="B356" s="9" t="inlineStr">
        <is>
          <t xml:space="preserve">14K Solid Gold Paperclip Chain Necklace – Dainty Minimalist </t>
        </is>
      </c>
      <c r="C356" s="9" t="n">
        <v>1863543744</v>
      </c>
      <c r="D356" s="9" t="inlineStr">
        <is>
          <t>CSP37-22</t>
        </is>
      </c>
      <c r="E356" s="9" t="inlineStr">
        <is>
          <t>description</t>
        </is>
      </c>
      <c r="F356" s="10" t="n">
        <v>2166</v>
      </c>
      <c r="G356" s="18" t="n">
        <v>12.27</v>
      </c>
      <c r="H356" s="10">
        <f>IF(G356="","",G356*Ayarlar!$B$3+Ayarlar!$B$4+Ayarlar!$B$5)</f>
        <v/>
      </c>
      <c r="I356" s="10">
        <f>IF(G356="","",ROUNDUP(((G356*Ayarlar!$B$3+Ayarlar!$B$4+Ayarlar!$B$5)+Ayarlar!$B$8)/((1-Ayarlar!$B$6)*(1-Ayarlar!$B$7)),0))</f>
        <v/>
      </c>
      <c r="J356" s="10">
        <f>IF(G356="","",ROUNDUP(((G356*Ayarlar!$B$3+Ayarlar!$B$4+Ayarlar!$B$5)+Ayarlar!$B$8)/((1-Ayarlar!$B$6)*(1-Ayarlar!$B$7-Ayarlar!$B$9)),0))</f>
        <v/>
      </c>
      <c r="K356" s="12">
        <f>IF(OR(G356="",F356=""),"",(F356*(1-Ayarlar!$B$6)-(F356*(1-Ayarlar!$B$6)*Ayarlar!$B$7+Ayarlar!$B$8)-(G356*Ayarlar!$B$3+Ayarlar!$B$4+Ayarlar!$B$5))/(F356*(1-Ayarlar!$B$6)))</f>
        <v/>
      </c>
      <c r="L356" s="9">
        <f>IF(G356="","GRAM EKSİK",IF(F356&gt;30000,"FİYAT ŞÜPHELİ",IF(K356&lt;0,"ZARARDA",IF(F356&lt;I356,"RİSKLİ","ok"))))</f>
        <v/>
      </c>
      <c r="M356" s="13" t="inlineStr">
        <is>
          <t>https://www.etsy.com/listing/1863543744</t>
        </is>
      </c>
    </row>
    <row r="357">
      <c r="A357" s="3" t="inlineStr">
        <is>
          <t>chains</t>
        </is>
      </c>
      <c r="B357" s="3" t="inlineStr">
        <is>
          <t xml:space="preserve">14K Solid Gold Paperclip Chain Necklace – Dainty Minimalist </t>
        </is>
      </c>
      <c r="C357" s="3" t="n">
        <v>1863543744</v>
      </c>
      <c r="D357" s="3" t="inlineStr">
        <is>
          <t>CSP37-24</t>
        </is>
      </c>
      <c r="E357" s="3" t="inlineStr">
        <is>
          <t>description</t>
        </is>
      </c>
      <c r="F357" s="14" t="n">
        <v>2347</v>
      </c>
      <c r="G357" s="17" t="n">
        <v>13.38</v>
      </c>
      <c r="H357" s="14">
        <f>IF(G357="","",G357*Ayarlar!$B$3+Ayarlar!$B$4+Ayarlar!$B$5)</f>
        <v/>
      </c>
      <c r="I357" s="14">
        <f>IF(G357="","",ROUNDUP(((G357*Ayarlar!$B$3+Ayarlar!$B$4+Ayarlar!$B$5)+Ayarlar!$B$8)/((1-Ayarlar!$B$6)*(1-Ayarlar!$B$7)),0))</f>
        <v/>
      </c>
      <c r="J357" s="14">
        <f>IF(G357="","",ROUNDUP(((G357*Ayarlar!$B$3+Ayarlar!$B$4+Ayarlar!$B$5)+Ayarlar!$B$8)/((1-Ayarlar!$B$6)*(1-Ayarlar!$B$7-Ayarlar!$B$9)),0))</f>
        <v/>
      </c>
      <c r="K357" s="15">
        <f>IF(OR(G357="",F357=""),"",(F357*(1-Ayarlar!$B$6)-(F357*(1-Ayarlar!$B$6)*Ayarlar!$B$7+Ayarlar!$B$8)-(G357*Ayarlar!$B$3+Ayarlar!$B$4+Ayarlar!$B$5))/(F357*(1-Ayarlar!$B$6)))</f>
        <v/>
      </c>
      <c r="L357" s="3">
        <f>IF(G357="","GRAM EKSİK",IF(F357&gt;30000,"FİYAT ŞÜPHELİ",IF(K357&lt;0,"ZARARDA",IF(F357&lt;I357,"RİSKLİ","ok"))))</f>
        <v/>
      </c>
      <c r="M357" s="16" t="inlineStr">
        <is>
          <t>https://www.etsy.com/listing/1863543744</t>
        </is>
      </c>
    </row>
    <row r="358">
      <c r="A358" s="9" t="inlineStr">
        <is>
          <t>chains</t>
        </is>
      </c>
      <c r="B358" s="9" t="inlineStr">
        <is>
          <t xml:space="preserve">14K Solid Gold Paperclip Chain Necklace – Dainty Minimalist </t>
        </is>
      </c>
      <c r="C358" s="9" t="n">
        <v>1863543744</v>
      </c>
      <c r="D358" s="9" t="inlineStr">
        <is>
          <t>CSP48-16</t>
        </is>
      </c>
      <c r="E358" s="9" t="inlineStr">
        <is>
          <t>description</t>
        </is>
      </c>
      <c r="F358" s="10" t="n">
        <v>3837</v>
      </c>
      <c r="G358" s="18" t="n">
        <v>19.67</v>
      </c>
      <c r="H358" s="10">
        <f>IF(G358="","",G358*Ayarlar!$B$3+Ayarlar!$B$4+Ayarlar!$B$5)</f>
        <v/>
      </c>
      <c r="I358" s="10">
        <f>IF(G358="","",ROUNDUP(((G358*Ayarlar!$B$3+Ayarlar!$B$4+Ayarlar!$B$5)+Ayarlar!$B$8)/((1-Ayarlar!$B$6)*(1-Ayarlar!$B$7)),0))</f>
        <v/>
      </c>
      <c r="J358" s="10">
        <f>IF(G358="","",ROUNDUP(((G358*Ayarlar!$B$3+Ayarlar!$B$4+Ayarlar!$B$5)+Ayarlar!$B$8)/((1-Ayarlar!$B$6)*(1-Ayarlar!$B$7-Ayarlar!$B$9)),0))</f>
        <v/>
      </c>
      <c r="K358" s="12">
        <f>IF(OR(G358="",F358=""),"",(F358*(1-Ayarlar!$B$6)-(F358*(1-Ayarlar!$B$6)*Ayarlar!$B$7+Ayarlar!$B$8)-(G358*Ayarlar!$B$3+Ayarlar!$B$4+Ayarlar!$B$5))/(F358*(1-Ayarlar!$B$6)))</f>
        <v/>
      </c>
      <c r="L358" s="9">
        <f>IF(G358="","GRAM EKSİK",IF(F358&gt;30000,"FİYAT ŞÜPHELİ",IF(K358&lt;0,"ZARARDA",IF(F358&lt;I358,"RİSKLİ","ok"))))</f>
        <v/>
      </c>
      <c r="M358" s="13" t="inlineStr">
        <is>
          <t>https://www.etsy.com/listing/1863543744</t>
        </is>
      </c>
    </row>
    <row r="359">
      <c r="A359" s="3" t="inlineStr">
        <is>
          <t>chains</t>
        </is>
      </c>
      <c r="B359" s="3" t="inlineStr">
        <is>
          <t xml:space="preserve">14K Solid Gold Paperclip Chain Necklace – Dainty Minimalist </t>
        </is>
      </c>
      <c r="C359" s="3" t="n">
        <v>1863543744</v>
      </c>
      <c r="D359" s="3" t="inlineStr">
        <is>
          <t>CSP48-18</t>
        </is>
      </c>
      <c r="E359" s="3" t="inlineStr">
        <is>
          <t>description</t>
        </is>
      </c>
      <c r="F359" s="14" t="n">
        <v>4084</v>
      </c>
      <c r="G359" s="17" t="n">
        <v>22.13</v>
      </c>
      <c r="H359" s="14">
        <f>IF(G359="","",G359*Ayarlar!$B$3+Ayarlar!$B$4+Ayarlar!$B$5)</f>
        <v/>
      </c>
      <c r="I359" s="14">
        <f>IF(G359="","",ROUNDUP(((G359*Ayarlar!$B$3+Ayarlar!$B$4+Ayarlar!$B$5)+Ayarlar!$B$8)/((1-Ayarlar!$B$6)*(1-Ayarlar!$B$7)),0))</f>
        <v/>
      </c>
      <c r="J359" s="14">
        <f>IF(G359="","",ROUNDUP(((G359*Ayarlar!$B$3+Ayarlar!$B$4+Ayarlar!$B$5)+Ayarlar!$B$8)/((1-Ayarlar!$B$6)*(1-Ayarlar!$B$7-Ayarlar!$B$9)),0))</f>
        <v/>
      </c>
      <c r="K359" s="15">
        <f>IF(OR(G359="",F359=""),"",(F359*(1-Ayarlar!$B$6)-(F359*(1-Ayarlar!$B$6)*Ayarlar!$B$7+Ayarlar!$B$8)-(G359*Ayarlar!$B$3+Ayarlar!$B$4+Ayarlar!$B$5))/(F359*(1-Ayarlar!$B$6)))</f>
        <v/>
      </c>
      <c r="L359" s="3">
        <f>IF(G359="","GRAM EKSİK",IF(F359&gt;30000,"FİYAT ŞÜPHELİ",IF(K359&lt;0,"ZARARDA",IF(F359&lt;I359,"RİSKLİ","ok"))))</f>
        <v/>
      </c>
      <c r="M359" s="16" t="inlineStr">
        <is>
          <t>https://www.etsy.com/listing/1863543744</t>
        </is>
      </c>
    </row>
    <row r="360">
      <c r="A360" s="9" t="inlineStr">
        <is>
          <t>chains</t>
        </is>
      </c>
      <c r="B360" s="9" t="inlineStr">
        <is>
          <t xml:space="preserve">14K Solid Gold Paperclip Chain Necklace – Dainty Minimalist </t>
        </is>
      </c>
      <c r="C360" s="9" t="n">
        <v>1863543744</v>
      </c>
      <c r="D360" s="9" t="inlineStr">
        <is>
          <t>CSP48-20</t>
        </is>
      </c>
      <c r="E360" s="9" t="inlineStr">
        <is>
          <t>description</t>
        </is>
      </c>
      <c r="F360" s="10" t="n">
        <v>2707</v>
      </c>
      <c r="G360" s="18" t="n">
        <v>24.58</v>
      </c>
      <c r="H360" s="10">
        <f>IF(G360="","",G360*Ayarlar!$B$3+Ayarlar!$B$4+Ayarlar!$B$5)</f>
        <v/>
      </c>
      <c r="I360" s="10">
        <f>IF(G360="","",ROUNDUP(((G360*Ayarlar!$B$3+Ayarlar!$B$4+Ayarlar!$B$5)+Ayarlar!$B$8)/((1-Ayarlar!$B$6)*(1-Ayarlar!$B$7)),0))</f>
        <v/>
      </c>
      <c r="J360" s="10">
        <f>IF(G360="","",ROUNDUP(((G360*Ayarlar!$B$3+Ayarlar!$B$4+Ayarlar!$B$5)+Ayarlar!$B$8)/((1-Ayarlar!$B$6)*(1-Ayarlar!$B$7-Ayarlar!$B$9)),0))</f>
        <v/>
      </c>
      <c r="K360" s="12">
        <f>IF(OR(G360="",F360=""),"",(F360*(1-Ayarlar!$B$6)-(F360*(1-Ayarlar!$B$6)*Ayarlar!$B$7+Ayarlar!$B$8)-(G360*Ayarlar!$B$3+Ayarlar!$B$4+Ayarlar!$B$5))/(F360*(1-Ayarlar!$B$6)))</f>
        <v/>
      </c>
      <c r="L360" s="9">
        <f>IF(G360="","GRAM EKSİK",IF(F360&gt;30000,"FİYAT ŞÜPHELİ",IF(K360&lt;0,"ZARARDA",IF(F360&lt;I360,"RİSKLİ","ok"))))</f>
        <v/>
      </c>
      <c r="M360" s="13" t="inlineStr">
        <is>
          <t>https://www.etsy.com/listing/1863543744</t>
        </is>
      </c>
    </row>
    <row r="361">
      <c r="A361" s="3" t="inlineStr">
        <is>
          <t>chains</t>
        </is>
      </c>
      <c r="B361" s="3" t="inlineStr">
        <is>
          <t xml:space="preserve">14K Solid Gold Paperclip Chain Necklace – Dainty Minimalist </t>
        </is>
      </c>
      <c r="C361" s="3" t="n">
        <v>1863543744</v>
      </c>
      <c r="D361" s="3" t="inlineStr">
        <is>
          <t>CSP48-22</t>
        </is>
      </c>
      <c r="E361" s="3" t="inlineStr">
        <is>
          <t>description</t>
        </is>
      </c>
      <c r="F361" s="14" t="n">
        <v>4697</v>
      </c>
      <c r="G361" s="17" t="n">
        <v>27.04</v>
      </c>
      <c r="H361" s="14">
        <f>IF(G361="","",G361*Ayarlar!$B$3+Ayarlar!$B$4+Ayarlar!$B$5)</f>
        <v/>
      </c>
      <c r="I361" s="14">
        <f>IF(G361="","",ROUNDUP(((G361*Ayarlar!$B$3+Ayarlar!$B$4+Ayarlar!$B$5)+Ayarlar!$B$8)/((1-Ayarlar!$B$6)*(1-Ayarlar!$B$7)),0))</f>
        <v/>
      </c>
      <c r="J361" s="14">
        <f>IF(G361="","",ROUNDUP(((G361*Ayarlar!$B$3+Ayarlar!$B$4+Ayarlar!$B$5)+Ayarlar!$B$8)/((1-Ayarlar!$B$6)*(1-Ayarlar!$B$7-Ayarlar!$B$9)),0))</f>
        <v/>
      </c>
      <c r="K361" s="15">
        <f>IF(OR(G361="",F361=""),"",(F361*(1-Ayarlar!$B$6)-(F361*(1-Ayarlar!$B$6)*Ayarlar!$B$7+Ayarlar!$B$8)-(G361*Ayarlar!$B$3+Ayarlar!$B$4+Ayarlar!$B$5))/(F361*(1-Ayarlar!$B$6)))</f>
        <v/>
      </c>
      <c r="L361" s="3">
        <f>IF(G361="","GRAM EKSİK",IF(F361&gt;30000,"FİYAT ŞÜPHELİ",IF(K361&lt;0,"ZARARDA",IF(F361&lt;I361,"RİSKLİ","ok"))))</f>
        <v/>
      </c>
      <c r="M361" s="16" t="inlineStr">
        <is>
          <t>https://www.etsy.com/listing/1863543744</t>
        </is>
      </c>
    </row>
    <row r="362">
      <c r="A362" s="9" t="inlineStr">
        <is>
          <t>chains</t>
        </is>
      </c>
      <c r="B362" s="9" t="inlineStr">
        <is>
          <t xml:space="preserve">14K Solid Gold Paperclip Chain Necklace – Dainty Minimalist </t>
        </is>
      </c>
      <c r="C362" s="9" t="n">
        <v>1863543744</v>
      </c>
      <c r="D362" s="9" t="inlineStr">
        <is>
          <t>CSP48-24</t>
        </is>
      </c>
      <c r="E362" s="9" t="inlineStr">
        <is>
          <t>description</t>
        </is>
      </c>
      <c r="F362" s="10" t="n">
        <v>5059</v>
      </c>
      <c r="G362" s="18" t="n">
        <v>29.5</v>
      </c>
      <c r="H362" s="10">
        <f>IF(G362="","",G362*Ayarlar!$B$3+Ayarlar!$B$4+Ayarlar!$B$5)</f>
        <v/>
      </c>
      <c r="I362" s="10">
        <f>IF(G362="","",ROUNDUP(((G362*Ayarlar!$B$3+Ayarlar!$B$4+Ayarlar!$B$5)+Ayarlar!$B$8)/((1-Ayarlar!$B$6)*(1-Ayarlar!$B$7)),0))</f>
        <v/>
      </c>
      <c r="J362" s="10">
        <f>IF(G362="","",ROUNDUP(((G362*Ayarlar!$B$3+Ayarlar!$B$4+Ayarlar!$B$5)+Ayarlar!$B$8)/((1-Ayarlar!$B$6)*(1-Ayarlar!$B$7-Ayarlar!$B$9)),0))</f>
        <v/>
      </c>
      <c r="K362" s="12">
        <f>IF(OR(G362="",F362=""),"",(F362*(1-Ayarlar!$B$6)-(F362*(1-Ayarlar!$B$6)*Ayarlar!$B$7+Ayarlar!$B$8)-(G362*Ayarlar!$B$3+Ayarlar!$B$4+Ayarlar!$B$5))/(F362*(1-Ayarlar!$B$6)))</f>
        <v/>
      </c>
      <c r="L362" s="9">
        <f>IF(G362="","GRAM EKSİK",IF(F362&gt;30000,"FİYAT ŞÜPHELİ",IF(K362&lt;0,"ZARARDA",IF(F362&lt;I362,"RİSKLİ","ok"))))</f>
        <v/>
      </c>
      <c r="M362" s="13" t="inlineStr">
        <is>
          <t>https://www.etsy.com/listing/1863543744</t>
        </is>
      </c>
    </row>
    <row r="363">
      <c r="A363" s="3" t="inlineStr">
        <is>
          <t>chains</t>
        </is>
      </c>
      <c r="B363" s="3" t="inlineStr">
        <is>
          <t>14K Solid Gold Valentino Link Chain Necklace / Diamond Cut T</t>
        </is>
      </c>
      <c r="C363" s="3" t="n">
        <v>1442796773</v>
      </c>
      <c r="D363" s="3" t="inlineStr">
        <is>
          <t>CVLN1F-16</t>
        </is>
      </c>
      <c r="E363" s="3" t="inlineStr">
        <is>
          <t>description</t>
        </is>
      </c>
      <c r="F363" s="14" t="n">
        <v>426</v>
      </c>
      <c r="G363" s="17" t="n">
        <v>2.9</v>
      </c>
      <c r="H363" s="14">
        <f>IF(G363="","",G363*Ayarlar!$B$3+Ayarlar!$B$4+Ayarlar!$B$5)</f>
        <v/>
      </c>
      <c r="I363" s="14">
        <f>IF(G363="","",ROUNDUP(((G363*Ayarlar!$B$3+Ayarlar!$B$4+Ayarlar!$B$5)+Ayarlar!$B$8)/((1-Ayarlar!$B$6)*(1-Ayarlar!$B$7)),0))</f>
        <v/>
      </c>
      <c r="J363" s="14">
        <f>IF(G363="","",ROUNDUP(((G363*Ayarlar!$B$3+Ayarlar!$B$4+Ayarlar!$B$5)+Ayarlar!$B$8)/((1-Ayarlar!$B$6)*(1-Ayarlar!$B$7-Ayarlar!$B$9)),0))</f>
        <v/>
      </c>
      <c r="K363" s="15">
        <f>IF(OR(G363="",F363=""),"",(F363*(1-Ayarlar!$B$6)-(F363*(1-Ayarlar!$B$6)*Ayarlar!$B$7+Ayarlar!$B$8)-(G363*Ayarlar!$B$3+Ayarlar!$B$4+Ayarlar!$B$5))/(F363*(1-Ayarlar!$B$6)))</f>
        <v/>
      </c>
      <c r="L363" s="3">
        <f>IF(G363="","GRAM EKSİK",IF(F363&gt;30000,"FİYAT ŞÜPHELİ",IF(K363&lt;0,"ZARARDA",IF(F363&lt;I363,"RİSKLİ","ok"))))</f>
        <v/>
      </c>
      <c r="M363" s="16" t="inlineStr">
        <is>
          <t>https://www.etsy.com/listing/1442796773</t>
        </is>
      </c>
    </row>
    <row r="364">
      <c r="A364" s="9" t="inlineStr">
        <is>
          <t>chains</t>
        </is>
      </c>
      <c r="B364" s="9" t="inlineStr">
        <is>
          <t>14K Solid Gold Valentino Link Chain Necklace / Diamond Cut T</t>
        </is>
      </c>
      <c r="C364" s="9" t="n">
        <v>1442796773</v>
      </c>
      <c r="D364" s="9" t="inlineStr">
        <is>
          <t>CVLN1F-18</t>
        </is>
      </c>
      <c r="E364" s="9" t="inlineStr">
        <is>
          <t>description</t>
        </is>
      </c>
      <c r="F364" s="10" t="n">
        <v>476</v>
      </c>
      <c r="G364" s="18" t="n">
        <v>2.9</v>
      </c>
      <c r="H364" s="10">
        <f>IF(G364="","",G364*Ayarlar!$B$3+Ayarlar!$B$4+Ayarlar!$B$5)</f>
        <v/>
      </c>
      <c r="I364" s="10">
        <f>IF(G364="","",ROUNDUP(((G364*Ayarlar!$B$3+Ayarlar!$B$4+Ayarlar!$B$5)+Ayarlar!$B$8)/((1-Ayarlar!$B$6)*(1-Ayarlar!$B$7)),0))</f>
        <v/>
      </c>
      <c r="J364" s="10">
        <f>IF(G364="","",ROUNDUP(((G364*Ayarlar!$B$3+Ayarlar!$B$4+Ayarlar!$B$5)+Ayarlar!$B$8)/((1-Ayarlar!$B$6)*(1-Ayarlar!$B$7-Ayarlar!$B$9)),0))</f>
        <v/>
      </c>
      <c r="K364" s="12">
        <f>IF(OR(G364="",F364=""),"",(F364*(1-Ayarlar!$B$6)-(F364*(1-Ayarlar!$B$6)*Ayarlar!$B$7+Ayarlar!$B$8)-(G364*Ayarlar!$B$3+Ayarlar!$B$4+Ayarlar!$B$5))/(F364*(1-Ayarlar!$B$6)))</f>
        <v/>
      </c>
      <c r="L364" s="9">
        <f>IF(G364="","GRAM EKSİK",IF(F364&gt;30000,"FİYAT ŞÜPHELİ",IF(K364&lt;0,"ZARARDA",IF(F364&lt;I364,"RİSKLİ","ok"))))</f>
        <v/>
      </c>
      <c r="M364" s="13" t="inlineStr">
        <is>
          <t>https://www.etsy.com/listing/1442796773</t>
        </is>
      </c>
    </row>
    <row r="365">
      <c r="A365" s="3" t="inlineStr">
        <is>
          <t>chains</t>
        </is>
      </c>
      <c r="B365" s="3" t="inlineStr">
        <is>
          <t>14K Solid Gold Valentino Link Chain Necklace / Diamond Cut T</t>
        </is>
      </c>
      <c r="C365" s="3" t="n">
        <v>1442796773</v>
      </c>
      <c r="D365" s="3" t="inlineStr">
        <is>
          <t>CVLN1F-20</t>
        </is>
      </c>
      <c r="E365" s="3" t="inlineStr">
        <is>
          <t>description</t>
        </is>
      </c>
      <c r="F365" s="14" t="n">
        <v>521</v>
      </c>
      <c r="G365" s="17" t="n">
        <v>2.9</v>
      </c>
      <c r="H365" s="14">
        <f>IF(G365="","",G365*Ayarlar!$B$3+Ayarlar!$B$4+Ayarlar!$B$5)</f>
        <v/>
      </c>
      <c r="I365" s="14">
        <f>IF(G365="","",ROUNDUP(((G365*Ayarlar!$B$3+Ayarlar!$B$4+Ayarlar!$B$5)+Ayarlar!$B$8)/((1-Ayarlar!$B$6)*(1-Ayarlar!$B$7)),0))</f>
        <v/>
      </c>
      <c r="J365" s="14">
        <f>IF(G365="","",ROUNDUP(((G365*Ayarlar!$B$3+Ayarlar!$B$4+Ayarlar!$B$5)+Ayarlar!$B$8)/((1-Ayarlar!$B$6)*(1-Ayarlar!$B$7-Ayarlar!$B$9)),0))</f>
        <v/>
      </c>
      <c r="K365" s="15">
        <f>IF(OR(G365="",F365=""),"",(F365*(1-Ayarlar!$B$6)-(F365*(1-Ayarlar!$B$6)*Ayarlar!$B$7+Ayarlar!$B$8)-(G365*Ayarlar!$B$3+Ayarlar!$B$4+Ayarlar!$B$5))/(F365*(1-Ayarlar!$B$6)))</f>
        <v/>
      </c>
      <c r="L365" s="3">
        <f>IF(G365="","GRAM EKSİK",IF(F365&gt;30000,"FİYAT ŞÜPHELİ",IF(K365&lt;0,"ZARARDA",IF(F365&lt;I365,"RİSKLİ","ok"))))</f>
        <v/>
      </c>
      <c r="M365" s="16" t="inlineStr">
        <is>
          <t>https://www.etsy.com/listing/1442796773</t>
        </is>
      </c>
    </row>
    <row r="366">
      <c r="A366" s="9" t="inlineStr">
        <is>
          <t>chains</t>
        </is>
      </c>
      <c r="B366" s="9" t="inlineStr">
        <is>
          <t>14K Solid Gold Valentino Link Chain Necklace / Diamond Cut T</t>
        </is>
      </c>
      <c r="C366" s="9" t="n">
        <v>1442796773</v>
      </c>
      <c r="D366" s="9" t="inlineStr">
        <is>
          <t>CVLN1F-22</t>
        </is>
      </c>
      <c r="E366" s="9" t="inlineStr">
        <is>
          <t>description</t>
        </is>
      </c>
      <c r="F366" s="10" t="n">
        <v>566</v>
      </c>
      <c r="G366" s="18" t="n">
        <v>2.9</v>
      </c>
      <c r="H366" s="10">
        <f>IF(G366="","",G366*Ayarlar!$B$3+Ayarlar!$B$4+Ayarlar!$B$5)</f>
        <v/>
      </c>
      <c r="I366" s="10">
        <f>IF(G366="","",ROUNDUP(((G366*Ayarlar!$B$3+Ayarlar!$B$4+Ayarlar!$B$5)+Ayarlar!$B$8)/((1-Ayarlar!$B$6)*(1-Ayarlar!$B$7)),0))</f>
        <v/>
      </c>
      <c r="J366" s="10">
        <f>IF(G366="","",ROUNDUP(((G366*Ayarlar!$B$3+Ayarlar!$B$4+Ayarlar!$B$5)+Ayarlar!$B$8)/((1-Ayarlar!$B$6)*(1-Ayarlar!$B$7-Ayarlar!$B$9)),0))</f>
        <v/>
      </c>
      <c r="K366" s="12">
        <f>IF(OR(G366="",F366=""),"",(F366*(1-Ayarlar!$B$6)-(F366*(1-Ayarlar!$B$6)*Ayarlar!$B$7+Ayarlar!$B$8)-(G366*Ayarlar!$B$3+Ayarlar!$B$4+Ayarlar!$B$5))/(F366*(1-Ayarlar!$B$6)))</f>
        <v/>
      </c>
      <c r="L366" s="9">
        <f>IF(G366="","GRAM EKSİK",IF(F366&gt;30000,"FİYAT ŞÜPHELİ",IF(K366&lt;0,"ZARARDA",IF(F366&lt;I366,"RİSKLİ","ok"))))</f>
        <v/>
      </c>
      <c r="M366" s="13" t="inlineStr">
        <is>
          <t>https://www.etsy.com/listing/1442796773</t>
        </is>
      </c>
    </row>
    <row r="367">
      <c r="A367" s="3" t="inlineStr">
        <is>
          <t>chains</t>
        </is>
      </c>
      <c r="B367" s="3" t="inlineStr">
        <is>
          <t>14K Solid Gold Valentino Link Chain Necklace / Diamond Cut T</t>
        </is>
      </c>
      <c r="C367" s="3" t="n">
        <v>1442796773</v>
      </c>
      <c r="D367" s="3" t="inlineStr">
        <is>
          <t>CVLN1F-24</t>
        </is>
      </c>
      <c r="E367" s="3" t="inlineStr">
        <is>
          <t>description</t>
        </is>
      </c>
      <c r="F367" s="14" t="n">
        <v>622</v>
      </c>
      <c r="G367" s="17" t="n">
        <v>2.9</v>
      </c>
      <c r="H367" s="14">
        <f>IF(G367="","",G367*Ayarlar!$B$3+Ayarlar!$B$4+Ayarlar!$B$5)</f>
        <v/>
      </c>
      <c r="I367" s="14">
        <f>IF(G367="","",ROUNDUP(((G367*Ayarlar!$B$3+Ayarlar!$B$4+Ayarlar!$B$5)+Ayarlar!$B$8)/((1-Ayarlar!$B$6)*(1-Ayarlar!$B$7)),0))</f>
        <v/>
      </c>
      <c r="J367" s="14">
        <f>IF(G367="","",ROUNDUP(((G367*Ayarlar!$B$3+Ayarlar!$B$4+Ayarlar!$B$5)+Ayarlar!$B$8)/((1-Ayarlar!$B$6)*(1-Ayarlar!$B$7-Ayarlar!$B$9)),0))</f>
        <v/>
      </c>
      <c r="K367" s="15">
        <f>IF(OR(G367="",F367=""),"",(F367*(1-Ayarlar!$B$6)-(F367*(1-Ayarlar!$B$6)*Ayarlar!$B$7+Ayarlar!$B$8)-(G367*Ayarlar!$B$3+Ayarlar!$B$4+Ayarlar!$B$5))/(F367*(1-Ayarlar!$B$6)))</f>
        <v/>
      </c>
      <c r="L367" s="3">
        <f>IF(G367="","GRAM EKSİK",IF(F367&gt;30000,"FİYAT ŞÜPHELİ",IF(K367&lt;0,"ZARARDA",IF(F367&lt;I367,"RİSKLİ","ok"))))</f>
        <v/>
      </c>
      <c r="M367" s="16" t="inlineStr">
        <is>
          <t>https://www.etsy.com/listing/1442796773</t>
        </is>
      </c>
    </row>
    <row r="368">
      <c r="A368" s="9" t="inlineStr">
        <is>
          <t>chains</t>
        </is>
      </c>
      <c r="B368" s="9" t="inlineStr">
        <is>
          <t>14K Solid Gold Valentino Link Chain Necklace / Diamond Cut T</t>
        </is>
      </c>
      <c r="C368" s="9" t="n">
        <v>1442796773</v>
      </c>
      <c r="D368" s="9" t="inlineStr">
        <is>
          <t>CVLN2F-16</t>
        </is>
      </c>
      <c r="E368" s="9" t="inlineStr">
        <is>
          <t>description</t>
        </is>
      </c>
      <c r="F368" s="10" t="n">
        <v>467</v>
      </c>
      <c r="G368" s="18" t="n">
        <v>3.1</v>
      </c>
      <c r="H368" s="10">
        <f>IF(G368="","",G368*Ayarlar!$B$3+Ayarlar!$B$4+Ayarlar!$B$5)</f>
        <v/>
      </c>
      <c r="I368" s="10">
        <f>IF(G368="","",ROUNDUP(((G368*Ayarlar!$B$3+Ayarlar!$B$4+Ayarlar!$B$5)+Ayarlar!$B$8)/((1-Ayarlar!$B$6)*(1-Ayarlar!$B$7)),0))</f>
        <v/>
      </c>
      <c r="J368" s="10">
        <f>IF(G368="","",ROUNDUP(((G368*Ayarlar!$B$3+Ayarlar!$B$4+Ayarlar!$B$5)+Ayarlar!$B$8)/((1-Ayarlar!$B$6)*(1-Ayarlar!$B$7-Ayarlar!$B$9)),0))</f>
        <v/>
      </c>
      <c r="K368" s="12">
        <f>IF(OR(G368="",F368=""),"",(F368*(1-Ayarlar!$B$6)-(F368*(1-Ayarlar!$B$6)*Ayarlar!$B$7+Ayarlar!$B$8)-(G368*Ayarlar!$B$3+Ayarlar!$B$4+Ayarlar!$B$5))/(F368*(1-Ayarlar!$B$6)))</f>
        <v/>
      </c>
      <c r="L368" s="9">
        <f>IF(G368="","GRAM EKSİK",IF(F368&gt;30000,"FİYAT ŞÜPHELİ",IF(K368&lt;0,"ZARARDA",IF(F368&lt;I368,"RİSKLİ","ok"))))</f>
        <v/>
      </c>
      <c r="M368" s="13" t="inlineStr">
        <is>
          <t>https://www.etsy.com/listing/1442796773</t>
        </is>
      </c>
    </row>
    <row r="369">
      <c r="A369" s="3" t="inlineStr">
        <is>
          <t>chains</t>
        </is>
      </c>
      <c r="B369" s="3" t="inlineStr">
        <is>
          <t>14K Solid Gold Valentino Link Chain Necklace / Diamond Cut T</t>
        </is>
      </c>
      <c r="C369" s="3" t="n">
        <v>1442796773</v>
      </c>
      <c r="D369" s="3" t="inlineStr">
        <is>
          <t>CVLN2F-18</t>
        </is>
      </c>
      <c r="E369" s="3" t="inlineStr">
        <is>
          <t>description</t>
        </is>
      </c>
      <c r="F369" s="14" t="n">
        <v>523</v>
      </c>
      <c r="G369" s="17" t="n">
        <v>3.1</v>
      </c>
      <c r="H369" s="14">
        <f>IF(G369="","",G369*Ayarlar!$B$3+Ayarlar!$B$4+Ayarlar!$B$5)</f>
        <v/>
      </c>
      <c r="I369" s="14">
        <f>IF(G369="","",ROUNDUP(((G369*Ayarlar!$B$3+Ayarlar!$B$4+Ayarlar!$B$5)+Ayarlar!$B$8)/((1-Ayarlar!$B$6)*(1-Ayarlar!$B$7)),0))</f>
        <v/>
      </c>
      <c r="J369" s="14">
        <f>IF(G369="","",ROUNDUP(((G369*Ayarlar!$B$3+Ayarlar!$B$4+Ayarlar!$B$5)+Ayarlar!$B$8)/((1-Ayarlar!$B$6)*(1-Ayarlar!$B$7-Ayarlar!$B$9)),0))</f>
        <v/>
      </c>
      <c r="K369" s="15">
        <f>IF(OR(G369="",F369=""),"",(F369*(1-Ayarlar!$B$6)-(F369*(1-Ayarlar!$B$6)*Ayarlar!$B$7+Ayarlar!$B$8)-(G369*Ayarlar!$B$3+Ayarlar!$B$4+Ayarlar!$B$5))/(F369*(1-Ayarlar!$B$6)))</f>
        <v/>
      </c>
      <c r="L369" s="3">
        <f>IF(G369="","GRAM EKSİK",IF(F369&gt;30000,"FİYAT ŞÜPHELİ",IF(K369&lt;0,"ZARARDA",IF(F369&lt;I369,"RİSKLİ","ok"))))</f>
        <v/>
      </c>
      <c r="M369" s="16" t="inlineStr">
        <is>
          <t>https://www.etsy.com/listing/1442796773</t>
        </is>
      </c>
    </row>
    <row r="370">
      <c r="A370" s="9" t="inlineStr">
        <is>
          <t>chains</t>
        </is>
      </c>
      <c r="B370" s="9" t="inlineStr">
        <is>
          <t>14K Solid Gold Valentino Link Chain Necklace / Diamond Cut T</t>
        </is>
      </c>
      <c r="C370" s="9" t="n">
        <v>1442796773</v>
      </c>
      <c r="D370" s="9" t="inlineStr">
        <is>
          <t>CVLN2F-20</t>
        </is>
      </c>
      <c r="E370" s="9" t="inlineStr">
        <is>
          <t>description</t>
        </is>
      </c>
      <c r="F370" s="10" t="n">
        <v>579</v>
      </c>
      <c r="G370" s="18" t="n">
        <v>3.1</v>
      </c>
      <c r="H370" s="10">
        <f>IF(G370="","",G370*Ayarlar!$B$3+Ayarlar!$B$4+Ayarlar!$B$5)</f>
        <v/>
      </c>
      <c r="I370" s="10">
        <f>IF(G370="","",ROUNDUP(((G370*Ayarlar!$B$3+Ayarlar!$B$4+Ayarlar!$B$5)+Ayarlar!$B$8)/((1-Ayarlar!$B$6)*(1-Ayarlar!$B$7)),0))</f>
        <v/>
      </c>
      <c r="J370" s="10">
        <f>IF(G370="","",ROUNDUP(((G370*Ayarlar!$B$3+Ayarlar!$B$4+Ayarlar!$B$5)+Ayarlar!$B$8)/((1-Ayarlar!$B$6)*(1-Ayarlar!$B$7-Ayarlar!$B$9)),0))</f>
        <v/>
      </c>
      <c r="K370" s="12">
        <f>IF(OR(G370="",F370=""),"",(F370*(1-Ayarlar!$B$6)-(F370*(1-Ayarlar!$B$6)*Ayarlar!$B$7+Ayarlar!$B$8)-(G370*Ayarlar!$B$3+Ayarlar!$B$4+Ayarlar!$B$5))/(F370*(1-Ayarlar!$B$6)))</f>
        <v/>
      </c>
      <c r="L370" s="9">
        <f>IF(G370="","GRAM EKSİK",IF(F370&gt;30000,"FİYAT ŞÜPHELİ",IF(K370&lt;0,"ZARARDA",IF(F370&lt;I370,"RİSKLİ","ok"))))</f>
        <v/>
      </c>
      <c r="M370" s="13" t="inlineStr">
        <is>
          <t>https://www.etsy.com/listing/1442796773</t>
        </is>
      </c>
    </row>
    <row r="371">
      <c r="A371" s="3" t="inlineStr">
        <is>
          <t>chains</t>
        </is>
      </c>
      <c r="B371" s="3" t="inlineStr">
        <is>
          <t>14K Solid Gold Valentino Link Chain Necklace / Diamond Cut T</t>
        </is>
      </c>
      <c r="C371" s="3" t="n">
        <v>1442796773</v>
      </c>
      <c r="D371" s="3" t="inlineStr">
        <is>
          <t>CVLN2F-22</t>
        </is>
      </c>
      <c r="E371" s="3" t="inlineStr">
        <is>
          <t>description</t>
        </is>
      </c>
      <c r="F371" s="14" t="n">
        <v>690</v>
      </c>
      <c r="G371" s="17" t="n">
        <v>3.1</v>
      </c>
      <c r="H371" s="14">
        <f>IF(G371="","",G371*Ayarlar!$B$3+Ayarlar!$B$4+Ayarlar!$B$5)</f>
        <v/>
      </c>
      <c r="I371" s="14">
        <f>IF(G371="","",ROUNDUP(((G371*Ayarlar!$B$3+Ayarlar!$B$4+Ayarlar!$B$5)+Ayarlar!$B$8)/((1-Ayarlar!$B$6)*(1-Ayarlar!$B$7)),0))</f>
        <v/>
      </c>
      <c r="J371" s="14">
        <f>IF(G371="","",ROUNDUP(((G371*Ayarlar!$B$3+Ayarlar!$B$4+Ayarlar!$B$5)+Ayarlar!$B$8)/((1-Ayarlar!$B$6)*(1-Ayarlar!$B$7-Ayarlar!$B$9)),0))</f>
        <v/>
      </c>
      <c r="K371" s="15">
        <f>IF(OR(G371="",F371=""),"",(F371*(1-Ayarlar!$B$6)-(F371*(1-Ayarlar!$B$6)*Ayarlar!$B$7+Ayarlar!$B$8)-(G371*Ayarlar!$B$3+Ayarlar!$B$4+Ayarlar!$B$5))/(F371*(1-Ayarlar!$B$6)))</f>
        <v/>
      </c>
      <c r="L371" s="3">
        <f>IF(G371="","GRAM EKSİK",IF(F371&gt;30000,"FİYAT ŞÜPHELİ",IF(K371&lt;0,"ZARARDA",IF(F371&lt;I371,"RİSKLİ","ok"))))</f>
        <v/>
      </c>
      <c r="M371" s="16" t="inlineStr">
        <is>
          <t>https://www.etsy.com/listing/1442796773</t>
        </is>
      </c>
    </row>
    <row r="372">
      <c r="A372" s="9" t="inlineStr">
        <is>
          <t>chains</t>
        </is>
      </c>
      <c r="B372" s="9" t="inlineStr">
        <is>
          <t>14K Solid Gold Valentino Link Chain Necklace / Diamond Cut T</t>
        </is>
      </c>
      <c r="C372" s="9" t="n">
        <v>1442796773</v>
      </c>
      <c r="D372" s="9" t="inlineStr">
        <is>
          <t>CVLN2F-24</t>
        </is>
      </c>
      <c r="E372" s="9" t="inlineStr">
        <is>
          <t>description</t>
        </is>
      </c>
      <c r="F372" s="10" t="n">
        <v>746</v>
      </c>
      <c r="G372" s="18" t="n">
        <v>3.1</v>
      </c>
      <c r="H372" s="10">
        <f>IF(G372="","",G372*Ayarlar!$B$3+Ayarlar!$B$4+Ayarlar!$B$5)</f>
        <v/>
      </c>
      <c r="I372" s="10">
        <f>IF(G372="","",ROUNDUP(((G372*Ayarlar!$B$3+Ayarlar!$B$4+Ayarlar!$B$5)+Ayarlar!$B$8)/((1-Ayarlar!$B$6)*(1-Ayarlar!$B$7)),0))</f>
        <v/>
      </c>
      <c r="J372" s="10">
        <f>IF(G372="","",ROUNDUP(((G372*Ayarlar!$B$3+Ayarlar!$B$4+Ayarlar!$B$5)+Ayarlar!$B$8)/((1-Ayarlar!$B$6)*(1-Ayarlar!$B$7-Ayarlar!$B$9)),0))</f>
        <v/>
      </c>
      <c r="K372" s="12">
        <f>IF(OR(G372="",F372=""),"",(F372*(1-Ayarlar!$B$6)-(F372*(1-Ayarlar!$B$6)*Ayarlar!$B$7+Ayarlar!$B$8)-(G372*Ayarlar!$B$3+Ayarlar!$B$4+Ayarlar!$B$5))/(F372*(1-Ayarlar!$B$6)))</f>
        <v/>
      </c>
      <c r="L372" s="9">
        <f>IF(G372="","GRAM EKSİK",IF(F372&gt;30000,"FİYAT ŞÜPHELİ",IF(K372&lt;0,"ZARARDA",IF(F372&lt;I372,"RİSKLİ","ok"))))</f>
        <v/>
      </c>
      <c r="M372" s="13" t="inlineStr">
        <is>
          <t>https://www.etsy.com/listing/1442796773</t>
        </is>
      </c>
    </row>
    <row r="373">
      <c r="A373" s="3" t="inlineStr">
        <is>
          <t>chains</t>
        </is>
      </c>
      <c r="B373" s="3" t="inlineStr">
        <is>
          <t>14K Solid Gold Valentino Link Chain Necklace / Diamond Cut T</t>
        </is>
      </c>
      <c r="C373" s="3" t="n">
        <v>1442796773</v>
      </c>
      <c r="D373" s="3" t="inlineStr">
        <is>
          <t>CVLN3F-16</t>
        </is>
      </c>
      <c r="E373" s="3" t="inlineStr">
        <is>
          <t>description</t>
        </is>
      </c>
      <c r="F373" s="14" t="n">
        <v>790</v>
      </c>
      <c r="G373" s="17" t="n">
        <v>4.8</v>
      </c>
      <c r="H373" s="14">
        <f>IF(G373="","",G373*Ayarlar!$B$3+Ayarlar!$B$4+Ayarlar!$B$5)</f>
        <v/>
      </c>
      <c r="I373" s="14">
        <f>IF(G373="","",ROUNDUP(((G373*Ayarlar!$B$3+Ayarlar!$B$4+Ayarlar!$B$5)+Ayarlar!$B$8)/((1-Ayarlar!$B$6)*(1-Ayarlar!$B$7)),0))</f>
        <v/>
      </c>
      <c r="J373" s="14">
        <f>IF(G373="","",ROUNDUP(((G373*Ayarlar!$B$3+Ayarlar!$B$4+Ayarlar!$B$5)+Ayarlar!$B$8)/((1-Ayarlar!$B$6)*(1-Ayarlar!$B$7-Ayarlar!$B$9)),0))</f>
        <v/>
      </c>
      <c r="K373" s="15">
        <f>IF(OR(G373="",F373=""),"",(F373*(1-Ayarlar!$B$6)-(F373*(1-Ayarlar!$B$6)*Ayarlar!$B$7+Ayarlar!$B$8)-(G373*Ayarlar!$B$3+Ayarlar!$B$4+Ayarlar!$B$5))/(F373*(1-Ayarlar!$B$6)))</f>
        <v/>
      </c>
      <c r="L373" s="3">
        <f>IF(G373="","GRAM EKSİK",IF(F373&gt;30000,"FİYAT ŞÜPHELİ",IF(K373&lt;0,"ZARARDA",IF(F373&lt;I373,"RİSKLİ","ok"))))</f>
        <v/>
      </c>
      <c r="M373" s="16" t="inlineStr">
        <is>
          <t>https://www.etsy.com/listing/1442796773</t>
        </is>
      </c>
    </row>
    <row r="374">
      <c r="A374" s="9" t="inlineStr">
        <is>
          <t>chains</t>
        </is>
      </c>
      <c r="B374" s="9" t="inlineStr">
        <is>
          <t>14K Solid Gold Valentino Link Chain Necklace / Diamond Cut T</t>
        </is>
      </c>
      <c r="C374" s="9" t="n">
        <v>1442796773</v>
      </c>
      <c r="D374" s="9" t="inlineStr">
        <is>
          <t>CVLN3F-18</t>
        </is>
      </c>
      <c r="E374" s="9" t="inlineStr">
        <is>
          <t>description</t>
        </is>
      </c>
      <c r="F374" s="10" t="n">
        <v>868</v>
      </c>
      <c r="G374" s="18" t="n">
        <v>4.8</v>
      </c>
      <c r="H374" s="10">
        <f>IF(G374="","",G374*Ayarlar!$B$3+Ayarlar!$B$4+Ayarlar!$B$5)</f>
        <v/>
      </c>
      <c r="I374" s="10">
        <f>IF(G374="","",ROUNDUP(((G374*Ayarlar!$B$3+Ayarlar!$B$4+Ayarlar!$B$5)+Ayarlar!$B$8)/((1-Ayarlar!$B$6)*(1-Ayarlar!$B$7)),0))</f>
        <v/>
      </c>
      <c r="J374" s="10">
        <f>IF(G374="","",ROUNDUP(((G374*Ayarlar!$B$3+Ayarlar!$B$4+Ayarlar!$B$5)+Ayarlar!$B$8)/((1-Ayarlar!$B$6)*(1-Ayarlar!$B$7-Ayarlar!$B$9)),0))</f>
        <v/>
      </c>
      <c r="K374" s="12">
        <f>IF(OR(G374="",F374=""),"",(F374*(1-Ayarlar!$B$6)-(F374*(1-Ayarlar!$B$6)*Ayarlar!$B$7+Ayarlar!$B$8)-(G374*Ayarlar!$B$3+Ayarlar!$B$4+Ayarlar!$B$5))/(F374*(1-Ayarlar!$B$6)))</f>
        <v/>
      </c>
      <c r="L374" s="9">
        <f>IF(G374="","GRAM EKSİK",IF(F374&gt;30000,"FİYAT ŞÜPHELİ",IF(K374&lt;0,"ZARARDA",IF(F374&lt;I374,"RİSKLİ","ok"))))</f>
        <v/>
      </c>
      <c r="M374" s="13" t="inlineStr">
        <is>
          <t>https://www.etsy.com/listing/1442796773</t>
        </is>
      </c>
    </row>
    <row r="375">
      <c r="A375" s="3" t="inlineStr">
        <is>
          <t>chains</t>
        </is>
      </c>
      <c r="B375" s="3" t="inlineStr">
        <is>
          <t>14K Solid Gold Valentino Link Chain Necklace / Diamond Cut T</t>
        </is>
      </c>
      <c r="C375" s="3" t="n">
        <v>1442796773</v>
      </c>
      <c r="D375" s="3" t="inlineStr">
        <is>
          <t>CVLN3F-20</t>
        </is>
      </c>
      <c r="E375" s="3" t="inlineStr">
        <is>
          <t>description</t>
        </is>
      </c>
      <c r="F375" s="14" t="n">
        <v>924</v>
      </c>
      <c r="G375" s="17" t="n">
        <v>4.8</v>
      </c>
      <c r="H375" s="14">
        <f>IF(G375="","",G375*Ayarlar!$B$3+Ayarlar!$B$4+Ayarlar!$B$5)</f>
        <v/>
      </c>
      <c r="I375" s="14">
        <f>IF(G375="","",ROUNDUP(((G375*Ayarlar!$B$3+Ayarlar!$B$4+Ayarlar!$B$5)+Ayarlar!$B$8)/((1-Ayarlar!$B$6)*(1-Ayarlar!$B$7)),0))</f>
        <v/>
      </c>
      <c r="J375" s="14">
        <f>IF(G375="","",ROUNDUP(((G375*Ayarlar!$B$3+Ayarlar!$B$4+Ayarlar!$B$5)+Ayarlar!$B$8)/((1-Ayarlar!$B$6)*(1-Ayarlar!$B$7-Ayarlar!$B$9)),0))</f>
        <v/>
      </c>
      <c r="K375" s="15">
        <f>IF(OR(G375="",F375=""),"",(F375*(1-Ayarlar!$B$6)-(F375*(1-Ayarlar!$B$6)*Ayarlar!$B$7+Ayarlar!$B$8)-(G375*Ayarlar!$B$3+Ayarlar!$B$4+Ayarlar!$B$5))/(F375*(1-Ayarlar!$B$6)))</f>
        <v/>
      </c>
      <c r="L375" s="3">
        <f>IF(G375="","GRAM EKSİK",IF(F375&gt;30000,"FİYAT ŞÜPHELİ",IF(K375&lt;0,"ZARARDA",IF(F375&lt;I375,"RİSKLİ","ok"))))</f>
        <v/>
      </c>
      <c r="M375" s="16" t="inlineStr">
        <is>
          <t>https://www.etsy.com/listing/1442796773</t>
        </is>
      </c>
    </row>
    <row r="376">
      <c r="A376" s="9" t="inlineStr">
        <is>
          <t>chains</t>
        </is>
      </c>
      <c r="B376" s="9" t="inlineStr">
        <is>
          <t>14K Solid Gold Valentino Link Chain Necklace / Diamond Cut T</t>
        </is>
      </c>
      <c r="C376" s="9" t="n">
        <v>1442796773</v>
      </c>
      <c r="D376" s="9" t="inlineStr">
        <is>
          <t>CVLN3F-22</t>
        </is>
      </c>
      <c r="E376" s="9" t="inlineStr">
        <is>
          <t>description</t>
        </is>
      </c>
      <c r="F376" s="10" t="n">
        <v>980</v>
      </c>
      <c r="G376" s="18" t="n">
        <v>4.8</v>
      </c>
      <c r="H376" s="10">
        <f>IF(G376="","",G376*Ayarlar!$B$3+Ayarlar!$B$4+Ayarlar!$B$5)</f>
        <v/>
      </c>
      <c r="I376" s="10">
        <f>IF(G376="","",ROUNDUP(((G376*Ayarlar!$B$3+Ayarlar!$B$4+Ayarlar!$B$5)+Ayarlar!$B$8)/((1-Ayarlar!$B$6)*(1-Ayarlar!$B$7)),0))</f>
        <v/>
      </c>
      <c r="J376" s="10">
        <f>IF(G376="","",ROUNDUP(((G376*Ayarlar!$B$3+Ayarlar!$B$4+Ayarlar!$B$5)+Ayarlar!$B$8)/((1-Ayarlar!$B$6)*(1-Ayarlar!$B$7-Ayarlar!$B$9)),0))</f>
        <v/>
      </c>
      <c r="K376" s="12">
        <f>IF(OR(G376="",F376=""),"",(F376*(1-Ayarlar!$B$6)-(F376*(1-Ayarlar!$B$6)*Ayarlar!$B$7+Ayarlar!$B$8)-(G376*Ayarlar!$B$3+Ayarlar!$B$4+Ayarlar!$B$5))/(F376*(1-Ayarlar!$B$6)))</f>
        <v/>
      </c>
      <c r="L376" s="9">
        <f>IF(G376="","GRAM EKSİK",IF(F376&gt;30000,"FİYAT ŞÜPHELİ",IF(K376&lt;0,"ZARARDA",IF(F376&lt;I376,"RİSKLİ","ok"))))</f>
        <v/>
      </c>
      <c r="M376" s="13" t="inlineStr">
        <is>
          <t>https://www.etsy.com/listing/1442796773</t>
        </is>
      </c>
    </row>
    <row r="377">
      <c r="A377" s="3" t="inlineStr">
        <is>
          <t>chains</t>
        </is>
      </c>
      <c r="B377" s="3" t="inlineStr">
        <is>
          <t>14K Solid Gold Valentino Link Chain Necklace / Diamond Cut T</t>
        </is>
      </c>
      <c r="C377" s="3" t="n">
        <v>1442796773</v>
      </c>
      <c r="D377" s="3" t="inlineStr">
        <is>
          <t>CVLN3F-24</t>
        </is>
      </c>
      <c r="E377" s="3" t="inlineStr">
        <is>
          <t>description</t>
        </is>
      </c>
      <c r="F377" s="14" t="n">
        <v>1036</v>
      </c>
      <c r="G377" s="17" t="n">
        <v>4.8</v>
      </c>
      <c r="H377" s="14">
        <f>IF(G377="","",G377*Ayarlar!$B$3+Ayarlar!$B$4+Ayarlar!$B$5)</f>
        <v/>
      </c>
      <c r="I377" s="14">
        <f>IF(G377="","",ROUNDUP(((G377*Ayarlar!$B$3+Ayarlar!$B$4+Ayarlar!$B$5)+Ayarlar!$B$8)/((1-Ayarlar!$B$6)*(1-Ayarlar!$B$7)),0))</f>
        <v/>
      </c>
      <c r="J377" s="14">
        <f>IF(G377="","",ROUNDUP(((G377*Ayarlar!$B$3+Ayarlar!$B$4+Ayarlar!$B$5)+Ayarlar!$B$8)/((1-Ayarlar!$B$6)*(1-Ayarlar!$B$7-Ayarlar!$B$9)),0))</f>
        <v/>
      </c>
      <c r="K377" s="15">
        <f>IF(OR(G377="",F377=""),"",(F377*(1-Ayarlar!$B$6)-(F377*(1-Ayarlar!$B$6)*Ayarlar!$B$7+Ayarlar!$B$8)-(G377*Ayarlar!$B$3+Ayarlar!$B$4+Ayarlar!$B$5))/(F377*(1-Ayarlar!$B$6)))</f>
        <v/>
      </c>
      <c r="L377" s="3">
        <f>IF(G377="","GRAM EKSİK",IF(F377&gt;30000,"FİYAT ŞÜPHELİ",IF(K377&lt;0,"ZARARDA",IF(F377&lt;I377,"RİSKLİ","ok"))))</f>
        <v/>
      </c>
      <c r="M377" s="16" t="inlineStr">
        <is>
          <t>https://www.etsy.com/listing/1442796773</t>
        </is>
      </c>
    </row>
    <row r="378">
      <c r="A378" s="9" t="inlineStr">
        <is>
          <t>chains</t>
        </is>
      </c>
      <c r="B378" s="9" t="inlineStr">
        <is>
          <t>14K Solid Gold Valentino Link Chain Necklace / Diamond Cut T</t>
        </is>
      </c>
      <c r="C378" s="9" t="n">
        <v>1442796773</v>
      </c>
      <c r="D378" s="9" t="inlineStr">
        <is>
          <t>CVLN4F-16</t>
        </is>
      </c>
      <c r="E378" s="9" t="inlineStr">
        <is>
          <t>description</t>
        </is>
      </c>
      <c r="F378" s="10" t="n">
        <v>1171</v>
      </c>
      <c r="G378" s="18" t="n">
        <v>8.4</v>
      </c>
      <c r="H378" s="10">
        <f>IF(G378="","",G378*Ayarlar!$B$3+Ayarlar!$B$4+Ayarlar!$B$5)</f>
        <v/>
      </c>
      <c r="I378" s="10">
        <f>IF(G378="","",ROUNDUP(((G378*Ayarlar!$B$3+Ayarlar!$B$4+Ayarlar!$B$5)+Ayarlar!$B$8)/((1-Ayarlar!$B$6)*(1-Ayarlar!$B$7)),0))</f>
        <v/>
      </c>
      <c r="J378" s="10">
        <f>IF(G378="","",ROUNDUP(((G378*Ayarlar!$B$3+Ayarlar!$B$4+Ayarlar!$B$5)+Ayarlar!$B$8)/((1-Ayarlar!$B$6)*(1-Ayarlar!$B$7-Ayarlar!$B$9)),0))</f>
        <v/>
      </c>
      <c r="K378" s="12">
        <f>IF(OR(G378="",F378=""),"",(F378*(1-Ayarlar!$B$6)-(F378*(1-Ayarlar!$B$6)*Ayarlar!$B$7+Ayarlar!$B$8)-(G378*Ayarlar!$B$3+Ayarlar!$B$4+Ayarlar!$B$5))/(F378*(1-Ayarlar!$B$6)))</f>
        <v/>
      </c>
      <c r="L378" s="9">
        <f>IF(G378="","GRAM EKSİK",IF(F378&gt;30000,"FİYAT ŞÜPHELİ",IF(K378&lt;0,"ZARARDA",IF(F378&lt;I378,"RİSKLİ","ok"))))</f>
        <v/>
      </c>
      <c r="M378" s="13" t="inlineStr">
        <is>
          <t>https://www.etsy.com/listing/1442796773</t>
        </is>
      </c>
    </row>
    <row r="379">
      <c r="A379" s="3" t="inlineStr">
        <is>
          <t>chains</t>
        </is>
      </c>
      <c r="B379" s="3" t="inlineStr">
        <is>
          <t>14K Solid Gold Valentino Link Chain Necklace / Diamond Cut T</t>
        </is>
      </c>
      <c r="C379" s="3" t="n">
        <v>1442796773</v>
      </c>
      <c r="D379" s="3" t="inlineStr">
        <is>
          <t>CVLN4F-18</t>
        </is>
      </c>
      <c r="E379" s="3" t="inlineStr">
        <is>
          <t>description</t>
        </is>
      </c>
      <c r="F379" s="14" t="n">
        <v>1394</v>
      </c>
      <c r="G379" s="17" t="n">
        <v>8.4</v>
      </c>
      <c r="H379" s="14">
        <f>IF(G379="","",G379*Ayarlar!$B$3+Ayarlar!$B$4+Ayarlar!$B$5)</f>
        <v/>
      </c>
      <c r="I379" s="14">
        <f>IF(G379="","",ROUNDUP(((G379*Ayarlar!$B$3+Ayarlar!$B$4+Ayarlar!$B$5)+Ayarlar!$B$8)/((1-Ayarlar!$B$6)*(1-Ayarlar!$B$7)),0))</f>
        <v/>
      </c>
      <c r="J379" s="14">
        <f>IF(G379="","",ROUNDUP(((G379*Ayarlar!$B$3+Ayarlar!$B$4+Ayarlar!$B$5)+Ayarlar!$B$8)/((1-Ayarlar!$B$6)*(1-Ayarlar!$B$7-Ayarlar!$B$9)),0))</f>
        <v/>
      </c>
      <c r="K379" s="15">
        <f>IF(OR(G379="",F379=""),"",(F379*(1-Ayarlar!$B$6)-(F379*(1-Ayarlar!$B$6)*Ayarlar!$B$7+Ayarlar!$B$8)-(G379*Ayarlar!$B$3+Ayarlar!$B$4+Ayarlar!$B$5))/(F379*(1-Ayarlar!$B$6)))</f>
        <v/>
      </c>
      <c r="L379" s="3">
        <f>IF(G379="","GRAM EKSİK",IF(F379&gt;30000,"FİYAT ŞÜPHELİ",IF(K379&lt;0,"ZARARDA",IF(F379&lt;I379,"RİSKLİ","ok"))))</f>
        <v/>
      </c>
      <c r="M379" s="16" t="inlineStr">
        <is>
          <t>https://www.etsy.com/listing/1442796773</t>
        </is>
      </c>
    </row>
    <row r="380">
      <c r="A380" s="9" t="inlineStr">
        <is>
          <t>chains</t>
        </is>
      </c>
      <c r="B380" s="9" t="inlineStr">
        <is>
          <t>14K Solid Gold Valentino Link Chain Necklace / Diamond Cut T</t>
        </is>
      </c>
      <c r="C380" s="9" t="n">
        <v>1442796773</v>
      </c>
      <c r="D380" s="9" t="inlineStr">
        <is>
          <t>CVLN4F-20</t>
        </is>
      </c>
      <c r="E380" s="9" t="inlineStr">
        <is>
          <t>description</t>
        </is>
      </c>
      <c r="F380" s="10" t="n">
        <v>1618</v>
      </c>
      <c r="G380" s="18" t="n">
        <v>8.4</v>
      </c>
      <c r="H380" s="10">
        <f>IF(G380="","",G380*Ayarlar!$B$3+Ayarlar!$B$4+Ayarlar!$B$5)</f>
        <v/>
      </c>
      <c r="I380" s="10">
        <f>IF(G380="","",ROUNDUP(((G380*Ayarlar!$B$3+Ayarlar!$B$4+Ayarlar!$B$5)+Ayarlar!$B$8)/((1-Ayarlar!$B$6)*(1-Ayarlar!$B$7)),0))</f>
        <v/>
      </c>
      <c r="J380" s="10">
        <f>IF(G380="","",ROUNDUP(((G380*Ayarlar!$B$3+Ayarlar!$B$4+Ayarlar!$B$5)+Ayarlar!$B$8)/((1-Ayarlar!$B$6)*(1-Ayarlar!$B$7-Ayarlar!$B$9)),0))</f>
        <v/>
      </c>
      <c r="K380" s="12">
        <f>IF(OR(G380="",F380=""),"",(F380*(1-Ayarlar!$B$6)-(F380*(1-Ayarlar!$B$6)*Ayarlar!$B$7+Ayarlar!$B$8)-(G380*Ayarlar!$B$3+Ayarlar!$B$4+Ayarlar!$B$5))/(F380*(1-Ayarlar!$B$6)))</f>
        <v/>
      </c>
      <c r="L380" s="9">
        <f>IF(G380="","GRAM EKSİK",IF(F380&gt;30000,"FİYAT ŞÜPHELİ",IF(K380&lt;0,"ZARARDA",IF(F380&lt;I380,"RİSKLİ","ok"))))</f>
        <v/>
      </c>
      <c r="M380" s="13" t="inlineStr">
        <is>
          <t>https://www.etsy.com/listing/1442796773</t>
        </is>
      </c>
    </row>
    <row r="381">
      <c r="A381" s="3" t="inlineStr">
        <is>
          <t>chains</t>
        </is>
      </c>
      <c r="B381" s="3" t="inlineStr">
        <is>
          <t>14K Solid Gold Valentino Link Chain Necklace / Diamond Cut T</t>
        </is>
      </c>
      <c r="C381" s="3" t="n">
        <v>1442796773</v>
      </c>
      <c r="D381" s="3" t="inlineStr">
        <is>
          <t>CVLN4F-22</t>
        </is>
      </c>
      <c r="E381" s="3" t="inlineStr">
        <is>
          <t>description</t>
        </is>
      </c>
      <c r="F381" s="14" t="n">
        <v>1842</v>
      </c>
      <c r="G381" s="17" t="n">
        <v>8.4</v>
      </c>
      <c r="H381" s="14">
        <f>IF(G381="","",G381*Ayarlar!$B$3+Ayarlar!$B$4+Ayarlar!$B$5)</f>
        <v/>
      </c>
      <c r="I381" s="14">
        <f>IF(G381="","",ROUNDUP(((G381*Ayarlar!$B$3+Ayarlar!$B$4+Ayarlar!$B$5)+Ayarlar!$B$8)/((1-Ayarlar!$B$6)*(1-Ayarlar!$B$7)),0))</f>
        <v/>
      </c>
      <c r="J381" s="14">
        <f>IF(G381="","",ROUNDUP(((G381*Ayarlar!$B$3+Ayarlar!$B$4+Ayarlar!$B$5)+Ayarlar!$B$8)/((1-Ayarlar!$B$6)*(1-Ayarlar!$B$7-Ayarlar!$B$9)),0))</f>
        <v/>
      </c>
      <c r="K381" s="15">
        <f>IF(OR(G381="",F381=""),"",(F381*(1-Ayarlar!$B$6)-(F381*(1-Ayarlar!$B$6)*Ayarlar!$B$7+Ayarlar!$B$8)-(G381*Ayarlar!$B$3+Ayarlar!$B$4+Ayarlar!$B$5))/(F381*(1-Ayarlar!$B$6)))</f>
        <v/>
      </c>
      <c r="L381" s="3">
        <f>IF(G381="","GRAM EKSİK",IF(F381&gt;30000,"FİYAT ŞÜPHELİ",IF(K381&lt;0,"ZARARDA",IF(F381&lt;I381,"RİSKLİ","ok"))))</f>
        <v/>
      </c>
      <c r="M381" s="16" t="inlineStr">
        <is>
          <t>https://www.etsy.com/listing/1442796773</t>
        </is>
      </c>
    </row>
    <row r="382">
      <c r="A382" s="9" t="inlineStr">
        <is>
          <t>chains</t>
        </is>
      </c>
      <c r="B382" s="9" t="inlineStr">
        <is>
          <t>14K Solid Gold Valentino Link Chain Necklace / Diamond Cut T</t>
        </is>
      </c>
      <c r="C382" s="9" t="n">
        <v>1442796773</v>
      </c>
      <c r="D382" s="9" t="inlineStr">
        <is>
          <t>CVLN4F-24</t>
        </is>
      </c>
      <c r="E382" s="9" t="inlineStr">
        <is>
          <t>description</t>
        </is>
      </c>
      <c r="F382" s="10" t="n">
        <v>1506</v>
      </c>
      <c r="G382" s="18" t="n">
        <v>8.4</v>
      </c>
      <c r="H382" s="10">
        <f>IF(G382="","",G382*Ayarlar!$B$3+Ayarlar!$B$4+Ayarlar!$B$5)</f>
        <v/>
      </c>
      <c r="I382" s="10">
        <f>IF(G382="","",ROUNDUP(((G382*Ayarlar!$B$3+Ayarlar!$B$4+Ayarlar!$B$5)+Ayarlar!$B$8)/((1-Ayarlar!$B$6)*(1-Ayarlar!$B$7)),0))</f>
        <v/>
      </c>
      <c r="J382" s="10">
        <f>IF(G382="","",ROUNDUP(((G382*Ayarlar!$B$3+Ayarlar!$B$4+Ayarlar!$B$5)+Ayarlar!$B$8)/((1-Ayarlar!$B$6)*(1-Ayarlar!$B$7-Ayarlar!$B$9)),0))</f>
        <v/>
      </c>
      <c r="K382" s="12">
        <f>IF(OR(G382="",F382=""),"",(F382*(1-Ayarlar!$B$6)-(F382*(1-Ayarlar!$B$6)*Ayarlar!$B$7+Ayarlar!$B$8)-(G382*Ayarlar!$B$3+Ayarlar!$B$4+Ayarlar!$B$5))/(F382*(1-Ayarlar!$B$6)))</f>
        <v/>
      </c>
      <c r="L382" s="9">
        <f>IF(G382="","GRAM EKSİK",IF(F382&gt;30000,"FİYAT ŞÜPHELİ",IF(K382&lt;0,"ZARARDA",IF(F382&lt;I382,"RİSKLİ","ok"))))</f>
        <v/>
      </c>
      <c r="M382" s="13" t="inlineStr">
        <is>
          <t>https://www.etsy.com/listing/1442796773</t>
        </is>
      </c>
    </row>
    <row r="383">
      <c r="A383" s="3" t="inlineStr">
        <is>
          <t>chains</t>
        </is>
      </c>
      <c r="B383" s="3" t="inlineStr">
        <is>
          <t>14K Solid Gold Valentino Link Chain Necklace / Diamond Cut T</t>
        </is>
      </c>
      <c r="C383" s="3" t="n">
        <v>1442796773</v>
      </c>
      <c r="D383" s="3" t="inlineStr">
        <is>
          <t>CVLN5F-16</t>
        </is>
      </c>
      <c r="E383" s="3" t="inlineStr">
        <is>
          <t>description</t>
        </is>
      </c>
      <c r="F383" s="14" t="n">
        <v>1520</v>
      </c>
      <c r="G383" s="17" t="n">
        <v>10.8</v>
      </c>
      <c r="H383" s="14">
        <f>IF(G383="","",G383*Ayarlar!$B$3+Ayarlar!$B$4+Ayarlar!$B$5)</f>
        <v/>
      </c>
      <c r="I383" s="14">
        <f>IF(G383="","",ROUNDUP(((G383*Ayarlar!$B$3+Ayarlar!$B$4+Ayarlar!$B$5)+Ayarlar!$B$8)/((1-Ayarlar!$B$6)*(1-Ayarlar!$B$7)),0))</f>
        <v/>
      </c>
      <c r="J383" s="14">
        <f>IF(G383="","",ROUNDUP(((G383*Ayarlar!$B$3+Ayarlar!$B$4+Ayarlar!$B$5)+Ayarlar!$B$8)/((1-Ayarlar!$B$6)*(1-Ayarlar!$B$7-Ayarlar!$B$9)),0))</f>
        <v/>
      </c>
      <c r="K383" s="15">
        <f>IF(OR(G383="",F383=""),"",(F383*(1-Ayarlar!$B$6)-(F383*(1-Ayarlar!$B$6)*Ayarlar!$B$7+Ayarlar!$B$8)-(G383*Ayarlar!$B$3+Ayarlar!$B$4+Ayarlar!$B$5))/(F383*(1-Ayarlar!$B$6)))</f>
        <v/>
      </c>
      <c r="L383" s="3">
        <f>IF(G383="","GRAM EKSİK",IF(F383&gt;30000,"FİYAT ŞÜPHELİ",IF(K383&lt;0,"ZARARDA",IF(F383&lt;I383,"RİSKLİ","ok"))))</f>
        <v/>
      </c>
      <c r="M383" s="16" t="inlineStr">
        <is>
          <t>https://www.etsy.com/listing/1442796773</t>
        </is>
      </c>
    </row>
    <row r="384">
      <c r="A384" s="9" t="inlineStr">
        <is>
          <t>chains</t>
        </is>
      </c>
      <c r="B384" s="9" t="inlineStr">
        <is>
          <t>14K Solid Gold Valentino Link Chain Necklace / Diamond Cut T</t>
        </is>
      </c>
      <c r="C384" s="9" t="n">
        <v>1442796773</v>
      </c>
      <c r="D384" s="9" t="inlineStr">
        <is>
          <t>CVLN5F-18</t>
        </is>
      </c>
      <c r="E384" s="9" t="inlineStr">
        <is>
          <t>description</t>
        </is>
      </c>
      <c r="F384" s="10" t="n">
        <v>1688</v>
      </c>
      <c r="G384" s="18" t="n">
        <v>10.8</v>
      </c>
      <c r="H384" s="10">
        <f>IF(G384="","",G384*Ayarlar!$B$3+Ayarlar!$B$4+Ayarlar!$B$5)</f>
        <v/>
      </c>
      <c r="I384" s="10">
        <f>IF(G384="","",ROUNDUP(((G384*Ayarlar!$B$3+Ayarlar!$B$4+Ayarlar!$B$5)+Ayarlar!$B$8)/((1-Ayarlar!$B$6)*(1-Ayarlar!$B$7)),0))</f>
        <v/>
      </c>
      <c r="J384" s="10">
        <f>IF(G384="","",ROUNDUP(((G384*Ayarlar!$B$3+Ayarlar!$B$4+Ayarlar!$B$5)+Ayarlar!$B$8)/((1-Ayarlar!$B$6)*(1-Ayarlar!$B$7-Ayarlar!$B$9)),0))</f>
        <v/>
      </c>
      <c r="K384" s="12">
        <f>IF(OR(G384="",F384=""),"",(F384*(1-Ayarlar!$B$6)-(F384*(1-Ayarlar!$B$6)*Ayarlar!$B$7+Ayarlar!$B$8)-(G384*Ayarlar!$B$3+Ayarlar!$B$4+Ayarlar!$B$5))/(F384*(1-Ayarlar!$B$6)))</f>
        <v/>
      </c>
      <c r="L384" s="9">
        <f>IF(G384="","GRAM EKSİK",IF(F384&gt;30000,"FİYAT ŞÜPHELİ",IF(K384&lt;0,"ZARARDA",IF(F384&lt;I384,"RİSKLİ","ok"))))</f>
        <v/>
      </c>
      <c r="M384" s="13" t="inlineStr">
        <is>
          <t>https://www.etsy.com/listing/1442796773</t>
        </is>
      </c>
    </row>
    <row r="385">
      <c r="A385" s="3" t="inlineStr">
        <is>
          <t>chains</t>
        </is>
      </c>
      <c r="B385" s="3" t="inlineStr">
        <is>
          <t>14K Solid Gold Valentino Link Chain Necklace / Diamond Cut T</t>
        </is>
      </c>
      <c r="C385" s="3" t="n">
        <v>1442796773</v>
      </c>
      <c r="D385" s="3" t="inlineStr">
        <is>
          <t>CVLN5F-20</t>
        </is>
      </c>
      <c r="E385" s="3" t="inlineStr">
        <is>
          <t>description</t>
        </is>
      </c>
      <c r="F385" s="14" t="n">
        <v>1856</v>
      </c>
      <c r="G385" s="17" t="n">
        <v>10.8</v>
      </c>
      <c r="H385" s="14">
        <f>IF(G385="","",G385*Ayarlar!$B$3+Ayarlar!$B$4+Ayarlar!$B$5)</f>
        <v/>
      </c>
      <c r="I385" s="14">
        <f>IF(G385="","",ROUNDUP(((G385*Ayarlar!$B$3+Ayarlar!$B$4+Ayarlar!$B$5)+Ayarlar!$B$8)/((1-Ayarlar!$B$6)*(1-Ayarlar!$B$7)),0))</f>
        <v/>
      </c>
      <c r="J385" s="14">
        <f>IF(G385="","",ROUNDUP(((G385*Ayarlar!$B$3+Ayarlar!$B$4+Ayarlar!$B$5)+Ayarlar!$B$8)/((1-Ayarlar!$B$6)*(1-Ayarlar!$B$7-Ayarlar!$B$9)),0))</f>
        <v/>
      </c>
      <c r="K385" s="15">
        <f>IF(OR(G385="",F385=""),"",(F385*(1-Ayarlar!$B$6)-(F385*(1-Ayarlar!$B$6)*Ayarlar!$B$7+Ayarlar!$B$8)-(G385*Ayarlar!$B$3+Ayarlar!$B$4+Ayarlar!$B$5))/(F385*(1-Ayarlar!$B$6)))</f>
        <v/>
      </c>
      <c r="L385" s="3">
        <f>IF(G385="","GRAM EKSİK",IF(F385&gt;30000,"FİYAT ŞÜPHELİ",IF(K385&lt;0,"ZARARDA",IF(F385&lt;I385,"RİSKLİ","ok"))))</f>
        <v/>
      </c>
      <c r="M385" s="16" t="inlineStr">
        <is>
          <t>https://www.etsy.com/listing/1442796773</t>
        </is>
      </c>
    </row>
    <row r="386">
      <c r="A386" s="9" t="inlineStr">
        <is>
          <t>chains</t>
        </is>
      </c>
      <c r="B386" s="9" t="inlineStr">
        <is>
          <t>14K Solid Gold Valentino Link Chain Necklace / Diamond Cut T</t>
        </is>
      </c>
      <c r="C386" s="9" t="n">
        <v>1442796773</v>
      </c>
      <c r="D386" s="9" t="inlineStr">
        <is>
          <t>CVLN5F-22</t>
        </is>
      </c>
      <c r="E386" s="9" t="inlineStr">
        <is>
          <t>description</t>
        </is>
      </c>
      <c r="F386" s="10" t="n">
        <v>2024</v>
      </c>
      <c r="G386" s="18" t="n">
        <v>10.8</v>
      </c>
      <c r="H386" s="10">
        <f>IF(G386="","",G386*Ayarlar!$B$3+Ayarlar!$B$4+Ayarlar!$B$5)</f>
        <v/>
      </c>
      <c r="I386" s="10">
        <f>IF(G386="","",ROUNDUP(((G386*Ayarlar!$B$3+Ayarlar!$B$4+Ayarlar!$B$5)+Ayarlar!$B$8)/((1-Ayarlar!$B$6)*(1-Ayarlar!$B$7)),0))</f>
        <v/>
      </c>
      <c r="J386" s="10">
        <f>IF(G386="","",ROUNDUP(((G386*Ayarlar!$B$3+Ayarlar!$B$4+Ayarlar!$B$5)+Ayarlar!$B$8)/((1-Ayarlar!$B$6)*(1-Ayarlar!$B$7-Ayarlar!$B$9)),0))</f>
        <v/>
      </c>
      <c r="K386" s="12">
        <f>IF(OR(G386="",F386=""),"",(F386*(1-Ayarlar!$B$6)-(F386*(1-Ayarlar!$B$6)*Ayarlar!$B$7+Ayarlar!$B$8)-(G386*Ayarlar!$B$3+Ayarlar!$B$4+Ayarlar!$B$5))/(F386*(1-Ayarlar!$B$6)))</f>
        <v/>
      </c>
      <c r="L386" s="9">
        <f>IF(G386="","GRAM EKSİK",IF(F386&gt;30000,"FİYAT ŞÜPHELİ",IF(K386&lt;0,"ZARARDA",IF(F386&lt;I386,"RİSKLİ","ok"))))</f>
        <v/>
      </c>
      <c r="M386" s="13" t="inlineStr">
        <is>
          <t>https://www.etsy.com/listing/1442796773</t>
        </is>
      </c>
    </row>
    <row r="387">
      <c r="A387" s="3" t="inlineStr">
        <is>
          <t>chains</t>
        </is>
      </c>
      <c r="B387" s="3" t="inlineStr">
        <is>
          <t>14K Solid Gold Valentino Link Chain Necklace / Diamond Cut T</t>
        </is>
      </c>
      <c r="C387" s="3" t="n">
        <v>1442796773</v>
      </c>
      <c r="D387" s="3" t="inlineStr">
        <is>
          <t>CVLN5F-24</t>
        </is>
      </c>
      <c r="E387" s="3" t="inlineStr">
        <is>
          <t>description</t>
        </is>
      </c>
      <c r="F387" s="14" t="n">
        <v>2191</v>
      </c>
      <c r="G387" s="17" t="n">
        <v>10.8</v>
      </c>
      <c r="H387" s="14">
        <f>IF(G387="","",G387*Ayarlar!$B$3+Ayarlar!$B$4+Ayarlar!$B$5)</f>
        <v/>
      </c>
      <c r="I387" s="14">
        <f>IF(G387="","",ROUNDUP(((G387*Ayarlar!$B$3+Ayarlar!$B$4+Ayarlar!$B$5)+Ayarlar!$B$8)/((1-Ayarlar!$B$6)*(1-Ayarlar!$B$7)),0))</f>
        <v/>
      </c>
      <c r="J387" s="14">
        <f>IF(G387="","",ROUNDUP(((G387*Ayarlar!$B$3+Ayarlar!$B$4+Ayarlar!$B$5)+Ayarlar!$B$8)/((1-Ayarlar!$B$6)*(1-Ayarlar!$B$7-Ayarlar!$B$9)),0))</f>
        <v/>
      </c>
      <c r="K387" s="15">
        <f>IF(OR(G387="",F387=""),"",(F387*(1-Ayarlar!$B$6)-(F387*(1-Ayarlar!$B$6)*Ayarlar!$B$7+Ayarlar!$B$8)-(G387*Ayarlar!$B$3+Ayarlar!$B$4+Ayarlar!$B$5))/(F387*(1-Ayarlar!$B$6)))</f>
        <v/>
      </c>
      <c r="L387" s="3">
        <f>IF(G387="","GRAM EKSİK",IF(F387&gt;30000,"FİYAT ŞÜPHELİ",IF(K387&lt;0,"ZARARDA",IF(F387&lt;I387,"RİSKLİ","ok"))))</f>
        <v/>
      </c>
      <c r="M387" s="16" t="inlineStr">
        <is>
          <t>https://www.etsy.com/listing/1442796773</t>
        </is>
      </c>
    </row>
    <row r="388">
      <c r="A388" s="9" t="inlineStr">
        <is>
          <t>chains</t>
        </is>
      </c>
      <c r="B388" s="9" t="inlineStr">
        <is>
          <t>14K Solid Gold Valentino Link Chain Necklace / Diamond Cut T</t>
        </is>
      </c>
      <c r="C388" s="9" t="n">
        <v>1442796773</v>
      </c>
      <c r="D388" s="9" t="inlineStr">
        <is>
          <t>CVLN6F-16</t>
        </is>
      </c>
      <c r="E388" s="9" t="inlineStr">
        <is>
          <t>description</t>
        </is>
      </c>
      <c r="F388" s="10" t="n">
        <v>5316</v>
      </c>
      <c r="G388" s="18" t="n">
        <v>18.72</v>
      </c>
      <c r="H388" s="10">
        <f>IF(G388="","",G388*Ayarlar!$B$3+Ayarlar!$B$4+Ayarlar!$B$5)</f>
        <v/>
      </c>
      <c r="I388" s="10">
        <f>IF(G388="","",ROUNDUP(((G388*Ayarlar!$B$3+Ayarlar!$B$4+Ayarlar!$B$5)+Ayarlar!$B$8)/((1-Ayarlar!$B$6)*(1-Ayarlar!$B$7)),0))</f>
        <v/>
      </c>
      <c r="J388" s="10">
        <f>IF(G388="","",ROUNDUP(((G388*Ayarlar!$B$3+Ayarlar!$B$4+Ayarlar!$B$5)+Ayarlar!$B$8)/((1-Ayarlar!$B$6)*(1-Ayarlar!$B$7-Ayarlar!$B$9)),0))</f>
        <v/>
      </c>
      <c r="K388" s="12">
        <f>IF(OR(G388="",F388=""),"",(F388*(1-Ayarlar!$B$6)-(F388*(1-Ayarlar!$B$6)*Ayarlar!$B$7+Ayarlar!$B$8)-(G388*Ayarlar!$B$3+Ayarlar!$B$4+Ayarlar!$B$5))/(F388*(1-Ayarlar!$B$6)))</f>
        <v/>
      </c>
      <c r="L388" s="9">
        <f>IF(G388="","GRAM EKSİK",IF(F388&gt;30000,"FİYAT ŞÜPHELİ",IF(K388&lt;0,"ZARARDA",IF(F388&lt;I388,"RİSKLİ","ok"))))</f>
        <v/>
      </c>
      <c r="M388" s="13" t="inlineStr">
        <is>
          <t>https://www.etsy.com/listing/1442796773</t>
        </is>
      </c>
    </row>
    <row r="389">
      <c r="A389" s="3" t="inlineStr">
        <is>
          <t>chains</t>
        </is>
      </c>
      <c r="B389" s="3" t="inlineStr">
        <is>
          <t>14K Solid Gold Valentino Link Chain Necklace / Diamond Cut T</t>
        </is>
      </c>
      <c r="C389" s="3" t="n">
        <v>1442796773</v>
      </c>
      <c r="D389" s="3" t="inlineStr">
        <is>
          <t>CVLN6F-18</t>
        </is>
      </c>
      <c r="E389" s="3" t="inlineStr">
        <is>
          <t>description</t>
        </is>
      </c>
      <c r="F389" s="14" t="n">
        <v>5536</v>
      </c>
      <c r="G389" s="17" t="n">
        <v>18.72</v>
      </c>
      <c r="H389" s="14">
        <f>IF(G389="","",G389*Ayarlar!$B$3+Ayarlar!$B$4+Ayarlar!$B$5)</f>
        <v/>
      </c>
      <c r="I389" s="14">
        <f>IF(G389="","",ROUNDUP(((G389*Ayarlar!$B$3+Ayarlar!$B$4+Ayarlar!$B$5)+Ayarlar!$B$8)/((1-Ayarlar!$B$6)*(1-Ayarlar!$B$7)),0))</f>
        <v/>
      </c>
      <c r="J389" s="14">
        <f>IF(G389="","",ROUNDUP(((G389*Ayarlar!$B$3+Ayarlar!$B$4+Ayarlar!$B$5)+Ayarlar!$B$8)/((1-Ayarlar!$B$6)*(1-Ayarlar!$B$7-Ayarlar!$B$9)),0))</f>
        <v/>
      </c>
      <c r="K389" s="15">
        <f>IF(OR(G389="",F389=""),"",(F389*(1-Ayarlar!$B$6)-(F389*(1-Ayarlar!$B$6)*Ayarlar!$B$7+Ayarlar!$B$8)-(G389*Ayarlar!$B$3+Ayarlar!$B$4+Ayarlar!$B$5))/(F389*(1-Ayarlar!$B$6)))</f>
        <v/>
      </c>
      <c r="L389" s="3">
        <f>IF(G389="","GRAM EKSİK",IF(F389&gt;30000,"FİYAT ŞÜPHELİ",IF(K389&lt;0,"ZARARDA",IF(F389&lt;I389,"RİSKLİ","ok"))))</f>
        <v/>
      </c>
      <c r="M389" s="16" t="inlineStr">
        <is>
          <t>https://www.etsy.com/listing/1442796773</t>
        </is>
      </c>
    </row>
    <row r="390">
      <c r="A390" s="9" t="inlineStr">
        <is>
          <t>chains</t>
        </is>
      </c>
      <c r="B390" s="9" t="inlineStr">
        <is>
          <t>14K Solid Gold Valentino Link Chain Necklace / Diamond Cut T</t>
        </is>
      </c>
      <c r="C390" s="9" t="n">
        <v>1442796773</v>
      </c>
      <c r="D390" s="9" t="inlineStr">
        <is>
          <t>CVLN6F-20</t>
        </is>
      </c>
      <c r="E390" s="9" t="inlineStr">
        <is>
          <t>description</t>
        </is>
      </c>
      <c r="F390" s="10" t="n">
        <v>5956</v>
      </c>
      <c r="G390" s="18" t="n">
        <v>18.72</v>
      </c>
      <c r="H390" s="10">
        <f>IF(G390="","",G390*Ayarlar!$B$3+Ayarlar!$B$4+Ayarlar!$B$5)</f>
        <v/>
      </c>
      <c r="I390" s="10">
        <f>IF(G390="","",ROUNDUP(((G390*Ayarlar!$B$3+Ayarlar!$B$4+Ayarlar!$B$5)+Ayarlar!$B$8)/((1-Ayarlar!$B$6)*(1-Ayarlar!$B$7)),0))</f>
        <v/>
      </c>
      <c r="J390" s="10">
        <f>IF(G390="","",ROUNDUP(((G390*Ayarlar!$B$3+Ayarlar!$B$4+Ayarlar!$B$5)+Ayarlar!$B$8)/((1-Ayarlar!$B$6)*(1-Ayarlar!$B$7-Ayarlar!$B$9)),0))</f>
        <v/>
      </c>
      <c r="K390" s="12">
        <f>IF(OR(G390="",F390=""),"",(F390*(1-Ayarlar!$B$6)-(F390*(1-Ayarlar!$B$6)*Ayarlar!$B$7+Ayarlar!$B$8)-(G390*Ayarlar!$B$3+Ayarlar!$B$4+Ayarlar!$B$5))/(F390*(1-Ayarlar!$B$6)))</f>
        <v/>
      </c>
      <c r="L390" s="9">
        <f>IF(G390="","GRAM EKSİK",IF(F390&gt;30000,"FİYAT ŞÜPHELİ",IF(K390&lt;0,"ZARARDA",IF(F390&lt;I390,"RİSKLİ","ok"))))</f>
        <v/>
      </c>
      <c r="M390" s="13" t="inlineStr">
        <is>
          <t>https://www.etsy.com/listing/1442796773</t>
        </is>
      </c>
    </row>
    <row r="391">
      <c r="A391" s="3" t="inlineStr">
        <is>
          <t>chains</t>
        </is>
      </c>
      <c r="B391" s="3" t="inlineStr">
        <is>
          <t>14K Solid Gold Valentino Link Chain Necklace / Diamond Cut T</t>
        </is>
      </c>
      <c r="C391" s="3" t="n">
        <v>1442796773</v>
      </c>
      <c r="D391" s="3" t="inlineStr">
        <is>
          <t>CVLN6F-22</t>
        </is>
      </c>
      <c r="E391" s="3" t="inlineStr">
        <is>
          <t>description</t>
        </is>
      </c>
      <c r="F391" s="14" t="n">
        <v>6776</v>
      </c>
      <c r="G391" s="17" t="n">
        <v>18.72</v>
      </c>
      <c r="H391" s="14">
        <f>IF(G391="","",G391*Ayarlar!$B$3+Ayarlar!$B$4+Ayarlar!$B$5)</f>
        <v/>
      </c>
      <c r="I391" s="14">
        <f>IF(G391="","",ROUNDUP(((G391*Ayarlar!$B$3+Ayarlar!$B$4+Ayarlar!$B$5)+Ayarlar!$B$8)/((1-Ayarlar!$B$6)*(1-Ayarlar!$B$7)),0))</f>
        <v/>
      </c>
      <c r="J391" s="14">
        <f>IF(G391="","",ROUNDUP(((G391*Ayarlar!$B$3+Ayarlar!$B$4+Ayarlar!$B$5)+Ayarlar!$B$8)/((1-Ayarlar!$B$6)*(1-Ayarlar!$B$7-Ayarlar!$B$9)),0))</f>
        <v/>
      </c>
      <c r="K391" s="15">
        <f>IF(OR(G391="",F391=""),"",(F391*(1-Ayarlar!$B$6)-(F391*(1-Ayarlar!$B$6)*Ayarlar!$B$7+Ayarlar!$B$8)-(G391*Ayarlar!$B$3+Ayarlar!$B$4+Ayarlar!$B$5))/(F391*(1-Ayarlar!$B$6)))</f>
        <v/>
      </c>
      <c r="L391" s="3">
        <f>IF(G391="","GRAM EKSİK",IF(F391&gt;30000,"FİYAT ŞÜPHELİ",IF(K391&lt;0,"ZARARDA",IF(F391&lt;I391,"RİSKLİ","ok"))))</f>
        <v/>
      </c>
      <c r="M391" s="16" t="inlineStr">
        <is>
          <t>https://www.etsy.com/listing/1442796773</t>
        </is>
      </c>
    </row>
    <row r="392">
      <c r="A392" s="9" t="inlineStr">
        <is>
          <t>chains</t>
        </is>
      </c>
      <c r="B392" s="9" t="inlineStr">
        <is>
          <t>14K Solid Gold Valentino Link Chain Necklace / Diamond Cut T</t>
        </is>
      </c>
      <c r="C392" s="9" t="n">
        <v>1442796773</v>
      </c>
      <c r="D392" s="9" t="inlineStr">
        <is>
          <t>CVLN6F-24</t>
        </is>
      </c>
      <c r="E392" s="9" t="inlineStr">
        <is>
          <t>description</t>
        </is>
      </c>
      <c r="F392" s="10" t="n">
        <v>7596</v>
      </c>
      <c r="G392" s="18" t="n">
        <v>18.72</v>
      </c>
      <c r="H392" s="10">
        <f>IF(G392="","",G392*Ayarlar!$B$3+Ayarlar!$B$4+Ayarlar!$B$5)</f>
        <v/>
      </c>
      <c r="I392" s="10">
        <f>IF(G392="","",ROUNDUP(((G392*Ayarlar!$B$3+Ayarlar!$B$4+Ayarlar!$B$5)+Ayarlar!$B$8)/((1-Ayarlar!$B$6)*(1-Ayarlar!$B$7)),0))</f>
        <v/>
      </c>
      <c r="J392" s="10">
        <f>IF(G392="","",ROUNDUP(((G392*Ayarlar!$B$3+Ayarlar!$B$4+Ayarlar!$B$5)+Ayarlar!$B$8)/((1-Ayarlar!$B$6)*(1-Ayarlar!$B$7-Ayarlar!$B$9)),0))</f>
        <v/>
      </c>
      <c r="K392" s="12">
        <f>IF(OR(G392="",F392=""),"",(F392*(1-Ayarlar!$B$6)-(F392*(1-Ayarlar!$B$6)*Ayarlar!$B$7+Ayarlar!$B$8)-(G392*Ayarlar!$B$3+Ayarlar!$B$4+Ayarlar!$B$5))/(F392*(1-Ayarlar!$B$6)))</f>
        <v/>
      </c>
      <c r="L392" s="9">
        <f>IF(G392="","GRAM EKSİK",IF(F392&gt;30000,"FİYAT ŞÜPHELİ",IF(K392&lt;0,"ZARARDA",IF(F392&lt;I392,"RİSKLİ","ok"))))</f>
        <v/>
      </c>
      <c r="M392" s="13" t="inlineStr">
        <is>
          <t>https://www.etsy.com/listing/1442796773</t>
        </is>
      </c>
    </row>
    <row r="393">
      <c r="A393" s="3" t="inlineStr">
        <is>
          <t>chains</t>
        </is>
      </c>
      <c r="B393" s="3" t="inlineStr">
        <is>
          <t>14K Solid Yellow Gold Rolo Bracelet - Dainty Unisex Chain</t>
        </is>
      </c>
      <c r="C393" s="3" t="n">
        <v>4348088289</v>
      </c>
      <c r="D393" s="3" t="inlineStr">
        <is>
          <t>BYROL1-7</t>
        </is>
      </c>
      <c r="E393" s="3" t="inlineStr">
        <is>
          <t>description</t>
        </is>
      </c>
      <c r="F393" s="14" t="n">
        <v>545</v>
      </c>
      <c r="G393" s="17" t="n">
        <v>3.18</v>
      </c>
      <c r="H393" s="14">
        <f>IF(G393="","",G393*Ayarlar!$B$3+Ayarlar!$B$4+Ayarlar!$B$5)</f>
        <v/>
      </c>
      <c r="I393" s="14">
        <f>IF(G393="","",ROUNDUP(((G393*Ayarlar!$B$3+Ayarlar!$B$4+Ayarlar!$B$5)+Ayarlar!$B$8)/((1-Ayarlar!$B$6)*(1-Ayarlar!$B$7)),0))</f>
        <v/>
      </c>
      <c r="J393" s="14">
        <f>IF(G393="","",ROUNDUP(((G393*Ayarlar!$B$3+Ayarlar!$B$4+Ayarlar!$B$5)+Ayarlar!$B$8)/((1-Ayarlar!$B$6)*(1-Ayarlar!$B$7-Ayarlar!$B$9)),0))</f>
        <v/>
      </c>
      <c r="K393" s="15">
        <f>IF(OR(G393="",F393=""),"",(F393*(1-Ayarlar!$B$6)-(F393*(1-Ayarlar!$B$6)*Ayarlar!$B$7+Ayarlar!$B$8)-(G393*Ayarlar!$B$3+Ayarlar!$B$4+Ayarlar!$B$5))/(F393*(1-Ayarlar!$B$6)))</f>
        <v/>
      </c>
      <c r="L393" s="3">
        <f>IF(G393="","GRAM EKSİK",IF(F393&gt;30000,"FİYAT ŞÜPHELİ",IF(K393&lt;0,"ZARARDA",IF(F393&lt;I393,"RİSKLİ","ok"))))</f>
        <v/>
      </c>
      <c r="M393" s="16" t="inlineStr">
        <is>
          <t>https://www.etsy.com/listing/4348088289</t>
        </is>
      </c>
    </row>
    <row r="394">
      <c r="A394" s="9" t="inlineStr">
        <is>
          <t>chains</t>
        </is>
      </c>
      <c r="B394" s="9" t="inlineStr">
        <is>
          <t>14K Solid Yellow Gold Rolo Bracelet - Dainty Unisex Chain</t>
        </is>
      </c>
      <c r="C394" s="9" t="n">
        <v>4348088289</v>
      </c>
      <c r="D394" s="9" t="inlineStr">
        <is>
          <t>BYROL1-7.5</t>
        </is>
      </c>
      <c r="E394" s="9" t="inlineStr">
        <is>
          <t>description</t>
        </is>
      </c>
      <c r="F394" s="10" t="n">
        <v>585</v>
      </c>
      <c r="G394" s="18" t="n">
        <v>3.41</v>
      </c>
      <c r="H394" s="10">
        <f>IF(G394="","",G394*Ayarlar!$B$3+Ayarlar!$B$4+Ayarlar!$B$5)</f>
        <v/>
      </c>
      <c r="I394" s="10">
        <f>IF(G394="","",ROUNDUP(((G394*Ayarlar!$B$3+Ayarlar!$B$4+Ayarlar!$B$5)+Ayarlar!$B$8)/((1-Ayarlar!$B$6)*(1-Ayarlar!$B$7)),0))</f>
        <v/>
      </c>
      <c r="J394" s="10">
        <f>IF(G394="","",ROUNDUP(((G394*Ayarlar!$B$3+Ayarlar!$B$4+Ayarlar!$B$5)+Ayarlar!$B$8)/((1-Ayarlar!$B$6)*(1-Ayarlar!$B$7-Ayarlar!$B$9)),0))</f>
        <v/>
      </c>
      <c r="K394" s="12">
        <f>IF(OR(G394="",F394=""),"",(F394*(1-Ayarlar!$B$6)-(F394*(1-Ayarlar!$B$6)*Ayarlar!$B$7+Ayarlar!$B$8)-(G394*Ayarlar!$B$3+Ayarlar!$B$4+Ayarlar!$B$5))/(F394*(1-Ayarlar!$B$6)))</f>
        <v/>
      </c>
      <c r="L394" s="9">
        <f>IF(G394="","GRAM EKSİK",IF(F394&gt;30000,"FİYAT ŞÜPHELİ",IF(K394&lt;0,"ZARARDA",IF(F394&lt;I394,"RİSKLİ","ok"))))</f>
        <v/>
      </c>
      <c r="M394" s="13" t="inlineStr">
        <is>
          <t>https://www.etsy.com/listing/4348088289</t>
        </is>
      </c>
    </row>
    <row r="395">
      <c r="A395" s="3" t="inlineStr">
        <is>
          <t>chains</t>
        </is>
      </c>
      <c r="B395" s="3" t="inlineStr">
        <is>
          <t>14K Solid Yellow Gold Rolo Bracelet - Dainty Unisex Chain</t>
        </is>
      </c>
      <c r="C395" s="3" t="n">
        <v>4348088289</v>
      </c>
      <c r="D395" s="3" t="inlineStr">
        <is>
          <t>BYROL1-8</t>
        </is>
      </c>
      <c r="E395" s="3" t="inlineStr">
        <is>
          <t>description</t>
        </is>
      </c>
      <c r="F395" s="14" t="n">
        <v>624</v>
      </c>
      <c r="G395" s="17" t="n">
        <v>3.64</v>
      </c>
      <c r="H395" s="14">
        <f>IF(G395="","",G395*Ayarlar!$B$3+Ayarlar!$B$4+Ayarlar!$B$5)</f>
        <v/>
      </c>
      <c r="I395" s="14">
        <f>IF(G395="","",ROUNDUP(((G395*Ayarlar!$B$3+Ayarlar!$B$4+Ayarlar!$B$5)+Ayarlar!$B$8)/((1-Ayarlar!$B$6)*(1-Ayarlar!$B$7)),0))</f>
        <v/>
      </c>
      <c r="J395" s="14">
        <f>IF(G395="","",ROUNDUP(((G395*Ayarlar!$B$3+Ayarlar!$B$4+Ayarlar!$B$5)+Ayarlar!$B$8)/((1-Ayarlar!$B$6)*(1-Ayarlar!$B$7-Ayarlar!$B$9)),0))</f>
        <v/>
      </c>
      <c r="K395" s="15">
        <f>IF(OR(G395="",F395=""),"",(F395*(1-Ayarlar!$B$6)-(F395*(1-Ayarlar!$B$6)*Ayarlar!$B$7+Ayarlar!$B$8)-(G395*Ayarlar!$B$3+Ayarlar!$B$4+Ayarlar!$B$5))/(F395*(1-Ayarlar!$B$6)))</f>
        <v/>
      </c>
      <c r="L395" s="3">
        <f>IF(G395="","GRAM EKSİK",IF(F395&gt;30000,"FİYAT ŞÜPHELİ",IF(K395&lt;0,"ZARARDA",IF(F395&lt;I395,"RİSKLİ","ok"))))</f>
        <v/>
      </c>
      <c r="M395" s="16" t="inlineStr">
        <is>
          <t>https://www.etsy.com/listing/4348088289</t>
        </is>
      </c>
    </row>
    <row r="396">
      <c r="A396" s="9" t="inlineStr">
        <is>
          <t>chains</t>
        </is>
      </c>
      <c r="B396" s="9" t="inlineStr">
        <is>
          <t>14K Solid Yellow Gold Rolo Bracelet - Dainty Unisex Chain</t>
        </is>
      </c>
      <c r="C396" s="9" t="n">
        <v>4348088289</v>
      </c>
      <c r="D396" s="9" t="inlineStr">
        <is>
          <t>BYROL2-7</t>
        </is>
      </c>
      <c r="E396" s="9" t="inlineStr">
        <is>
          <t>description</t>
        </is>
      </c>
      <c r="F396" s="10" t="n">
        <v>751</v>
      </c>
      <c r="G396" s="18" t="n">
        <v>4.67</v>
      </c>
      <c r="H396" s="10">
        <f>IF(G396="","",G396*Ayarlar!$B$3+Ayarlar!$B$4+Ayarlar!$B$5)</f>
        <v/>
      </c>
      <c r="I396" s="10">
        <f>IF(G396="","",ROUNDUP(((G396*Ayarlar!$B$3+Ayarlar!$B$4+Ayarlar!$B$5)+Ayarlar!$B$8)/((1-Ayarlar!$B$6)*(1-Ayarlar!$B$7)),0))</f>
        <v/>
      </c>
      <c r="J396" s="10">
        <f>IF(G396="","",ROUNDUP(((G396*Ayarlar!$B$3+Ayarlar!$B$4+Ayarlar!$B$5)+Ayarlar!$B$8)/((1-Ayarlar!$B$6)*(1-Ayarlar!$B$7-Ayarlar!$B$9)),0))</f>
        <v/>
      </c>
      <c r="K396" s="12">
        <f>IF(OR(G396="",F396=""),"",(F396*(1-Ayarlar!$B$6)-(F396*(1-Ayarlar!$B$6)*Ayarlar!$B$7+Ayarlar!$B$8)-(G396*Ayarlar!$B$3+Ayarlar!$B$4+Ayarlar!$B$5))/(F396*(1-Ayarlar!$B$6)))</f>
        <v/>
      </c>
      <c r="L396" s="9">
        <f>IF(G396="","GRAM EKSİK",IF(F396&gt;30000,"FİYAT ŞÜPHELİ",IF(K396&lt;0,"ZARARDA",IF(F396&lt;I396,"RİSKLİ","ok"))))</f>
        <v/>
      </c>
      <c r="M396" s="13" t="inlineStr">
        <is>
          <t>https://www.etsy.com/listing/4348088289</t>
        </is>
      </c>
    </row>
    <row r="397">
      <c r="A397" s="3" t="inlineStr">
        <is>
          <t>chains</t>
        </is>
      </c>
      <c r="B397" s="3" t="inlineStr">
        <is>
          <t>14K Solid Yellow Gold Rolo Bracelet - Dainty Unisex Chain</t>
        </is>
      </c>
      <c r="C397" s="3" t="n">
        <v>4348088289</v>
      </c>
      <c r="D397" s="3" t="inlineStr">
        <is>
          <t>BYROL2-7.5</t>
        </is>
      </c>
      <c r="E397" s="3" t="inlineStr">
        <is>
          <t>description</t>
        </is>
      </c>
      <c r="F397" s="14" t="n">
        <v>808</v>
      </c>
      <c r="G397" s="17" t="n">
        <v>5</v>
      </c>
      <c r="H397" s="14">
        <f>IF(G397="","",G397*Ayarlar!$B$3+Ayarlar!$B$4+Ayarlar!$B$5)</f>
        <v/>
      </c>
      <c r="I397" s="14">
        <f>IF(G397="","",ROUNDUP(((G397*Ayarlar!$B$3+Ayarlar!$B$4+Ayarlar!$B$5)+Ayarlar!$B$8)/((1-Ayarlar!$B$6)*(1-Ayarlar!$B$7)),0))</f>
        <v/>
      </c>
      <c r="J397" s="14">
        <f>IF(G397="","",ROUNDUP(((G397*Ayarlar!$B$3+Ayarlar!$B$4+Ayarlar!$B$5)+Ayarlar!$B$8)/((1-Ayarlar!$B$6)*(1-Ayarlar!$B$7-Ayarlar!$B$9)),0))</f>
        <v/>
      </c>
      <c r="K397" s="15">
        <f>IF(OR(G397="",F397=""),"",(F397*(1-Ayarlar!$B$6)-(F397*(1-Ayarlar!$B$6)*Ayarlar!$B$7+Ayarlar!$B$8)-(G397*Ayarlar!$B$3+Ayarlar!$B$4+Ayarlar!$B$5))/(F397*(1-Ayarlar!$B$6)))</f>
        <v/>
      </c>
      <c r="L397" s="3">
        <f>IF(G397="","GRAM EKSİK",IF(F397&gt;30000,"FİYAT ŞÜPHELİ",IF(K397&lt;0,"ZARARDA",IF(F397&lt;I397,"RİSKLİ","ok"))))</f>
        <v/>
      </c>
      <c r="M397" s="16" t="inlineStr">
        <is>
          <t>https://www.etsy.com/listing/4348088289</t>
        </is>
      </c>
    </row>
    <row r="398">
      <c r="A398" s="9" t="inlineStr">
        <is>
          <t>chains</t>
        </is>
      </c>
      <c r="B398" s="9" t="inlineStr">
        <is>
          <t>14K Solid Yellow Gold Rolo Bracelet - Dainty Unisex Chain</t>
        </is>
      </c>
      <c r="C398" s="9" t="n">
        <v>4348088289</v>
      </c>
      <c r="D398" s="9" t="inlineStr">
        <is>
          <t>BYROL2-8</t>
        </is>
      </c>
      <c r="E398" s="9" t="inlineStr">
        <is>
          <t>description</t>
        </is>
      </c>
      <c r="F398" s="10" t="n">
        <v>865</v>
      </c>
      <c r="G398" s="18" t="n">
        <v>5.33</v>
      </c>
      <c r="H398" s="10">
        <f>IF(G398="","",G398*Ayarlar!$B$3+Ayarlar!$B$4+Ayarlar!$B$5)</f>
        <v/>
      </c>
      <c r="I398" s="10">
        <f>IF(G398="","",ROUNDUP(((G398*Ayarlar!$B$3+Ayarlar!$B$4+Ayarlar!$B$5)+Ayarlar!$B$8)/((1-Ayarlar!$B$6)*(1-Ayarlar!$B$7)),0))</f>
        <v/>
      </c>
      <c r="J398" s="10">
        <f>IF(G398="","",ROUNDUP(((G398*Ayarlar!$B$3+Ayarlar!$B$4+Ayarlar!$B$5)+Ayarlar!$B$8)/((1-Ayarlar!$B$6)*(1-Ayarlar!$B$7-Ayarlar!$B$9)),0))</f>
        <v/>
      </c>
      <c r="K398" s="12">
        <f>IF(OR(G398="",F398=""),"",(F398*(1-Ayarlar!$B$6)-(F398*(1-Ayarlar!$B$6)*Ayarlar!$B$7+Ayarlar!$B$8)-(G398*Ayarlar!$B$3+Ayarlar!$B$4+Ayarlar!$B$5))/(F398*(1-Ayarlar!$B$6)))</f>
        <v/>
      </c>
      <c r="L398" s="9">
        <f>IF(G398="","GRAM EKSİK",IF(F398&gt;30000,"FİYAT ŞÜPHELİ",IF(K398&lt;0,"ZARARDA",IF(F398&lt;I398,"RİSKLİ","ok"))))</f>
        <v/>
      </c>
      <c r="M398" s="13" t="inlineStr">
        <is>
          <t>https://www.etsy.com/listing/4348088289</t>
        </is>
      </c>
    </row>
    <row r="399">
      <c r="A399" s="3" t="inlineStr">
        <is>
          <t>chains</t>
        </is>
      </c>
      <c r="B399" s="3" t="inlineStr">
        <is>
          <t>14K Solid Yellow Gold Rolo Bracelet - Dainty Unisex Chain</t>
        </is>
      </c>
      <c r="C399" s="3" t="n">
        <v>4348088289</v>
      </c>
      <c r="D399" s="3" t="inlineStr">
        <is>
          <t>BYROL3-7</t>
        </is>
      </c>
      <c r="E399" s="3" t="inlineStr">
        <is>
          <t>description</t>
        </is>
      </c>
      <c r="F399" s="14" t="n">
        <v>1138</v>
      </c>
      <c r="G399" s="17" t="n">
        <v>7.12</v>
      </c>
      <c r="H399" s="14">
        <f>IF(G399="","",G399*Ayarlar!$B$3+Ayarlar!$B$4+Ayarlar!$B$5)</f>
        <v/>
      </c>
      <c r="I399" s="14">
        <f>IF(G399="","",ROUNDUP(((G399*Ayarlar!$B$3+Ayarlar!$B$4+Ayarlar!$B$5)+Ayarlar!$B$8)/((1-Ayarlar!$B$6)*(1-Ayarlar!$B$7)),0))</f>
        <v/>
      </c>
      <c r="J399" s="14">
        <f>IF(G399="","",ROUNDUP(((G399*Ayarlar!$B$3+Ayarlar!$B$4+Ayarlar!$B$5)+Ayarlar!$B$8)/((1-Ayarlar!$B$6)*(1-Ayarlar!$B$7-Ayarlar!$B$9)),0))</f>
        <v/>
      </c>
      <c r="K399" s="15">
        <f>IF(OR(G399="",F399=""),"",(F399*(1-Ayarlar!$B$6)-(F399*(1-Ayarlar!$B$6)*Ayarlar!$B$7+Ayarlar!$B$8)-(G399*Ayarlar!$B$3+Ayarlar!$B$4+Ayarlar!$B$5))/(F399*(1-Ayarlar!$B$6)))</f>
        <v/>
      </c>
      <c r="L399" s="3">
        <f>IF(G399="","GRAM EKSİK",IF(F399&gt;30000,"FİYAT ŞÜPHELİ",IF(K399&lt;0,"ZARARDA",IF(F399&lt;I399,"RİSKLİ","ok"))))</f>
        <v/>
      </c>
      <c r="M399" s="16" t="inlineStr">
        <is>
          <t>https://www.etsy.com/listing/4348088289</t>
        </is>
      </c>
    </row>
    <row r="400">
      <c r="A400" s="9" t="inlineStr">
        <is>
          <t>chains</t>
        </is>
      </c>
      <c r="B400" s="9" t="inlineStr">
        <is>
          <t>14K Solid Yellow Gold Rolo Bracelet - Dainty Unisex Chain</t>
        </is>
      </c>
      <c r="C400" s="9" t="n">
        <v>4348088289</v>
      </c>
      <c r="D400" s="9" t="inlineStr">
        <is>
          <t>BYROL3-7.5</t>
        </is>
      </c>
      <c r="E400" s="9" t="inlineStr">
        <is>
          <t>description</t>
        </is>
      </c>
      <c r="F400" s="10" t="n">
        <v>1230</v>
      </c>
      <c r="G400" s="18" t="n">
        <v>7.63</v>
      </c>
      <c r="H400" s="10">
        <f>IF(G400="","",G400*Ayarlar!$B$3+Ayarlar!$B$4+Ayarlar!$B$5)</f>
        <v/>
      </c>
      <c r="I400" s="10">
        <f>IF(G400="","",ROUNDUP(((G400*Ayarlar!$B$3+Ayarlar!$B$4+Ayarlar!$B$5)+Ayarlar!$B$8)/((1-Ayarlar!$B$6)*(1-Ayarlar!$B$7)),0))</f>
        <v/>
      </c>
      <c r="J400" s="10">
        <f>IF(G400="","",ROUNDUP(((G400*Ayarlar!$B$3+Ayarlar!$B$4+Ayarlar!$B$5)+Ayarlar!$B$8)/((1-Ayarlar!$B$6)*(1-Ayarlar!$B$7-Ayarlar!$B$9)),0))</f>
        <v/>
      </c>
      <c r="K400" s="12">
        <f>IF(OR(G400="",F400=""),"",(F400*(1-Ayarlar!$B$6)-(F400*(1-Ayarlar!$B$6)*Ayarlar!$B$7+Ayarlar!$B$8)-(G400*Ayarlar!$B$3+Ayarlar!$B$4+Ayarlar!$B$5))/(F400*(1-Ayarlar!$B$6)))</f>
        <v/>
      </c>
      <c r="L400" s="9">
        <f>IF(G400="","GRAM EKSİK",IF(F400&gt;30000,"FİYAT ŞÜPHELİ",IF(K400&lt;0,"ZARARDA",IF(F400&lt;I400,"RİSKLİ","ok"))))</f>
        <v/>
      </c>
      <c r="M400" s="13" t="inlineStr">
        <is>
          <t>https://www.etsy.com/listing/4348088289</t>
        </is>
      </c>
    </row>
    <row r="401">
      <c r="A401" s="3" t="inlineStr">
        <is>
          <t>chains</t>
        </is>
      </c>
      <c r="B401" s="3" t="inlineStr">
        <is>
          <t>14K Solid Yellow Gold Rolo Bracelet - Dainty Unisex Chain</t>
        </is>
      </c>
      <c r="C401" s="3" t="n">
        <v>4348088289</v>
      </c>
      <c r="D401" s="3" t="inlineStr">
        <is>
          <t>BYROL3-8</t>
        </is>
      </c>
      <c r="E401" s="3" t="inlineStr">
        <is>
          <t>description</t>
        </is>
      </c>
      <c r="F401" s="14" t="n">
        <v>1308</v>
      </c>
      <c r="G401" s="17" t="n">
        <v>8.140000000000001</v>
      </c>
      <c r="H401" s="14">
        <f>IF(G401="","",G401*Ayarlar!$B$3+Ayarlar!$B$4+Ayarlar!$B$5)</f>
        <v/>
      </c>
      <c r="I401" s="14">
        <f>IF(G401="","",ROUNDUP(((G401*Ayarlar!$B$3+Ayarlar!$B$4+Ayarlar!$B$5)+Ayarlar!$B$8)/((1-Ayarlar!$B$6)*(1-Ayarlar!$B$7)),0))</f>
        <v/>
      </c>
      <c r="J401" s="14">
        <f>IF(G401="","",ROUNDUP(((G401*Ayarlar!$B$3+Ayarlar!$B$4+Ayarlar!$B$5)+Ayarlar!$B$8)/((1-Ayarlar!$B$6)*(1-Ayarlar!$B$7-Ayarlar!$B$9)),0))</f>
        <v/>
      </c>
      <c r="K401" s="15">
        <f>IF(OR(G401="",F401=""),"",(F401*(1-Ayarlar!$B$6)-(F401*(1-Ayarlar!$B$6)*Ayarlar!$B$7+Ayarlar!$B$8)-(G401*Ayarlar!$B$3+Ayarlar!$B$4+Ayarlar!$B$5))/(F401*(1-Ayarlar!$B$6)))</f>
        <v/>
      </c>
      <c r="L401" s="3">
        <f>IF(G401="","GRAM EKSİK",IF(F401&gt;30000,"FİYAT ŞÜPHELİ",IF(K401&lt;0,"ZARARDA",IF(F401&lt;I401,"RİSKLİ","ok"))))</f>
        <v/>
      </c>
      <c r="M401" s="16" t="inlineStr">
        <is>
          <t>https://www.etsy.com/listing/4348088289</t>
        </is>
      </c>
    </row>
    <row r="402">
      <c r="A402" s="9" t="inlineStr">
        <is>
          <t>chains</t>
        </is>
      </c>
      <c r="B402" s="9" t="inlineStr">
        <is>
          <t>14K Solid Yellow Gold Rolo Bracelet - Dainty Unisex Chain</t>
        </is>
      </c>
      <c r="C402" s="9" t="n">
        <v>4348088289</v>
      </c>
      <c r="D402" s="9" t="inlineStr">
        <is>
          <t>BYROL4-7</t>
        </is>
      </c>
      <c r="E402" s="9" t="inlineStr">
        <is>
          <t>description</t>
        </is>
      </c>
      <c r="F402" s="10" t="n">
        <v>1443</v>
      </c>
      <c r="G402" s="18" t="n">
        <v>8.779999999999999</v>
      </c>
      <c r="H402" s="10">
        <f>IF(G402="","",G402*Ayarlar!$B$3+Ayarlar!$B$4+Ayarlar!$B$5)</f>
        <v/>
      </c>
      <c r="I402" s="10">
        <f>IF(G402="","",ROUNDUP(((G402*Ayarlar!$B$3+Ayarlar!$B$4+Ayarlar!$B$5)+Ayarlar!$B$8)/((1-Ayarlar!$B$6)*(1-Ayarlar!$B$7)),0))</f>
        <v/>
      </c>
      <c r="J402" s="10">
        <f>IF(G402="","",ROUNDUP(((G402*Ayarlar!$B$3+Ayarlar!$B$4+Ayarlar!$B$5)+Ayarlar!$B$8)/((1-Ayarlar!$B$6)*(1-Ayarlar!$B$7-Ayarlar!$B$9)),0))</f>
        <v/>
      </c>
      <c r="K402" s="12">
        <f>IF(OR(G402="",F402=""),"",(F402*(1-Ayarlar!$B$6)-(F402*(1-Ayarlar!$B$6)*Ayarlar!$B$7+Ayarlar!$B$8)-(G402*Ayarlar!$B$3+Ayarlar!$B$4+Ayarlar!$B$5))/(F402*(1-Ayarlar!$B$6)))</f>
        <v/>
      </c>
      <c r="L402" s="9">
        <f>IF(G402="","GRAM EKSİK",IF(F402&gt;30000,"FİYAT ŞÜPHELİ",IF(K402&lt;0,"ZARARDA",IF(F402&lt;I402,"RİSKLİ","ok"))))</f>
        <v/>
      </c>
      <c r="M402" s="13" t="inlineStr">
        <is>
          <t>https://www.etsy.com/listing/4348088289</t>
        </is>
      </c>
    </row>
    <row r="403">
      <c r="A403" s="3" t="inlineStr">
        <is>
          <t>chains</t>
        </is>
      </c>
      <c r="B403" s="3" t="inlineStr">
        <is>
          <t>14K Solid Yellow Gold Rolo Bracelet - Dainty Unisex Chain</t>
        </is>
      </c>
      <c r="C403" s="3" t="n">
        <v>4348088289</v>
      </c>
      <c r="D403" s="3" t="inlineStr">
        <is>
          <t>BYROL4-7.5</t>
        </is>
      </c>
      <c r="E403" s="3" t="inlineStr">
        <is>
          <t>description</t>
        </is>
      </c>
      <c r="F403" s="14" t="n">
        <v>1557</v>
      </c>
      <c r="G403" s="17" t="n">
        <v>9.41</v>
      </c>
      <c r="H403" s="14">
        <f>IF(G403="","",G403*Ayarlar!$B$3+Ayarlar!$B$4+Ayarlar!$B$5)</f>
        <v/>
      </c>
      <c r="I403" s="14">
        <f>IF(G403="","",ROUNDUP(((G403*Ayarlar!$B$3+Ayarlar!$B$4+Ayarlar!$B$5)+Ayarlar!$B$8)/((1-Ayarlar!$B$6)*(1-Ayarlar!$B$7)),0))</f>
        <v/>
      </c>
      <c r="J403" s="14">
        <f>IF(G403="","",ROUNDUP(((G403*Ayarlar!$B$3+Ayarlar!$B$4+Ayarlar!$B$5)+Ayarlar!$B$8)/((1-Ayarlar!$B$6)*(1-Ayarlar!$B$7-Ayarlar!$B$9)),0))</f>
        <v/>
      </c>
      <c r="K403" s="15">
        <f>IF(OR(G403="",F403=""),"",(F403*(1-Ayarlar!$B$6)-(F403*(1-Ayarlar!$B$6)*Ayarlar!$B$7+Ayarlar!$B$8)-(G403*Ayarlar!$B$3+Ayarlar!$B$4+Ayarlar!$B$5))/(F403*(1-Ayarlar!$B$6)))</f>
        <v/>
      </c>
      <c r="L403" s="3">
        <f>IF(G403="","GRAM EKSİK",IF(F403&gt;30000,"FİYAT ŞÜPHELİ",IF(K403&lt;0,"ZARARDA",IF(F403&lt;I403,"RİSKLİ","ok"))))</f>
        <v/>
      </c>
      <c r="M403" s="16" t="inlineStr">
        <is>
          <t>https://www.etsy.com/listing/4348088289</t>
        </is>
      </c>
    </row>
    <row r="404">
      <c r="A404" s="9" t="inlineStr">
        <is>
          <t>chains</t>
        </is>
      </c>
      <c r="B404" s="9" t="inlineStr">
        <is>
          <t>14K Solid Yellow Gold Rolo Bracelet - Dainty Unisex Chain</t>
        </is>
      </c>
      <c r="C404" s="9" t="n">
        <v>4348088289</v>
      </c>
      <c r="D404" s="9" t="inlineStr">
        <is>
          <t>BYROL4-8</t>
        </is>
      </c>
      <c r="E404" s="9" t="inlineStr">
        <is>
          <t>description</t>
        </is>
      </c>
      <c r="F404" s="10" t="n">
        <v>1671</v>
      </c>
      <c r="G404" s="18" t="n">
        <v>10.04</v>
      </c>
      <c r="H404" s="10">
        <f>IF(G404="","",G404*Ayarlar!$B$3+Ayarlar!$B$4+Ayarlar!$B$5)</f>
        <v/>
      </c>
      <c r="I404" s="10">
        <f>IF(G404="","",ROUNDUP(((G404*Ayarlar!$B$3+Ayarlar!$B$4+Ayarlar!$B$5)+Ayarlar!$B$8)/((1-Ayarlar!$B$6)*(1-Ayarlar!$B$7)),0))</f>
        <v/>
      </c>
      <c r="J404" s="10">
        <f>IF(G404="","",ROUNDUP(((G404*Ayarlar!$B$3+Ayarlar!$B$4+Ayarlar!$B$5)+Ayarlar!$B$8)/((1-Ayarlar!$B$6)*(1-Ayarlar!$B$7-Ayarlar!$B$9)),0))</f>
        <v/>
      </c>
      <c r="K404" s="12">
        <f>IF(OR(G404="",F404=""),"",(F404*(1-Ayarlar!$B$6)-(F404*(1-Ayarlar!$B$6)*Ayarlar!$B$7+Ayarlar!$B$8)-(G404*Ayarlar!$B$3+Ayarlar!$B$4+Ayarlar!$B$5))/(F404*(1-Ayarlar!$B$6)))</f>
        <v/>
      </c>
      <c r="L404" s="9">
        <f>IF(G404="","GRAM EKSİK",IF(F404&gt;30000,"FİYAT ŞÜPHELİ",IF(K404&lt;0,"ZARARDA",IF(F404&lt;I404,"RİSKLİ","ok"))))</f>
        <v/>
      </c>
      <c r="M404" s="13" t="inlineStr">
        <is>
          <t>https://www.etsy.com/listing/4348088289</t>
        </is>
      </c>
    </row>
    <row r="405">
      <c r="A405" s="3" t="inlineStr">
        <is>
          <t>chains</t>
        </is>
      </c>
      <c r="B405" s="3" t="inlineStr">
        <is>
          <t>14K Solid Yellow Gold Rolo Bracelet - Dainty Unisex Chain</t>
        </is>
      </c>
      <c r="C405" s="3" t="n">
        <v>4348088289</v>
      </c>
      <c r="D405" s="3" t="inlineStr">
        <is>
          <t>BYROL5-7</t>
        </is>
      </c>
      <c r="E405" s="3" t="inlineStr">
        <is>
          <t>description</t>
        </is>
      </c>
      <c r="F405" s="14" t="n">
        <v>2145</v>
      </c>
      <c r="G405" s="17" t="n">
        <v>13.43</v>
      </c>
      <c r="H405" s="14">
        <f>IF(G405="","",G405*Ayarlar!$B$3+Ayarlar!$B$4+Ayarlar!$B$5)</f>
        <v/>
      </c>
      <c r="I405" s="14">
        <f>IF(G405="","",ROUNDUP(((G405*Ayarlar!$B$3+Ayarlar!$B$4+Ayarlar!$B$5)+Ayarlar!$B$8)/((1-Ayarlar!$B$6)*(1-Ayarlar!$B$7)),0))</f>
        <v/>
      </c>
      <c r="J405" s="14">
        <f>IF(G405="","",ROUNDUP(((G405*Ayarlar!$B$3+Ayarlar!$B$4+Ayarlar!$B$5)+Ayarlar!$B$8)/((1-Ayarlar!$B$6)*(1-Ayarlar!$B$7-Ayarlar!$B$9)),0))</f>
        <v/>
      </c>
      <c r="K405" s="15">
        <f>IF(OR(G405="",F405=""),"",(F405*(1-Ayarlar!$B$6)-(F405*(1-Ayarlar!$B$6)*Ayarlar!$B$7+Ayarlar!$B$8)-(G405*Ayarlar!$B$3+Ayarlar!$B$4+Ayarlar!$B$5))/(F405*(1-Ayarlar!$B$6)))</f>
        <v/>
      </c>
      <c r="L405" s="3">
        <f>IF(G405="","GRAM EKSİK",IF(F405&gt;30000,"FİYAT ŞÜPHELİ",IF(K405&lt;0,"ZARARDA",IF(F405&lt;I405,"RİSKLİ","ok"))))</f>
        <v/>
      </c>
      <c r="M405" s="16" t="inlineStr">
        <is>
          <t>https://www.etsy.com/listing/4348088289</t>
        </is>
      </c>
    </row>
    <row r="406">
      <c r="A406" s="9" t="inlineStr">
        <is>
          <t>chains</t>
        </is>
      </c>
      <c r="B406" s="9" t="inlineStr">
        <is>
          <t>14K Solid Yellow Gold Rolo Bracelet - Dainty Unisex Chain</t>
        </is>
      </c>
      <c r="C406" s="9" t="n">
        <v>4348088289</v>
      </c>
      <c r="D406" s="9" t="inlineStr">
        <is>
          <t>BYROL5-7.5</t>
        </is>
      </c>
      <c r="E406" s="9" t="inlineStr">
        <is>
          <t>description</t>
        </is>
      </c>
      <c r="F406" s="10" t="n">
        <v>2299</v>
      </c>
      <c r="G406" s="18" t="n">
        <v>14.39</v>
      </c>
      <c r="H406" s="10">
        <f>IF(G406="","",G406*Ayarlar!$B$3+Ayarlar!$B$4+Ayarlar!$B$5)</f>
        <v/>
      </c>
      <c r="I406" s="10">
        <f>IF(G406="","",ROUNDUP(((G406*Ayarlar!$B$3+Ayarlar!$B$4+Ayarlar!$B$5)+Ayarlar!$B$8)/((1-Ayarlar!$B$6)*(1-Ayarlar!$B$7)),0))</f>
        <v/>
      </c>
      <c r="J406" s="10">
        <f>IF(G406="","",ROUNDUP(((G406*Ayarlar!$B$3+Ayarlar!$B$4+Ayarlar!$B$5)+Ayarlar!$B$8)/((1-Ayarlar!$B$6)*(1-Ayarlar!$B$7-Ayarlar!$B$9)),0))</f>
        <v/>
      </c>
      <c r="K406" s="12">
        <f>IF(OR(G406="",F406=""),"",(F406*(1-Ayarlar!$B$6)-(F406*(1-Ayarlar!$B$6)*Ayarlar!$B$7+Ayarlar!$B$8)-(G406*Ayarlar!$B$3+Ayarlar!$B$4+Ayarlar!$B$5))/(F406*(1-Ayarlar!$B$6)))</f>
        <v/>
      </c>
      <c r="L406" s="9">
        <f>IF(G406="","GRAM EKSİK",IF(F406&gt;30000,"FİYAT ŞÜPHELİ",IF(K406&lt;0,"ZARARDA",IF(F406&lt;I406,"RİSKLİ","ok"))))</f>
        <v/>
      </c>
      <c r="M406" s="13" t="inlineStr">
        <is>
          <t>https://www.etsy.com/listing/4348088289</t>
        </is>
      </c>
    </row>
    <row r="407">
      <c r="A407" s="3" t="inlineStr">
        <is>
          <t>chains</t>
        </is>
      </c>
      <c r="B407" s="3" t="inlineStr">
        <is>
          <t>14K Solid Yellow Gold Rolo Bracelet - Dainty Unisex Chain</t>
        </is>
      </c>
      <c r="C407" s="3" t="n">
        <v>4348088289</v>
      </c>
      <c r="D407" s="3" t="inlineStr">
        <is>
          <t>BYROL5-8</t>
        </is>
      </c>
      <c r="E407" s="3" t="inlineStr">
        <is>
          <t>description</t>
        </is>
      </c>
      <c r="F407" s="14" t="n">
        <v>2447</v>
      </c>
      <c r="G407" s="17" t="n">
        <v>15.35</v>
      </c>
      <c r="H407" s="14">
        <f>IF(G407="","",G407*Ayarlar!$B$3+Ayarlar!$B$4+Ayarlar!$B$5)</f>
        <v/>
      </c>
      <c r="I407" s="14">
        <f>IF(G407="","",ROUNDUP(((G407*Ayarlar!$B$3+Ayarlar!$B$4+Ayarlar!$B$5)+Ayarlar!$B$8)/((1-Ayarlar!$B$6)*(1-Ayarlar!$B$7)),0))</f>
        <v/>
      </c>
      <c r="J407" s="14">
        <f>IF(G407="","",ROUNDUP(((G407*Ayarlar!$B$3+Ayarlar!$B$4+Ayarlar!$B$5)+Ayarlar!$B$8)/((1-Ayarlar!$B$6)*(1-Ayarlar!$B$7-Ayarlar!$B$9)),0))</f>
        <v/>
      </c>
      <c r="K407" s="15">
        <f>IF(OR(G407="",F407=""),"",(F407*(1-Ayarlar!$B$6)-(F407*(1-Ayarlar!$B$6)*Ayarlar!$B$7+Ayarlar!$B$8)-(G407*Ayarlar!$B$3+Ayarlar!$B$4+Ayarlar!$B$5))/(F407*(1-Ayarlar!$B$6)))</f>
        <v/>
      </c>
      <c r="L407" s="3">
        <f>IF(G407="","GRAM EKSİK",IF(F407&gt;30000,"FİYAT ŞÜPHELİ",IF(K407&lt;0,"ZARARDA",IF(F407&lt;I407,"RİSKLİ","ok"))))</f>
        <v/>
      </c>
      <c r="M407" s="16" t="inlineStr">
        <is>
          <t>https://www.etsy.com/listing/4348088289</t>
        </is>
      </c>
    </row>
    <row r="408">
      <c r="A408" s="9" t="inlineStr">
        <is>
          <t>chains</t>
        </is>
      </c>
      <c r="B408" s="9" t="inlineStr">
        <is>
          <t>14K Solid Yellow Gold Rolo Bracelet - Dainty Unisex Chain</t>
        </is>
      </c>
      <c r="C408" s="9" t="n">
        <v>4348088289</v>
      </c>
      <c r="D408" s="9" t="inlineStr">
        <is>
          <t>BYROL6-7</t>
        </is>
      </c>
      <c r="E408" s="9" t="inlineStr">
        <is>
          <t>description</t>
        </is>
      </c>
      <c r="F408" s="10" t="n">
        <v>2241</v>
      </c>
      <c r="G408" s="18" t="n">
        <v>13.7</v>
      </c>
      <c r="H408" s="10">
        <f>IF(G408="","",G408*Ayarlar!$B$3+Ayarlar!$B$4+Ayarlar!$B$5)</f>
        <v/>
      </c>
      <c r="I408" s="10">
        <f>IF(G408="","",ROUNDUP(((G408*Ayarlar!$B$3+Ayarlar!$B$4+Ayarlar!$B$5)+Ayarlar!$B$8)/((1-Ayarlar!$B$6)*(1-Ayarlar!$B$7)),0))</f>
        <v/>
      </c>
      <c r="J408" s="10">
        <f>IF(G408="","",ROUNDUP(((G408*Ayarlar!$B$3+Ayarlar!$B$4+Ayarlar!$B$5)+Ayarlar!$B$8)/((1-Ayarlar!$B$6)*(1-Ayarlar!$B$7-Ayarlar!$B$9)),0))</f>
        <v/>
      </c>
      <c r="K408" s="12">
        <f>IF(OR(G408="",F408=""),"",(F408*(1-Ayarlar!$B$6)-(F408*(1-Ayarlar!$B$6)*Ayarlar!$B$7+Ayarlar!$B$8)-(G408*Ayarlar!$B$3+Ayarlar!$B$4+Ayarlar!$B$5))/(F408*(1-Ayarlar!$B$6)))</f>
        <v/>
      </c>
      <c r="L408" s="9">
        <f>IF(G408="","GRAM EKSİK",IF(F408&gt;30000,"FİYAT ŞÜPHELİ",IF(K408&lt;0,"ZARARDA",IF(F408&lt;I408,"RİSKLİ","ok"))))</f>
        <v/>
      </c>
      <c r="M408" s="13" t="inlineStr">
        <is>
          <t>https://www.etsy.com/listing/4348088289</t>
        </is>
      </c>
    </row>
    <row r="409">
      <c r="A409" s="3" t="inlineStr">
        <is>
          <t>chains</t>
        </is>
      </c>
      <c r="B409" s="3" t="inlineStr">
        <is>
          <t>14K Solid Yellow Gold Rolo Bracelet - Dainty Unisex Chain</t>
        </is>
      </c>
      <c r="C409" s="3" t="n">
        <v>4348088289</v>
      </c>
      <c r="D409" s="3" t="inlineStr">
        <is>
          <t>BYROL6-7.5</t>
        </is>
      </c>
      <c r="E409" s="3" t="inlineStr">
        <is>
          <t>description</t>
        </is>
      </c>
      <c r="F409" s="14" t="n">
        <v>2400</v>
      </c>
      <c r="G409" s="17" t="n">
        <v>14.68</v>
      </c>
      <c r="H409" s="14">
        <f>IF(G409="","",G409*Ayarlar!$B$3+Ayarlar!$B$4+Ayarlar!$B$5)</f>
        <v/>
      </c>
      <c r="I409" s="14">
        <f>IF(G409="","",ROUNDUP(((G409*Ayarlar!$B$3+Ayarlar!$B$4+Ayarlar!$B$5)+Ayarlar!$B$8)/((1-Ayarlar!$B$6)*(1-Ayarlar!$B$7)),0))</f>
        <v/>
      </c>
      <c r="J409" s="14">
        <f>IF(G409="","",ROUNDUP(((G409*Ayarlar!$B$3+Ayarlar!$B$4+Ayarlar!$B$5)+Ayarlar!$B$8)/((1-Ayarlar!$B$6)*(1-Ayarlar!$B$7-Ayarlar!$B$9)),0))</f>
        <v/>
      </c>
      <c r="K409" s="15">
        <f>IF(OR(G409="",F409=""),"",(F409*(1-Ayarlar!$B$6)-(F409*(1-Ayarlar!$B$6)*Ayarlar!$B$7+Ayarlar!$B$8)-(G409*Ayarlar!$B$3+Ayarlar!$B$4+Ayarlar!$B$5))/(F409*(1-Ayarlar!$B$6)))</f>
        <v/>
      </c>
      <c r="L409" s="3">
        <f>IF(G409="","GRAM EKSİK",IF(F409&gt;30000,"FİYAT ŞÜPHELİ",IF(K409&lt;0,"ZARARDA",IF(F409&lt;I409,"RİSKLİ","ok"))))</f>
        <v/>
      </c>
      <c r="M409" s="16" t="inlineStr">
        <is>
          <t>https://www.etsy.com/listing/4348088289</t>
        </is>
      </c>
    </row>
    <row r="410">
      <c r="A410" s="9" t="inlineStr">
        <is>
          <t>chains</t>
        </is>
      </c>
      <c r="B410" s="9" t="inlineStr">
        <is>
          <t>14K Solid Yellow Gold Rolo Bracelet - Dainty Unisex Chain</t>
        </is>
      </c>
      <c r="C410" s="9" t="n">
        <v>4348088289</v>
      </c>
      <c r="D410" s="9" t="inlineStr">
        <is>
          <t>BYROL6-8</t>
        </is>
      </c>
      <c r="E410" s="9" t="inlineStr">
        <is>
          <t>description</t>
        </is>
      </c>
      <c r="F410" s="10" t="n">
        <v>2504</v>
      </c>
      <c r="G410" s="18" t="n">
        <v>15.66</v>
      </c>
      <c r="H410" s="10">
        <f>IF(G410="","",G410*Ayarlar!$B$3+Ayarlar!$B$4+Ayarlar!$B$5)</f>
        <v/>
      </c>
      <c r="I410" s="10">
        <f>IF(G410="","",ROUNDUP(((G410*Ayarlar!$B$3+Ayarlar!$B$4+Ayarlar!$B$5)+Ayarlar!$B$8)/((1-Ayarlar!$B$6)*(1-Ayarlar!$B$7)),0))</f>
        <v/>
      </c>
      <c r="J410" s="10">
        <f>IF(G410="","",ROUNDUP(((G410*Ayarlar!$B$3+Ayarlar!$B$4+Ayarlar!$B$5)+Ayarlar!$B$8)/((1-Ayarlar!$B$6)*(1-Ayarlar!$B$7-Ayarlar!$B$9)),0))</f>
        <v/>
      </c>
      <c r="K410" s="12">
        <f>IF(OR(G410="",F410=""),"",(F410*(1-Ayarlar!$B$6)-(F410*(1-Ayarlar!$B$6)*Ayarlar!$B$7+Ayarlar!$B$8)-(G410*Ayarlar!$B$3+Ayarlar!$B$4+Ayarlar!$B$5))/(F410*(1-Ayarlar!$B$6)))</f>
        <v/>
      </c>
      <c r="L410" s="9">
        <f>IF(G410="","GRAM EKSİK",IF(F410&gt;30000,"FİYAT ŞÜPHELİ",IF(K410&lt;0,"ZARARDA",IF(F410&lt;I410,"RİSKLİ","ok"))))</f>
        <v/>
      </c>
      <c r="M410" s="13" t="inlineStr">
        <is>
          <t>https://www.etsy.com/listing/4348088289</t>
        </is>
      </c>
    </row>
    <row r="411">
      <c r="A411" s="3" t="inlineStr">
        <is>
          <t>chains</t>
        </is>
      </c>
      <c r="B411" s="3" t="inlineStr">
        <is>
          <t>14K Solid Yellow Gold Rolo Bracelet - Dainty Unisex Chain</t>
        </is>
      </c>
      <c r="C411" s="3" t="n">
        <v>4348088289</v>
      </c>
      <c r="D411" s="3" t="inlineStr">
        <is>
          <t>BYROL7-7</t>
        </is>
      </c>
      <c r="E411" s="3" t="inlineStr">
        <is>
          <t>description</t>
        </is>
      </c>
      <c r="F411" s="14" t="n">
        <v>2762</v>
      </c>
      <c r="G411" s="17" t="n">
        <v>17.41</v>
      </c>
      <c r="H411" s="14">
        <f>IF(G411="","",G411*Ayarlar!$B$3+Ayarlar!$B$4+Ayarlar!$B$5)</f>
        <v/>
      </c>
      <c r="I411" s="14">
        <f>IF(G411="","",ROUNDUP(((G411*Ayarlar!$B$3+Ayarlar!$B$4+Ayarlar!$B$5)+Ayarlar!$B$8)/((1-Ayarlar!$B$6)*(1-Ayarlar!$B$7)),0))</f>
        <v/>
      </c>
      <c r="J411" s="14">
        <f>IF(G411="","",ROUNDUP(((G411*Ayarlar!$B$3+Ayarlar!$B$4+Ayarlar!$B$5)+Ayarlar!$B$8)/((1-Ayarlar!$B$6)*(1-Ayarlar!$B$7-Ayarlar!$B$9)),0))</f>
        <v/>
      </c>
      <c r="K411" s="15">
        <f>IF(OR(G411="",F411=""),"",(F411*(1-Ayarlar!$B$6)-(F411*(1-Ayarlar!$B$6)*Ayarlar!$B$7+Ayarlar!$B$8)-(G411*Ayarlar!$B$3+Ayarlar!$B$4+Ayarlar!$B$5))/(F411*(1-Ayarlar!$B$6)))</f>
        <v/>
      </c>
      <c r="L411" s="3">
        <f>IF(G411="","GRAM EKSİK",IF(F411&gt;30000,"FİYAT ŞÜPHELİ",IF(K411&lt;0,"ZARARDA",IF(F411&lt;I411,"RİSKLİ","ok"))))</f>
        <v/>
      </c>
      <c r="M411" s="16" t="inlineStr">
        <is>
          <t>https://www.etsy.com/listing/4348088289</t>
        </is>
      </c>
    </row>
    <row r="412">
      <c r="A412" s="9" t="inlineStr">
        <is>
          <t>chains</t>
        </is>
      </c>
      <c r="B412" s="9" t="inlineStr">
        <is>
          <t>14K Solid Yellow Gold Rolo Bracelet - Dainty Unisex Chain</t>
        </is>
      </c>
      <c r="C412" s="9" t="n">
        <v>4348088289</v>
      </c>
      <c r="D412" s="9" t="inlineStr">
        <is>
          <t>BYROL7-7.5</t>
        </is>
      </c>
      <c r="E412" s="9" t="inlineStr">
        <is>
          <t>description</t>
        </is>
      </c>
      <c r="F412" s="10" t="n">
        <v>2960</v>
      </c>
      <c r="G412" s="18" t="n">
        <v>18.65</v>
      </c>
      <c r="H412" s="10">
        <f>IF(G412="","",G412*Ayarlar!$B$3+Ayarlar!$B$4+Ayarlar!$B$5)</f>
        <v/>
      </c>
      <c r="I412" s="10">
        <f>IF(G412="","",ROUNDUP(((G412*Ayarlar!$B$3+Ayarlar!$B$4+Ayarlar!$B$5)+Ayarlar!$B$8)/((1-Ayarlar!$B$6)*(1-Ayarlar!$B$7)),0))</f>
        <v/>
      </c>
      <c r="J412" s="10">
        <f>IF(G412="","",ROUNDUP(((G412*Ayarlar!$B$3+Ayarlar!$B$4+Ayarlar!$B$5)+Ayarlar!$B$8)/((1-Ayarlar!$B$6)*(1-Ayarlar!$B$7-Ayarlar!$B$9)),0))</f>
        <v/>
      </c>
      <c r="K412" s="12">
        <f>IF(OR(G412="",F412=""),"",(F412*(1-Ayarlar!$B$6)-(F412*(1-Ayarlar!$B$6)*Ayarlar!$B$7+Ayarlar!$B$8)-(G412*Ayarlar!$B$3+Ayarlar!$B$4+Ayarlar!$B$5))/(F412*(1-Ayarlar!$B$6)))</f>
        <v/>
      </c>
      <c r="L412" s="9">
        <f>IF(G412="","GRAM EKSİK",IF(F412&gt;30000,"FİYAT ŞÜPHELİ",IF(K412&lt;0,"ZARARDA",IF(F412&lt;I412,"RİSKLİ","ok"))))</f>
        <v/>
      </c>
      <c r="M412" s="13" t="inlineStr">
        <is>
          <t>https://www.etsy.com/listing/4348088289</t>
        </is>
      </c>
    </row>
    <row r="413">
      <c r="A413" s="3" t="inlineStr">
        <is>
          <t>chains</t>
        </is>
      </c>
      <c r="B413" s="3" t="inlineStr">
        <is>
          <t>14K Solid Yellow Gold Rolo Bracelet - Dainty Unisex Chain</t>
        </is>
      </c>
      <c r="C413" s="3" t="n">
        <v>4348088289</v>
      </c>
      <c r="D413" s="3" t="inlineStr">
        <is>
          <t>BYROL7-8</t>
        </is>
      </c>
      <c r="E413" s="3" t="inlineStr">
        <is>
          <t>description</t>
        </is>
      </c>
      <c r="F413" s="14" t="n">
        <v>3160</v>
      </c>
      <c r="G413" s="17" t="n">
        <v>19.89</v>
      </c>
      <c r="H413" s="14">
        <f>IF(G413="","",G413*Ayarlar!$B$3+Ayarlar!$B$4+Ayarlar!$B$5)</f>
        <v/>
      </c>
      <c r="I413" s="14">
        <f>IF(G413="","",ROUNDUP(((G413*Ayarlar!$B$3+Ayarlar!$B$4+Ayarlar!$B$5)+Ayarlar!$B$8)/((1-Ayarlar!$B$6)*(1-Ayarlar!$B$7)),0))</f>
        <v/>
      </c>
      <c r="J413" s="14">
        <f>IF(G413="","",ROUNDUP(((G413*Ayarlar!$B$3+Ayarlar!$B$4+Ayarlar!$B$5)+Ayarlar!$B$8)/((1-Ayarlar!$B$6)*(1-Ayarlar!$B$7-Ayarlar!$B$9)),0))</f>
        <v/>
      </c>
      <c r="K413" s="15">
        <f>IF(OR(G413="",F413=""),"",(F413*(1-Ayarlar!$B$6)-(F413*(1-Ayarlar!$B$6)*Ayarlar!$B$7+Ayarlar!$B$8)-(G413*Ayarlar!$B$3+Ayarlar!$B$4+Ayarlar!$B$5))/(F413*(1-Ayarlar!$B$6)))</f>
        <v/>
      </c>
      <c r="L413" s="3">
        <f>IF(G413="","GRAM EKSİK",IF(F413&gt;30000,"FİYAT ŞÜPHELİ",IF(K413&lt;0,"ZARARDA",IF(F413&lt;I413,"RİSKLİ","ok"))))</f>
        <v/>
      </c>
      <c r="M413" s="16" t="inlineStr">
        <is>
          <t>https://www.etsy.com/listing/4348088289</t>
        </is>
      </c>
    </row>
    <row r="414">
      <c r="A414" s="9" t="inlineStr">
        <is>
          <t>chains</t>
        </is>
      </c>
      <c r="B414" s="9" t="inlineStr">
        <is>
          <t>14K White Gold Rolo Link Bracelet - Unisex Chain Jewelry</t>
        </is>
      </c>
      <c r="C414" s="9" t="n">
        <v>4348066009</v>
      </c>
      <c r="D414" s="9" t="inlineStr">
        <is>
          <t>BROL1-7</t>
        </is>
      </c>
      <c r="E414" s="9" t="inlineStr">
        <is>
          <t>description</t>
        </is>
      </c>
      <c r="F414" s="10" t="n">
        <v>435</v>
      </c>
      <c r="G414" s="18" t="n">
        <v>3.62</v>
      </c>
      <c r="H414" s="10">
        <f>IF(G414="","",G414*Ayarlar!$B$3+Ayarlar!$B$4+Ayarlar!$B$5)</f>
        <v/>
      </c>
      <c r="I414" s="10">
        <f>IF(G414="","",ROUNDUP(((G414*Ayarlar!$B$3+Ayarlar!$B$4+Ayarlar!$B$5)+Ayarlar!$B$8)/((1-Ayarlar!$B$6)*(1-Ayarlar!$B$7)),0))</f>
        <v/>
      </c>
      <c r="J414" s="10">
        <f>IF(G414="","",ROUNDUP(((G414*Ayarlar!$B$3+Ayarlar!$B$4+Ayarlar!$B$5)+Ayarlar!$B$8)/((1-Ayarlar!$B$6)*(1-Ayarlar!$B$7-Ayarlar!$B$9)),0))</f>
        <v/>
      </c>
      <c r="K414" s="12">
        <f>IF(OR(G414="",F414=""),"",(F414*(1-Ayarlar!$B$6)-(F414*(1-Ayarlar!$B$6)*Ayarlar!$B$7+Ayarlar!$B$8)-(G414*Ayarlar!$B$3+Ayarlar!$B$4+Ayarlar!$B$5))/(F414*(1-Ayarlar!$B$6)))</f>
        <v/>
      </c>
      <c r="L414" s="9">
        <f>IF(G414="","GRAM EKSİK",IF(F414&gt;30000,"FİYAT ŞÜPHELİ",IF(K414&lt;0,"ZARARDA",IF(F414&lt;I414,"RİSKLİ","ok"))))</f>
        <v/>
      </c>
      <c r="M414" s="13" t="inlineStr">
        <is>
          <t>https://www.etsy.com/listing/4348066009</t>
        </is>
      </c>
    </row>
    <row r="415">
      <c r="A415" s="3" t="inlineStr">
        <is>
          <t>chains</t>
        </is>
      </c>
      <c r="B415" s="3" t="inlineStr">
        <is>
          <t>14K White Gold Rolo Link Bracelet - Unisex Chain Jewelry</t>
        </is>
      </c>
      <c r="C415" s="3" t="n">
        <v>4348066009</v>
      </c>
      <c r="D415" s="3" t="inlineStr">
        <is>
          <t>BROL1-7.5</t>
        </is>
      </c>
      <c r="E415" s="3" t="inlineStr">
        <is>
          <t>description</t>
        </is>
      </c>
      <c r="F415" s="14" t="n">
        <v>465</v>
      </c>
      <c r="G415" s="17" t="n">
        <v>3.62</v>
      </c>
      <c r="H415" s="14">
        <f>IF(G415="","",G415*Ayarlar!$B$3+Ayarlar!$B$4+Ayarlar!$B$5)</f>
        <v/>
      </c>
      <c r="I415" s="14">
        <f>IF(G415="","",ROUNDUP(((G415*Ayarlar!$B$3+Ayarlar!$B$4+Ayarlar!$B$5)+Ayarlar!$B$8)/((1-Ayarlar!$B$6)*(1-Ayarlar!$B$7)),0))</f>
        <v/>
      </c>
      <c r="J415" s="14">
        <f>IF(G415="","",ROUNDUP(((G415*Ayarlar!$B$3+Ayarlar!$B$4+Ayarlar!$B$5)+Ayarlar!$B$8)/((1-Ayarlar!$B$6)*(1-Ayarlar!$B$7-Ayarlar!$B$9)),0))</f>
        <v/>
      </c>
      <c r="K415" s="15">
        <f>IF(OR(G415="",F415=""),"",(F415*(1-Ayarlar!$B$6)-(F415*(1-Ayarlar!$B$6)*Ayarlar!$B$7+Ayarlar!$B$8)-(G415*Ayarlar!$B$3+Ayarlar!$B$4+Ayarlar!$B$5))/(F415*(1-Ayarlar!$B$6)))</f>
        <v/>
      </c>
      <c r="L415" s="3">
        <f>IF(G415="","GRAM EKSİK",IF(F415&gt;30000,"FİYAT ŞÜPHELİ",IF(K415&lt;0,"ZARARDA",IF(F415&lt;I415,"RİSKLİ","ok"))))</f>
        <v/>
      </c>
      <c r="M415" s="16" t="inlineStr">
        <is>
          <t>https://www.etsy.com/listing/4348066009</t>
        </is>
      </c>
    </row>
    <row r="416">
      <c r="A416" s="9" t="inlineStr">
        <is>
          <t>chains</t>
        </is>
      </c>
      <c r="B416" s="9" t="inlineStr">
        <is>
          <t>14K White Gold Rolo Link Bracelet - Unisex Chain Jewelry</t>
        </is>
      </c>
      <c r="C416" s="9" t="n">
        <v>4348066009</v>
      </c>
      <c r="D416" s="9" t="inlineStr">
        <is>
          <t>BROL1-8</t>
        </is>
      </c>
      <c r="E416" s="9" t="inlineStr">
        <is>
          <t>description</t>
        </is>
      </c>
      <c r="F416" s="10" t="n">
        <v>495</v>
      </c>
      <c r="G416" s="18" t="n">
        <v>3.62</v>
      </c>
      <c r="H416" s="10">
        <f>IF(G416="","",G416*Ayarlar!$B$3+Ayarlar!$B$4+Ayarlar!$B$5)</f>
        <v/>
      </c>
      <c r="I416" s="10">
        <f>IF(G416="","",ROUNDUP(((G416*Ayarlar!$B$3+Ayarlar!$B$4+Ayarlar!$B$5)+Ayarlar!$B$8)/((1-Ayarlar!$B$6)*(1-Ayarlar!$B$7)),0))</f>
        <v/>
      </c>
      <c r="J416" s="10">
        <f>IF(G416="","",ROUNDUP(((G416*Ayarlar!$B$3+Ayarlar!$B$4+Ayarlar!$B$5)+Ayarlar!$B$8)/((1-Ayarlar!$B$6)*(1-Ayarlar!$B$7-Ayarlar!$B$9)),0))</f>
        <v/>
      </c>
      <c r="K416" s="12">
        <f>IF(OR(G416="",F416=""),"",(F416*(1-Ayarlar!$B$6)-(F416*(1-Ayarlar!$B$6)*Ayarlar!$B$7+Ayarlar!$B$8)-(G416*Ayarlar!$B$3+Ayarlar!$B$4+Ayarlar!$B$5))/(F416*(1-Ayarlar!$B$6)))</f>
        <v/>
      </c>
      <c r="L416" s="9">
        <f>IF(G416="","GRAM EKSİK",IF(F416&gt;30000,"FİYAT ŞÜPHELİ",IF(K416&lt;0,"ZARARDA",IF(F416&lt;I416,"RİSKLİ","ok"))))</f>
        <v/>
      </c>
      <c r="M416" s="13" t="inlineStr">
        <is>
          <t>https://www.etsy.com/listing/4348066009</t>
        </is>
      </c>
    </row>
    <row r="417">
      <c r="A417" s="3" t="inlineStr">
        <is>
          <t>chains</t>
        </is>
      </c>
      <c r="B417" s="3" t="inlineStr">
        <is>
          <t>14K White Gold Rolo Link Bracelet - Unisex Chain Jewelry</t>
        </is>
      </c>
      <c r="C417" s="3" t="n">
        <v>4348066009</v>
      </c>
      <c r="D417" s="3" t="inlineStr">
        <is>
          <t>BROL2-7</t>
        </is>
      </c>
      <c r="E417" s="3" t="inlineStr">
        <is>
          <t>description</t>
        </is>
      </c>
      <c r="F417" s="14" t="n">
        <v>599</v>
      </c>
      <c r="G417" s="17" t="n">
        <v>5.07</v>
      </c>
      <c r="H417" s="14">
        <f>IF(G417="","",G417*Ayarlar!$B$3+Ayarlar!$B$4+Ayarlar!$B$5)</f>
        <v/>
      </c>
      <c r="I417" s="14">
        <f>IF(G417="","",ROUNDUP(((G417*Ayarlar!$B$3+Ayarlar!$B$4+Ayarlar!$B$5)+Ayarlar!$B$8)/((1-Ayarlar!$B$6)*(1-Ayarlar!$B$7)),0))</f>
        <v/>
      </c>
      <c r="J417" s="14">
        <f>IF(G417="","",ROUNDUP(((G417*Ayarlar!$B$3+Ayarlar!$B$4+Ayarlar!$B$5)+Ayarlar!$B$8)/((1-Ayarlar!$B$6)*(1-Ayarlar!$B$7-Ayarlar!$B$9)),0))</f>
        <v/>
      </c>
      <c r="K417" s="15">
        <f>IF(OR(G417="",F417=""),"",(F417*(1-Ayarlar!$B$6)-(F417*(1-Ayarlar!$B$6)*Ayarlar!$B$7+Ayarlar!$B$8)-(G417*Ayarlar!$B$3+Ayarlar!$B$4+Ayarlar!$B$5))/(F417*(1-Ayarlar!$B$6)))</f>
        <v/>
      </c>
      <c r="L417" s="3">
        <f>IF(G417="","GRAM EKSİK",IF(F417&gt;30000,"FİYAT ŞÜPHELİ",IF(K417&lt;0,"ZARARDA",IF(F417&lt;I417,"RİSKLİ","ok"))))</f>
        <v/>
      </c>
      <c r="M417" s="16" t="inlineStr">
        <is>
          <t>https://www.etsy.com/listing/4348066009</t>
        </is>
      </c>
    </row>
    <row r="418">
      <c r="A418" s="9" t="inlineStr">
        <is>
          <t>chains</t>
        </is>
      </c>
      <c r="B418" s="9" t="inlineStr">
        <is>
          <t>14K White Gold Rolo Link Bracelet - Unisex Chain Jewelry</t>
        </is>
      </c>
      <c r="C418" s="9" t="n">
        <v>4348066009</v>
      </c>
      <c r="D418" s="9" t="inlineStr">
        <is>
          <t>BROL2-7.5</t>
        </is>
      </c>
      <c r="E418" s="9" t="inlineStr">
        <is>
          <t>description</t>
        </is>
      </c>
      <c r="F418" s="10" t="n">
        <v>642</v>
      </c>
      <c r="G418" s="18" t="n">
        <v>5.07</v>
      </c>
      <c r="H418" s="10">
        <f>IF(G418="","",G418*Ayarlar!$B$3+Ayarlar!$B$4+Ayarlar!$B$5)</f>
        <v/>
      </c>
      <c r="I418" s="10">
        <f>IF(G418="","",ROUNDUP(((G418*Ayarlar!$B$3+Ayarlar!$B$4+Ayarlar!$B$5)+Ayarlar!$B$8)/((1-Ayarlar!$B$6)*(1-Ayarlar!$B$7)),0))</f>
        <v/>
      </c>
      <c r="J418" s="10">
        <f>IF(G418="","",ROUNDUP(((G418*Ayarlar!$B$3+Ayarlar!$B$4+Ayarlar!$B$5)+Ayarlar!$B$8)/((1-Ayarlar!$B$6)*(1-Ayarlar!$B$7-Ayarlar!$B$9)),0))</f>
        <v/>
      </c>
      <c r="K418" s="12">
        <f>IF(OR(G418="",F418=""),"",(F418*(1-Ayarlar!$B$6)-(F418*(1-Ayarlar!$B$6)*Ayarlar!$B$7+Ayarlar!$B$8)-(G418*Ayarlar!$B$3+Ayarlar!$B$4+Ayarlar!$B$5))/(F418*(1-Ayarlar!$B$6)))</f>
        <v/>
      </c>
      <c r="L418" s="9">
        <f>IF(G418="","GRAM EKSİK",IF(F418&gt;30000,"FİYAT ŞÜPHELİ",IF(K418&lt;0,"ZARARDA",IF(F418&lt;I418,"RİSKLİ","ok"))))</f>
        <v/>
      </c>
      <c r="M418" s="13" t="inlineStr">
        <is>
          <t>https://www.etsy.com/listing/4348066009</t>
        </is>
      </c>
    </row>
    <row r="419">
      <c r="A419" s="3" t="inlineStr">
        <is>
          <t>chains</t>
        </is>
      </c>
      <c r="B419" s="3" t="inlineStr">
        <is>
          <t>14K White Gold Rolo Link Bracelet - Unisex Chain Jewelry</t>
        </is>
      </c>
      <c r="C419" s="3" t="n">
        <v>4348066009</v>
      </c>
      <c r="D419" s="3" t="inlineStr">
        <is>
          <t>BROL2-8</t>
        </is>
      </c>
      <c r="E419" s="3" t="inlineStr">
        <is>
          <t>description</t>
        </is>
      </c>
      <c r="F419" s="14" t="n">
        <v>685</v>
      </c>
      <c r="G419" s="17" t="n">
        <v>5.07</v>
      </c>
      <c r="H419" s="14">
        <f>IF(G419="","",G419*Ayarlar!$B$3+Ayarlar!$B$4+Ayarlar!$B$5)</f>
        <v/>
      </c>
      <c r="I419" s="14">
        <f>IF(G419="","",ROUNDUP(((G419*Ayarlar!$B$3+Ayarlar!$B$4+Ayarlar!$B$5)+Ayarlar!$B$8)/((1-Ayarlar!$B$6)*(1-Ayarlar!$B$7)),0))</f>
        <v/>
      </c>
      <c r="J419" s="14">
        <f>IF(G419="","",ROUNDUP(((G419*Ayarlar!$B$3+Ayarlar!$B$4+Ayarlar!$B$5)+Ayarlar!$B$8)/((1-Ayarlar!$B$6)*(1-Ayarlar!$B$7-Ayarlar!$B$9)),0))</f>
        <v/>
      </c>
      <c r="K419" s="15">
        <f>IF(OR(G419="",F419=""),"",(F419*(1-Ayarlar!$B$6)-(F419*(1-Ayarlar!$B$6)*Ayarlar!$B$7+Ayarlar!$B$8)-(G419*Ayarlar!$B$3+Ayarlar!$B$4+Ayarlar!$B$5))/(F419*(1-Ayarlar!$B$6)))</f>
        <v/>
      </c>
      <c r="L419" s="3">
        <f>IF(G419="","GRAM EKSİK",IF(F419&gt;30000,"FİYAT ŞÜPHELİ",IF(K419&lt;0,"ZARARDA",IF(F419&lt;I419,"RİSKLİ","ok"))))</f>
        <v/>
      </c>
      <c r="M419" s="16" t="inlineStr">
        <is>
          <t>https://www.etsy.com/listing/4348066009</t>
        </is>
      </c>
    </row>
    <row r="420">
      <c r="A420" s="9" t="inlineStr">
        <is>
          <t>chains</t>
        </is>
      </c>
      <c r="B420" s="9" t="inlineStr">
        <is>
          <t>14K White Gold Rolo Link Bracelet - Unisex Chain Jewelry</t>
        </is>
      </c>
      <c r="C420" s="9" t="n">
        <v>4348066009</v>
      </c>
      <c r="D420" s="9" t="inlineStr">
        <is>
          <t>BROL3-7</t>
        </is>
      </c>
      <c r="E420" s="9" t="inlineStr">
        <is>
          <t>description</t>
        </is>
      </c>
      <c r="F420" s="10" t="n">
        <v>908</v>
      </c>
      <c r="G420" s="18" t="n">
        <v>7.68</v>
      </c>
      <c r="H420" s="10">
        <f>IF(G420="","",G420*Ayarlar!$B$3+Ayarlar!$B$4+Ayarlar!$B$5)</f>
        <v/>
      </c>
      <c r="I420" s="10">
        <f>IF(G420="","",ROUNDUP(((G420*Ayarlar!$B$3+Ayarlar!$B$4+Ayarlar!$B$5)+Ayarlar!$B$8)/((1-Ayarlar!$B$6)*(1-Ayarlar!$B$7)),0))</f>
        <v/>
      </c>
      <c r="J420" s="10">
        <f>IF(G420="","",ROUNDUP(((G420*Ayarlar!$B$3+Ayarlar!$B$4+Ayarlar!$B$5)+Ayarlar!$B$8)/((1-Ayarlar!$B$6)*(1-Ayarlar!$B$7-Ayarlar!$B$9)),0))</f>
        <v/>
      </c>
      <c r="K420" s="12">
        <f>IF(OR(G420="",F420=""),"",(F420*(1-Ayarlar!$B$6)-(F420*(1-Ayarlar!$B$6)*Ayarlar!$B$7+Ayarlar!$B$8)-(G420*Ayarlar!$B$3+Ayarlar!$B$4+Ayarlar!$B$5))/(F420*(1-Ayarlar!$B$6)))</f>
        <v/>
      </c>
      <c r="L420" s="9">
        <f>IF(G420="","GRAM EKSİK",IF(F420&gt;30000,"FİYAT ŞÜPHELİ",IF(K420&lt;0,"ZARARDA",IF(F420&lt;I420,"RİSKLİ","ok"))))</f>
        <v/>
      </c>
      <c r="M420" s="13" t="inlineStr">
        <is>
          <t>https://www.etsy.com/listing/4348066009</t>
        </is>
      </c>
    </row>
    <row r="421">
      <c r="A421" s="3" t="inlineStr">
        <is>
          <t>chains</t>
        </is>
      </c>
      <c r="B421" s="3" t="inlineStr">
        <is>
          <t>14K White Gold Rolo Link Bracelet - Unisex Chain Jewelry</t>
        </is>
      </c>
      <c r="C421" s="3" t="n">
        <v>4348066009</v>
      </c>
      <c r="D421" s="3" t="inlineStr">
        <is>
          <t>BROL3-7.5</t>
        </is>
      </c>
      <c r="E421" s="3" t="inlineStr">
        <is>
          <t>description</t>
        </is>
      </c>
      <c r="F421" s="14" t="n">
        <v>977</v>
      </c>
      <c r="G421" s="17" t="n">
        <v>7.68</v>
      </c>
      <c r="H421" s="14">
        <f>IF(G421="","",G421*Ayarlar!$B$3+Ayarlar!$B$4+Ayarlar!$B$5)</f>
        <v/>
      </c>
      <c r="I421" s="14">
        <f>IF(G421="","",ROUNDUP(((G421*Ayarlar!$B$3+Ayarlar!$B$4+Ayarlar!$B$5)+Ayarlar!$B$8)/((1-Ayarlar!$B$6)*(1-Ayarlar!$B$7)),0))</f>
        <v/>
      </c>
      <c r="J421" s="14">
        <f>IF(G421="","",ROUNDUP(((G421*Ayarlar!$B$3+Ayarlar!$B$4+Ayarlar!$B$5)+Ayarlar!$B$8)/((1-Ayarlar!$B$6)*(1-Ayarlar!$B$7-Ayarlar!$B$9)),0))</f>
        <v/>
      </c>
      <c r="K421" s="15">
        <f>IF(OR(G421="",F421=""),"",(F421*(1-Ayarlar!$B$6)-(F421*(1-Ayarlar!$B$6)*Ayarlar!$B$7+Ayarlar!$B$8)-(G421*Ayarlar!$B$3+Ayarlar!$B$4+Ayarlar!$B$5))/(F421*(1-Ayarlar!$B$6)))</f>
        <v/>
      </c>
      <c r="L421" s="3">
        <f>IF(G421="","GRAM EKSİK",IF(F421&gt;30000,"FİYAT ŞÜPHELİ",IF(K421&lt;0,"ZARARDA",IF(F421&lt;I421,"RİSKLİ","ok"))))</f>
        <v/>
      </c>
      <c r="M421" s="16" t="inlineStr">
        <is>
          <t>https://www.etsy.com/listing/4348066009</t>
        </is>
      </c>
    </row>
    <row r="422">
      <c r="A422" s="9" t="inlineStr">
        <is>
          <t>chains</t>
        </is>
      </c>
      <c r="B422" s="9" t="inlineStr">
        <is>
          <t>14K White Gold Rolo Link Bracelet - Unisex Chain Jewelry</t>
        </is>
      </c>
      <c r="C422" s="9" t="n">
        <v>4348066009</v>
      </c>
      <c r="D422" s="9" t="inlineStr">
        <is>
          <t>BROL3-8</t>
        </is>
      </c>
      <c r="E422" s="9" t="inlineStr">
        <is>
          <t>description</t>
        </is>
      </c>
      <c r="F422" s="10" t="n">
        <v>1037</v>
      </c>
      <c r="G422" s="18" t="n">
        <v>7.68</v>
      </c>
      <c r="H422" s="10">
        <f>IF(G422="","",G422*Ayarlar!$B$3+Ayarlar!$B$4+Ayarlar!$B$5)</f>
        <v/>
      </c>
      <c r="I422" s="10">
        <f>IF(G422="","",ROUNDUP(((G422*Ayarlar!$B$3+Ayarlar!$B$4+Ayarlar!$B$5)+Ayarlar!$B$8)/((1-Ayarlar!$B$6)*(1-Ayarlar!$B$7)),0))</f>
        <v/>
      </c>
      <c r="J422" s="10">
        <f>IF(G422="","",ROUNDUP(((G422*Ayarlar!$B$3+Ayarlar!$B$4+Ayarlar!$B$5)+Ayarlar!$B$8)/((1-Ayarlar!$B$6)*(1-Ayarlar!$B$7-Ayarlar!$B$9)),0))</f>
        <v/>
      </c>
      <c r="K422" s="12">
        <f>IF(OR(G422="",F422=""),"",(F422*(1-Ayarlar!$B$6)-(F422*(1-Ayarlar!$B$6)*Ayarlar!$B$7+Ayarlar!$B$8)-(G422*Ayarlar!$B$3+Ayarlar!$B$4+Ayarlar!$B$5))/(F422*(1-Ayarlar!$B$6)))</f>
        <v/>
      </c>
      <c r="L422" s="9">
        <f>IF(G422="","GRAM EKSİK",IF(F422&gt;30000,"FİYAT ŞÜPHELİ",IF(K422&lt;0,"ZARARDA",IF(F422&lt;I422,"RİSKLİ","ok"))))</f>
        <v/>
      </c>
      <c r="M422" s="13" t="inlineStr">
        <is>
          <t>https://www.etsy.com/listing/4348066009</t>
        </is>
      </c>
    </row>
    <row r="423">
      <c r="A423" s="3" t="inlineStr">
        <is>
          <t>chains</t>
        </is>
      </c>
      <c r="B423" s="3" t="inlineStr">
        <is>
          <t>14K White Gold Rolo Link Bracelet - Unisex Chain Jewelry</t>
        </is>
      </c>
      <c r="C423" s="3" t="n">
        <v>4348066009</v>
      </c>
      <c r="D423" s="3" t="inlineStr">
        <is>
          <t>BROL4-7</t>
        </is>
      </c>
      <c r="E423" s="3" t="inlineStr">
        <is>
          <t>description</t>
        </is>
      </c>
      <c r="F423" s="14" t="n">
        <v>1153</v>
      </c>
      <c r="G423" s="17" t="n">
        <v>9.74</v>
      </c>
      <c r="H423" s="14">
        <f>IF(G423="","",G423*Ayarlar!$B$3+Ayarlar!$B$4+Ayarlar!$B$5)</f>
        <v/>
      </c>
      <c r="I423" s="14">
        <f>IF(G423="","",ROUNDUP(((G423*Ayarlar!$B$3+Ayarlar!$B$4+Ayarlar!$B$5)+Ayarlar!$B$8)/((1-Ayarlar!$B$6)*(1-Ayarlar!$B$7)),0))</f>
        <v/>
      </c>
      <c r="J423" s="14">
        <f>IF(G423="","",ROUNDUP(((G423*Ayarlar!$B$3+Ayarlar!$B$4+Ayarlar!$B$5)+Ayarlar!$B$8)/((1-Ayarlar!$B$6)*(1-Ayarlar!$B$7-Ayarlar!$B$9)),0))</f>
        <v/>
      </c>
      <c r="K423" s="15">
        <f>IF(OR(G423="",F423=""),"",(F423*(1-Ayarlar!$B$6)-(F423*(1-Ayarlar!$B$6)*Ayarlar!$B$7+Ayarlar!$B$8)-(G423*Ayarlar!$B$3+Ayarlar!$B$4+Ayarlar!$B$5))/(F423*(1-Ayarlar!$B$6)))</f>
        <v/>
      </c>
      <c r="L423" s="3">
        <f>IF(G423="","GRAM EKSİK",IF(F423&gt;30000,"FİYAT ŞÜPHELİ",IF(K423&lt;0,"ZARARDA",IF(F423&lt;I423,"RİSKLİ","ok"))))</f>
        <v/>
      </c>
      <c r="M423" s="16" t="inlineStr">
        <is>
          <t>https://www.etsy.com/listing/4348066009</t>
        </is>
      </c>
    </row>
    <row r="424">
      <c r="A424" s="9" t="inlineStr">
        <is>
          <t>chains</t>
        </is>
      </c>
      <c r="B424" s="9" t="inlineStr">
        <is>
          <t>14K White Gold Rolo Link Bracelet - Unisex Chain Jewelry</t>
        </is>
      </c>
      <c r="C424" s="9" t="n">
        <v>4348066009</v>
      </c>
      <c r="D424" s="9" t="inlineStr">
        <is>
          <t>BROL4-7.5</t>
        </is>
      </c>
      <c r="E424" s="9" t="inlineStr">
        <is>
          <t>description</t>
        </is>
      </c>
      <c r="F424" s="10" t="n">
        <v>1239</v>
      </c>
      <c r="G424" s="18" t="n">
        <v>9.74</v>
      </c>
      <c r="H424" s="10">
        <f>IF(G424="","",G424*Ayarlar!$B$3+Ayarlar!$B$4+Ayarlar!$B$5)</f>
        <v/>
      </c>
      <c r="I424" s="10">
        <f>IF(G424="","",ROUNDUP(((G424*Ayarlar!$B$3+Ayarlar!$B$4+Ayarlar!$B$5)+Ayarlar!$B$8)/((1-Ayarlar!$B$6)*(1-Ayarlar!$B$7)),0))</f>
        <v/>
      </c>
      <c r="J424" s="10">
        <f>IF(G424="","",ROUNDUP(((G424*Ayarlar!$B$3+Ayarlar!$B$4+Ayarlar!$B$5)+Ayarlar!$B$8)/((1-Ayarlar!$B$6)*(1-Ayarlar!$B$7-Ayarlar!$B$9)),0))</f>
        <v/>
      </c>
      <c r="K424" s="12">
        <f>IF(OR(G424="",F424=""),"",(F424*(1-Ayarlar!$B$6)-(F424*(1-Ayarlar!$B$6)*Ayarlar!$B$7+Ayarlar!$B$8)-(G424*Ayarlar!$B$3+Ayarlar!$B$4+Ayarlar!$B$5))/(F424*(1-Ayarlar!$B$6)))</f>
        <v/>
      </c>
      <c r="L424" s="9">
        <f>IF(G424="","GRAM EKSİK",IF(F424&gt;30000,"FİYAT ŞÜPHELİ",IF(K424&lt;0,"ZARARDA",IF(F424&lt;I424,"RİSKLİ","ok"))))</f>
        <v/>
      </c>
      <c r="M424" s="13" t="inlineStr">
        <is>
          <t>https://www.etsy.com/listing/4348066009</t>
        </is>
      </c>
    </row>
    <row r="425">
      <c r="A425" s="3" t="inlineStr">
        <is>
          <t>chains</t>
        </is>
      </c>
      <c r="B425" s="3" t="inlineStr">
        <is>
          <t>14K White Gold Rolo Link Bracelet - Unisex Chain Jewelry</t>
        </is>
      </c>
      <c r="C425" s="3" t="n">
        <v>4348066009</v>
      </c>
      <c r="D425" s="3" t="inlineStr">
        <is>
          <t>BROL4-8</t>
        </is>
      </c>
      <c r="E425" s="3" t="inlineStr">
        <is>
          <t>description</t>
        </is>
      </c>
      <c r="F425" s="14" t="n">
        <v>1325</v>
      </c>
      <c r="G425" s="17" t="n">
        <v>9.74</v>
      </c>
      <c r="H425" s="14">
        <f>IF(G425="","",G425*Ayarlar!$B$3+Ayarlar!$B$4+Ayarlar!$B$5)</f>
        <v/>
      </c>
      <c r="I425" s="14">
        <f>IF(G425="","",ROUNDUP(((G425*Ayarlar!$B$3+Ayarlar!$B$4+Ayarlar!$B$5)+Ayarlar!$B$8)/((1-Ayarlar!$B$6)*(1-Ayarlar!$B$7)),0))</f>
        <v/>
      </c>
      <c r="J425" s="14">
        <f>IF(G425="","",ROUNDUP(((G425*Ayarlar!$B$3+Ayarlar!$B$4+Ayarlar!$B$5)+Ayarlar!$B$8)/((1-Ayarlar!$B$6)*(1-Ayarlar!$B$7-Ayarlar!$B$9)),0))</f>
        <v/>
      </c>
      <c r="K425" s="15">
        <f>IF(OR(G425="",F425=""),"",(F425*(1-Ayarlar!$B$6)-(F425*(1-Ayarlar!$B$6)*Ayarlar!$B$7+Ayarlar!$B$8)-(G425*Ayarlar!$B$3+Ayarlar!$B$4+Ayarlar!$B$5))/(F425*(1-Ayarlar!$B$6)))</f>
        <v/>
      </c>
      <c r="L425" s="3">
        <f>IF(G425="","GRAM EKSİK",IF(F425&gt;30000,"FİYAT ŞÜPHELİ",IF(K425&lt;0,"ZARARDA",IF(F425&lt;I425,"RİSKLİ","ok"))))</f>
        <v/>
      </c>
      <c r="M425" s="16" t="inlineStr">
        <is>
          <t>https://www.etsy.com/listing/4348066009</t>
        </is>
      </c>
    </row>
    <row r="426">
      <c r="A426" s="9" t="inlineStr">
        <is>
          <t>chains</t>
        </is>
      </c>
      <c r="B426" s="9" t="inlineStr">
        <is>
          <t>14K White Gold Rolo Link Bracelet - Unisex Chain Jewelry</t>
        </is>
      </c>
      <c r="C426" s="9" t="n">
        <v>4348066009</v>
      </c>
      <c r="D426" s="9" t="inlineStr">
        <is>
          <t>BROL5-7</t>
        </is>
      </c>
      <c r="E426" s="9" t="inlineStr">
        <is>
          <t>description</t>
        </is>
      </c>
      <c r="F426" s="10" t="n">
        <v>1474</v>
      </c>
      <c r="G426" s="18" t="n">
        <v>12.41</v>
      </c>
      <c r="H426" s="10">
        <f>IF(G426="","",G426*Ayarlar!$B$3+Ayarlar!$B$4+Ayarlar!$B$5)</f>
        <v/>
      </c>
      <c r="I426" s="10">
        <f>IF(G426="","",ROUNDUP(((G426*Ayarlar!$B$3+Ayarlar!$B$4+Ayarlar!$B$5)+Ayarlar!$B$8)/((1-Ayarlar!$B$6)*(1-Ayarlar!$B$7)),0))</f>
        <v/>
      </c>
      <c r="J426" s="10">
        <f>IF(G426="","",ROUNDUP(((G426*Ayarlar!$B$3+Ayarlar!$B$4+Ayarlar!$B$5)+Ayarlar!$B$8)/((1-Ayarlar!$B$6)*(1-Ayarlar!$B$7-Ayarlar!$B$9)),0))</f>
        <v/>
      </c>
      <c r="K426" s="12">
        <f>IF(OR(G426="",F426=""),"",(F426*(1-Ayarlar!$B$6)-(F426*(1-Ayarlar!$B$6)*Ayarlar!$B$7+Ayarlar!$B$8)-(G426*Ayarlar!$B$3+Ayarlar!$B$4+Ayarlar!$B$5))/(F426*(1-Ayarlar!$B$6)))</f>
        <v/>
      </c>
      <c r="L426" s="9">
        <f>IF(G426="","GRAM EKSİK",IF(F426&gt;30000,"FİYAT ŞÜPHELİ",IF(K426&lt;0,"ZARARDA",IF(F426&lt;I426,"RİSKLİ","ok"))))</f>
        <v/>
      </c>
      <c r="M426" s="13" t="inlineStr">
        <is>
          <t>https://www.etsy.com/listing/4348066009</t>
        </is>
      </c>
    </row>
    <row r="427">
      <c r="A427" s="3" t="inlineStr">
        <is>
          <t>chains</t>
        </is>
      </c>
      <c r="B427" s="3" t="inlineStr">
        <is>
          <t>14K White Gold Rolo Link Bracelet - Unisex Chain Jewelry</t>
        </is>
      </c>
      <c r="C427" s="3" t="n">
        <v>4348066009</v>
      </c>
      <c r="D427" s="3" t="inlineStr">
        <is>
          <t>BROL5-7.5</t>
        </is>
      </c>
      <c r="E427" s="3" t="inlineStr">
        <is>
          <t>description</t>
        </is>
      </c>
      <c r="F427" s="14" t="n">
        <v>1582</v>
      </c>
      <c r="G427" s="17" t="n">
        <v>12.41</v>
      </c>
      <c r="H427" s="14">
        <f>IF(G427="","",G427*Ayarlar!$B$3+Ayarlar!$B$4+Ayarlar!$B$5)</f>
        <v/>
      </c>
      <c r="I427" s="14">
        <f>IF(G427="","",ROUNDUP(((G427*Ayarlar!$B$3+Ayarlar!$B$4+Ayarlar!$B$5)+Ayarlar!$B$8)/((1-Ayarlar!$B$6)*(1-Ayarlar!$B$7)),0))</f>
        <v/>
      </c>
      <c r="J427" s="14">
        <f>IF(G427="","",ROUNDUP(((G427*Ayarlar!$B$3+Ayarlar!$B$4+Ayarlar!$B$5)+Ayarlar!$B$8)/((1-Ayarlar!$B$6)*(1-Ayarlar!$B$7-Ayarlar!$B$9)),0))</f>
        <v/>
      </c>
      <c r="K427" s="15">
        <f>IF(OR(G427="",F427=""),"",(F427*(1-Ayarlar!$B$6)-(F427*(1-Ayarlar!$B$6)*Ayarlar!$B$7+Ayarlar!$B$8)-(G427*Ayarlar!$B$3+Ayarlar!$B$4+Ayarlar!$B$5))/(F427*(1-Ayarlar!$B$6)))</f>
        <v/>
      </c>
      <c r="L427" s="3">
        <f>IF(G427="","GRAM EKSİK",IF(F427&gt;30000,"FİYAT ŞÜPHELİ",IF(K427&lt;0,"ZARARDA",IF(F427&lt;I427,"RİSKLİ","ok"))))</f>
        <v/>
      </c>
      <c r="M427" s="16" t="inlineStr">
        <is>
          <t>https://www.etsy.com/listing/4348066009</t>
        </is>
      </c>
    </row>
    <row r="428">
      <c r="A428" s="9" t="inlineStr">
        <is>
          <t>chains</t>
        </is>
      </c>
      <c r="B428" s="9" t="inlineStr">
        <is>
          <t>14K White Gold Rolo Link Bracelet - Unisex Chain Jewelry</t>
        </is>
      </c>
      <c r="C428" s="9" t="n">
        <v>4348066009</v>
      </c>
      <c r="D428" s="9" t="inlineStr">
        <is>
          <t>BROL5-8</t>
        </is>
      </c>
      <c r="E428" s="9" t="inlineStr">
        <is>
          <t>description</t>
        </is>
      </c>
      <c r="F428" s="10" t="n">
        <v>1689</v>
      </c>
      <c r="G428" s="18" t="n">
        <v>12.41</v>
      </c>
      <c r="H428" s="10">
        <f>IF(G428="","",G428*Ayarlar!$B$3+Ayarlar!$B$4+Ayarlar!$B$5)</f>
        <v/>
      </c>
      <c r="I428" s="10">
        <f>IF(G428="","",ROUNDUP(((G428*Ayarlar!$B$3+Ayarlar!$B$4+Ayarlar!$B$5)+Ayarlar!$B$8)/((1-Ayarlar!$B$6)*(1-Ayarlar!$B$7)),0))</f>
        <v/>
      </c>
      <c r="J428" s="10">
        <f>IF(G428="","",ROUNDUP(((G428*Ayarlar!$B$3+Ayarlar!$B$4+Ayarlar!$B$5)+Ayarlar!$B$8)/((1-Ayarlar!$B$6)*(1-Ayarlar!$B$7-Ayarlar!$B$9)),0))</f>
        <v/>
      </c>
      <c r="K428" s="12">
        <f>IF(OR(G428="",F428=""),"",(F428*(1-Ayarlar!$B$6)-(F428*(1-Ayarlar!$B$6)*Ayarlar!$B$7+Ayarlar!$B$8)-(G428*Ayarlar!$B$3+Ayarlar!$B$4+Ayarlar!$B$5))/(F428*(1-Ayarlar!$B$6)))</f>
        <v/>
      </c>
      <c r="L428" s="9">
        <f>IF(G428="","GRAM EKSİK",IF(F428&gt;30000,"FİYAT ŞÜPHELİ",IF(K428&lt;0,"ZARARDA",IF(F428&lt;I428,"RİSKLİ","ok"))))</f>
        <v/>
      </c>
      <c r="M428" s="13" t="inlineStr">
        <is>
          <t>https://www.etsy.com/listing/4348066009</t>
        </is>
      </c>
    </row>
    <row r="429">
      <c r="A429" s="3" t="inlineStr">
        <is>
          <t>chains</t>
        </is>
      </c>
      <c r="B429" s="3" t="inlineStr">
        <is>
          <t>14K White Gold Rolo Link Bracelet - Unisex Chain Jewelry</t>
        </is>
      </c>
      <c r="C429" s="3" t="n">
        <v>4348066009</v>
      </c>
      <c r="D429" s="3" t="inlineStr">
        <is>
          <t>BROL6-7</t>
        </is>
      </c>
      <c r="E429" s="3" t="inlineStr">
        <is>
          <t>description</t>
        </is>
      </c>
      <c r="F429" s="14" t="n">
        <v>1793</v>
      </c>
      <c r="G429" s="17" t="n">
        <v>16</v>
      </c>
      <c r="H429" s="14">
        <f>IF(G429="","",G429*Ayarlar!$B$3+Ayarlar!$B$4+Ayarlar!$B$5)</f>
        <v/>
      </c>
      <c r="I429" s="14">
        <f>IF(G429="","",ROUNDUP(((G429*Ayarlar!$B$3+Ayarlar!$B$4+Ayarlar!$B$5)+Ayarlar!$B$8)/((1-Ayarlar!$B$6)*(1-Ayarlar!$B$7)),0))</f>
        <v/>
      </c>
      <c r="J429" s="14">
        <f>IF(G429="","",ROUNDUP(((G429*Ayarlar!$B$3+Ayarlar!$B$4+Ayarlar!$B$5)+Ayarlar!$B$8)/((1-Ayarlar!$B$6)*(1-Ayarlar!$B$7-Ayarlar!$B$9)),0))</f>
        <v/>
      </c>
      <c r="K429" s="15">
        <f>IF(OR(G429="",F429=""),"",(F429*(1-Ayarlar!$B$6)-(F429*(1-Ayarlar!$B$6)*Ayarlar!$B$7+Ayarlar!$B$8)-(G429*Ayarlar!$B$3+Ayarlar!$B$4+Ayarlar!$B$5))/(F429*(1-Ayarlar!$B$6)))</f>
        <v/>
      </c>
      <c r="L429" s="3">
        <f>IF(G429="","GRAM EKSİK",IF(F429&gt;30000,"FİYAT ŞÜPHELİ",IF(K429&lt;0,"ZARARDA",IF(F429&lt;I429,"RİSKLİ","ok"))))</f>
        <v/>
      </c>
      <c r="M429" s="16" t="inlineStr">
        <is>
          <t>https://www.etsy.com/listing/4348066009</t>
        </is>
      </c>
    </row>
    <row r="430">
      <c r="A430" s="9" t="inlineStr">
        <is>
          <t>chains</t>
        </is>
      </c>
      <c r="B430" s="9" t="inlineStr">
        <is>
          <t>14K White Gold Rolo Link Bracelet - Unisex Chain Jewelry</t>
        </is>
      </c>
      <c r="C430" s="9" t="n">
        <v>4348066009</v>
      </c>
      <c r="D430" s="9" t="inlineStr">
        <is>
          <t>BROL6-7.5</t>
        </is>
      </c>
      <c r="E430" s="9" t="inlineStr">
        <is>
          <t>description</t>
        </is>
      </c>
      <c r="F430" s="10" t="n">
        <v>1914</v>
      </c>
      <c r="G430" s="18" t="n">
        <v>16</v>
      </c>
      <c r="H430" s="10">
        <f>IF(G430="","",G430*Ayarlar!$B$3+Ayarlar!$B$4+Ayarlar!$B$5)</f>
        <v/>
      </c>
      <c r="I430" s="10">
        <f>IF(G430="","",ROUNDUP(((G430*Ayarlar!$B$3+Ayarlar!$B$4+Ayarlar!$B$5)+Ayarlar!$B$8)/((1-Ayarlar!$B$6)*(1-Ayarlar!$B$7)),0))</f>
        <v/>
      </c>
      <c r="J430" s="10">
        <f>IF(G430="","",ROUNDUP(((G430*Ayarlar!$B$3+Ayarlar!$B$4+Ayarlar!$B$5)+Ayarlar!$B$8)/((1-Ayarlar!$B$6)*(1-Ayarlar!$B$7-Ayarlar!$B$9)),0))</f>
        <v/>
      </c>
      <c r="K430" s="12">
        <f>IF(OR(G430="",F430=""),"",(F430*(1-Ayarlar!$B$6)-(F430*(1-Ayarlar!$B$6)*Ayarlar!$B$7+Ayarlar!$B$8)-(G430*Ayarlar!$B$3+Ayarlar!$B$4+Ayarlar!$B$5))/(F430*(1-Ayarlar!$B$6)))</f>
        <v/>
      </c>
      <c r="L430" s="9">
        <f>IF(G430="","GRAM EKSİK",IF(F430&gt;30000,"FİYAT ŞÜPHELİ",IF(K430&lt;0,"ZARARDA",IF(F430&lt;I430,"RİSKLİ","ok"))))</f>
        <v/>
      </c>
      <c r="M430" s="13" t="inlineStr">
        <is>
          <t>https://www.etsy.com/listing/4348066009</t>
        </is>
      </c>
    </row>
    <row r="431">
      <c r="A431" s="3" t="inlineStr">
        <is>
          <t>chains</t>
        </is>
      </c>
      <c r="B431" s="3" t="inlineStr">
        <is>
          <t>14K White Gold Rolo Link Bracelet - Unisex Chain Jewelry</t>
        </is>
      </c>
      <c r="C431" s="3" t="n">
        <v>4348066009</v>
      </c>
      <c r="D431" s="3" t="inlineStr">
        <is>
          <t>BROL6-8</t>
        </is>
      </c>
      <c r="E431" s="3" t="inlineStr">
        <is>
          <t>description</t>
        </is>
      </c>
      <c r="F431" s="14" t="n">
        <v>1991</v>
      </c>
      <c r="G431" s="17" t="n">
        <v>16</v>
      </c>
      <c r="H431" s="14">
        <f>IF(G431="","",G431*Ayarlar!$B$3+Ayarlar!$B$4+Ayarlar!$B$5)</f>
        <v/>
      </c>
      <c r="I431" s="14">
        <f>IF(G431="","",ROUNDUP(((G431*Ayarlar!$B$3+Ayarlar!$B$4+Ayarlar!$B$5)+Ayarlar!$B$8)/((1-Ayarlar!$B$6)*(1-Ayarlar!$B$7)),0))</f>
        <v/>
      </c>
      <c r="J431" s="14">
        <f>IF(G431="","",ROUNDUP(((G431*Ayarlar!$B$3+Ayarlar!$B$4+Ayarlar!$B$5)+Ayarlar!$B$8)/((1-Ayarlar!$B$6)*(1-Ayarlar!$B$7-Ayarlar!$B$9)),0))</f>
        <v/>
      </c>
      <c r="K431" s="15">
        <f>IF(OR(G431="",F431=""),"",(F431*(1-Ayarlar!$B$6)-(F431*(1-Ayarlar!$B$6)*Ayarlar!$B$7+Ayarlar!$B$8)-(G431*Ayarlar!$B$3+Ayarlar!$B$4+Ayarlar!$B$5))/(F431*(1-Ayarlar!$B$6)))</f>
        <v/>
      </c>
      <c r="L431" s="3">
        <f>IF(G431="","GRAM EKSİK",IF(F431&gt;30000,"FİYAT ŞÜPHELİ",IF(K431&lt;0,"ZARARDA",IF(F431&lt;I431,"RİSKLİ","ok"))))</f>
        <v/>
      </c>
      <c r="M431" s="16" t="inlineStr">
        <is>
          <t>https://www.etsy.com/listing/4348066009</t>
        </is>
      </c>
    </row>
    <row r="432">
      <c r="A432" s="9" t="inlineStr">
        <is>
          <t>chains</t>
        </is>
      </c>
      <c r="B432" s="9" t="inlineStr">
        <is>
          <t>14K White Gold Rolo Link Bracelet - Unisex Chain Jewelry</t>
        </is>
      </c>
      <c r="C432" s="9" t="n">
        <v>4348066009</v>
      </c>
      <c r="D432" s="9" t="inlineStr">
        <is>
          <t>BROL7-7</t>
        </is>
      </c>
      <c r="E432" s="9" t="inlineStr">
        <is>
          <t>description</t>
        </is>
      </c>
      <c r="F432" s="10" t="n">
        <v>2202</v>
      </c>
      <c r="G432" s="18" t="n">
        <v>18.65</v>
      </c>
      <c r="H432" s="10">
        <f>IF(G432="","",G432*Ayarlar!$B$3+Ayarlar!$B$4+Ayarlar!$B$5)</f>
        <v/>
      </c>
      <c r="I432" s="10">
        <f>IF(G432="","",ROUNDUP(((G432*Ayarlar!$B$3+Ayarlar!$B$4+Ayarlar!$B$5)+Ayarlar!$B$8)/((1-Ayarlar!$B$6)*(1-Ayarlar!$B$7)),0))</f>
        <v/>
      </c>
      <c r="J432" s="10">
        <f>IF(G432="","",ROUNDUP(((G432*Ayarlar!$B$3+Ayarlar!$B$4+Ayarlar!$B$5)+Ayarlar!$B$8)/((1-Ayarlar!$B$6)*(1-Ayarlar!$B$7-Ayarlar!$B$9)),0))</f>
        <v/>
      </c>
      <c r="K432" s="12">
        <f>IF(OR(G432="",F432=""),"",(F432*(1-Ayarlar!$B$6)-(F432*(1-Ayarlar!$B$6)*Ayarlar!$B$7+Ayarlar!$B$8)-(G432*Ayarlar!$B$3+Ayarlar!$B$4+Ayarlar!$B$5))/(F432*(1-Ayarlar!$B$6)))</f>
        <v/>
      </c>
      <c r="L432" s="9">
        <f>IF(G432="","GRAM EKSİK",IF(F432&gt;30000,"FİYAT ŞÜPHELİ",IF(K432&lt;0,"ZARARDA",IF(F432&lt;I432,"RİSKLİ","ok"))))</f>
        <v/>
      </c>
      <c r="M432" s="13" t="inlineStr">
        <is>
          <t>https://www.etsy.com/listing/4348066009</t>
        </is>
      </c>
    </row>
    <row r="433">
      <c r="A433" s="3" t="inlineStr">
        <is>
          <t>chains</t>
        </is>
      </c>
      <c r="B433" s="3" t="inlineStr">
        <is>
          <t>14K White Gold Rolo Link Bracelet - Unisex Chain Jewelry</t>
        </is>
      </c>
      <c r="C433" s="3" t="n">
        <v>4348066009</v>
      </c>
      <c r="D433" s="3" t="inlineStr">
        <is>
          <t>BROL7-7.5</t>
        </is>
      </c>
      <c r="E433" s="3" t="inlineStr">
        <is>
          <t>description</t>
        </is>
      </c>
      <c r="F433" s="14" t="n">
        <v>2352</v>
      </c>
      <c r="G433" s="17" t="n">
        <v>18.65</v>
      </c>
      <c r="H433" s="14">
        <f>IF(G433="","",G433*Ayarlar!$B$3+Ayarlar!$B$4+Ayarlar!$B$5)</f>
        <v/>
      </c>
      <c r="I433" s="14">
        <f>IF(G433="","",ROUNDUP(((G433*Ayarlar!$B$3+Ayarlar!$B$4+Ayarlar!$B$5)+Ayarlar!$B$8)/((1-Ayarlar!$B$6)*(1-Ayarlar!$B$7)),0))</f>
        <v/>
      </c>
      <c r="J433" s="14">
        <f>IF(G433="","",ROUNDUP(((G433*Ayarlar!$B$3+Ayarlar!$B$4+Ayarlar!$B$5)+Ayarlar!$B$8)/((1-Ayarlar!$B$6)*(1-Ayarlar!$B$7-Ayarlar!$B$9)),0))</f>
        <v/>
      </c>
      <c r="K433" s="15">
        <f>IF(OR(G433="",F433=""),"",(F433*(1-Ayarlar!$B$6)-(F433*(1-Ayarlar!$B$6)*Ayarlar!$B$7+Ayarlar!$B$8)-(G433*Ayarlar!$B$3+Ayarlar!$B$4+Ayarlar!$B$5))/(F433*(1-Ayarlar!$B$6)))</f>
        <v/>
      </c>
      <c r="L433" s="3">
        <f>IF(G433="","GRAM EKSİK",IF(F433&gt;30000,"FİYAT ŞÜPHELİ",IF(K433&lt;0,"ZARARDA",IF(F433&lt;I433,"RİSKLİ","ok"))))</f>
        <v/>
      </c>
      <c r="M433" s="16" t="inlineStr">
        <is>
          <t>https://www.etsy.com/listing/4348066009</t>
        </is>
      </c>
    </row>
    <row r="434">
      <c r="A434" s="9" t="inlineStr">
        <is>
          <t>chains</t>
        </is>
      </c>
      <c r="B434" s="9" t="inlineStr">
        <is>
          <t>14K White Gold Rolo Link Bracelet - Unisex Chain Jewelry</t>
        </is>
      </c>
      <c r="C434" s="9" t="n">
        <v>4348066009</v>
      </c>
      <c r="D434" s="9" t="inlineStr">
        <is>
          <t>BROL7-8</t>
        </is>
      </c>
      <c r="E434" s="9" t="inlineStr">
        <is>
          <t>description</t>
        </is>
      </c>
      <c r="F434" s="10" t="n">
        <v>2503</v>
      </c>
      <c r="G434" s="18" t="n">
        <v>18.65</v>
      </c>
      <c r="H434" s="10">
        <f>IF(G434="","",G434*Ayarlar!$B$3+Ayarlar!$B$4+Ayarlar!$B$5)</f>
        <v/>
      </c>
      <c r="I434" s="10">
        <f>IF(G434="","",ROUNDUP(((G434*Ayarlar!$B$3+Ayarlar!$B$4+Ayarlar!$B$5)+Ayarlar!$B$8)/((1-Ayarlar!$B$6)*(1-Ayarlar!$B$7)),0))</f>
        <v/>
      </c>
      <c r="J434" s="10">
        <f>IF(G434="","",ROUNDUP(((G434*Ayarlar!$B$3+Ayarlar!$B$4+Ayarlar!$B$5)+Ayarlar!$B$8)/((1-Ayarlar!$B$6)*(1-Ayarlar!$B$7-Ayarlar!$B$9)),0))</f>
        <v/>
      </c>
      <c r="K434" s="12">
        <f>IF(OR(G434="",F434=""),"",(F434*(1-Ayarlar!$B$6)-(F434*(1-Ayarlar!$B$6)*Ayarlar!$B$7+Ayarlar!$B$8)-(G434*Ayarlar!$B$3+Ayarlar!$B$4+Ayarlar!$B$5))/(F434*(1-Ayarlar!$B$6)))</f>
        <v/>
      </c>
      <c r="L434" s="9">
        <f>IF(G434="","GRAM EKSİK",IF(F434&gt;30000,"FİYAT ŞÜPHELİ",IF(K434&lt;0,"ZARARDA",IF(F434&lt;I434,"RİSKLİ","ok"))))</f>
        <v/>
      </c>
      <c r="M434" s="13" t="inlineStr">
        <is>
          <t>https://www.etsy.com/listing/4348066009</t>
        </is>
      </c>
    </row>
    <row r="435">
      <c r="A435" s="3" t="inlineStr">
        <is>
          <t>chains</t>
        </is>
      </c>
      <c r="B435" s="3" t="inlineStr">
        <is>
          <t>14K White Gold Round Box Chain Necklace - Women and Men</t>
        </is>
      </c>
      <c r="C435" s="3" t="n">
        <v>1862671943</v>
      </c>
      <c r="D435" s="3" t="inlineStr">
        <is>
          <t>CRDW1-16</t>
        </is>
      </c>
      <c r="E435" s="3" t="inlineStr">
        <is>
          <t>shipstation</t>
        </is>
      </c>
      <c r="F435" s="14" t="n">
        <v>337</v>
      </c>
      <c r="G435" s="17" t="n">
        <v>2.26</v>
      </c>
      <c r="H435" s="14">
        <f>IF(G435="","",G435*Ayarlar!$B$3+Ayarlar!$B$4+Ayarlar!$B$5)</f>
        <v/>
      </c>
      <c r="I435" s="14">
        <f>IF(G435="","",ROUNDUP(((G435*Ayarlar!$B$3+Ayarlar!$B$4+Ayarlar!$B$5)+Ayarlar!$B$8)/((1-Ayarlar!$B$6)*(1-Ayarlar!$B$7)),0))</f>
        <v/>
      </c>
      <c r="J435" s="14">
        <f>IF(G435="","",ROUNDUP(((G435*Ayarlar!$B$3+Ayarlar!$B$4+Ayarlar!$B$5)+Ayarlar!$B$8)/((1-Ayarlar!$B$6)*(1-Ayarlar!$B$7-Ayarlar!$B$9)),0))</f>
        <v/>
      </c>
      <c r="K435" s="15">
        <f>IF(OR(G435="",F435=""),"",(F435*(1-Ayarlar!$B$6)-(F435*(1-Ayarlar!$B$6)*Ayarlar!$B$7+Ayarlar!$B$8)-(G435*Ayarlar!$B$3+Ayarlar!$B$4+Ayarlar!$B$5))/(F435*(1-Ayarlar!$B$6)))</f>
        <v/>
      </c>
      <c r="L435" s="3">
        <f>IF(G435="","GRAM EKSİK",IF(F435&gt;30000,"FİYAT ŞÜPHELİ",IF(K435&lt;0,"ZARARDA",IF(F435&lt;I435,"RİSKLİ","ok"))))</f>
        <v/>
      </c>
      <c r="M435" s="16" t="inlineStr">
        <is>
          <t>https://www.etsy.com/listing/1862671943</t>
        </is>
      </c>
    </row>
    <row r="436">
      <c r="A436" s="9" t="inlineStr">
        <is>
          <t>chains</t>
        </is>
      </c>
      <c r="B436" s="9" t="inlineStr">
        <is>
          <t>14K White Gold Round Box Chain Necklace - Women and Men</t>
        </is>
      </c>
      <c r="C436" s="9" t="n">
        <v>1862671943</v>
      </c>
      <c r="D436" s="9" t="inlineStr">
        <is>
          <t>CRDW1-18</t>
        </is>
      </c>
      <c r="E436" s="9" t="inlineStr">
        <is>
          <t>description</t>
        </is>
      </c>
      <c r="F436" s="10" t="n">
        <v>446</v>
      </c>
      <c r="G436" s="18" t="n">
        <v>2.5</v>
      </c>
      <c r="H436" s="10">
        <f>IF(G436="","",G436*Ayarlar!$B$3+Ayarlar!$B$4+Ayarlar!$B$5)</f>
        <v/>
      </c>
      <c r="I436" s="10">
        <f>IF(G436="","",ROUNDUP(((G436*Ayarlar!$B$3+Ayarlar!$B$4+Ayarlar!$B$5)+Ayarlar!$B$8)/((1-Ayarlar!$B$6)*(1-Ayarlar!$B$7)),0))</f>
        <v/>
      </c>
      <c r="J436" s="10">
        <f>IF(G436="","",ROUNDUP(((G436*Ayarlar!$B$3+Ayarlar!$B$4+Ayarlar!$B$5)+Ayarlar!$B$8)/((1-Ayarlar!$B$6)*(1-Ayarlar!$B$7-Ayarlar!$B$9)),0))</f>
        <v/>
      </c>
      <c r="K436" s="12">
        <f>IF(OR(G436="",F436=""),"",(F436*(1-Ayarlar!$B$6)-(F436*(1-Ayarlar!$B$6)*Ayarlar!$B$7+Ayarlar!$B$8)-(G436*Ayarlar!$B$3+Ayarlar!$B$4+Ayarlar!$B$5))/(F436*(1-Ayarlar!$B$6)))</f>
        <v/>
      </c>
      <c r="L436" s="9">
        <f>IF(G436="","GRAM EKSİK",IF(F436&gt;30000,"FİYAT ŞÜPHELİ",IF(K436&lt;0,"ZARARDA",IF(F436&lt;I436,"RİSKLİ","ok"))))</f>
        <v/>
      </c>
      <c r="M436" s="13" t="inlineStr">
        <is>
          <t>https://www.etsy.com/listing/1862671943</t>
        </is>
      </c>
    </row>
    <row r="437">
      <c r="A437" s="3" t="inlineStr">
        <is>
          <t>chains</t>
        </is>
      </c>
      <c r="B437" s="3" t="inlineStr">
        <is>
          <t>14K White Gold Round Box Chain Necklace - Women and Men</t>
        </is>
      </c>
      <c r="C437" s="3" t="n">
        <v>1862671943</v>
      </c>
      <c r="D437" s="3" t="inlineStr">
        <is>
          <t>CRDW1-20</t>
        </is>
      </c>
      <c r="E437" s="3" t="inlineStr">
        <is>
          <t>description</t>
        </is>
      </c>
      <c r="F437" s="14" t="n">
        <v>485</v>
      </c>
      <c r="G437" s="17" t="n">
        <v>2.78</v>
      </c>
      <c r="H437" s="14">
        <f>IF(G437="","",G437*Ayarlar!$B$3+Ayarlar!$B$4+Ayarlar!$B$5)</f>
        <v/>
      </c>
      <c r="I437" s="14">
        <f>IF(G437="","",ROUNDUP(((G437*Ayarlar!$B$3+Ayarlar!$B$4+Ayarlar!$B$5)+Ayarlar!$B$8)/((1-Ayarlar!$B$6)*(1-Ayarlar!$B$7)),0))</f>
        <v/>
      </c>
      <c r="J437" s="14">
        <f>IF(G437="","",ROUNDUP(((G437*Ayarlar!$B$3+Ayarlar!$B$4+Ayarlar!$B$5)+Ayarlar!$B$8)/((1-Ayarlar!$B$6)*(1-Ayarlar!$B$7-Ayarlar!$B$9)),0))</f>
        <v/>
      </c>
      <c r="K437" s="15">
        <f>IF(OR(G437="",F437=""),"",(F437*(1-Ayarlar!$B$6)-(F437*(1-Ayarlar!$B$6)*Ayarlar!$B$7+Ayarlar!$B$8)-(G437*Ayarlar!$B$3+Ayarlar!$B$4+Ayarlar!$B$5))/(F437*(1-Ayarlar!$B$6)))</f>
        <v/>
      </c>
      <c r="L437" s="3">
        <f>IF(G437="","GRAM EKSİK",IF(F437&gt;30000,"FİYAT ŞÜPHELİ",IF(K437&lt;0,"ZARARDA",IF(F437&lt;I437,"RİSKLİ","ok"))))</f>
        <v/>
      </c>
      <c r="M437" s="16" t="inlineStr">
        <is>
          <t>https://www.etsy.com/listing/1862671943</t>
        </is>
      </c>
    </row>
    <row r="438">
      <c r="A438" s="9" t="inlineStr">
        <is>
          <t>chains</t>
        </is>
      </c>
      <c r="B438" s="9" t="inlineStr">
        <is>
          <t>14K White Gold Round Box Chain Necklace - Women and Men</t>
        </is>
      </c>
      <c r="C438" s="9" t="n">
        <v>1862671943</v>
      </c>
      <c r="D438" s="9" t="inlineStr">
        <is>
          <t>CRDW1-22</t>
        </is>
      </c>
      <c r="E438" s="9" t="inlineStr">
        <is>
          <t>description</t>
        </is>
      </c>
      <c r="F438" s="10" t="n">
        <v>529</v>
      </c>
      <c r="G438" s="18" t="n">
        <v>3.05</v>
      </c>
      <c r="H438" s="10">
        <f>IF(G438="","",G438*Ayarlar!$B$3+Ayarlar!$B$4+Ayarlar!$B$5)</f>
        <v/>
      </c>
      <c r="I438" s="10">
        <f>IF(G438="","",ROUNDUP(((G438*Ayarlar!$B$3+Ayarlar!$B$4+Ayarlar!$B$5)+Ayarlar!$B$8)/((1-Ayarlar!$B$6)*(1-Ayarlar!$B$7)),0))</f>
        <v/>
      </c>
      <c r="J438" s="10">
        <f>IF(G438="","",ROUNDUP(((G438*Ayarlar!$B$3+Ayarlar!$B$4+Ayarlar!$B$5)+Ayarlar!$B$8)/((1-Ayarlar!$B$6)*(1-Ayarlar!$B$7-Ayarlar!$B$9)),0))</f>
        <v/>
      </c>
      <c r="K438" s="12">
        <f>IF(OR(G438="",F438=""),"",(F438*(1-Ayarlar!$B$6)-(F438*(1-Ayarlar!$B$6)*Ayarlar!$B$7+Ayarlar!$B$8)-(G438*Ayarlar!$B$3+Ayarlar!$B$4+Ayarlar!$B$5))/(F438*(1-Ayarlar!$B$6)))</f>
        <v/>
      </c>
      <c r="L438" s="9">
        <f>IF(G438="","GRAM EKSİK",IF(F438&gt;30000,"FİYAT ŞÜPHELİ",IF(K438&lt;0,"ZARARDA",IF(F438&lt;I438,"RİSKLİ","ok"))))</f>
        <v/>
      </c>
      <c r="M438" s="13" t="inlineStr">
        <is>
          <t>https://www.etsy.com/listing/1862671943</t>
        </is>
      </c>
    </row>
    <row r="439">
      <c r="A439" s="3" t="inlineStr">
        <is>
          <t>chains</t>
        </is>
      </c>
      <c r="B439" s="3" t="inlineStr">
        <is>
          <t>14K White Gold Round Box Chain Necklace - Women and Men</t>
        </is>
      </c>
      <c r="C439" s="3" t="n">
        <v>1862671943</v>
      </c>
      <c r="D439" s="3" t="inlineStr">
        <is>
          <t>CRDW1-24</t>
        </is>
      </c>
      <c r="E439" s="3" t="inlineStr">
        <is>
          <t>description</t>
        </is>
      </c>
      <c r="F439" s="14" t="n">
        <v>612</v>
      </c>
      <c r="G439" s="17" t="n">
        <v>3.33</v>
      </c>
      <c r="H439" s="14">
        <f>IF(G439="","",G439*Ayarlar!$B$3+Ayarlar!$B$4+Ayarlar!$B$5)</f>
        <v/>
      </c>
      <c r="I439" s="14">
        <f>IF(G439="","",ROUNDUP(((G439*Ayarlar!$B$3+Ayarlar!$B$4+Ayarlar!$B$5)+Ayarlar!$B$8)/((1-Ayarlar!$B$6)*(1-Ayarlar!$B$7)),0))</f>
        <v/>
      </c>
      <c r="J439" s="14">
        <f>IF(G439="","",ROUNDUP(((G439*Ayarlar!$B$3+Ayarlar!$B$4+Ayarlar!$B$5)+Ayarlar!$B$8)/((1-Ayarlar!$B$6)*(1-Ayarlar!$B$7-Ayarlar!$B$9)),0))</f>
        <v/>
      </c>
      <c r="K439" s="15">
        <f>IF(OR(G439="",F439=""),"",(F439*(1-Ayarlar!$B$6)-(F439*(1-Ayarlar!$B$6)*Ayarlar!$B$7+Ayarlar!$B$8)-(G439*Ayarlar!$B$3+Ayarlar!$B$4+Ayarlar!$B$5))/(F439*(1-Ayarlar!$B$6)))</f>
        <v/>
      </c>
      <c r="L439" s="3">
        <f>IF(G439="","GRAM EKSİK",IF(F439&gt;30000,"FİYAT ŞÜPHELİ",IF(K439&lt;0,"ZARARDA",IF(F439&lt;I439,"RİSKLİ","ok"))))</f>
        <v/>
      </c>
      <c r="M439" s="16" t="inlineStr">
        <is>
          <t>https://www.etsy.com/listing/1862671943</t>
        </is>
      </c>
    </row>
    <row r="440">
      <c r="A440" s="9" t="inlineStr">
        <is>
          <t>chains</t>
        </is>
      </c>
      <c r="B440" s="9" t="inlineStr">
        <is>
          <t>14K White Gold Round Box Chain Necklace - Women and Men</t>
        </is>
      </c>
      <c r="C440" s="9" t="n">
        <v>1862671943</v>
      </c>
      <c r="D440" s="9" t="inlineStr">
        <is>
          <t>CRDW2-16</t>
        </is>
      </c>
      <c r="E440" s="9" t="inlineStr">
        <is>
          <t>description</t>
        </is>
      </c>
      <c r="F440" s="10" t="n">
        <v>558</v>
      </c>
      <c r="G440" s="18" t="n">
        <v>3.29</v>
      </c>
      <c r="H440" s="10">
        <f>IF(G440="","",G440*Ayarlar!$B$3+Ayarlar!$B$4+Ayarlar!$B$5)</f>
        <v/>
      </c>
      <c r="I440" s="10">
        <f>IF(G440="","",ROUNDUP(((G440*Ayarlar!$B$3+Ayarlar!$B$4+Ayarlar!$B$5)+Ayarlar!$B$8)/((1-Ayarlar!$B$6)*(1-Ayarlar!$B$7)),0))</f>
        <v/>
      </c>
      <c r="J440" s="10">
        <f>IF(G440="","",ROUNDUP(((G440*Ayarlar!$B$3+Ayarlar!$B$4+Ayarlar!$B$5)+Ayarlar!$B$8)/((1-Ayarlar!$B$6)*(1-Ayarlar!$B$7-Ayarlar!$B$9)),0))</f>
        <v/>
      </c>
      <c r="K440" s="12">
        <f>IF(OR(G440="",F440=""),"",(F440*(1-Ayarlar!$B$6)-(F440*(1-Ayarlar!$B$6)*Ayarlar!$B$7+Ayarlar!$B$8)-(G440*Ayarlar!$B$3+Ayarlar!$B$4+Ayarlar!$B$5))/(F440*(1-Ayarlar!$B$6)))</f>
        <v/>
      </c>
      <c r="L440" s="9">
        <f>IF(G440="","GRAM EKSİK",IF(F440&gt;30000,"FİYAT ŞÜPHELİ",IF(K440&lt;0,"ZARARDA",IF(F440&lt;I440,"RİSKLİ","ok"))))</f>
        <v/>
      </c>
      <c r="M440" s="13" t="inlineStr">
        <is>
          <t>https://www.etsy.com/listing/1862671943</t>
        </is>
      </c>
    </row>
    <row r="441">
      <c r="A441" s="3" t="inlineStr">
        <is>
          <t>chains</t>
        </is>
      </c>
      <c r="B441" s="3" t="inlineStr">
        <is>
          <t>14K White Gold Round Box Chain Necklace - Women and Men</t>
        </is>
      </c>
      <c r="C441" s="3" t="n">
        <v>1862671943</v>
      </c>
      <c r="D441" s="3" t="inlineStr">
        <is>
          <t>CRDW2-18</t>
        </is>
      </c>
      <c r="E441" s="3" t="inlineStr">
        <is>
          <t>shipstation</t>
        </is>
      </c>
      <c r="F441" s="14" t="n">
        <v>623</v>
      </c>
      <c r="G441" s="17" t="n">
        <v>2.51</v>
      </c>
      <c r="H441" s="14">
        <f>IF(G441="","",G441*Ayarlar!$B$3+Ayarlar!$B$4+Ayarlar!$B$5)</f>
        <v/>
      </c>
      <c r="I441" s="14">
        <f>IF(G441="","",ROUNDUP(((G441*Ayarlar!$B$3+Ayarlar!$B$4+Ayarlar!$B$5)+Ayarlar!$B$8)/((1-Ayarlar!$B$6)*(1-Ayarlar!$B$7)),0))</f>
        <v/>
      </c>
      <c r="J441" s="14">
        <f>IF(G441="","",ROUNDUP(((G441*Ayarlar!$B$3+Ayarlar!$B$4+Ayarlar!$B$5)+Ayarlar!$B$8)/((1-Ayarlar!$B$6)*(1-Ayarlar!$B$7-Ayarlar!$B$9)),0))</f>
        <v/>
      </c>
      <c r="K441" s="15">
        <f>IF(OR(G441="",F441=""),"",(F441*(1-Ayarlar!$B$6)-(F441*(1-Ayarlar!$B$6)*Ayarlar!$B$7+Ayarlar!$B$8)-(G441*Ayarlar!$B$3+Ayarlar!$B$4+Ayarlar!$B$5))/(F441*(1-Ayarlar!$B$6)))</f>
        <v/>
      </c>
      <c r="L441" s="3">
        <f>IF(G441="","GRAM EKSİK",IF(F441&gt;30000,"FİYAT ŞÜPHELİ",IF(K441&lt;0,"ZARARDA",IF(F441&lt;I441,"RİSKLİ","ok"))))</f>
        <v/>
      </c>
      <c r="M441" s="16" t="inlineStr">
        <is>
          <t>https://www.etsy.com/listing/1862671943</t>
        </is>
      </c>
    </row>
    <row r="442">
      <c r="A442" s="9" t="inlineStr">
        <is>
          <t>chains</t>
        </is>
      </c>
      <c r="B442" s="9" t="inlineStr">
        <is>
          <t>14K White Gold Round Box Chain Necklace - Women and Men</t>
        </is>
      </c>
      <c r="C442" s="9" t="n">
        <v>1862671943</v>
      </c>
      <c r="D442" s="9" t="inlineStr">
        <is>
          <t>CRDW2-20</t>
        </is>
      </c>
      <c r="E442" s="9" t="inlineStr">
        <is>
          <t>description</t>
        </is>
      </c>
      <c r="F442" s="10" t="n">
        <v>725</v>
      </c>
      <c r="G442" s="18" t="n">
        <v>4.11</v>
      </c>
      <c r="H442" s="10">
        <f>IF(G442="","",G442*Ayarlar!$B$3+Ayarlar!$B$4+Ayarlar!$B$5)</f>
        <v/>
      </c>
      <c r="I442" s="10">
        <f>IF(G442="","",ROUNDUP(((G442*Ayarlar!$B$3+Ayarlar!$B$4+Ayarlar!$B$5)+Ayarlar!$B$8)/((1-Ayarlar!$B$6)*(1-Ayarlar!$B$7)),0))</f>
        <v/>
      </c>
      <c r="J442" s="10">
        <f>IF(G442="","",ROUNDUP(((G442*Ayarlar!$B$3+Ayarlar!$B$4+Ayarlar!$B$5)+Ayarlar!$B$8)/((1-Ayarlar!$B$6)*(1-Ayarlar!$B$7-Ayarlar!$B$9)),0))</f>
        <v/>
      </c>
      <c r="K442" s="12">
        <f>IF(OR(G442="",F442=""),"",(F442*(1-Ayarlar!$B$6)-(F442*(1-Ayarlar!$B$6)*Ayarlar!$B$7+Ayarlar!$B$8)-(G442*Ayarlar!$B$3+Ayarlar!$B$4+Ayarlar!$B$5))/(F442*(1-Ayarlar!$B$6)))</f>
        <v/>
      </c>
      <c r="L442" s="9">
        <f>IF(G442="","GRAM EKSİK",IF(F442&gt;30000,"FİYAT ŞÜPHELİ",IF(K442&lt;0,"ZARARDA",IF(F442&lt;I442,"RİSKLİ","ok"))))</f>
        <v/>
      </c>
      <c r="M442" s="13" t="inlineStr">
        <is>
          <t>https://www.etsy.com/listing/1862671943</t>
        </is>
      </c>
    </row>
    <row r="443">
      <c r="A443" s="3" t="inlineStr">
        <is>
          <t>chains</t>
        </is>
      </c>
      <c r="B443" s="3" t="inlineStr">
        <is>
          <t>14K White Gold Round Box Chain Necklace - Women and Men</t>
        </is>
      </c>
      <c r="C443" s="3" t="n">
        <v>1862671943</v>
      </c>
      <c r="D443" s="3" t="inlineStr">
        <is>
          <t>CRDW2-22</t>
        </is>
      </c>
      <c r="E443" s="3" t="inlineStr">
        <is>
          <t>description</t>
        </is>
      </c>
      <c r="F443" s="14" t="n">
        <v>791</v>
      </c>
      <c r="G443" s="17" t="n">
        <v>4.52</v>
      </c>
      <c r="H443" s="14">
        <f>IF(G443="","",G443*Ayarlar!$B$3+Ayarlar!$B$4+Ayarlar!$B$5)</f>
        <v/>
      </c>
      <c r="I443" s="14">
        <f>IF(G443="","",ROUNDUP(((G443*Ayarlar!$B$3+Ayarlar!$B$4+Ayarlar!$B$5)+Ayarlar!$B$8)/((1-Ayarlar!$B$6)*(1-Ayarlar!$B$7)),0))</f>
        <v/>
      </c>
      <c r="J443" s="14">
        <f>IF(G443="","",ROUNDUP(((G443*Ayarlar!$B$3+Ayarlar!$B$4+Ayarlar!$B$5)+Ayarlar!$B$8)/((1-Ayarlar!$B$6)*(1-Ayarlar!$B$7-Ayarlar!$B$9)),0))</f>
        <v/>
      </c>
      <c r="K443" s="15">
        <f>IF(OR(G443="",F443=""),"",(F443*(1-Ayarlar!$B$6)-(F443*(1-Ayarlar!$B$6)*Ayarlar!$B$7+Ayarlar!$B$8)-(G443*Ayarlar!$B$3+Ayarlar!$B$4+Ayarlar!$B$5))/(F443*(1-Ayarlar!$B$6)))</f>
        <v/>
      </c>
      <c r="L443" s="3">
        <f>IF(G443="","GRAM EKSİK",IF(F443&gt;30000,"FİYAT ŞÜPHELİ",IF(K443&lt;0,"ZARARDA",IF(F443&lt;I443,"RİSKLİ","ok"))))</f>
        <v/>
      </c>
      <c r="M443" s="16" t="inlineStr">
        <is>
          <t>https://www.etsy.com/listing/1862671943</t>
        </is>
      </c>
    </row>
    <row r="444">
      <c r="A444" s="9" t="inlineStr">
        <is>
          <t>chains</t>
        </is>
      </c>
      <c r="B444" s="9" t="inlineStr">
        <is>
          <t>14K White Gold Round Box Chain Necklace - Women and Men</t>
        </is>
      </c>
      <c r="C444" s="9" t="n">
        <v>1862671943</v>
      </c>
      <c r="D444" s="9" t="inlineStr">
        <is>
          <t>CRDW2-24</t>
        </is>
      </c>
      <c r="E444" s="9" t="inlineStr">
        <is>
          <t>description</t>
        </is>
      </c>
      <c r="F444" s="10" t="n">
        <v>891</v>
      </c>
      <c r="G444" s="18" t="n">
        <v>4.93</v>
      </c>
      <c r="H444" s="10">
        <f>IF(G444="","",G444*Ayarlar!$B$3+Ayarlar!$B$4+Ayarlar!$B$5)</f>
        <v/>
      </c>
      <c r="I444" s="10">
        <f>IF(G444="","",ROUNDUP(((G444*Ayarlar!$B$3+Ayarlar!$B$4+Ayarlar!$B$5)+Ayarlar!$B$8)/((1-Ayarlar!$B$6)*(1-Ayarlar!$B$7)),0))</f>
        <v/>
      </c>
      <c r="J444" s="10">
        <f>IF(G444="","",ROUNDUP(((G444*Ayarlar!$B$3+Ayarlar!$B$4+Ayarlar!$B$5)+Ayarlar!$B$8)/((1-Ayarlar!$B$6)*(1-Ayarlar!$B$7-Ayarlar!$B$9)),0))</f>
        <v/>
      </c>
      <c r="K444" s="12">
        <f>IF(OR(G444="",F444=""),"",(F444*(1-Ayarlar!$B$6)-(F444*(1-Ayarlar!$B$6)*Ayarlar!$B$7+Ayarlar!$B$8)-(G444*Ayarlar!$B$3+Ayarlar!$B$4+Ayarlar!$B$5))/(F444*(1-Ayarlar!$B$6)))</f>
        <v/>
      </c>
      <c r="L444" s="9">
        <f>IF(G444="","GRAM EKSİK",IF(F444&gt;30000,"FİYAT ŞÜPHELİ",IF(K444&lt;0,"ZARARDA",IF(F444&lt;I444,"RİSKLİ","ok"))))</f>
        <v/>
      </c>
      <c r="M444" s="13" t="inlineStr">
        <is>
          <t>https://www.etsy.com/listing/1862671943</t>
        </is>
      </c>
    </row>
    <row r="445">
      <c r="A445" s="3" t="inlineStr">
        <is>
          <t>chains</t>
        </is>
      </c>
      <c r="B445" s="3" t="inlineStr">
        <is>
          <t>14K White Gold Round Box Chain Necklace - Women and Men</t>
        </is>
      </c>
      <c r="C445" s="3" t="n">
        <v>1862671943</v>
      </c>
      <c r="D445" s="3" t="inlineStr">
        <is>
          <t>CRDW3-16</t>
        </is>
      </c>
      <c r="E445" s="3" t="inlineStr">
        <is>
          <t>shipstation</t>
        </is>
      </c>
      <c r="F445" s="14" t="n">
        <v>598</v>
      </c>
      <c r="G445" s="17" t="n">
        <v>3.54</v>
      </c>
      <c r="H445" s="14">
        <f>IF(G445="","",G445*Ayarlar!$B$3+Ayarlar!$B$4+Ayarlar!$B$5)</f>
        <v/>
      </c>
      <c r="I445" s="14">
        <f>IF(G445="","",ROUNDUP(((G445*Ayarlar!$B$3+Ayarlar!$B$4+Ayarlar!$B$5)+Ayarlar!$B$8)/((1-Ayarlar!$B$6)*(1-Ayarlar!$B$7)),0))</f>
        <v/>
      </c>
      <c r="J445" s="14">
        <f>IF(G445="","",ROUNDUP(((G445*Ayarlar!$B$3+Ayarlar!$B$4+Ayarlar!$B$5)+Ayarlar!$B$8)/((1-Ayarlar!$B$6)*(1-Ayarlar!$B$7-Ayarlar!$B$9)),0))</f>
        <v/>
      </c>
      <c r="K445" s="15">
        <f>IF(OR(G445="",F445=""),"",(F445*(1-Ayarlar!$B$6)-(F445*(1-Ayarlar!$B$6)*Ayarlar!$B$7+Ayarlar!$B$8)-(G445*Ayarlar!$B$3+Ayarlar!$B$4+Ayarlar!$B$5))/(F445*(1-Ayarlar!$B$6)))</f>
        <v/>
      </c>
      <c r="L445" s="3">
        <f>IF(G445="","GRAM EKSİK",IF(F445&gt;30000,"FİYAT ŞÜPHELİ",IF(K445&lt;0,"ZARARDA",IF(F445&lt;I445,"RİSKLİ","ok"))))</f>
        <v/>
      </c>
      <c r="M445" s="16" t="inlineStr">
        <is>
          <t>https://www.etsy.com/listing/1862671943</t>
        </is>
      </c>
    </row>
    <row r="446">
      <c r="A446" s="9" t="inlineStr">
        <is>
          <t>chains</t>
        </is>
      </c>
      <c r="B446" s="9" t="inlineStr">
        <is>
          <t>14K White Gold Round Box Chain Necklace - Women and Men</t>
        </is>
      </c>
      <c r="C446" s="9" t="n">
        <v>1862671943</v>
      </c>
      <c r="D446" s="9" t="inlineStr">
        <is>
          <t>CRDW3-18</t>
        </is>
      </c>
      <c r="E446" s="9" t="inlineStr">
        <is>
          <t>shipstation</t>
        </is>
      </c>
      <c r="F446" s="10" t="n">
        <v>668</v>
      </c>
      <c r="G446" s="18" t="n">
        <v>3.73</v>
      </c>
      <c r="H446" s="10">
        <f>IF(G446="","",G446*Ayarlar!$B$3+Ayarlar!$B$4+Ayarlar!$B$5)</f>
        <v/>
      </c>
      <c r="I446" s="10">
        <f>IF(G446="","",ROUNDUP(((G446*Ayarlar!$B$3+Ayarlar!$B$4+Ayarlar!$B$5)+Ayarlar!$B$8)/((1-Ayarlar!$B$6)*(1-Ayarlar!$B$7)),0))</f>
        <v/>
      </c>
      <c r="J446" s="10">
        <f>IF(G446="","",ROUNDUP(((G446*Ayarlar!$B$3+Ayarlar!$B$4+Ayarlar!$B$5)+Ayarlar!$B$8)/((1-Ayarlar!$B$6)*(1-Ayarlar!$B$7-Ayarlar!$B$9)),0))</f>
        <v/>
      </c>
      <c r="K446" s="12">
        <f>IF(OR(G446="",F446=""),"",(F446*(1-Ayarlar!$B$6)-(F446*(1-Ayarlar!$B$6)*Ayarlar!$B$7+Ayarlar!$B$8)-(G446*Ayarlar!$B$3+Ayarlar!$B$4+Ayarlar!$B$5))/(F446*(1-Ayarlar!$B$6)))</f>
        <v/>
      </c>
      <c r="L446" s="9">
        <f>IF(G446="","GRAM EKSİK",IF(F446&gt;30000,"FİYAT ŞÜPHELİ",IF(K446&lt;0,"ZARARDA",IF(F446&lt;I446,"RİSKLİ","ok"))))</f>
        <v/>
      </c>
      <c r="M446" s="13" t="inlineStr">
        <is>
          <t>https://www.etsy.com/listing/1862671943</t>
        </is>
      </c>
    </row>
    <row r="447">
      <c r="A447" s="3" t="inlineStr">
        <is>
          <t>chains</t>
        </is>
      </c>
      <c r="B447" s="3" t="inlineStr">
        <is>
          <t>14K White Gold Round Box Chain Necklace - Women and Men</t>
        </is>
      </c>
      <c r="C447" s="3" t="n">
        <v>1862671943</v>
      </c>
      <c r="D447" s="3" t="inlineStr">
        <is>
          <t>CRDW3-20</t>
        </is>
      </c>
      <c r="E447" s="3" t="inlineStr">
        <is>
          <t>shipstation</t>
        </is>
      </c>
      <c r="F447" s="14" t="n">
        <v>758</v>
      </c>
      <c r="G447" s="17" t="n">
        <v>4.34</v>
      </c>
      <c r="H447" s="14">
        <f>IF(G447="","",G447*Ayarlar!$B$3+Ayarlar!$B$4+Ayarlar!$B$5)</f>
        <v/>
      </c>
      <c r="I447" s="14">
        <f>IF(G447="","",ROUNDUP(((G447*Ayarlar!$B$3+Ayarlar!$B$4+Ayarlar!$B$5)+Ayarlar!$B$8)/((1-Ayarlar!$B$6)*(1-Ayarlar!$B$7)),0))</f>
        <v/>
      </c>
      <c r="J447" s="14">
        <f>IF(G447="","",ROUNDUP(((G447*Ayarlar!$B$3+Ayarlar!$B$4+Ayarlar!$B$5)+Ayarlar!$B$8)/((1-Ayarlar!$B$6)*(1-Ayarlar!$B$7-Ayarlar!$B$9)),0))</f>
        <v/>
      </c>
      <c r="K447" s="15">
        <f>IF(OR(G447="",F447=""),"",(F447*(1-Ayarlar!$B$6)-(F447*(1-Ayarlar!$B$6)*Ayarlar!$B$7+Ayarlar!$B$8)-(G447*Ayarlar!$B$3+Ayarlar!$B$4+Ayarlar!$B$5))/(F447*(1-Ayarlar!$B$6)))</f>
        <v/>
      </c>
      <c r="L447" s="3">
        <f>IF(G447="","GRAM EKSİK",IF(F447&gt;30000,"FİYAT ŞÜPHELİ",IF(K447&lt;0,"ZARARDA",IF(F447&lt;I447,"RİSKLİ","ok"))))</f>
        <v/>
      </c>
      <c r="M447" s="16" t="inlineStr">
        <is>
          <t>https://www.etsy.com/listing/1862671943</t>
        </is>
      </c>
    </row>
    <row r="448">
      <c r="A448" s="9" t="inlineStr">
        <is>
          <t>chains</t>
        </is>
      </c>
      <c r="B448" s="9" t="inlineStr">
        <is>
          <t>14K White Gold Round Box Chain Necklace - Women and Men</t>
        </is>
      </c>
      <c r="C448" s="9" t="n">
        <v>1862671943</v>
      </c>
      <c r="D448" s="9" t="inlineStr">
        <is>
          <t>CRDW3-22</t>
        </is>
      </c>
      <c r="E448" s="9" t="inlineStr">
        <is>
          <t>shipstation</t>
        </is>
      </c>
      <c r="F448" s="10" t="n">
        <v>835</v>
      </c>
      <c r="G448" s="18" t="n">
        <v>4.6</v>
      </c>
      <c r="H448" s="10">
        <f>IF(G448="","",G448*Ayarlar!$B$3+Ayarlar!$B$4+Ayarlar!$B$5)</f>
        <v/>
      </c>
      <c r="I448" s="10">
        <f>IF(G448="","",ROUNDUP(((G448*Ayarlar!$B$3+Ayarlar!$B$4+Ayarlar!$B$5)+Ayarlar!$B$8)/((1-Ayarlar!$B$6)*(1-Ayarlar!$B$7)),0))</f>
        <v/>
      </c>
      <c r="J448" s="10">
        <f>IF(G448="","",ROUNDUP(((G448*Ayarlar!$B$3+Ayarlar!$B$4+Ayarlar!$B$5)+Ayarlar!$B$8)/((1-Ayarlar!$B$6)*(1-Ayarlar!$B$7-Ayarlar!$B$9)),0))</f>
        <v/>
      </c>
      <c r="K448" s="12">
        <f>IF(OR(G448="",F448=""),"",(F448*(1-Ayarlar!$B$6)-(F448*(1-Ayarlar!$B$6)*Ayarlar!$B$7+Ayarlar!$B$8)-(G448*Ayarlar!$B$3+Ayarlar!$B$4+Ayarlar!$B$5))/(F448*(1-Ayarlar!$B$6)))</f>
        <v/>
      </c>
      <c r="L448" s="9">
        <f>IF(G448="","GRAM EKSİK",IF(F448&gt;30000,"FİYAT ŞÜPHELİ",IF(K448&lt;0,"ZARARDA",IF(F448&lt;I448,"RİSKLİ","ok"))))</f>
        <v/>
      </c>
      <c r="M448" s="13" t="inlineStr">
        <is>
          <t>https://www.etsy.com/listing/1862671943</t>
        </is>
      </c>
    </row>
    <row r="449">
      <c r="A449" s="3" t="inlineStr">
        <is>
          <t>chains</t>
        </is>
      </c>
      <c r="B449" s="3" t="inlineStr">
        <is>
          <t>14K White Gold Round Box Chain Necklace - Women and Men</t>
        </is>
      </c>
      <c r="C449" s="3" t="n">
        <v>1862671943</v>
      </c>
      <c r="D449" s="3" t="inlineStr">
        <is>
          <t>CRDW3-24</t>
        </is>
      </c>
      <c r="E449" s="3" t="inlineStr">
        <is>
          <t>shipstation</t>
        </is>
      </c>
      <c r="F449" s="14" t="n">
        <v>880</v>
      </c>
      <c r="G449" s="17" t="n">
        <v>5</v>
      </c>
      <c r="H449" s="14">
        <f>IF(G449="","",G449*Ayarlar!$B$3+Ayarlar!$B$4+Ayarlar!$B$5)</f>
        <v/>
      </c>
      <c r="I449" s="14">
        <f>IF(G449="","",ROUNDUP(((G449*Ayarlar!$B$3+Ayarlar!$B$4+Ayarlar!$B$5)+Ayarlar!$B$8)/((1-Ayarlar!$B$6)*(1-Ayarlar!$B$7)),0))</f>
        <v/>
      </c>
      <c r="J449" s="14">
        <f>IF(G449="","",ROUNDUP(((G449*Ayarlar!$B$3+Ayarlar!$B$4+Ayarlar!$B$5)+Ayarlar!$B$8)/((1-Ayarlar!$B$6)*(1-Ayarlar!$B$7-Ayarlar!$B$9)),0))</f>
        <v/>
      </c>
      <c r="K449" s="15">
        <f>IF(OR(G449="",F449=""),"",(F449*(1-Ayarlar!$B$6)-(F449*(1-Ayarlar!$B$6)*Ayarlar!$B$7+Ayarlar!$B$8)-(G449*Ayarlar!$B$3+Ayarlar!$B$4+Ayarlar!$B$5))/(F449*(1-Ayarlar!$B$6)))</f>
        <v/>
      </c>
      <c r="L449" s="3">
        <f>IF(G449="","GRAM EKSİK",IF(F449&gt;30000,"FİYAT ŞÜPHELİ",IF(K449&lt;0,"ZARARDA",IF(F449&lt;I449,"RİSKLİ","ok"))))</f>
        <v/>
      </c>
      <c r="M449" s="16" t="inlineStr">
        <is>
          <t>https://www.etsy.com/listing/1862671943</t>
        </is>
      </c>
    </row>
    <row r="450">
      <c r="A450" s="9" t="inlineStr">
        <is>
          <t>chains</t>
        </is>
      </c>
      <c r="B450" s="9" t="inlineStr">
        <is>
          <t>14K White Gold Round Box Chain Necklace - Women and Men</t>
        </is>
      </c>
      <c r="C450" s="9" t="n">
        <v>1862671943</v>
      </c>
      <c r="D450" s="9" t="inlineStr">
        <is>
          <t>CRDW4-16</t>
        </is>
      </c>
      <c r="E450" s="9" t="inlineStr">
        <is>
          <t>shipstation</t>
        </is>
      </c>
      <c r="F450" s="10" t="n">
        <v>1070</v>
      </c>
      <c r="G450" s="18" t="n">
        <v>5.2</v>
      </c>
      <c r="H450" s="10">
        <f>IF(G450="","",G450*Ayarlar!$B$3+Ayarlar!$B$4+Ayarlar!$B$5)</f>
        <v/>
      </c>
      <c r="I450" s="10">
        <f>IF(G450="","",ROUNDUP(((G450*Ayarlar!$B$3+Ayarlar!$B$4+Ayarlar!$B$5)+Ayarlar!$B$8)/((1-Ayarlar!$B$6)*(1-Ayarlar!$B$7)),0))</f>
        <v/>
      </c>
      <c r="J450" s="10">
        <f>IF(G450="","",ROUNDUP(((G450*Ayarlar!$B$3+Ayarlar!$B$4+Ayarlar!$B$5)+Ayarlar!$B$8)/((1-Ayarlar!$B$6)*(1-Ayarlar!$B$7-Ayarlar!$B$9)),0))</f>
        <v/>
      </c>
      <c r="K450" s="12">
        <f>IF(OR(G450="",F450=""),"",(F450*(1-Ayarlar!$B$6)-(F450*(1-Ayarlar!$B$6)*Ayarlar!$B$7+Ayarlar!$B$8)-(G450*Ayarlar!$B$3+Ayarlar!$B$4+Ayarlar!$B$5))/(F450*(1-Ayarlar!$B$6)))</f>
        <v/>
      </c>
      <c r="L450" s="9">
        <f>IF(G450="","GRAM EKSİK",IF(F450&gt;30000,"FİYAT ŞÜPHELİ",IF(K450&lt;0,"ZARARDA",IF(F450&lt;I450,"RİSKLİ","ok"))))</f>
        <v/>
      </c>
      <c r="M450" s="13" t="inlineStr">
        <is>
          <t>https://www.etsy.com/listing/1862671943</t>
        </is>
      </c>
    </row>
    <row r="451">
      <c r="A451" s="3" t="inlineStr">
        <is>
          <t>chains</t>
        </is>
      </c>
      <c r="B451" s="3" t="inlineStr">
        <is>
          <t>14K White Gold Round Box Chain Necklace - Women and Men</t>
        </is>
      </c>
      <c r="C451" s="3" t="n">
        <v>1862671943</v>
      </c>
      <c r="D451" s="3" t="inlineStr">
        <is>
          <t>CRDW4-18</t>
        </is>
      </c>
      <c r="E451" s="3" t="inlineStr">
        <is>
          <t>description</t>
        </is>
      </c>
      <c r="F451" s="14" t="n">
        <v>1221</v>
      </c>
      <c r="G451" s="17" t="n">
        <v>7.04</v>
      </c>
      <c r="H451" s="14">
        <f>IF(G451="","",G451*Ayarlar!$B$3+Ayarlar!$B$4+Ayarlar!$B$5)</f>
        <v/>
      </c>
      <c r="I451" s="14">
        <f>IF(G451="","",ROUNDUP(((G451*Ayarlar!$B$3+Ayarlar!$B$4+Ayarlar!$B$5)+Ayarlar!$B$8)/((1-Ayarlar!$B$6)*(1-Ayarlar!$B$7)),0))</f>
        <v/>
      </c>
      <c r="J451" s="14">
        <f>IF(G451="","",ROUNDUP(((G451*Ayarlar!$B$3+Ayarlar!$B$4+Ayarlar!$B$5)+Ayarlar!$B$8)/((1-Ayarlar!$B$6)*(1-Ayarlar!$B$7-Ayarlar!$B$9)),0))</f>
        <v/>
      </c>
      <c r="K451" s="15">
        <f>IF(OR(G451="",F451=""),"",(F451*(1-Ayarlar!$B$6)-(F451*(1-Ayarlar!$B$6)*Ayarlar!$B$7+Ayarlar!$B$8)-(G451*Ayarlar!$B$3+Ayarlar!$B$4+Ayarlar!$B$5))/(F451*(1-Ayarlar!$B$6)))</f>
        <v/>
      </c>
      <c r="L451" s="3">
        <f>IF(G451="","GRAM EKSİK",IF(F451&gt;30000,"FİYAT ŞÜPHELİ",IF(K451&lt;0,"ZARARDA",IF(F451&lt;I451,"RİSKLİ","ok"))))</f>
        <v/>
      </c>
      <c r="M451" s="16" t="inlineStr">
        <is>
          <t>https://www.etsy.com/listing/1862671943</t>
        </is>
      </c>
    </row>
    <row r="452">
      <c r="A452" s="9" t="inlineStr">
        <is>
          <t>chains</t>
        </is>
      </c>
      <c r="B452" s="9" t="inlineStr">
        <is>
          <t>14K White Gold Round Box Chain Necklace - Women and Men</t>
        </is>
      </c>
      <c r="C452" s="9" t="n">
        <v>1862671943</v>
      </c>
      <c r="D452" s="9" t="inlineStr">
        <is>
          <t>CRDW4-20</t>
        </is>
      </c>
      <c r="E452" s="9" t="inlineStr">
        <is>
          <t>shipstation</t>
        </is>
      </c>
      <c r="F452" s="10" t="n">
        <v>1302</v>
      </c>
      <c r="G452" s="18" t="n">
        <v>6.25</v>
      </c>
      <c r="H452" s="10">
        <f>IF(G452="","",G452*Ayarlar!$B$3+Ayarlar!$B$4+Ayarlar!$B$5)</f>
        <v/>
      </c>
      <c r="I452" s="10">
        <f>IF(G452="","",ROUNDUP(((G452*Ayarlar!$B$3+Ayarlar!$B$4+Ayarlar!$B$5)+Ayarlar!$B$8)/((1-Ayarlar!$B$6)*(1-Ayarlar!$B$7)),0))</f>
        <v/>
      </c>
      <c r="J452" s="10">
        <f>IF(G452="","",ROUNDUP(((G452*Ayarlar!$B$3+Ayarlar!$B$4+Ayarlar!$B$5)+Ayarlar!$B$8)/((1-Ayarlar!$B$6)*(1-Ayarlar!$B$7-Ayarlar!$B$9)),0))</f>
        <v/>
      </c>
      <c r="K452" s="12">
        <f>IF(OR(G452="",F452=""),"",(F452*(1-Ayarlar!$B$6)-(F452*(1-Ayarlar!$B$6)*Ayarlar!$B$7+Ayarlar!$B$8)-(G452*Ayarlar!$B$3+Ayarlar!$B$4+Ayarlar!$B$5))/(F452*(1-Ayarlar!$B$6)))</f>
        <v/>
      </c>
      <c r="L452" s="9">
        <f>IF(G452="","GRAM EKSİK",IF(F452&gt;30000,"FİYAT ŞÜPHELİ",IF(K452&lt;0,"ZARARDA",IF(F452&lt;I452,"RİSKLİ","ok"))))</f>
        <v/>
      </c>
      <c r="M452" s="13" t="inlineStr">
        <is>
          <t>https://www.etsy.com/listing/1862671943</t>
        </is>
      </c>
    </row>
    <row r="453">
      <c r="A453" s="3" t="inlineStr">
        <is>
          <t>chains</t>
        </is>
      </c>
      <c r="B453" s="3" t="inlineStr">
        <is>
          <t>14K White Gold Round Box Chain Necklace - Women and Men</t>
        </is>
      </c>
      <c r="C453" s="3" t="n">
        <v>1862671943</v>
      </c>
      <c r="D453" s="3" t="inlineStr">
        <is>
          <t>CRDW4-22</t>
        </is>
      </c>
      <c r="E453" s="3" t="inlineStr">
        <is>
          <t>description</t>
        </is>
      </c>
      <c r="F453" s="14" t="n">
        <v>1456</v>
      </c>
      <c r="G453" s="17" t="n">
        <v>8.6</v>
      </c>
      <c r="H453" s="14">
        <f>IF(G453="","",G453*Ayarlar!$B$3+Ayarlar!$B$4+Ayarlar!$B$5)</f>
        <v/>
      </c>
      <c r="I453" s="14">
        <f>IF(G453="","",ROUNDUP(((G453*Ayarlar!$B$3+Ayarlar!$B$4+Ayarlar!$B$5)+Ayarlar!$B$8)/((1-Ayarlar!$B$6)*(1-Ayarlar!$B$7)),0))</f>
        <v/>
      </c>
      <c r="J453" s="14">
        <f>IF(G453="","",ROUNDUP(((G453*Ayarlar!$B$3+Ayarlar!$B$4+Ayarlar!$B$5)+Ayarlar!$B$8)/((1-Ayarlar!$B$6)*(1-Ayarlar!$B$7-Ayarlar!$B$9)),0))</f>
        <v/>
      </c>
      <c r="K453" s="15">
        <f>IF(OR(G453="",F453=""),"",(F453*(1-Ayarlar!$B$6)-(F453*(1-Ayarlar!$B$6)*Ayarlar!$B$7+Ayarlar!$B$8)-(G453*Ayarlar!$B$3+Ayarlar!$B$4+Ayarlar!$B$5))/(F453*(1-Ayarlar!$B$6)))</f>
        <v/>
      </c>
      <c r="L453" s="3">
        <f>IF(G453="","GRAM EKSİK",IF(F453&gt;30000,"FİYAT ŞÜPHELİ",IF(K453&lt;0,"ZARARDA",IF(F453&lt;I453,"RİSKLİ","ok"))))</f>
        <v/>
      </c>
      <c r="M453" s="16" t="inlineStr">
        <is>
          <t>https://www.etsy.com/listing/1862671943</t>
        </is>
      </c>
    </row>
    <row r="454">
      <c r="A454" s="9" t="inlineStr">
        <is>
          <t>chains</t>
        </is>
      </c>
      <c r="B454" s="9" t="inlineStr">
        <is>
          <t>14K White Gold Round Box Chain Necklace - Women and Men</t>
        </is>
      </c>
      <c r="C454" s="9" t="n">
        <v>1862671943</v>
      </c>
      <c r="D454" s="9" t="inlineStr">
        <is>
          <t>CRDW4-24</t>
        </is>
      </c>
      <c r="E454" s="9" t="inlineStr">
        <is>
          <t>description</t>
        </is>
      </c>
      <c r="F454" s="10" t="n">
        <v>1547</v>
      </c>
      <c r="G454" s="18" t="n">
        <v>9.380000000000001</v>
      </c>
      <c r="H454" s="10">
        <f>IF(G454="","",G454*Ayarlar!$B$3+Ayarlar!$B$4+Ayarlar!$B$5)</f>
        <v/>
      </c>
      <c r="I454" s="10">
        <f>IF(G454="","",ROUNDUP(((G454*Ayarlar!$B$3+Ayarlar!$B$4+Ayarlar!$B$5)+Ayarlar!$B$8)/((1-Ayarlar!$B$6)*(1-Ayarlar!$B$7)),0))</f>
        <v/>
      </c>
      <c r="J454" s="10">
        <f>IF(G454="","",ROUNDUP(((G454*Ayarlar!$B$3+Ayarlar!$B$4+Ayarlar!$B$5)+Ayarlar!$B$8)/((1-Ayarlar!$B$6)*(1-Ayarlar!$B$7-Ayarlar!$B$9)),0))</f>
        <v/>
      </c>
      <c r="K454" s="12">
        <f>IF(OR(G454="",F454=""),"",(F454*(1-Ayarlar!$B$6)-(F454*(1-Ayarlar!$B$6)*Ayarlar!$B$7+Ayarlar!$B$8)-(G454*Ayarlar!$B$3+Ayarlar!$B$4+Ayarlar!$B$5))/(F454*(1-Ayarlar!$B$6)))</f>
        <v/>
      </c>
      <c r="L454" s="9">
        <f>IF(G454="","GRAM EKSİK",IF(F454&gt;30000,"FİYAT ŞÜPHELİ",IF(K454&lt;0,"ZARARDA",IF(F454&lt;I454,"RİSKLİ","ok"))))</f>
        <v/>
      </c>
      <c r="M454" s="13" t="inlineStr">
        <is>
          <t>https://www.etsy.com/listing/1862671943</t>
        </is>
      </c>
    </row>
    <row r="455">
      <c r="A455" s="3" t="inlineStr">
        <is>
          <t>chains</t>
        </is>
      </c>
      <c r="B455" s="3" t="inlineStr">
        <is>
          <t>14K White Gold Round Box Chain Necklace - Women and Men</t>
        </is>
      </c>
      <c r="C455" s="3" t="n">
        <v>1862671943</v>
      </c>
      <c r="D455" s="3" t="inlineStr">
        <is>
          <t>CRDW5-16</t>
        </is>
      </c>
      <c r="E455" s="3" t="inlineStr">
        <is>
          <t>description</t>
        </is>
      </c>
      <c r="F455" s="14" t="n">
        <v>1895</v>
      </c>
      <c r="G455" s="17" t="n">
        <v>10.97</v>
      </c>
      <c r="H455" s="14">
        <f>IF(G455="","",G455*Ayarlar!$B$3+Ayarlar!$B$4+Ayarlar!$B$5)</f>
        <v/>
      </c>
      <c r="I455" s="14">
        <f>IF(G455="","",ROUNDUP(((G455*Ayarlar!$B$3+Ayarlar!$B$4+Ayarlar!$B$5)+Ayarlar!$B$8)/((1-Ayarlar!$B$6)*(1-Ayarlar!$B$7)),0))</f>
        <v/>
      </c>
      <c r="J455" s="14">
        <f>IF(G455="","",ROUNDUP(((G455*Ayarlar!$B$3+Ayarlar!$B$4+Ayarlar!$B$5)+Ayarlar!$B$8)/((1-Ayarlar!$B$6)*(1-Ayarlar!$B$7-Ayarlar!$B$9)),0))</f>
        <v/>
      </c>
      <c r="K455" s="15">
        <f>IF(OR(G455="",F455=""),"",(F455*(1-Ayarlar!$B$6)-(F455*(1-Ayarlar!$B$6)*Ayarlar!$B$7+Ayarlar!$B$8)-(G455*Ayarlar!$B$3+Ayarlar!$B$4+Ayarlar!$B$5))/(F455*(1-Ayarlar!$B$6)))</f>
        <v/>
      </c>
      <c r="L455" s="3">
        <f>IF(G455="","GRAM EKSİK",IF(F455&gt;30000,"FİYAT ŞÜPHELİ",IF(K455&lt;0,"ZARARDA",IF(F455&lt;I455,"RİSKLİ","ok"))))</f>
        <v/>
      </c>
      <c r="M455" s="16" t="inlineStr">
        <is>
          <t>https://www.etsy.com/listing/1862671943</t>
        </is>
      </c>
    </row>
    <row r="456">
      <c r="A456" s="9" t="inlineStr">
        <is>
          <t>chains</t>
        </is>
      </c>
      <c r="B456" s="9" t="inlineStr">
        <is>
          <t>14K White Gold Round Box Chain Necklace - Women and Men</t>
        </is>
      </c>
      <c r="C456" s="9" t="n">
        <v>1862671943</v>
      </c>
      <c r="D456" s="9" t="inlineStr">
        <is>
          <t>CRDW5-18</t>
        </is>
      </c>
      <c r="E456" s="9" t="inlineStr">
        <is>
          <t>description</t>
        </is>
      </c>
      <c r="F456" s="10" t="n">
        <v>2065</v>
      </c>
      <c r="G456" s="18" t="n">
        <v>12.34</v>
      </c>
      <c r="H456" s="10">
        <f>IF(G456="","",G456*Ayarlar!$B$3+Ayarlar!$B$4+Ayarlar!$B$5)</f>
        <v/>
      </c>
      <c r="I456" s="10">
        <f>IF(G456="","",ROUNDUP(((G456*Ayarlar!$B$3+Ayarlar!$B$4+Ayarlar!$B$5)+Ayarlar!$B$8)/((1-Ayarlar!$B$6)*(1-Ayarlar!$B$7)),0))</f>
        <v/>
      </c>
      <c r="J456" s="10">
        <f>IF(G456="","",ROUNDUP(((G456*Ayarlar!$B$3+Ayarlar!$B$4+Ayarlar!$B$5)+Ayarlar!$B$8)/((1-Ayarlar!$B$6)*(1-Ayarlar!$B$7-Ayarlar!$B$9)),0))</f>
        <v/>
      </c>
      <c r="K456" s="12">
        <f>IF(OR(G456="",F456=""),"",(F456*(1-Ayarlar!$B$6)-(F456*(1-Ayarlar!$B$6)*Ayarlar!$B$7+Ayarlar!$B$8)-(G456*Ayarlar!$B$3+Ayarlar!$B$4+Ayarlar!$B$5))/(F456*(1-Ayarlar!$B$6)))</f>
        <v/>
      </c>
      <c r="L456" s="9">
        <f>IF(G456="","GRAM EKSİK",IF(F456&gt;30000,"FİYAT ŞÜPHELİ",IF(K456&lt;0,"ZARARDA",IF(F456&lt;I456,"RİSKLİ","ok"))))</f>
        <v/>
      </c>
      <c r="M456" s="13" t="inlineStr">
        <is>
          <t>https://www.etsy.com/listing/1862671943</t>
        </is>
      </c>
    </row>
    <row r="457">
      <c r="A457" s="3" t="inlineStr">
        <is>
          <t>chains</t>
        </is>
      </c>
      <c r="B457" s="3" t="inlineStr">
        <is>
          <t>14K White Gold Round Box Chain Necklace - Women and Men</t>
        </is>
      </c>
      <c r="C457" s="3" t="n">
        <v>1862671943</v>
      </c>
      <c r="D457" s="3" t="inlineStr">
        <is>
          <t>CRDW5-20</t>
        </is>
      </c>
      <c r="E457" s="3" t="inlineStr">
        <is>
          <t>description</t>
        </is>
      </c>
      <c r="F457" s="14" t="n">
        <v>2236</v>
      </c>
      <c r="G457" s="17" t="n">
        <v>13.71</v>
      </c>
      <c r="H457" s="14">
        <f>IF(G457="","",G457*Ayarlar!$B$3+Ayarlar!$B$4+Ayarlar!$B$5)</f>
        <v/>
      </c>
      <c r="I457" s="14">
        <f>IF(G457="","",ROUNDUP(((G457*Ayarlar!$B$3+Ayarlar!$B$4+Ayarlar!$B$5)+Ayarlar!$B$8)/((1-Ayarlar!$B$6)*(1-Ayarlar!$B$7)),0))</f>
        <v/>
      </c>
      <c r="J457" s="14">
        <f>IF(G457="","",ROUNDUP(((G457*Ayarlar!$B$3+Ayarlar!$B$4+Ayarlar!$B$5)+Ayarlar!$B$8)/((1-Ayarlar!$B$6)*(1-Ayarlar!$B$7-Ayarlar!$B$9)),0))</f>
        <v/>
      </c>
      <c r="K457" s="15">
        <f>IF(OR(G457="",F457=""),"",(F457*(1-Ayarlar!$B$6)-(F457*(1-Ayarlar!$B$6)*Ayarlar!$B$7+Ayarlar!$B$8)-(G457*Ayarlar!$B$3+Ayarlar!$B$4+Ayarlar!$B$5))/(F457*(1-Ayarlar!$B$6)))</f>
        <v/>
      </c>
      <c r="L457" s="3">
        <f>IF(G457="","GRAM EKSİK",IF(F457&gt;30000,"FİYAT ŞÜPHELİ",IF(K457&lt;0,"ZARARDA",IF(F457&lt;I457,"RİSKLİ","ok"))))</f>
        <v/>
      </c>
      <c r="M457" s="16" t="inlineStr">
        <is>
          <t>https://www.etsy.com/listing/1862671943</t>
        </is>
      </c>
    </row>
    <row r="458">
      <c r="A458" s="9" t="inlineStr">
        <is>
          <t>chains</t>
        </is>
      </c>
      <c r="B458" s="9" t="inlineStr">
        <is>
          <t>14K White Gold Round Box Chain Necklace - Women and Men</t>
        </is>
      </c>
      <c r="C458" s="9" t="n">
        <v>1862671943</v>
      </c>
      <c r="D458" s="9" t="inlineStr">
        <is>
          <t>CRDW5-22</t>
        </is>
      </c>
      <c r="E458" s="9" t="inlineStr">
        <is>
          <t>description</t>
        </is>
      </c>
      <c r="F458" s="10" t="n">
        <v>2405</v>
      </c>
      <c r="G458" s="18" t="n">
        <v>15.08</v>
      </c>
      <c r="H458" s="10">
        <f>IF(G458="","",G458*Ayarlar!$B$3+Ayarlar!$B$4+Ayarlar!$B$5)</f>
        <v/>
      </c>
      <c r="I458" s="10">
        <f>IF(G458="","",ROUNDUP(((G458*Ayarlar!$B$3+Ayarlar!$B$4+Ayarlar!$B$5)+Ayarlar!$B$8)/((1-Ayarlar!$B$6)*(1-Ayarlar!$B$7)),0))</f>
        <v/>
      </c>
      <c r="J458" s="10">
        <f>IF(G458="","",ROUNDUP(((G458*Ayarlar!$B$3+Ayarlar!$B$4+Ayarlar!$B$5)+Ayarlar!$B$8)/((1-Ayarlar!$B$6)*(1-Ayarlar!$B$7-Ayarlar!$B$9)),0))</f>
        <v/>
      </c>
      <c r="K458" s="12">
        <f>IF(OR(G458="",F458=""),"",(F458*(1-Ayarlar!$B$6)-(F458*(1-Ayarlar!$B$6)*Ayarlar!$B$7+Ayarlar!$B$8)-(G458*Ayarlar!$B$3+Ayarlar!$B$4+Ayarlar!$B$5))/(F458*(1-Ayarlar!$B$6)))</f>
        <v/>
      </c>
      <c r="L458" s="9">
        <f>IF(G458="","GRAM EKSİK",IF(F458&gt;30000,"FİYAT ŞÜPHELİ",IF(K458&lt;0,"ZARARDA",IF(F458&lt;I458,"RİSKLİ","ok"))))</f>
        <v/>
      </c>
      <c r="M458" s="13" t="inlineStr">
        <is>
          <t>https://www.etsy.com/listing/1862671943</t>
        </is>
      </c>
    </row>
    <row r="459">
      <c r="A459" s="3" t="inlineStr">
        <is>
          <t>chains</t>
        </is>
      </c>
      <c r="B459" s="3" t="inlineStr">
        <is>
          <t>14K White Gold Round Box Chain Necklace - Women and Men</t>
        </is>
      </c>
      <c r="C459" s="3" t="n">
        <v>1862671943</v>
      </c>
      <c r="D459" s="3" t="inlineStr">
        <is>
          <t>CRDW5-24</t>
        </is>
      </c>
      <c r="E459" s="3" t="inlineStr">
        <is>
          <t>shipstation</t>
        </is>
      </c>
      <c r="F459" s="14" t="n">
        <v>2552</v>
      </c>
      <c r="G459" s="17" t="n">
        <v>16.25</v>
      </c>
      <c r="H459" s="14">
        <f>IF(G459="","",G459*Ayarlar!$B$3+Ayarlar!$B$4+Ayarlar!$B$5)</f>
        <v/>
      </c>
      <c r="I459" s="14">
        <f>IF(G459="","",ROUNDUP(((G459*Ayarlar!$B$3+Ayarlar!$B$4+Ayarlar!$B$5)+Ayarlar!$B$8)/((1-Ayarlar!$B$6)*(1-Ayarlar!$B$7)),0))</f>
        <v/>
      </c>
      <c r="J459" s="14">
        <f>IF(G459="","",ROUNDUP(((G459*Ayarlar!$B$3+Ayarlar!$B$4+Ayarlar!$B$5)+Ayarlar!$B$8)/((1-Ayarlar!$B$6)*(1-Ayarlar!$B$7-Ayarlar!$B$9)),0))</f>
        <v/>
      </c>
      <c r="K459" s="15">
        <f>IF(OR(G459="",F459=""),"",(F459*(1-Ayarlar!$B$6)-(F459*(1-Ayarlar!$B$6)*Ayarlar!$B$7+Ayarlar!$B$8)-(G459*Ayarlar!$B$3+Ayarlar!$B$4+Ayarlar!$B$5))/(F459*(1-Ayarlar!$B$6)))</f>
        <v/>
      </c>
      <c r="L459" s="3">
        <f>IF(G459="","GRAM EKSİK",IF(F459&gt;30000,"FİYAT ŞÜPHELİ",IF(K459&lt;0,"ZARARDA",IF(F459&lt;I459,"RİSKLİ","ok"))))</f>
        <v/>
      </c>
      <c r="M459" s="16" t="inlineStr">
        <is>
          <t>https://www.etsy.com/listing/1862671943</t>
        </is>
      </c>
    </row>
    <row r="460">
      <c r="A460" s="9" t="inlineStr">
        <is>
          <t>chains</t>
        </is>
      </c>
      <c r="B460" s="9" t="inlineStr">
        <is>
          <t>14K Yellow Gold Box Chain Bracelet / Unisex Design</t>
        </is>
      </c>
      <c r="C460" s="9" t="n">
        <v>1523519158</v>
      </c>
      <c r="D460" s="9" t="inlineStr">
        <is>
          <t>B1523519158</t>
        </is>
      </c>
      <c r="E460" s="9" t="inlineStr">
        <is>
          <t>—</t>
        </is>
      </c>
      <c r="F460" s="10" t="n">
        <v>238.15</v>
      </c>
      <c r="G460" s="11" t="n"/>
      <c r="H460" s="10">
        <f>IF(G460="","",G460*Ayarlar!$B$3+Ayarlar!$B$4+Ayarlar!$B$5)</f>
        <v/>
      </c>
      <c r="I460" s="10">
        <f>IF(G460="","",ROUNDUP(((G460*Ayarlar!$B$3+Ayarlar!$B$4+Ayarlar!$B$5)+Ayarlar!$B$8)/((1-Ayarlar!$B$6)*(1-Ayarlar!$B$7)),0))</f>
        <v/>
      </c>
      <c r="J460" s="10">
        <f>IF(G460="","",ROUNDUP(((G460*Ayarlar!$B$3+Ayarlar!$B$4+Ayarlar!$B$5)+Ayarlar!$B$8)/((1-Ayarlar!$B$6)*(1-Ayarlar!$B$7-Ayarlar!$B$9)),0))</f>
        <v/>
      </c>
      <c r="K460" s="12">
        <f>IF(OR(G460="",F460=""),"",(F460*(1-Ayarlar!$B$6)-(F460*(1-Ayarlar!$B$6)*Ayarlar!$B$7+Ayarlar!$B$8)-(G460*Ayarlar!$B$3+Ayarlar!$B$4+Ayarlar!$B$5))/(F460*(1-Ayarlar!$B$6)))</f>
        <v/>
      </c>
      <c r="L460" s="9">
        <f>IF(G460="","GRAM EKSİK",IF(F460&gt;30000,"FİYAT ŞÜPHELİ",IF(K460&lt;0,"ZARARDA",IF(F460&lt;I460,"RİSKLİ","ok"))))</f>
        <v/>
      </c>
      <c r="M460" s="13" t="inlineStr">
        <is>
          <t>https://www.etsy.com/listing/1523519158</t>
        </is>
      </c>
    </row>
    <row r="461">
      <c r="A461" s="3" t="inlineStr">
        <is>
          <t>chains</t>
        </is>
      </c>
      <c r="B461" s="3" t="inlineStr">
        <is>
          <t>14K Yellow Gold Figaro Link Chain / Elegant Everyday Necklac</t>
        </is>
      </c>
      <c r="C461" s="3" t="n">
        <v>1868666012</v>
      </c>
      <c r="D461" s="3" t="inlineStr">
        <is>
          <t>C14FIG65-16</t>
        </is>
      </c>
      <c r="E461" s="3" t="inlineStr">
        <is>
          <t>description</t>
        </is>
      </c>
      <c r="F461" s="14" t="n">
        <v>1449</v>
      </c>
      <c r="G461" s="17" t="n">
        <v>8.84</v>
      </c>
      <c r="H461" s="14">
        <f>IF(G461="","",G461*Ayarlar!$B$3+Ayarlar!$B$4+Ayarlar!$B$5)</f>
        <v/>
      </c>
      <c r="I461" s="14">
        <f>IF(G461="","",ROUNDUP(((G461*Ayarlar!$B$3+Ayarlar!$B$4+Ayarlar!$B$5)+Ayarlar!$B$8)/((1-Ayarlar!$B$6)*(1-Ayarlar!$B$7)),0))</f>
        <v/>
      </c>
      <c r="J461" s="14">
        <f>IF(G461="","",ROUNDUP(((G461*Ayarlar!$B$3+Ayarlar!$B$4+Ayarlar!$B$5)+Ayarlar!$B$8)/((1-Ayarlar!$B$6)*(1-Ayarlar!$B$7-Ayarlar!$B$9)),0))</f>
        <v/>
      </c>
      <c r="K461" s="15">
        <f>IF(OR(G461="",F461=""),"",(F461*(1-Ayarlar!$B$6)-(F461*(1-Ayarlar!$B$6)*Ayarlar!$B$7+Ayarlar!$B$8)-(G461*Ayarlar!$B$3+Ayarlar!$B$4+Ayarlar!$B$5))/(F461*(1-Ayarlar!$B$6)))</f>
        <v/>
      </c>
      <c r="L461" s="3">
        <f>IF(G461="","GRAM EKSİK",IF(F461&gt;30000,"FİYAT ŞÜPHELİ",IF(K461&lt;0,"ZARARDA",IF(F461&lt;I461,"RİSKLİ","ok"))))</f>
        <v/>
      </c>
      <c r="M461" s="16" t="inlineStr">
        <is>
          <t>https://www.etsy.com/listing/1868666012</t>
        </is>
      </c>
    </row>
    <row r="462">
      <c r="A462" s="9" t="inlineStr">
        <is>
          <t>chains</t>
        </is>
      </c>
      <c r="B462" s="9" t="inlineStr">
        <is>
          <t>14K Yellow Gold Figaro Link Chain / Elegant Everyday Necklac</t>
        </is>
      </c>
      <c r="C462" s="9" t="n">
        <v>1868666012</v>
      </c>
      <c r="D462" s="9" t="inlineStr">
        <is>
          <t>C14FIG65-18</t>
        </is>
      </c>
      <c r="E462" s="9" t="inlineStr">
        <is>
          <t>description</t>
        </is>
      </c>
      <c r="F462" s="10" t="n">
        <v>1570</v>
      </c>
      <c r="G462" s="18" t="n">
        <v>9.949999999999999</v>
      </c>
      <c r="H462" s="10">
        <f>IF(G462="","",G462*Ayarlar!$B$3+Ayarlar!$B$4+Ayarlar!$B$5)</f>
        <v/>
      </c>
      <c r="I462" s="10">
        <f>IF(G462="","",ROUNDUP(((G462*Ayarlar!$B$3+Ayarlar!$B$4+Ayarlar!$B$5)+Ayarlar!$B$8)/((1-Ayarlar!$B$6)*(1-Ayarlar!$B$7)),0))</f>
        <v/>
      </c>
      <c r="J462" s="10">
        <f>IF(G462="","",ROUNDUP(((G462*Ayarlar!$B$3+Ayarlar!$B$4+Ayarlar!$B$5)+Ayarlar!$B$8)/((1-Ayarlar!$B$6)*(1-Ayarlar!$B$7-Ayarlar!$B$9)),0))</f>
        <v/>
      </c>
      <c r="K462" s="12">
        <f>IF(OR(G462="",F462=""),"",(F462*(1-Ayarlar!$B$6)-(F462*(1-Ayarlar!$B$6)*Ayarlar!$B$7+Ayarlar!$B$8)-(G462*Ayarlar!$B$3+Ayarlar!$B$4+Ayarlar!$B$5))/(F462*(1-Ayarlar!$B$6)))</f>
        <v/>
      </c>
      <c r="L462" s="9">
        <f>IF(G462="","GRAM EKSİK",IF(F462&gt;30000,"FİYAT ŞÜPHELİ",IF(K462&lt;0,"ZARARDA",IF(F462&lt;I462,"RİSKLİ","ok"))))</f>
        <v/>
      </c>
      <c r="M462" s="13" t="inlineStr">
        <is>
          <t>https://www.etsy.com/listing/1868666012</t>
        </is>
      </c>
    </row>
    <row r="463">
      <c r="A463" s="3" t="inlineStr">
        <is>
          <t>chains</t>
        </is>
      </c>
      <c r="B463" s="3" t="inlineStr">
        <is>
          <t>14K Yellow Gold Figaro Link Chain / Elegant Everyday Necklac</t>
        </is>
      </c>
      <c r="C463" s="3" t="n">
        <v>1868666012</v>
      </c>
      <c r="D463" s="3" t="inlineStr">
        <is>
          <t>C14FIG65-20</t>
        </is>
      </c>
      <c r="E463" s="3" t="inlineStr">
        <is>
          <t>description</t>
        </is>
      </c>
      <c r="F463" s="14" t="n">
        <v>1694</v>
      </c>
      <c r="G463" s="17" t="n">
        <v>11.05</v>
      </c>
      <c r="H463" s="14">
        <f>IF(G463="","",G463*Ayarlar!$B$3+Ayarlar!$B$4+Ayarlar!$B$5)</f>
        <v/>
      </c>
      <c r="I463" s="14">
        <f>IF(G463="","",ROUNDUP(((G463*Ayarlar!$B$3+Ayarlar!$B$4+Ayarlar!$B$5)+Ayarlar!$B$8)/((1-Ayarlar!$B$6)*(1-Ayarlar!$B$7)),0))</f>
        <v/>
      </c>
      <c r="J463" s="14">
        <f>IF(G463="","",ROUNDUP(((G463*Ayarlar!$B$3+Ayarlar!$B$4+Ayarlar!$B$5)+Ayarlar!$B$8)/((1-Ayarlar!$B$6)*(1-Ayarlar!$B$7-Ayarlar!$B$9)),0))</f>
        <v/>
      </c>
      <c r="K463" s="15">
        <f>IF(OR(G463="",F463=""),"",(F463*(1-Ayarlar!$B$6)-(F463*(1-Ayarlar!$B$6)*Ayarlar!$B$7+Ayarlar!$B$8)-(G463*Ayarlar!$B$3+Ayarlar!$B$4+Ayarlar!$B$5))/(F463*(1-Ayarlar!$B$6)))</f>
        <v/>
      </c>
      <c r="L463" s="3">
        <f>IF(G463="","GRAM EKSİK",IF(F463&gt;30000,"FİYAT ŞÜPHELİ",IF(K463&lt;0,"ZARARDA",IF(F463&lt;I463,"RİSKLİ","ok"))))</f>
        <v/>
      </c>
      <c r="M463" s="16" t="inlineStr">
        <is>
          <t>https://www.etsy.com/listing/1868666012</t>
        </is>
      </c>
    </row>
    <row r="464">
      <c r="A464" s="9" t="inlineStr">
        <is>
          <t>chains</t>
        </is>
      </c>
      <c r="B464" s="9" t="inlineStr">
        <is>
          <t>14K Yellow Gold Figaro Link Chain / Elegant Everyday Necklac</t>
        </is>
      </c>
      <c r="C464" s="9" t="n">
        <v>1868666012</v>
      </c>
      <c r="D464" s="9" t="inlineStr">
        <is>
          <t>C14FIG65-22</t>
        </is>
      </c>
      <c r="E464" s="9" t="inlineStr">
        <is>
          <t>description</t>
        </is>
      </c>
      <c r="F464" s="10" t="n">
        <v>1817</v>
      </c>
      <c r="G464" s="18" t="n">
        <v>12.16</v>
      </c>
      <c r="H464" s="10">
        <f>IF(G464="","",G464*Ayarlar!$B$3+Ayarlar!$B$4+Ayarlar!$B$5)</f>
        <v/>
      </c>
      <c r="I464" s="10">
        <f>IF(G464="","",ROUNDUP(((G464*Ayarlar!$B$3+Ayarlar!$B$4+Ayarlar!$B$5)+Ayarlar!$B$8)/((1-Ayarlar!$B$6)*(1-Ayarlar!$B$7)),0))</f>
        <v/>
      </c>
      <c r="J464" s="10">
        <f>IF(G464="","",ROUNDUP(((G464*Ayarlar!$B$3+Ayarlar!$B$4+Ayarlar!$B$5)+Ayarlar!$B$8)/((1-Ayarlar!$B$6)*(1-Ayarlar!$B$7-Ayarlar!$B$9)),0))</f>
        <v/>
      </c>
      <c r="K464" s="12">
        <f>IF(OR(G464="",F464=""),"",(F464*(1-Ayarlar!$B$6)-(F464*(1-Ayarlar!$B$6)*Ayarlar!$B$7+Ayarlar!$B$8)-(G464*Ayarlar!$B$3+Ayarlar!$B$4+Ayarlar!$B$5))/(F464*(1-Ayarlar!$B$6)))</f>
        <v/>
      </c>
      <c r="L464" s="9">
        <f>IF(G464="","GRAM EKSİK",IF(F464&gt;30000,"FİYAT ŞÜPHELİ",IF(K464&lt;0,"ZARARDA",IF(F464&lt;I464,"RİSKLİ","ok"))))</f>
        <v/>
      </c>
      <c r="M464" s="13" t="inlineStr">
        <is>
          <t>https://www.etsy.com/listing/1868666012</t>
        </is>
      </c>
    </row>
    <row r="465">
      <c r="A465" s="3" t="inlineStr">
        <is>
          <t>chains</t>
        </is>
      </c>
      <c r="B465" s="3" t="inlineStr">
        <is>
          <t>14K Yellow Gold Figaro Link Chain / Elegant Everyday Necklac</t>
        </is>
      </c>
      <c r="C465" s="3" t="n">
        <v>1868666012</v>
      </c>
      <c r="D465" s="3" t="inlineStr">
        <is>
          <t>C14FIG65-24</t>
        </is>
      </c>
      <c r="E465" s="3" t="inlineStr">
        <is>
          <t>description</t>
        </is>
      </c>
      <c r="F465" s="14" t="n">
        <v>1940</v>
      </c>
      <c r="G465" s="17" t="n">
        <v>13.27</v>
      </c>
      <c r="H465" s="14">
        <f>IF(G465="","",G465*Ayarlar!$B$3+Ayarlar!$B$4+Ayarlar!$B$5)</f>
        <v/>
      </c>
      <c r="I465" s="14">
        <f>IF(G465="","",ROUNDUP(((G465*Ayarlar!$B$3+Ayarlar!$B$4+Ayarlar!$B$5)+Ayarlar!$B$8)/((1-Ayarlar!$B$6)*(1-Ayarlar!$B$7)),0))</f>
        <v/>
      </c>
      <c r="J465" s="14">
        <f>IF(G465="","",ROUNDUP(((G465*Ayarlar!$B$3+Ayarlar!$B$4+Ayarlar!$B$5)+Ayarlar!$B$8)/((1-Ayarlar!$B$6)*(1-Ayarlar!$B$7-Ayarlar!$B$9)),0))</f>
        <v/>
      </c>
      <c r="K465" s="15">
        <f>IF(OR(G465="",F465=""),"",(F465*(1-Ayarlar!$B$6)-(F465*(1-Ayarlar!$B$6)*Ayarlar!$B$7+Ayarlar!$B$8)-(G465*Ayarlar!$B$3+Ayarlar!$B$4+Ayarlar!$B$5))/(F465*(1-Ayarlar!$B$6)))</f>
        <v/>
      </c>
      <c r="L465" s="3">
        <f>IF(G465="","GRAM EKSİK",IF(F465&gt;30000,"FİYAT ŞÜPHELİ",IF(K465&lt;0,"ZARARDA",IF(F465&lt;I465,"RİSKLİ","ok"))))</f>
        <v/>
      </c>
      <c r="M465" s="16" t="inlineStr">
        <is>
          <t>https://www.etsy.com/listing/1868666012</t>
        </is>
      </c>
    </row>
    <row r="466">
      <c r="A466" s="9" t="inlineStr">
        <is>
          <t>chains</t>
        </is>
      </c>
      <c r="B466" s="9" t="inlineStr">
        <is>
          <t>14K Yellow Gold Figaro Link Chain / Elegant Everyday Necklac</t>
        </is>
      </c>
      <c r="C466" s="9" t="n">
        <v>1868666012</v>
      </c>
      <c r="D466" s="9" t="inlineStr">
        <is>
          <t>C14FIG7-16</t>
        </is>
      </c>
      <c r="E466" s="9" t="inlineStr">
        <is>
          <t>description</t>
        </is>
      </c>
      <c r="F466" s="10" t="n">
        <v>1631</v>
      </c>
      <c r="G466" s="18" t="n">
        <v>10.23</v>
      </c>
      <c r="H466" s="10">
        <f>IF(G466="","",G466*Ayarlar!$B$3+Ayarlar!$B$4+Ayarlar!$B$5)</f>
        <v/>
      </c>
      <c r="I466" s="10">
        <f>IF(G466="","",ROUNDUP(((G466*Ayarlar!$B$3+Ayarlar!$B$4+Ayarlar!$B$5)+Ayarlar!$B$8)/((1-Ayarlar!$B$6)*(1-Ayarlar!$B$7)),0))</f>
        <v/>
      </c>
      <c r="J466" s="10">
        <f>IF(G466="","",ROUNDUP(((G466*Ayarlar!$B$3+Ayarlar!$B$4+Ayarlar!$B$5)+Ayarlar!$B$8)/((1-Ayarlar!$B$6)*(1-Ayarlar!$B$7-Ayarlar!$B$9)),0))</f>
        <v/>
      </c>
      <c r="K466" s="12">
        <f>IF(OR(G466="",F466=""),"",(F466*(1-Ayarlar!$B$6)-(F466*(1-Ayarlar!$B$6)*Ayarlar!$B$7+Ayarlar!$B$8)-(G466*Ayarlar!$B$3+Ayarlar!$B$4+Ayarlar!$B$5))/(F466*(1-Ayarlar!$B$6)))</f>
        <v/>
      </c>
      <c r="L466" s="9">
        <f>IF(G466="","GRAM EKSİK",IF(F466&gt;30000,"FİYAT ŞÜPHELİ",IF(K466&lt;0,"ZARARDA",IF(F466&lt;I466,"RİSKLİ","ok"))))</f>
        <v/>
      </c>
      <c r="M466" s="13" t="inlineStr">
        <is>
          <t>https://www.etsy.com/listing/1868666012</t>
        </is>
      </c>
    </row>
    <row r="467">
      <c r="A467" s="3" t="inlineStr">
        <is>
          <t>chains</t>
        </is>
      </c>
      <c r="B467" s="3" t="inlineStr">
        <is>
          <t>14K Yellow Gold Figaro Link Chain / Elegant Everyday Necklac</t>
        </is>
      </c>
      <c r="C467" s="3" t="n">
        <v>1868666012</v>
      </c>
      <c r="D467" s="3" t="inlineStr">
        <is>
          <t>C14FIG7-18</t>
        </is>
      </c>
      <c r="E467" s="3" t="inlineStr">
        <is>
          <t>description</t>
        </is>
      </c>
      <c r="F467" s="14" t="n">
        <v>1813</v>
      </c>
      <c r="G467" s="17" t="n">
        <v>11.5</v>
      </c>
      <c r="H467" s="14">
        <f>IF(G467="","",G467*Ayarlar!$B$3+Ayarlar!$B$4+Ayarlar!$B$5)</f>
        <v/>
      </c>
      <c r="I467" s="14">
        <f>IF(G467="","",ROUNDUP(((G467*Ayarlar!$B$3+Ayarlar!$B$4+Ayarlar!$B$5)+Ayarlar!$B$8)/((1-Ayarlar!$B$6)*(1-Ayarlar!$B$7)),0))</f>
        <v/>
      </c>
      <c r="J467" s="14">
        <f>IF(G467="","",ROUNDUP(((G467*Ayarlar!$B$3+Ayarlar!$B$4+Ayarlar!$B$5)+Ayarlar!$B$8)/((1-Ayarlar!$B$6)*(1-Ayarlar!$B$7-Ayarlar!$B$9)),0))</f>
        <v/>
      </c>
      <c r="K467" s="15">
        <f>IF(OR(G467="",F467=""),"",(F467*(1-Ayarlar!$B$6)-(F467*(1-Ayarlar!$B$6)*Ayarlar!$B$7+Ayarlar!$B$8)-(G467*Ayarlar!$B$3+Ayarlar!$B$4+Ayarlar!$B$5))/(F467*(1-Ayarlar!$B$6)))</f>
        <v/>
      </c>
      <c r="L467" s="3">
        <f>IF(G467="","GRAM EKSİK",IF(F467&gt;30000,"FİYAT ŞÜPHELİ",IF(K467&lt;0,"ZARARDA",IF(F467&lt;I467,"RİSKLİ","ok"))))</f>
        <v/>
      </c>
      <c r="M467" s="16" t="inlineStr">
        <is>
          <t>https://www.etsy.com/listing/1868666012</t>
        </is>
      </c>
    </row>
    <row r="468">
      <c r="A468" s="9" t="inlineStr">
        <is>
          <t>chains</t>
        </is>
      </c>
      <c r="B468" s="9" t="inlineStr">
        <is>
          <t>14K Yellow Gold Figaro Link Chain / Elegant Everyday Necklac</t>
        </is>
      </c>
      <c r="C468" s="9" t="n">
        <v>1868666012</v>
      </c>
      <c r="D468" s="9" t="inlineStr">
        <is>
          <t>C14FIG7-20</t>
        </is>
      </c>
      <c r="E468" s="9" t="inlineStr">
        <is>
          <t>description</t>
        </is>
      </c>
      <c r="F468" s="10" t="n">
        <v>1937</v>
      </c>
      <c r="G468" s="18" t="n">
        <v>12.78</v>
      </c>
      <c r="H468" s="10">
        <f>IF(G468="","",G468*Ayarlar!$B$3+Ayarlar!$B$4+Ayarlar!$B$5)</f>
        <v/>
      </c>
      <c r="I468" s="10">
        <f>IF(G468="","",ROUNDUP(((G468*Ayarlar!$B$3+Ayarlar!$B$4+Ayarlar!$B$5)+Ayarlar!$B$8)/((1-Ayarlar!$B$6)*(1-Ayarlar!$B$7)),0))</f>
        <v/>
      </c>
      <c r="J468" s="10">
        <f>IF(G468="","",ROUNDUP(((G468*Ayarlar!$B$3+Ayarlar!$B$4+Ayarlar!$B$5)+Ayarlar!$B$8)/((1-Ayarlar!$B$6)*(1-Ayarlar!$B$7-Ayarlar!$B$9)),0))</f>
        <v/>
      </c>
      <c r="K468" s="12">
        <f>IF(OR(G468="",F468=""),"",(F468*(1-Ayarlar!$B$6)-(F468*(1-Ayarlar!$B$6)*Ayarlar!$B$7+Ayarlar!$B$8)-(G468*Ayarlar!$B$3+Ayarlar!$B$4+Ayarlar!$B$5))/(F468*(1-Ayarlar!$B$6)))</f>
        <v/>
      </c>
      <c r="L468" s="9">
        <f>IF(G468="","GRAM EKSİK",IF(F468&gt;30000,"FİYAT ŞÜPHELİ",IF(K468&lt;0,"ZARARDA",IF(F468&lt;I468,"RİSKLİ","ok"))))</f>
        <v/>
      </c>
      <c r="M468" s="13" t="inlineStr">
        <is>
          <t>https://www.etsy.com/listing/1868666012</t>
        </is>
      </c>
    </row>
    <row r="469">
      <c r="A469" s="3" t="inlineStr">
        <is>
          <t>chains</t>
        </is>
      </c>
      <c r="B469" s="3" t="inlineStr">
        <is>
          <t>14K Yellow Gold Figaro Link Chain / Elegant Everyday Necklac</t>
        </is>
      </c>
      <c r="C469" s="3" t="n">
        <v>1868666012</v>
      </c>
      <c r="D469" s="3" t="inlineStr">
        <is>
          <t>C14FIG7-22</t>
        </is>
      </c>
      <c r="E469" s="3" t="inlineStr">
        <is>
          <t>description</t>
        </is>
      </c>
      <c r="F469" s="14" t="n">
        <v>2003</v>
      </c>
      <c r="G469" s="17" t="n">
        <v>14.06</v>
      </c>
      <c r="H469" s="14">
        <f>IF(G469="","",G469*Ayarlar!$B$3+Ayarlar!$B$4+Ayarlar!$B$5)</f>
        <v/>
      </c>
      <c r="I469" s="14">
        <f>IF(G469="","",ROUNDUP(((G469*Ayarlar!$B$3+Ayarlar!$B$4+Ayarlar!$B$5)+Ayarlar!$B$8)/((1-Ayarlar!$B$6)*(1-Ayarlar!$B$7)),0))</f>
        <v/>
      </c>
      <c r="J469" s="14">
        <f>IF(G469="","",ROUNDUP(((G469*Ayarlar!$B$3+Ayarlar!$B$4+Ayarlar!$B$5)+Ayarlar!$B$8)/((1-Ayarlar!$B$6)*(1-Ayarlar!$B$7-Ayarlar!$B$9)),0))</f>
        <v/>
      </c>
      <c r="K469" s="15">
        <f>IF(OR(G469="",F469=""),"",(F469*(1-Ayarlar!$B$6)-(F469*(1-Ayarlar!$B$6)*Ayarlar!$B$7+Ayarlar!$B$8)-(G469*Ayarlar!$B$3+Ayarlar!$B$4+Ayarlar!$B$5))/(F469*(1-Ayarlar!$B$6)))</f>
        <v/>
      </c>
      <c r="L469" s="3">
        <f>IF(G469="","GRAM EKSİK",IF(F469&gt;30000,"FİYAT ŞÜPHELİ",IF(K469&lt;0,"ZARARDA",IF(F469&lt;I469,"RİSKLİ","ok"))))</f>
        <v/>
      </c>
      <c r="M469" s="16" t="inlineStr">
        <is>
          <t>https://www.etsy.com/listing/1868666012</t>
        </is>
      </c>
    </row>
    <row r="470">
      <c r="A470" s="9" t="inlineStr">
        <is>
          <t>chains</t>
        </is>
      </c>
      <c r="B470" s="9" t="inlineStr">
        <is>
          <t>14K Yellow Gold Figaro Link Chain / Elegant Everyday Necklac</t>
        </is>
      </c>
      <c r="C470" s="9" t="n">
        <v>1868666012</v>
      </c>
      <c r="D470" s="9" t="inlineStr">
        <is>
          <t>C14FIG7-24</t>
        </is>
      </c>
      <c r="E470" s="9" t="inlineStr">
        <is>
          <t>description</t>
        </is>
      </c>
      <c r="F470" s="10" t="n">
        <v>2184</v>
      </c>
      <c r="G470" s="18" t="n">
        <v>15.34</v>
      </c>
      <c r="H470" s="10">
        <f>IF(G470="","",G470*Ayarlar!$B$3+Ayarlar!$B$4+Ayarlar!$B$5)</f>
        <v/>
      </c>
      <c r="I470" s="10">
        <f>IF(G470="","",ROUNDUP(((G470*Ayarlar!$B$3+Ayarlar!$B$4+Ayarlar!$B$5)+Ayarlar!$B$8)/((1-Ayarlar!$B$6)*(1-Ayarlar!$B$7)),0))</f>
        <v/>
      </c>
      <c r="J470" s="10">
        <f>IF(G470="","",ROUNDUP(((G470*Ayarlar!$B$3+Ayarlar!$B$4+Ayarlar!$B$5)+Ayarlar!$B$8)/((1-Ayarlar!$B$6)*(1-Ayarlar!$B$7-Ayarlar!$B$9)),0))</f>
        <v/>
      </c>
      <c r="K470" s="12">
        <f>IF(OR(G470="",F470=""),"",(F470*(1-Ayarlar!$B$6)-(F470*(1-Ayarlar!$B$6)*Ayarlar!$B$7+Ayarlar!$B$8)-(G470*Ayarlar!$B$3+Ayarlar!$B$4+Ayarlar!$B$5))/(F470*(1-Ayarlar!$B$6)))</f>
        <v/>
      </c>
      <c r="L470" s="9">
        <f>IF(G470="","GRAM EKSİK",IF(F470&gt;30000,"FİYAT ŞÜPHELİ",IF(K470&lt;0,"ZARARDA",IF(F470&lt;I470,"RİSKLİ","ok"))))</f>
        <v/>
      </c>
      <c r="M470" s="13" t="inlineStr">
        <is>
          <t>https://www.etsy.com/listing/1868666012</t>
        </is>
      </c>
    </row>
    <row r="471">
      <c r="A471" s="3" t="inlineStr">
        <is>
          <t>chains</t>
        </is>
      </c>
      <c r="B471" s="3" t="inlineStr">
        <is>
          <t>14K Yellow Gold Figaro Link Chain / Elegant Everyday Necklac</t>
        </is>
      </c>
      <c r="C471" s="3" t="n">
        <v>1868666012</v>
      </c>
      <c r="D471" s="3" t="inlineStr">
        <is>
          <t>C14FIG75-16</t>
        </is>
      </c>
      <c r="E471" s="3" t="inlineStr">
        <is>
          <t>description</t>
        </is>
      </c>
      <c r="F471" s="14" t="n">
        <v>1929</v>
      </c>
      <c r="G471" s="17" t="n">
        <v>11.41</v>
      </c>
      <c r="H471" s="14">
        <f>IF(G471="","",G471*Ayarlar!$B$3+Ayarlar!$B$4+Ayarlar!$B$5)</f>
        <v/>
      </c>
      <c r="I471" s="14">
        <f>IF(G471="","",ROUNDUP(((G471*Ayarlar!$B$3+Ayarlar!$B$4+Ayarlar!$B$5)+Ayarlar!$B$8)/((1-Ayarlar!$B$6)*(1-Ayarlar!$B$7)),0))</f>
        <v/>
      </c>
      <c r="J471" s="14">
        <f>IF(G471="","",ROUNDUP(((G471*Ayarlar!$B$3+Ayarlar!$B$4+Ayarlar!$B$5)+Ayarlar!$B$8)/((1-Ayarlar!$B$6)*(1-Ayarlar!$B$7-Ayarlar!$B$9)),0))</f>
        <v/>
      </c>
      <c r="K471" s="15">
        <f>IF(OR(G471="",F471=""),"",(F471*(1-Ayarlar!$B$6)-(F471*(1-Ayarlar!$B$6)*Ayarlar!$B$7+Ayarlar!$B$8)-(G471*Ayarlar!$B$3+Ayarlar!$B$4+Ayarlar!$B$5))/(F471*(1-Ayarlar!$B$6)))</f>
        <v/>
      </c>
      <c r="L471" s="3">
        <f>IF(G471="","GRAM EKSİK",IF(F471&gt;30000,"FİYAT ŞÜPHELİ",IF(K471&lt;0,"ZARARDA",IF(F471&lt;I471,"RİSKLİ","ok"))))</f>
        <v/>
      </c>
      <c r="M471" s="16" t="inlineStr">
        <is>
          <t>https://www.etsy.com/listing/1868666012</t>
        </is>
      </c>
    </row>
    <row r="472">
      <c r="A472" s="9" t="inlineStr">
        <is>
          <t>chains</t>
        </is>
      </c>
      <c r="B472" s="9" t="inlineStr">
        <is>
          <t>14K Yellow Gold Figaro Link Chain / Elegant Everyday Necklac</t>
        </is>
      </c>
      <c r="C472" s="9" t="n">
        <v>1868666012</v>
      </c>
      <c r="D472" s="9" t="inlineStr">
        <is>
          <t>C14FIG75-18</t>
        </is>
      </c>
      <c r="E472" s="9" t="inlineStr">
        <is>
          <t>description</t>
        </is>
      </c>
      <c r="F472" s="10" t="n">
        <v>2170</v>
      </c>
      <c r="G472" s="18" t="n">
        <v>12.83</v>
      </c>
      <c r="H472" s="10">
        <f>IF(G472="","",G472*Ayarlar!$B$3+Ayarlar!$B$4+Ayarlar!$B$5)</f>
        <v/>
      </c>
      <c r="I472" s="10">
        <f>IF(G472="","",ROUNDUP(((G472*Ayarlar!$B$3+Ayarlar!$B$4+Ayarlar!$B$5)+Ayarlar!$B$8)/((1-Ayarlar!$B$6)*(1-Ayarlar!$B$7)),0))</f>
        <v/>
      </c>
      <c r="J472" s="10">
        <f>IF(G472="","",ROUNDUP(((G472*Ayarlar!$B$3+Ayarlar!$B$4+Ayarlar!$B$5)+Ayarlar!$B$8)/((1-Ayarlar!$B$6)*(1-Ayarlar!$B$7-Ayarlar!$B$9)),0))</f>
        <v/>
      </c>
      <c r="K472" s="12">
        <f>IF(OR(G472="",F472=""),"",(F472*(1-Ayarlar!$B$6)-(F472*(1-Ayarlar!$B$6)*Ayarlar!$B$7+Ayarlar!$B$8)-(G472*Ayarlar!$B$3+Ayarlar!$B$4+Ayarlar!$B$5))/(F472*(1-Ayarlar!$B$6)))</f>
        <v/>
      </c>
      <c r="L472" s="9">
        <f>IF(G472="","GRAM EKSİK",IF(F472&gt;30000,"FİYAT ŞÜPHELİ",IF(K472&lt;0,"ZARARDA",IF(F472&lt;I472,"RİSKLİ","ok"))))</f>
        <v/>
      </c>
      <c r="M472" s="13" t="inlineStr">
        <is>
          <t>https://www.etsy.com/listing/1868666012</t>
        </is>
      </c>
    </row>
    <row r="473">
      <c r="A473" s="3" t="inlineStr">
        <is>
          <t>chains</t>
        </is>
      </c>
      <c r="B473" s="3" t="inlineStr">
        <is>
          <t>14K Yellow Gold Figaro Link Chain / Elegant Everyday Necklac</t>
        </is>
      </c>
      <c r="C473" s="3" t="n">
        <v>1868666012</v>
      </c>
      <c r="D473" s="3" t="inlineStr">
        <is>
          <t>C14FIG75-20</t>
        </is>
      </c>
      <c r="E473" s="3" t="inlineStr">
        <is>
          <t>description</t>
        </is>
      </c>
      <c r="F473" s="14" t="n">
        <v>2410</v>
      </c>
      <c r="G473" s="17" t="n">
        <v>14.26</v>
      </c>
      <c r="H473" s="14">
        <f>IF(G473="","",G473*Ayarlar!$B$3+Ayarlar!$B$4+Ayarlar!$B$5)</f>
        <v/>
      </c>
      <c r="I473" s="14">
        <f>IF(G473="","",ROUNDUP(((G473*Ayarlar!$B$3+Ayarlar!$B$4+Ayarlar!$B$5)+Ayarlar!$B$8)/((1-Ayarlar!$B$6)*(1-Ayarlar!$B$7)),0))</f>
        <v/>
      </c>
      <c r="J473" s="14">
        <f>IF(G473="","",ROUNDUP(((G473*Ayarlar!$B$3+Ayarlar!$B$4+Ayarlar!$B$5)+Ayarlar!$B$8)/((1-Ayarlar!$B$6)*(1-Ayarlar!$B$7-Ayarlar!$B$9)),0))</f>
        <v/>
      </c>
      <c r="K473" s="15">
        <f>IF(OR(G473="",F473=""),"",(F473*(1-Ayarlar!$B$6)-(F473*(1-Ayarlar!$B$6)*Ayarlar!$B$7+Ayarlar!$B$8)-(G473*Ayarlar!$B$3+Ayarlar!$B$4+Ayarlar!$B$5))/(F473*(1-Ayarlar!$B$6)))</f>
        <v/>
      </c>
      <c r="L473" s="3">
        <f>IF(G473="","GRAM EKSİK",IF(F473&gt;30000,"FİYAT ŞÜPHELİ",IF(K473&lt;0,"ZARARDA",IF(F473&lt;I473,"RİSKLİ","ok"))))</f>
        <v/>
      </c>
      <c r="M473" s="16" t="inlineStr">
        <is>
          <t>https://www.etsy.com/listing/1868666012</t>
        </is>
      </c>
    </row>
    <row r="474">
      <c r="A474" s="9" t="inlineStr">
        <is>
          <t>chains</t>
        </is>
      </c>
      <c r="B474" s="9" t="inlineStr">
        <is>
          <t>14K Yellow Gold Figaro Link Chain / Elegant Everyday Necklac</t>
        </is>
      </c>
      <c r="C474" s="9" t="n">
        <v>1868666012</v>
      </c>
      <c r="D474" s="9" t="inlineStr">
        <is>
          <t>C14FIG75-22</t>
        </is>
      </c>
      <c r="E474" s="9" t="inlineStr">
        <is>
          <t>description</t>
        </is>
      </c>
      <c r="F474" s="10" t="n">
        <v>2652</v>
      </c>
      <c r="G474" s="18" t="n">
        <v>15.68</v>
      </c>
      <c r="H474" s="10">
        <f>IF(G474="","",G474*Ayarlar!$B$3+Ayarlar!$B$4+Ayarlar!$B$5)</f>
        <v/>
      </c>
      <c r="I474" s="10">
        <f>IF(G474="","",ROUNDUP(((G474*Ayarlar!$B$3+Ayarlar!$B$4+Ayarlar!$B$5)+Ayarlar!$B$8)/((1-Ayarlar!$B$6)*(1-Ayarlar!$B$7)),0))</f>
        <v/>
      </c>
      <c r="J474" s="10">
        <f>IF(G474="","",ROUNDUP(((G474*Ayarlar!$B$3+Ayarlar!$B$4+Ayarlar!$B$5)+Ayarlar!$B$8)/((1-Ayarlar!$B$6)*(1-Ayarlar!$B$7-Ayarlar!$B$9)),0))</f>
        <v/>
      </c>
      <c r="K474" s="12">
        <f>IF(OR(G474="",F474=""),"",(F474*(1-Ayarlar!$B$6)-(F474*(1-Ayarlar!$B$6)*Ayarlar!$B$7+Ayarlar!$B$8)-(G474*Ayarlar!$B$3+Ayarlar!$B$4+Ayarlar!$B$5))/(F474*(1-Ayarlar!$B$6)))</f>
        <v/>
      </c>
      <c r="L474" s="9">
        <f>IF(G474="","GRAM EKSİK",IF(F474&gt;30000,"FİYAT ŞÜPHELİ",IF(K474&lt;0,"ZARARDA",IF(F474&lt;I474,"RİSKLİ","ok"))))</f>
        <v/>
      </c>
      <c r="M474" s="13" t="inlineStr">
        <is>
          <t>https://www.etsy.com/listing/1868666012</t>
        </is>
      </c>
    </row>
    <row r="475">
      <c r="A475" s="3" t="inlineStr">
        <is>
          <t>chains</t>
        </is>
      </c>
      <c r="B475" s="3" t="inlineStr">
        <is>
          <t>14K Yellow Gold Figaro Link Chain / Elegant Everyday Necklac</t>
        </is>
      </c>
      <c r="C475" s="3" t="n">
        <v>1868666012</v>
      </c>
      <c r="D475" s="3" t="inlineStr">
        <is>
          <t>C14FIG75-24</t>
        </is>
      </c>
      <c r="E475" s="3" t="inlineStr">
        <is>
          <t>description</t>
        </is>
      </c>
      <c r="F475" s="14" t="n">
        <v>2892</v>
      </c>
      <c r="G475" s="17" t="n">
        <v>17.11</v>
      </c>
      <c r="H475" s="14">
        <f>IF(G475="","",G475*Ayarlar!$B$3+Ayarlar!$B$4+Ayarlar!$B$5)</f>
        <v/>
      </c>
      <c r="I475" s="14">
        <f>IF(G475="","",ROUNDUP(((G475*Ayarlar!$B$3+Ayarlar!$B$4+Ayarlar!$B$5)+Ayarlar!$B$8)/((1-Ayarlar!$B$6)*(1-Ayarlar!$B$7)),0))</f>
        <v/>
      </c>
      <c r="J475" s="14">
        <f>IF(G475="","",ROUNDUP(((G475*Ayarlar!$B$3+Ayarlar!$B$4+Ayarlar!$B$5)+Ayarlar!$B$8)/((1-Ayarlar!$B$6)*(1-Ayarlar!$B$7-Ayarlar!$B$9)),0))</f>
        <v/>
      </c>
      <c r="K475" s="15">
        <f>IF(OR(G475="",F475=""),"",(F475*(1-Ayarlar!$B$6)-(F475*(1-Ayarlar!$B$6)*Ayarlar!$B$7+Ayarlar!$B$8)-(G475*Ayarlar!$B$3+Ayarlar!$B$4+Ayarlar!$B$5))/(F475*(1-Ayarlar!$B$6)))</f>
        <v/>
      </c>
      <c r="L475" s="3">
        <f>IF(G475="","GRAM EKSİK",IF(F475&gt;30000,"FİYAT ŞÜPHELİ",IF(K475&lt;0,"ZARARDA",IF(F475&lt;I475,"RİSKLİ","ok"))))</f>
        <v/>
      </c>
      <c r="M475" s="16" t="inlineStr">
        <is>
          <t>https://www.etsy.com/listing/1868666012</t>
        </is>
      </c>
    </row>
    <row r="476">
      <c r="A476" s="9" t="inlineStr">
        <is>
          <t>chains</t>
        </is>
      </c>
      <c r="B476" s="9" t="inlineStr">
        <is>
          <t>14K Yellow Gold Figaro Link Chain / Elegant Everyday Necklac</t>
        </is>
      </c>
      <c r="C476" s="9" t="n">
        <v>1868666012</v>
      </c>
      <c r="D476" s="9" t="inlineStr">
        <is>
          <t>C14FIG86-16</t>
        </is>
      </c>
      <c r="E476" s="9" t="inlineStr">
        <is>
          <t>description</t>
        </is>
      </c>
      <c r="F476" s="10" t="n">
        <v>1704</v>
      </c>
      <c r="G476" s="18" t="n">
        <v>12.72</v>
      </c>
      <c r="H476" s="10">
        <f>IF(G476="","",G476*Ayarlar!$B$3+Ayarlar!$B$4+Ayarlar!$B$5)</f>
        <v/>
      </c>
      <c r="I476" s="10">
        <f>IF(G476="","",ROUNDUP(((G476*Ayarlar!$B$3+Ayarlar!$B$4+Ayarlar!$B$5)+Ayarlar!$B$8)/((1-Ayarlar!$B$6)*(1-Ayarlar!$B$7)),0))</f>
        <v/>
      </c>
      <c r="J476" s="10">
        <f>IF(G476="","",ROUNDUP(((G476*Ayarlar!$B$3+Ayarlar!$B$4+Ayarlar!$B$5)+Ayarlar!$B$8)/((1-Ayarlar!$B$6)*(1-Ayarlar!$B$7-Ayarlar!$B$9)),0))</f>
        <v/>
      </c>
      <c r="K476" s="12">
        <f>IF(OR(G476="",F476=""),"",(F476*(1-Ayarlar!$B$6)-(F476*(1-Ayarlar!$B$6)*Ayarlar!$B$7+Ayarlar!$B$8)-(G476*Ayarlar!$B$3+Ayarlar!$B$4+Ayarlar!$B$5))/(F476*(1-Ayarlar!$B$6)))</f>
        <v/>
      </c>
      <c r="L476" s="9">
        <f>IF(G476="","GRAM EKSİK",IF(F476&gt;30000,"FİYAT ŞÜPHELİ",IF(K476&lt;0,"ZARARDA",IF(F476&lt;I476,"RİSKLİ","ok"))))</f>
        <v/>
      </c>
      <c r="M476" s="13" t="inlineStr">
        <is>
          <t>https://www.etsy.com/listing/1868666012</t>
        </is>
      </c>
    </row>
    <row r="477">
      <c r="A477" s="3" t="inlineStr">
        <is>
          <t>chains</t>
        </is>
      </c>
      <c r="B477" s="3" t="inlineStr">
        <is>
          <t>14K Yellow Gold Figaro Link Chain / Elegant Everyday Necklac</t>
        </is>
      </c>
      <c r="C477" s="3" t="n">
        <v>1868666012</v>
      </c>
      <c r="D477" s="3" t="inlineStr">
        <is>
          <t>C14FIG86-18</t>
        </is>
      </c>
      <c r="E477" s="3" t="inlineStr">
        <is>
          <t>description</t>
        </is>
      </c>
      <c r="F477" s="14" t="n">
        <v>2179</v>
      </c>
      <c r="G477" s="17" t="n">
        <v>14.31</v>
      </c>
      <c r="H477" s="14">
        <f>IF(G477="","",G477*Ayarlar!$B$3+Ayarlar!$B$4+Ayarlar!$B$5)</f>
        <v/>
      </c>
      <c r="I477" s="14">
        <f>IF(G477="","",ROUNDUP(((G477*Ayarlar!$B$3+Ayarlar!$B$4+Ayarlar!$B$5)+Ayarlar!$B$8)/((1-Ayarlar!$B$6)*(1-Ayarlar!$B$7)),0))</f>
        <v/>
      </c>
      <c r="J477" s="14">
        <f>IF(G477="","",ROUNDUP(((G477*Ayarlar!$B$3+Ayarlar!$B$4+Ayarlar!$B$5)+Ayarlar!$B$8)/((1-Ayarlar!$B$6)*(1-Ayarlar!$B$7-Ayarlar!$B$9)),0))</f>
        <v/>
      </c>
      <c r="K477" s="15">
        <f>IF(OR(G477="",F477=""),"",(F477*(1-Ayarlar!$B$6)-(F477*(1-Ayarlar!$B$6)*Ayarlar!$B$7+Ayarlar!$B$8)-(G477*Ayarlar!$B$3+Ayarlar!$B$4+Ayarlar!$B$5))/(F477*(1-Ayarlar!$B$6)))</f>
        <v/>
      </c>
      <c r="L477" s="3">
        <f>IF(G477="","GRAM EKSİK",IF(F477&gt;30000,"FİYAT ŞÜPHELİ",IF(K477&lt;0,"ZARARDA",IF(F477&lt;I477,"RİSKLİ","ok"))))</f>
        <v/>
      </c>
      <c r="M477" s="16" t="inlineStr">
        <is>
          <t>https://www.etsy.com/listing/1868666012</t>
        </is>
      </c>
    </row>
    <row r="478">
      <c r="A478" s="9" t="inlineStr">
        <is>
          <t>chains</t>
        </is>
      </c>
      <c r="B478" s="9" t="inlineStr">
        <is>
          <t>14K Yellow Gold Figaro Link Chain / Elegant Everyday Necklac</t>
        </is>
      </c>
      <c r="C478" s="9" t="n">
        <v>1868666012</v>
      </c>
      <c r="D478" s="9" t="inlineStr">
        <is>
          <t>C14FIG86-20</t>
        </is>
      </c>
      <c r="E478" s="9" t="inlineStr">
        <is>
          <t>description</t>
        </is>
      </c>
      <c r="F478" s="10" t="n">
        <v>2450</v>
      </c>
      <c r="G478" s="18" t="n">
        <v>15.9</v>
      </c>
      <c r="H478" s="10">
        <f>IF(G478="","",G478*Ayarlar!$B$3+Ayarlar!$B$4+Ayarlar!$B$5)</f>
        <v/>
      </c>
      <c r="I478" s="10">
        <f>IF(G478="","",ROUNDUP(((G478*Ayarlar!$B$3+Ayarlar!$B$4+Ayarlar!$B$5)+Ayarlar!$B$8)/((1-Ayarlar!$B$6)*(1-Ayarlar!$B$7)),0))</f>
        <v/>
      </c>
      <c r="J478" s="10">
        <f>IF(G478="","",ROUNDUP(((G478*Ayarlar!$B$3+Ayarlar!$B$4+Ayarlar!$B$5)+Ayarlar!$B$8)/((1-Ayarlar!$B$6)*(1-Ayarlar!$B$7-Ayarlar!$B$9)),0))</f>
        <v/>
      </c>
      <c r="K478" s="12">
        <f>IF(OR(G478="",F478=""),"",(F478*(1-Ayarlar!$B$6)-(F478*(1-Ayarlar!$B$6)*Ayarlar!$B$7+Ayarlar!$B$8)-(G478*Ayarlar!$B$3+Ayarlar!$B$4+Ayarlar!$B$5))/(F478*(1-Ayarlar!$B$6)))</f>
        <v/>
      </c>
      <c r="L478" s="9">
        <f>IF(G478="","GRAM EKSİK",IF(F478&gt;30000,"FİYAT ŞÜPHELİ",IF(K478&lt;0,"ZARARDA",IF(F478&lt;I478,"RİSKLİ","ok"))))</f>
        <v/>
      </c>
      <c r="M478" s="13" t="inlineStr">
        <is>
          <t>https://www.etsy.com/listing/1868666012</t>
        </is>
      </c>
    </row>
    <row r="479">
      <c r="A479" s="3" t="inlineStr">
        <is>
          <t>chains</t>
        </is>
      </c>
      <c r="B479" s="3" t="inlineStr">
        <is>
          <t>14K Yellow Gold Figaro Link Chain / Elegant Everyday Necklac</t>
        </is>
      </c>
      <c r="C479" s="3" t="n">
        <v>1868666012</v>
      </c>
      <c r="D479" s="3" t="inlineStr">
        <is>
          <t>C14FIG86-22</t>
        </is>
      </c>
      <c r="E479" s="3" t="inlineStr">
        <is>
          <t>description</t>
        </is>
      </c>
      <c r="F479" s="14" t="n">
        <v>2721</v>
      </c>
      <c r="G479" s="17" t="n">
        <v>17.49</v>
      </c>
      <c r="H479" s="14">
        <f>IF(G479="","",G479*Ayarlar!$B$3+Ayarlar!$B$4+Ayarlar!$B$5)</f>
        <v/>
      </c>
      <c r="I479" s="14">
        <f>IF(G479="","",ROUNDUP(((G479*Ayarlar!$B$3+Ayarlar!$B$4+Ayarlar!$B$5)+Ayarlar!$B$8)/((1-Ayarlar!$B$6)*(1-Ayarlar!$B$7)),0))</f>
        <v/>
      </c>
      <c r="J479" s="14">
        <f>IF(G479="","",ROUNDUP(((G479*Ayarlar!$B$3+Ayarlar!$B$4+Ayarlar!$B$5)+Ayarlar!$B$8)/((1-Ayarlar!$B$6)*(1-Ayarlar!$B$7-Ayarlar!$B$9)),0))</f>
        <v/>
      </c>
      <c r="K479" s="15">
        <f>IF(OR(G479="",F479=""),"",(F479*(1-Ayarlar!$B$6)-(F479*(1-Ayarlar!$B$6)*Ayarlar!$B$7+Ayarlar!$B$8)-(G479*Ayarlar!$B$3+Ayarlar!$B$4+Ayarlar!$B$5))/(F479*(1-Ayarlar!$B$6)))</f>
        <v/>
      </c>
      <c r="L479" s="3">
        <f>IF(G479="","GRAM EKSİK",IF(F479&gt;30000,"FİYAT ŞÜPHELİ",IF(K479&lt;0,"ZARARDA",IF(F479&lt;I479,"RİSKLİ","ok"))))</f>
        <v/>
      </c>
      <c r="M479" s="16" t="inlineStr">
        <is>
          <t>https://www.etsy.com/listing/1868666012</t>
        </is>
      </c>
    </row>
    <row r="480">
      <c r="A480" s="9" t="inlineStr">
        <is>
          <t>chains</t>
        </is>
      </c>
      <c r="B480" s="9" t="inlineStr">
        <is>
          <t>14K Yellow Gold Figaro Link Chain / Elegant Everyday Necklac</t>
        </is>
      </c>
      <c r="C480" s="9" t="n">
        <v>1868666012</v>
      </c>
      <c r="D480" s="9" t="inlineStr">
        <is>
          <t>C14FIG86-24</t>
        </is>
      </c>
      <c r="E480" s="9" t="inlineStr">
        <is>
          <t>description</t>
        </is>
      </c>
      <c r="F480" s="10" t="n">
        <v>2992</v>
      </c>
      <c r="G480" s="18" t="n">
        <v>19.08</v>
      </c>
      <c r="H480" s="10">
        <f>IF(G480="","",G480*Ayarlar!$B$3+Ayarlar!$B$4+Ayarlar!$B$5)</f>
        <v/>
      </c>
      <c r="I480" s="10">
        <f>IF(G480="","",ROUNDUP(((G480*Ayarlar!$B$3+Ayarlar!$B$4+Ayarlar!$B$5)+Ayarlar!$B$8)/((1-Ayarlar!$B$6)*(1-Ayarlar!$B$7)),0))</f>
        <v/>
      </c>
      <c r="J480" s="10">
        <f>IF(G480="","",ROUNDUP(((G480*Ayarlar!$B$3+Ayarlar!$B$4+Ayarlar!$B$5)+Ayarlar!$B$8)/((1-Ayarlar!$B$6)*(1-Ayarlar!$B$7-Ayarlar!$B$9)),0))</f>
        <v/>
      </c>
      <c r="K480" s="12">
        <f>IF(OR(G480="",F480=""),"",(F480*(1-Ayarlar!$B$6)-(F480*(1-Ayarlar!$B$6)*Ayarlar!$B$7+Ayarlar!$B$8)-(G480*Ayarlar!$B$3+Ayarlar!$B$4+Ayarlar!$B$5))/(F480*(1-Ayarlar!$B$6)))</f>
        <v/>
      </c>
      <c r="L480" s="9">
        <f>IF(G480="","GRAM EKSİK",IF(F480&gt;30000,"FİYAT ŞÜPHELİ",IF(K480&lt;0,"ZARARDA",IF(F480&lt;I480,"RİSKLİ","ok"))))</f>
        <v/>
      </c>
      <c r="M480" s="13" t="inlineStr">
        <is>
          <t>https://www.etsy.com/listing/1868666012</t>
        </is>
      </c>
    </row>
    <row r="481">
      <c r="A481" s="3" t="inlineStr">
        <is>
          <t>chains</t>
        </is>
      </c>
      <c r="B481" s="3" t="inlineStr">
        <is>
          <t>14K Yellow Gold Figaro Link Chain / Women's, Men's Jewelry</t>
        </is>
      </c>
      <c r="C481" s="3" t="n">
        <v>1863505492</v>
      </c>
      <c r="D481" s="3" t="inlineStr">
        <is>
          <t>C14FIG1-16</t>
        </is>
      </c>
      <c r="E481" s="3" t="inlineStr">
        <is>
          <t>shipstation</t>
        </is>
      </c>
      <c r="F481" s="14" t="n">
        <v>223</v>
      </c>
      <c r="G481" s="17" t="n">
        <v>1.33</v>
      </c>
      <c r="H481" s="14">
        <f>IF(G481="","",G481*Ayarlar!$B$3+Ayarlar!$B$4+Ayarlar!$B$5)</f>
        <v/>
      </c>
      <c r="I481" s="14">
        <f>IF(G481="","",ROUNDUP(((G481*Ayarlar!$B$3+Ayarlar!$B$4+Ayarlar!$B$5)+Ayarlar!$B$8)/((1-Ayarlar!$B$6)*(1-Ayarlar!$B$7)),0))</f>
        <v/>
      </c>
      <c r="J481" s="14">
        <f>IF(G481="","",ROUNDUP(((G481*Ayarlar!$B$3+Ayarlar!$B$4+Ayarlar!$B$5)+Ayarlar!$B$8)/((1-Ayarlar!$B$6)*(1-Ayarlar!$B$7-Ayarlar!$B$9)),0))</f>
        <v/>
      </c>
      <c r="K481" s="15">
        <f>IF(OR(G481="",F481=""),"",(F481*(1-Ayarlar!$B$6)-(F481*(1-Ayarlar!$B$6)*Ayarlar!$B$7+Ayarlar!$B$8)-(G481*Ayarlar!$B$3+Ayarlar!$B$4+Ayarlar!$B$5))/(F481*(1-Ayarlar!$B$6)))</f>
        <v/>
      </c>
      <c r="L481" s="3">
        <f>IF(G481="","GRAM EKSİK",IF(F481&gt;30000,"FİYAT ŞÜPHELİ",IF(K481&lt;0,"ZARARDA",IF(F481&lt;I481,"RİSKLİ","ok"))))</f>
        <v/>
      </c>
      <c r="M481" s="16" t="inlineStr">
        <is>
          <t>https://www.etsy.com/listing/1863505492</t>
        </is>
      </c>
    </row>
    <row r="482">
      <c r="A482" s="9" t="inlineStr">
        <is>
          <t>chains</t>
        </is>
      </c>
      <c r="B482" s="9" t="inlineStr">
        <is>
          <t>14K Yellow Gold Figaro Link Chain / Women's, Men's Jewelry</t>
        </is>
      </c>
      <c r="C482" s="9" t="n">
        <v>1863505492</v>
      </c>
      <c r="D482" s="9" t="inlineStr">
        <is>
          <t>C14FIG1-18</t>
        </is>
      </c>
      <c r="E482" s="9" t="inlineStr">
        <is>
          <t>description</t>
        </is>
      </c>
      <c r="F482" s="10" t="n">
        <v>289</v>
      </c>
      <c r="G482" s="18" t="n">
        <v>1.54</v>
      </c>
      <c r="H482" s="10">
        <f>IF(G482="","",G482*Ayarlar!$B$3+Ayarlar!$B$4+Ayarlar!$B$5)</f>
        <v/>
      </c>
      <c r="I482" s="10">
        <f>IF(G482="","",ROUNDUP(((G482*Ayarlar!$B$3+Ayarlar!$B$4+Ayarlar!$B$5)+Ayarlar!$B$8)/((1-Ayarlar!$B$6)*(1-Ayarlar!$B$7)),0))</f>
        <v/>
      </c>
      <c r="J482" s="10">
        <f>IF(G482="","",ROUNDUP(((G482*Ayarlar!$B$3+Ayarlar!$B$4+Ayarlar!$B$5)+Ayarlar!$B$8)/((1-Ayarlar!$B$6)*(1-Ayarlar!$B$7-Ayarlar!$B$9)),0))</f>
        <v/>
      </c>
      <c r="K482" s="12">
        <f>IF(OR(G482="",F482=""),"",(F482*(1-Ayarlar!$B$6)-(F482*(1-Ayarlar!$B$6)*Ayarlar!$B$7+Ayarlar!$B$8)-(G482*Ayarlar!$B$3+Ayarlar!$B$4+Ayarlar!$B$5))/(F482*(1-Ayarlar!$B$6)))</f>
        <v/>
      </c>
      <c r="L482" s="9">
        <f>IF(G482="","GRAM EKSİK",IF(F482&gt;30000,"FİYAT ŞÜPHELİ",IF(K482&lt;0,"ZARARDA",IF(F482&lt;I482,"RİSKLİ","ok"))))</f>
        <v/>
      </c>
      <c r="M482" s="13" t="inlineStr">
        <is>
          <t>https://www.etsy.com/listing/1863505492</t>
        </is>
      </c>
    </row>
    <row r="483">
      <c r="A483" s="3" t="inlineStr">
        <is>
          <t>chains</t>
        </is>
      </c>
      <c r="B483" s="3" t="inlineStr">
        <is>
          <t>14K Yellow Gold Figaro Link Chain / Women's, Men's Jewelry</t>
        </is>
      </c>
      <c r="C483" s="3" t="n">
        <v>1863505492</v>
      </c>
      <c r="D483" s="3" t="inlineStr">
        <is>
          <t>C14FIG1-20</t>
        </is>
      </c>
      <c r="E483" s="3" t="inlineStr">
        <is>
          <t>description</t>
        </is>
      </c>
      <c r="F483" s="14" t="n">
        <v>313</v>
      </c>
      <c r="G483" s="17" t="n">
        <v>1.71</v>
      </c>
      <c r="H483" s="14">
        <f>IF(G483="","",G483*Ayarlar!$B$3+Ayarlar!$B$4+Ayarlar!$B$5)</f>
        <v/>
      </c>
      <c r="I483" s="14">
        <f>IF(G483="","",ROUNDUP(((G483*Ayarlar!$B$3+Ayarlar!$B$4+Ayarlar!$B$5)+Ayarlar!$B$8)/((1-Ayarlar!$B$6)*(1-Ayarlar!$B$7)),0))</f>
        <v/>
      </c>
      <c r="J483" s="14">
        <f>IF(G483="","",ROUNDUP(((G483*Ayarlar!$B$3+Ayarlar!$B$4+Ayarlar!$B$5)+Ayarlar!$B$8)/((1-Ayarlar!$B$6)*(1-Ayarlar!$B$7-Ayarlar!$B$9)),0))</f>
        <v/>
      </c>
      <c r="K483" s="15">
        <f>IF(OR(G483="",F483=""),"",(F483*(1-Ayarlar!$B$6)-(F483*(1-Ayarlar!$B$6)*Ayarlar!$B$7+Ayarlar!$B$8)-(G483*Ayarlar!$B$3+Ayarlar!$B$4+Ayarlar!$B$5))/(F483*(1-Ayarlar!$B$6)))</f>
        <v/>
      </c>
      <c r="L483" s="3">
        <f>IF(G483="","GRAM EKSİK",IF(F483&gt;30000,"FİYAT ŞÜPHELİ",IF(K483&lt;0,"ZARARDA",IF(F483&lt;I483,"RİSKLİ","ok"))))</f>
        <v/>
      </c>
      <c r="M483" s="16" t="inlineStr">
        <is>
          <t>https://www.etsy.com/listing/1863505492</t>
        </is>
      </c>
    </row>
    <row r="484">
      <c r="A484" s="9" t="inlineStr">
        <is>
          <t>chains</t>
        </is>
      </c>
      <c r="B484" s="9" t="inlineStr">
        <is>
          <t>14K Yellow Gold Figaro Link Chain / Women's, Men's Jewelry</t>
        </is>
      </c>
      <c r="C484" s="9" t="n">
        <v>1863505492</v>
      </c>
      <c r="D484" s="9" t="inlineStr">
        <is>
          <t>C14FIG1-22</t>
        </is>
      </c>
      <c r="E484" s="9" t="inlineStr">
        <is>
          <t>description</t>
        </is>
      </c>
      <c r="F484" s="10" t="n">
        <v>337</v>
      </c>
      <c r="G484" s="18" t="n">
        <v>1.88</v>
      </c>
      <c r="H484" s="10">
        <f>IF(G484="","",G484*Ayarlar!$B$3+Ayarlar!$B$4+Ayarlar!$B$5)</f>
        <v/>
      </c>
      <c r="I484" s="10">
        <f>IF(G484="","",ROUNDUP(((G484*Ayarlar!$B$3+Ayarlar!$B$4+Ayarlar!$B$5)+Ayarlar!$B$8)/((1-Ayarlar!$B$6)*(1-Ayarlar!$B$7)),0))</f>
        <v/>
      </c>
      <c r="J484" s="10">
        <f>IF(G484="","",ROUNDUP(((G484*Ayarlar!$B$3+Ayarlar!$B$4+Ayarlar!$B$5)+Ayarlar!$B$8)/((1-Ayarlar!$B$6)*(1-Ayarlar!$B$7-Ayarlar!$B$9)),0))</f>
        <v/>
      </c>
      <c r="K484" s="12">
        <f>IF(OR(G484="",F484=""),"",(F484*(1-Ayarlar!$B$6)-(F484*(1-Ayarlar!$B$6)*Ayarlar!$B$7+Ayarlar!$B$8)-(G484*Ayarlar!$B$3+Ayarlar!$B$4+Ayarlar!$B$5))/(F484*(1-Ayarlar!$B$6)))</f>
        <v/>
      </c>
      <c r="L484" s="9">
        <f>IF(G484="","GRAM EKSİK",IF(F484&gt;30000,"FİYAT ŞÜPHELİ",IF(K484&lt;0,"ZARARDA",IF(F484&lt;I484,"RİSKLİ","ok"))))</f>
        <v/>
      </c>
      <c r="M484" s="13" t="inlineStr">
        <is>
          <t>https://www.etsy.com/listing/1863505492</t>
        </is>
      </c>
    </row>
    <row r="485">
      <c r="A485" s="3" t="inlineStr">
        <is>
          <t>chains</t>
        </is>
      </c>
      <c r="B485" s="3" t="inlineStr">
        <is>
          <t>14K Yellow Gold Figaro Link Chain / Women's, Men's Jewelry</t>
        </is>
      </c>
      <c r="C485" s="3" t="n">
        <v>1863505492</v>
      </c>
      <c r="D485" s="3" t="inlineStr">
        <is>
          <t>C14FIG1-24</t>
        </is>
      </c>
      <c r="E485" s="3" t="inlineStr">
        <is>
          <t>description</t>
        </is>
      </c>
      <c r="F485" s="14" t="n">
        <v>360</v>
      </c>
      <c r="G485" s="17" t="n">
        <v>2.06</v>
      </c>
      <c r="H485" s="14">
        <f>IF(G485="","",G485*Ayarlar!$B$3+Ayarlar!$B$4+Ayarlar!$B$5)</f>
        <v/>
      </c>
      <c r="I485" s="14">
        <f>IF(G485="","",ROUNDUP(((G485*Ayarlar!$B$3+Ayarlar!$B$4+Ayarlar!$B$5)+Ayarlar!$B$8)/((1-Ayarlar!$B$6)*(1-Ayarlar!$B$7)),0))</f>
        <v/>
      </c>
      <c r="J485" s="14">
        <f>IF(G485="","",ROUNDUP(((G485*Ayarlar!$B$3+Ayarlar!$B$4+Ayarlar!$B$5)+Ayarlar!$B$8)/((1-Ayarlar!$B$6)*(1-Ayarlar!$B$7-Ayarlar!$B$9)),0))</f>
        <v/>
      </c>
      <c r="K485" s="15">
        <f>IF(OR(G485="",F485=""),"",(F485*(1-Ayarlar!$B$6)-(F485*(1-Ayarlar!$B$6)*Ayarlar!$B$7+Ayarlar!$B$8)-(G485*Ayarlar!$B$3+Ayarlar!$B$4+Ayarlar!$B$5))/(F485*(1-Ayarlar!$B$6)))</f>
        <v/>
      </c>
      <c r="L485" s="3">
        <f>IF(G485="","GRAM EKSİK",IF(F485&gt;30000,"FİYAT ŞÜPHELİ",IF(K485&lt;0,"ZARARDA",IF(F485&lt;I485,"RİSKLİ","ok"))))</f>
        <v/>
      </c>
      <c r="M485" s="16" t="inlineStr">
        <is>
          <t>https://www.etsy.com/listing/1863505492</t>
        </is>
      </c>
    </row>
    <row r="486">
      <c r="A486" s="9" t="inlineStr">
        <is>
          <t>chains</t>
        </is>
      </c>
      <c r="B486" s="9" t="inlineStr">
        <is>
          <t>14K Yellow Gold Figaro Link Chain / Women's, Men's Jewelry</t>
        </is>
      </c>
      <c r="C486" s="9" t="n">
        <v>1863505492</v>
      </c>
      <c r="D486" s="9" t="inlineStr">
        <is>
          <t>C14FIG2-16</t>
        </is>
      </c>
      <c r="E486" s="9" t="inlineStr">
        <is>
          <t>shipstation</t>
        </is>
      </c>
      <c r="F486" s="10" t="n">
        <v>337</v>
      </c>
      <c r="G486" s="18" t="n">
        <v>1.88</v>
      </c>
      <c r="H486" s="10">
        <f>IF(G486="","",G486*Ayarlar!$B$3+Ayarlar!$B$4+Ayarlar!$B$5)</f>
        <v/>
      </c>
      <c r="I486" s="10">
        <f>IF(G486="","",ROUNDUP(((G486*Ayarlar!$B$3+Ayarlar!$B$4+Ayarlar!$B$5)+Ayarlar!$B$8)/((1-Ayarlar!$B$6)*(1-Ayarlar!$B$7)),0))</f>
        <v/>
      </c>
      <c r="J486" s="10">
        <f>IF(G486="","",ROUNDUP(((G486*Ayarlar!$B$3+Ayarlar!$B$4+Ayarlar!$B$5)+Ayarlar!$B$8)/((1-Ayarlar!$B$6)*(1-Ayarlar!$B$7-Ayarlar!$B$9)),0))</f>
        <v/>
      </c>
      <c r="K486" s="12">
        <f>IF(OR(G486="",F486=""),"",(F486*(1-Ayarlar!$B$6)-(F486*(1-Ayarlar!$B$6)*Ayarlar!$B$7+Ayarlar!$B$8)-(G486*Ayarlar!$B$3+Ayarlar!$B$4+Ayarlar!$B$5))/(F486*(1-Ayarlar!$B$6)))</f>
        <v/>
      </c>
      <c r="L486" s="9">
        <f>IF(G486="","GRAM EKSİK",IF(F486&gt;30000,"FİYAT ŞÜPHELİ",IF(K486&lt;0,"ZARARDA",IF(F486&lt;I486,"RİSKLİ","ok"))))</f>
        <v/>
      </c>
      <c r="M486" s="13" t="inlineStr">
        <is>
          <t>https://www.etsy.com/listing/1863505492</t>
        </is>
      </c>
    </row>
    <row r="487">
      <c r="A487" s="3" t="inlineStr">
        <is>
          <t>chains</t>
        </is>
      </c>
      <c r="B487" s="3" t="inlineStr">
        <is>
          <t>14K Yellow Gold Figaro Link Chain / Women's, Men's Jewelry</t>
        </is>
      </c>
      <c r="C487" s="3" t="n">
        <v>1863505492</v>
      </c>
      <c r="D487" s="3" t="inlineStr">
        <is>
          <t>C14FIG2-18</t>
        </is>
      </c>
      <c r="E487" s="3" t="inlineStr">
        <is>
          <t>shipstation</t>
        </is>
      </c>
      <c r="F487" s="14" t="n">
        <v>384</v>
      </c>
      <c r="G487" s="17" t="n">
        <v>2.95</v>
      </c>
      <c r="H487" s="14">
        <f>IF(G487="","",G487*Ayarlar!$B$3+Ayarlar!$B$4+Ayarlar!$B$5)</f>
        <v/>
      </c>
      <c r="I487" s="14">
        <f>IF(G487="","",ROUNDUP(((G487*Ayarlar!$B$3+Ayarlar!$B$4+Ayarlar!$B$5)+Ayarlar!$B$8)/((1-Ayarlar!$B$6)*(1-Ayarlar!$B$7)),0))</f>
        <v/>
      </c>
      <c r="J487" s="14">
        <f>IF(G487="","",ROUNDUP(((G487*Ayarlar!$B$3+Ayarlar!$B$4+Ayarlar!$B$5)+Ayarlar!$B$8)/((1-Ayarlar!$B$6)*(1-Ayarlar!$B$7-Ayarlar!$B$9)),0))</f>
        <v/>
      </c>
      <c r="K487" s="15">
        <f>IF(OR(G487="",F487=""),"",(F487*(1-Ayarlar!$B$6)-(F487*(1-Ayarlar!$B$6)*Ayarlar!$B$7+Ayarlar!$B$8)-(G487*Ayarlar!$B$3+Ayarlar!$B$4+Ayarlar!$B$5))/(F487*(1-Ayarlar!$B$6)))</f>
        <v/>
      </c>
      <c r="L487" s="3">
        <f>IF(G487="","GRAM EKSİK",IF(F487&gt;30000,"FİYAT ŞÜPHELİ",IF(K487&lt;0,"ZARARDA",IF(F487&lt;I487,"RİSKLİ","ok"))))</f>
        <v/>
      </c>
      <c r="M487" s="16" t="inlineStr">
        <is>
          <t>https://www.etsy.com/listing/1863505492</t>
        </is>
      </c>
    </row>
    <row r="488">
      <c r="A488" s="9" t="inlineStr">
        <is>
          <t>chains</t>
        </is>
      </c>
      <c r="B488" s="9" t="inlineStr">
        <is>
          <t>14K Yellow Gold Figaro Link Chain / Women's, Men's Jewelry</t>
        </is>
      </c>
      <c r="C488" s="9" t="n">
        <v>1863505492</v>
      </c>
      <c r="D488" s="9" t="inlineStr">
        <is>
          <t>C14FIG2-20</t>
        </is>
      </c>
      <c r="E488" s="9" t="inlineStr">
        <is>
          <t>description</t>
        </is>
      </c>
      <c r="F488" s="10" t="n">
        <v>421</v>
      </c>
      <c r="G488" s="18" t="n">
        <v>2.33</v>
      </c>
      <c r="H488" s="10">
        <f>IF(G488="","",G488*Ayarlar!$B$3+Ayarlar!$B$4+Ayarlar!$B$5)</f>
        <v/>
      </c>
      <c r="I488" s="10">
        <f>IF(G488="","",ROUNDUP(((G488*Ayarlar!$B$3+Ayarlar!$B$4+Ayarlar!$B$5)+Ayarlar!$B$8)/((1-Ayarlar!$B$6)*(1-Ayarlar!$B$7)),0))</f>
        <v/>
      </c>
      <c r="J488" s="10">
        <f>IF(G488="","",ROUNDUP(((G488*Ayarlar!$B$3+Ayarlar!$B$4+Ayarlar!$B$5)+Ayarlar!$B$8)/((1-Ayarlar!$B$6)*(1-Ayarlar!$B$7-Ayarlar!$B$9)),0))</f>
        <v/>
      </c>
      <c r="K488" s="12">
        <f>IF(OR(G488="",F488=""),"",(F488*(1-Ayarlar!$B$6)-(F488*(1-Ayarlar!$B$6)*Ayarlar!$B$7+Ayarlar!$B$8)-(G488*Ayarlar!$B$3+Ayarlar!$B$4+Ayarlar!$B$5))/(F488*(1-Ayarlar!$B$6)))</f>
        <v/>
      </c>
      <c r="L488" s="9">
        <f>IF(G488="","GRAM EKSİK",IF(F488&gt;30000,"FİYAT ŞÜPHELİ",IF(K488&lt;0,"ZARARDA",IF(F488&lt;I488,"RİSKLİ","ok"))))</f>
        <v/>
      </c>
      <c r="M488" s="13" t="inlineStr">
        <is>
          <t>https://www.etsy.com/listing/1863505492</t>
        </is>
      </c>
    </row>
    <row r="489">
      <c r="A489" s="3" t="inlineStr">
        <is>
          <t>chains</t>
        </is>
      </c>
      <c r="B489" s="3" t="inlineStr">
        <is>
          <t>14K Yellow Gold Figaro Link Chain / Women's, Men's Jewelry</t>
        </is>
      </c>
      <c r="C489" s="3" t="n">
        <v>1863505492</v>
      </c>
      <c r="D489" s="3" t="inlineStr">
        <is>
          <t>C14FIG2-22</t>
        </is>
      </c>
      <c r="E489" s="3" t="inlineStr">
        <is>
          <t>description</t>
        </is>
      </c>
      <c r="F489" s="14" t="n">
        <v>463</v>
      </c>
      <c r="G489" s="17" t="n">
        <v>2.56</v>
      </c>
      <c r="H489" s="14">
        <f>IF(G489="","",G489*Ayarlar!$B$3+Ayarlar!$B$4+Ayarlar!$B$5)</f>
        <v/>
      </c>
      <c r="I489" s="14">
        <f>IF(G489="","",ROUNDUP(((G489*Ayarlar!$B$3+Ayarlar!$B$4+Ayarlar!$B$5)+Ayarlar!$B$8)/((1-Ayarlar!$B$6)*(1-Ayarlar!$B$7)),0))</f>
        <v/>
      </c>
      <c r="J489" s="14">
        <f>IF(G489="","",ROUNDUP(((G489*Ayarlar!$B$3+Ayarlar!$B$4+Ayarlar!$B$5)+Ayarlar!$B$8)/((1-Ayarlar!$B$6)*(1-Ayarlar!$B$7-Ayarlar!$B$9)),0))</f>
        <v/>
      </c>
      <c r="K489" s="15">
        <f>IF(OR(G489="",F489=""),"",(F489*(1-Ayarlar!$B$6)-(F489*(1-Ayarlar!$B$6)*Ayarlar!$B$7+Ayarlar!$B$8)-(G489*Ayarlar!$B$3+Ayarlar!$B$4+Ayarlar!$B$5))/(F489*(1-Ayarlar!$B$6)))</f>
        <v/>
      </c>
      <c r="L489" s="3">
        <f>IF(G489="","GRAM EKSİK",IF(F489&gt;30000,"FİYAT ŞÜPHELİ",IF(K489&lt;0,"ZARARDA",IF(F489&lt;I489,"RİSKLİ","ok"))))</f>
        <v/>
      </c>
      <c r="M489" s="16" t="inlineStr">
        <is>
          <t>https://www.etsy.com/listing/1863505492</t>
        </is>
      </c>
    </row>
    <row r="490">
      <c r="A490" s="9" t="inlineStr">
        <is>
          <t>chains</t>
        </is>
      </c>
      <c r="B490" s="9" t="inlineStr">
        <is>
          <t>14K Yellow Gold Figaro Link Chain / Women's, Men's Jewelry</t>
        </is>
      </c>
      <c r="C490" s="9" t="n">
        <v>1863505492</v>
      </c>
      <c r="D490" s="9" t="inlineStr">
        <is>
          <t>C14FIG2-24</t>
        </is>
      </c>
      <c r="E490" s="9" t="inlineStr">
        <is>
          <t>description</t>
        </is>
      </c>
      <c r="F490" s="10" t="n">
        <v>505</v>
      </c>
      <c r="G490" s="18" t="n">
        <v>2.79</v>
      </c>
      <c r="H490" s="10">
        <f>IF(G490="","",G490*Ayarlar!$B$3+Ayarlar!$B$4+Ayarlar!$B$5)</f>
        <v/>
      </c>
      <c r="I490" s="10">
        <f>IF(G490="","",ROUNDUP(((G490*Ayarlar!$B$3+Ayarlar!$B$4+Ayarlar!$B$5)+Ayarlar!$B$8)/((1-Ayarlar!$B$6)*(1-Ayarlar!$B$7)),0))</f>
        <v/>
      </c>
      <c r="J490" s="10">
        <f>IF(G490="","",ROUNDUP(((G490*Ayarlar!$B$3+Ayarlar!$B$4+Ayarlar!$B$5)+Ayarlar!$B$8)/((1-Ayarlar!$B$6)*(1-Ayarlar!$B$7-Ayarlar!$B$9)),0))</f>
        <v/>
      </c>
      <c r="K490" s="12">
        <f>IF(OR(G490="",F490=""),"",(F490*(1-Ayarlar!$B$6)-(F490*(1-Ayarlar!$B$6)*Ayarlar!$B$7+Ayarlar!$B$8)-(G490*Ayarlar!$B$3+Ayarlar!$B$4+Ayarlar!$B$5))/(F490*(1-Ayarlar!$B$6)))</f>
        <v/>
      </c>
      <c r="L490" s="9">
        <f>IF(G490="","GRAM EKSİK",IF(F490&gt;30000,"FİYAT ŞÜPHELİ",IF(K490&lt;0,"ZARARDA",IF(F490&lt;I490,"RİSKLİ","ok"))))</f>
        <v/>
      </c>
      <c r="M490" s="13" t="inlineStr">
        <is>
          <t>https://www.etsy.com/listing/1863505492</t>
        </is>
      </c>
    </row>
    <row r="491">
      <c r="A491" s="3" t="inlineStr">
        <is>
          <t>chains</t>
        </is>
      </c>
      <c r="B491" s="3" t="inlineStr">
        <is>
          <t>14K Yellow Gold Figaro Link Chain / Women's, Men's Jewelry</t>
        </is>
      </c>
      <c r="C491" s="3" t="n">
        <v>1863505492</v>
      </c>
      <c r="D491" s="3" t="inlineStr">
        <is>
          <t>C14FIG3-16</t>
        </is>
      </c>
      <c r="E491" s="3" t="inlineStr">
        <is>
          <t>description</t>
        </is>
      </c>
      <c r="F491" s="14" t="n">
        <v>541</v>
      </c>
      <c r="G491" s="17" t="n">
        <v>2.93</v>
      </c>
      <c r="H491" s="14">
        <f>IF(G491="","",G491*Ayarlar!$B$3+Ayarlar!$B$4+Ayarlar!$B$5)</f>
        <v/>
      </c>
      <c r="I491" s="14">
        <f>IF(G491="","",ROUNDUP(((G491*Ayarlar!$B$3+Ayarlar!$B$4+Ayarlar!$B$5)+Ayarlar!$B$8)/((1-Ayarlar!$B$6)*(1-Ayarlar!$B$7)),0))</f>
        <v/>
      </c>
      <c r="J491" s="14">
        <f>IF(G491="","",ROUNDUP(((G491*Ayarlar!$B$3+Ayarlar!$B$4+Ayarlar!$B$5)+Ayarlar!$B$8)/((1-Ayarlar!$B$6)*(1-Ayarlar!$B$7-Ayarlar!$B$9)),0))</f>
        <v/>
      </c>
      <c r="K491" s="15">
        <f>IF(OR(G491="",F491=""),"",(F491*(1-Ayarlar!$B$6)-(F491*(1-Ayarlar!$B$6)*Ayarlar!$B$7+Ayarlar!$B$8)-(G491*Ayarlar!$B$3+Ayarlar!$B$4+Ayarlar!$B$5))/(F491*(1-Ayarlar!$B$6)))</f>
        <v/>
      </c>
      <c r="L491" s="3">
        <f>IF(G491="","GRAM EKSİK",IF(F491&gt;30000,"FİYAT ŞÜPHELİ",IF(K491&lt;0,"ZARARDA",IF(F491&lt;I491,"RİSKLİ","ok"))))</f>
        <v/>
      </c>
      <c r="M491" s="16" t="inlineStr">
        <is>
          <t>https://www.etsy.com/listing/1863505492</t>
        </is>
      </c>
    </row>
    <row r="492">
      <c r="A492" s="9" t="inlineStr">
        <is>
          <t>chains</t>
        </is>
      </c>
      <c r="B492" s="9" t="inlineStr">
        <is>
          <t>14K Yellow Gold Figaro Link Chain / Women's, Men's Jewelry</t>
        </is>
      </c>
      <c r="C492" s="9" t="n">
        <v>1863505492</v>
      </c>
      <c r="D492" s="9" t="inlineStr">
        <is>
          <t>C14FIG3-18</t>
        </is>
      </c>
      <c r="E492" s="9" t="inlineStr">
        <is>
          <t>description</t>
        </is>
      </c>
      <c r="F492" s="10" t="n">
        <v>601</v>
      </c>
      <c r="G492" s="18" t="n">
        <v>3.3</v>
      </c>
      <c r="H492" s="10">
        <f>IF(G492="","",G492*Ayarlar!$B$3+Ayarlar!$B$4+Ayarlar!$B$5)</f>
        <v/>
      </c>
      <c r="I492" s="10">
        <f>IF(G492="","",ROUNDUP(((G492*Ayarlar!$B$3+Ayarlar!$B$4+Ayarlar!$B$5)+Ayarlar!$B$8)/((1-Ayarlar!$B$6)*(1-Ayarlar!$B$7)),0))</f>
        <v/>
      </c>
      <c r="J492" s="10">
        <f>IF(G492="","",ROUNDUP(((G492*Ayarlar!$B$3+Ayarlar!$B$4+Ayarlar!$B$5)+Ayarlar!$B$8)/((1-Ayarlar!$B$6)*(1-Ayarlar!$B$7-Ayarlar!$B$9)),0))</f>
        <v/>
      </c>
      <c r="K492" s="12">
        <f>IF(OR(G492="",F492=""),"",(F492*(1-Ayarlar!$B$6)-(F492*(1-Ayarlar!$B$6)*Ayarlar!$B$7+Ayarlar!$B$8)-(G492*Ayarlar!$B$3+Ayarlar!$B$4+Ayarlar!$B$5))/(F492*(1-Ayarlar!$B$6)))</f>
        <v/>
      </c>
      <c r="L492" s="9">
        <f>IF(G492="","GRAM EKSİK",IF(F492&gt;30000,"FİYAT ŞÜPHELİ",IF(K492&lt;0,"ZARARDA",IF(F492&lt;I492,"RİSKLİ","ok"))))</f>
        <v/>
      </c>
      <c r="M492" s="13" t="inlineStr">
        <is>
          <t>https://www.etsy.com/listing/1863505492</t>
        </is>
      </c>
    </row>
    <row r="493">
      <c r="A493" s="3" t="inlineStr">
        <is>
          <t>chains</t>
        </is>
      </c>
      <c r="B493" s="3" t="inlineStr">
        <is>
          <t>14K Yellow Gold Figaro Link Chain / Women's, Men's Jewelry</t>
        </is>
      </c>
      <c r="C493" s="3" t="n">
        <v>1863505492</v>
      </c>
      <c r="D493" s="3" t="inlineStr">
        <is>
          <t>C14FIG3-20</t>
        </is>
      </c>
      <c r="E493" s="3" t="inlineStr">
        <is>
          <t>shipstation</t>
        </is>
      </c>
      <c r="F493" s="14" t="n">
        <v>661</v>
      </c>
      <c r="G493" s="17" t="n">
        <v>3.62</v>
      </c>
      <c r="H493" s="14">
        <f>IF(G493="","",G493*Ayarlar!$B$3+Ayarlar!$B$4+Ayarlar!$B$5)</f>
        <v/>
      </c>
      <c r="I493" s="14">
        <f>IF(G493="","",ROUNDUP(((G493*Ayarlar!$B$3+Ayarlar!$B$4+Ayarlar!$B$5)+Ayarlar!$B$8)/((1-Ayarlar!$B$6)*(1-Ayarlar!$B$7)),0))</f>
        <v/>
      </c>
      <c r="J493" s="14">
        <f>IF(G493="","",ROUNDUP(((G493*Ayarlar!$B$3+Ayarlar!$B$4+Ayarlar!$B$5)+Ayarlar!$B$8)/((1-Ayarlar!$B$6)*(1-Ayarlar!$B$7-Ayarlar!$B$9)),0))</f>
        <v/>
      </c>
      <c r="K493" s="15">
        <f>IF(OR(G493="",F493=""),"",(F493*(1-Ayarlar!$B$6)-(F493*(1-Ayarlar!$B$6)*Ayarlar!$B$7+Ayarlar!$B$8)-(G493*Ayarlar!$B$3+Ayarlar!$B$4+Ayarlar!$B$5))/(F493*(1-Ayarlar!$B$6)))</f>
        <v/>
      </c>
      <c r="L493" s="3">
        <f>IF(G493="","GRAM EKSİK",IF(F493&gt;30000,"FİYAT ŞÜPHELİ",IF(K493&lt;0,"ZARARDA",IF(F493&lt;I493,"RİSKLİ","ok"))))</f>
        <v/>
      </c>
      <c r="M493" s="16" t="inlineStr">
        <is>
          <t>https://www.etsy.com/listing/1863505492</t>
        </is>
      </c>
    </row>
    <row r="494">
      <c r="A494" s="9" t="inlineStr">
        <is>
          <t>chains</t>
        </is>
      </c>
      <c r="B494" s="9" t="inlineStr">
        <is>
          <t>14K Yellow Gold Figaro Link Chain / Women's, Men's Jewelry</t>
        </is>
      </c>
      <c r="C494" s="9" t="n">
        <v>1863505492</v>
      </c>
      <c r="D494" s="9" t="inlineStr">
        <is>
          <t>C14FIG3-22</t>
        </is>
      </c>
      <c r="E494" s="9" t="inlineStr">
        <is>
          <t>description</t>
        </is>
      </c>
      <c r="F494" s="10" t="n">
        <v>722</v>
      </c>
      <c r="G494" s="18" t="n">
        <v>4.03</v>
      </c>
      <c r="H494" s="10">
        <f>IF(G494="","",G494*Ayarlar!$B$3+Ayarlar!$B$4+Ayarlar!$B$5)</f>
        <v/>
      </c>
      <c r="I494" s="10">
        <f>IF(G494="","",ROUNDUP(((G494*Ayarlar!$B$3+Ayarlar!$B$4+Ayarlar!$B$5)+Ayarlar!$B$8)/((1-Ayarlar!$B$6)*(1-Ayarlar!$B$7)),0))</f>
        <v/>
      </c>
      <c r="J494" s="10">
        <f>IF(G494="","",ROUNDUP(((G494*Ayarlar!$B$3+Ayarlar!$B$4+Ayarlar!$B$5)+Ayarlar!$B$8)/((1-Ayarlar!$B$6)*(1-Ayarlar!$B$7-Ayarlar!$B$9)),0))</f>
        <v/>
      </c>
      <c r="K494" s="12">
        <f>IF(OR(G494="",F494=""),"",(F494*(1-Ayarlar!$B$6)-(F494*(1-Ayarlar!$B$6)*Ayarlar!$B$7+Ayarlar!$B$8)-(G494*Ayarlar!$B$3+Ayarlar!$B$4+Ayarlar!$B$5))/(F494*(1-Ayarlar!$B$6)))</f>
        <v/>
      </c>
      <c r="L494" s="9">
        <f>IF(G494="","GRAM EKSİK",IF(F494&gt;30000,"FİYAT ŞÜPHELİ",IF(K494&lt;0,"ZARARDA",IF(F494&lt;I494,"RİSKLİ","ok"))))</f>
        <v/>
      </c>
      <c r="M494" s="13" t="inlineStr">
        <is>
          <t>https://www.etsy.com/listing/1863505492</t>
        </is>
      </c>
    </row>
    <row r="495">
      <c r="A495" s="3" t="inlineStr">
        <is>
          <t>chains</t>
        </is>
      </c>
      <c r="B495" s="3" t="inlineStr">
        <is>
          <t>14K Yellow Gold Figaro Link Chain / Women's, Men's Jewelry</t>
        </is>
      </c>
      <c r="C495" s="3" t="n">
        <v>1863505492</v>
      </c>
      <c r="D495" s="3" t="inlineStr">
        <is>
          <t>C14FIG3-24</t>
        </is>
      </c>
      <c r="E495" s="3" t="inlineStr">
        <is>
          <t>description</t>
        </is>
      </c>
      <c r="F495" s="14" t="n">
        <v>782</v>
      </c>
      <c r="G495" s="17" t="n">
        <v>4.4</v>
      </c>
      <c r="H495" s="14">
        <f>IF(G495="","",G495*Ayarlar!$B$3+Ayarlar!$B$4+Ayarlar!$B$5)</f>
        <v/>
      </c>
      <c r="I495" s="14">
        <f>IF(G495="","",ROUNDUP(((G495*Ayarlar!$B$3+Ayarlar!$B$4+Ayarlar!$B$5)+Ayarlar!$B$8)/((1-Ayarlar!$B$6)*(1-Ayarlar!$B$7)),0))</f>
        <v/>
      </c>
      <c r="J495" s="14">
        <f>IF(G495="","",ROUNDUP(((G495*Ayarlar!$B$3+Ayarlar!$B$4+Ayarlar!$B$5)+Ayarlar!$B$8)/((1-Ayarlar!$B$6)*(1-Ayarlar!$B$7-Ayarlar!$B$9)),0))</f>
        <v/>
      </c>
      <c r="K495" s="15">
        <f>IF(OR(G495="",F495=""),"",(F495*(1-Ayarlar!$B$6)-(F495*(1-Ayarlar!$B$6)*Ayarlar!$B$7+Ayarlar!$B$8)-(G495*Ayarlar!$B$3+Ayarlar!$B$4+Ayarlar!$B$5))/(F495*(1-Ayarlar!$B$6)))</f>
        <v/>
      </c>
      <c r="L495" s="3">
        <f>IF(G495="","GRAM EKSİK",IF(F495&gt;30000,"FİYAT ŞÜPHELİ",IF(K495&lt;0,"ZARARDA",IF(F495&lt;I495,"RİSKLİ","ok"))))</f>
        <v/>
      </c>
      <c r="M495" s="16" t="inlineStr">
        <is>
          <t>https://www.etsy.com/listing/1863505492</t>
        </is>
      </c>
    </row>
    <row r="496">
      <c r="A496" s="9" t="inlineStr">
        <is>
          <t>chains</t>
        </is>
      </c>
      <c r="B496" s="9" t="inlineStr">
        <is>
          <t>14K Yellow Gold Figaro Link Chain / Women's, Men's Jewelry</t>
        </is>
      </c>
      <c r="C496" s="9" t="n">
        <v>1863505492</v>
      </c>
      <c r="D496" s="9" t="inlineStr">
        <is>
          <t>C14FIG4-16</t>
        </is>
      </c>
      <c r="E496" s="9" t="inlineStr">
        <is>
          <t>description</t>
        </is>
      </c>
      <c r="F496" s="10" t="n">
        <v>841</v>
      </c>
      <c r="G496" s="18" t="n">
        <v>4.6</v>
      </c>
      <c r="H496" s="10">
        <f>IF(G496="","",G496*Ayarlar!$B$3+Ayarlar!$B$4+Ayarlar!$B$5)</f>
        <v/>
      </c>
      <c r="I496" s="10">
        <f>IF(G496="","",ROUNDUP(((G496*Ayarlar!$B$3+Ayarlar!$B$4+Ayarlar!$B$5)+Ayarlar!$B$8)/((1-Ayarlar!$B$6)*(1-Ayarlar!$B$7)),0))</f>
        <v/>
      </c>
      <c r="J496" s="10">
        <f>IF(G496="","",ROUNDUP(((G496*Ayarlar!$B$3+Ayarlar!$B$4+Ayarlar!$B$5)+Ayarlar!$B$8)/((1-Ayarlar!$B$6)*(1-Ayarlar!$B$7-Ayarlar!$B$9)),0))</f>
        <v/>
      </c>
      <c r="K496" s="12">
        <f>IF(OR(G496="",F496=""),"",(F496*(1-Ayarlar!$B$6)-(F496*(1-Ayarlar!$B$6)*Ayarlar!$B$7+Ayarlar!$B$8)-(G496*Ayarlar!$B$3+Ayarlar!$B$4+Ayarlar!$B$5))/(F496*(1-Ayarlar!$B$6)))</f>
        <v/>
      </c>
      <c r="L496" s="9">
        <f>IF(G496="","GRAM EKSİK",IF(F496&gt;30000,"FİYAT ŞÜPHELİ",IF(K496&lt;0,"ZARARDA",IF(F496&lt;I496,"RİSKLİ","ok"))))</f>
        <v/>
      </c>
      <c r="M496" s="13" t="inlineStr">
        <is>
          <t>https://www.etsy.com/listing/1863505492</t>
        </is>
      </c>
    </row>
    <row r="497">
      <c r="A497" s="3" t="inlineStr">
        <is>
          <t>chains</t>
        </is>
      </c>
      <c r="B497" s="3" t="inlineStr">
        <is>
          <t>14K Yellow Gold Figaro Link Chain / Women's, Men's Jewelry</t>
        </is>
      </c>
      <c r="C497" s="3" t="n">
        <v>1863505492</v>
      </c>
      <c r="D497" s="3" t="inlineStr">
        <is>
          <t>C14FIG4-18</t>
        </is>
      </c>
      <c r="E497" s="3" t="inlineStr">
        <is>
          <t>description</t>
        </is>
      </c>
      <c r="F497" s="14" t="n">
        <v>950</v>
      </c>
      <c r="G497" s="17" t="n">
        <v>5.18</v>
      </c>
      <c r="H497" s="14">
        <f>IF(G497="","",G497*Ayarlar!$B$3+Ayarlar!$B$4+Ayarlar!$B$5)</f>
        <v/>
      </c>
      <c r="I497" s="14">
        <f>IF(G497="","",ROUNDUP(((G497*Ayarlar!$B$3+Ayarlar!$B$4+Ayarlar!$B$5)+Ayarlar!$B$8)/((1-Ayarlar!$B$6)*(1-Ayarlar!$B$7)),0))</f>
        <v/>
      </c>
      <c r="J497" s="14">
        <f>IF(G497="","",ROUNDUP(((G497*Ayarlar!$B$3+Ayarlar!$B$4+Ayarlar!$B$5)+Ayarlar!$B$8)/((1-Ayarlar!$B$6)*(1-Ayarlar!$B$7-Ayarlar!$B$9)),0))</f>
        <v/>
      </c>
      <c r="K497" s="15">
        <f>IF(OR(G497="",F497=""),"",(F497*(1-Ayarlar!$B$6)-(F497*(1-Ayarlar!$B$6)*Ayarlar!$B$7+Ayarlar!$B$8)-(G497*Ayarlar!$B$3+Ayarlar!$B$4+Ayarlar!$B$5))/(F497*(1-Ayarlar!$B$6)))</f>
        <v/>
      </c>
      <c r="L497" s="3">
        <f>IF(G497="","GRAM EKSİK",IF(F497&gt;30000,"FİYAT ŞÜPHELİ",IF(K497&lt;0,"ZARARDA",IF(F497&lt;I497,"RİSKLİ","ok"))))</f>
        <v/>
      </c>
      <c r="M497" s="16" t="inlineStr">
        <is>
          <t>https://www.etsy.com/listing/1863505492</t>
        </is>
      </c>
    </row>
    <row r="498">
      <c r="A498" s="9" t="inlineStr">
        <is>
          <t>chains</t>
        </is>
      </c>
      <c r="B498" s="9" t="inlineStr">
        <is>
          <t>14K Yellow Gold Figaro Link Chain / Women's, Men's Jewelry</t>
        </is>
      </c>
      <c r="C498" s="9" t="n">
        <v>1863505492</v>
      </c>
      <c r="D498" s="9" t="inlineStr">
        <is>
          <t>C14FIG4-20</t>
        </is>
      </c>
      <c r="E498" s="9" t="inlineStr">
        <is>
          <t>shipstation</t>
        </is>
      </c>
      <c r="F498" s="10" t="n">
        <v>1051</v>
      </c>
      <c r="G498" s="18" t="n">
        <v>5.72</v>
      </c>
      <c r="H498" s="10">
        <f>IF(G498="","",G498*Ayarlar!$B$3+Ayarlar!$B$4+Ayarlar!$B$5)</f>
        <v/>
      </c>
      <c r="I498" s="10">
        <f>IF(G498="","",ROUNDUP(((G498*Ayarlar!$B$3+Ayarlar!$B$4+Ayarlar!$B$5)+Ayarlar!$B$8)/((1-Ayarlar!$B$6)*(1-Ayarlar!$B$7)),0))</f>
        <v/>
      </c>
      <c r="J498" s="10">
        <f>IF(G498="","",ROUNDUP(((G498*Ayarlar!$B$3+Ayarlar!$B$4+Ayarlar!$B$5)+Ayarlar!$B$8)/((1-Ayarlar!$B$6)*(1-Ayarlar!$B$7-Ayarlar!$B$9)),0))</f>
        <v/>
      </c>
      <c r="K498" s="12">
        <f>IF(OR(G498="",F498=""),"",(F498*(1-Ayarlar!$B$6)-(F498*(1-Ayarlar!$B$6)*Ayarlar!$B$7+Ayarlar!$B$8)-(G498*Ayarlar!$B$3+Ayarlar!$B$4+Ayarlar!$B$5))/(F498*(1-Ayarlar!$B$6)))</f>
        <v/>
      </c>
      <c r="L498" s="9">
        <f>IF(G498="","GRAM EKSİK",IF(F498&gt;30000,"FİYAT ŞÜPHELİ",IF(K498&lt;0,"ZARARDA",IF(F498&lt;I498,"RİSKLİ","ok"))))</f>
        <v/>
      </c>
      <c r="M498" s="13" t="inlineStr">
        <is>
          <t>https://www.etsy.com/listing/1863505492</t>
        </is>
      </c>
    </row>
    <row r="499">
      <c r="A499" s="3" t="inlineStr">
        <is>
          <t>chains</t>
        </is>
      </c>
      <c r="B499" s="3" t="inlineStr">
        <is>
          <t>14K Yellow Gold Figaro Link Chain / Women's, Men's Jewelry</t>
        </is>
      </c>
      <c r="C499" s="3" t="n">
        <v>1863505492</v>
      </c>
      <c r="D499" s="3" t="inlineStr">
        <is>
          <t>C14FIG4-22</t>
        </is>
      </c>
      <c r="E499" s="3" t="inlineStr">
        <is>
          <t>description</t>
        </is>
      </c>
      <c r="F499" s="14" t="n">
        <v>1153</v>
      </c>
      <c r="G499" s="17" t="n">
        <v>6.33</v>
      </c>
      <c r="H499" s="14">
        <f>IF(G499="","",G499*Ayarlar!$B$3+Ayarlar!$B$4+Ayarlar!$B$5)</f>
        <v/>
      </c>
      <c r="I499" s="14">
        <f>IF(G499="","",ROUNDUP(((G499*Ayarlar!$B$3+Ayarlar!$B$4+Ayarlar!$B$5)+Ayarlar!$B$8)/((1-Ayarlar!$B$6)*(1-Ayarlar!$B$7)),0))</f>
        <v/>
      </c>
      <c r="J499" s="14">
        <f>IF(G499="","",ROUNDUP(((G499*Ayarlar!$B$3+Ayarlar!$B$4+Ayarlar!$B$5)+Ayarlar!$B$8)/((1-Ayarlar!$B$6)*(1-Ayarlar!$B$7-Ayarlar!$B$9)),0))</f>
        <v/>
      </c>
      <c r="K499" s="15">
        <f>IF(OR(G499="",F499=""),"",(F499*(1-Ayarlar!$B$6)-(F499*(1-Ayarlar!$B$6)*Ayarlar!$B$7+Ayarlar!$B$8)-(G499*Ayarlar!$B$3+Ayarlar!$B$4+Ayarlar!$B$5))/(F499*(1-Ayarlar!$B$6)))</f>
        <v/>
      </c>
      <c r="L499" s="3">
        <f>IF(G499="","GRAM EKSİK",IF(F499&gt;30000,"FİYAT ŞÜPHELİ",IF(K499&lt;0,"ZARARDA",IF(F499&lt;I499,"RİSKLİ","ok"))))</f>
        <v/>
      </c>
      <c r="M499" s="16" t="inlineStr">
        <is>
          <t>https://www.etsy.com/listing/1863505492</t>
        </is>
      </c>
    </row>
    <row r="500">
      <c r="A500" s="9" t="inlineStr">
        <is>
          <t>chains</t>
        </is>
      </c>
      <c r="B500" s="9" t="inlineStr">
        <is>
          <t>14K Yellow Gold Figaro Link Chain / Women's, Men's Jewelry</t>
        </is>
      </c>
      <c r="C500" s="9" t="n">
        <v>1863505492</v>
      </c>
      <c r="D500" s="9" t="inlineStr">
        <is>
          <t>C14FIG4-24</t>
        </is>
      </c>
      <c r="E500" s="9" t="inlineStr">
        <is>
          <t>description</t>
        </is>
      </c>
      <c r="F500" s="10" t="n">
        <v>1262</v>
      </c>
      <c r="G500" s="18" t="n">
        <v>6.91</v>
      </c>
      <c r="H500" s="10">
        <f>IF(G500="","",G500*Ayarlar!$B$3+Ayarlar!$B$4+Ayarlar!$B$5)</f>
        <v/>
      </c>
      <c r="I500" s="10">
        <f>IF(G500="","",ROUNDUP(((G500*Ayarlar!$B$3+Ayarlar!$B$4+Ayarlar!$B$5)+Ayarlar!$B$8)/((1-Ayarlar!$B$6)*(1-Ayarlar!$B$7)),0))</f>
        <v/>
      </c>
      <c r="J500" s="10">
        <f>IF(G500="","",ROUNDUP(((G500*Ayarlar!$B$3+Ayarlar!$B$4+Ayarlar!$B$5)+Ayarlar!$B$8)/((1-Ayarlar!$B$6)*(1-Ayarlar!$B$7-Ayarlar!$B$9)),0))</f>
        <v/>
      </c>
      <c r="K500" s="12">
        <f>IF(OR(G500="",F500=""),"",(F500*(1-Ayarlar!$B$6)-(F500*(1-Ayarlar!$B$6)*Ayarlar!$B$7+Ayarlar!$B$8)-(G500*Ayarlar!$B$3+Ayarlar!$B$4+Ayarlar!$B$5))/(F500*(1-Ayarlar!$B$6)))</f>
        <v/>
      </c>
      <c r="L500" s="9">
        <f>IF(G500="","GRAM EKSİK",IF(F500&gt;30000,"FİYAT ŞÜPHELİ",IF(K500&lt;0,"ZARARDA",IF(F500&lt;I500,"RİSKLİ","ok"))))</f>
        <v/>
      </c>
      <c r="M500" s="13" t="inlineStr">
        <is>
          <t>https://www.etsy.com/listing/1863505492</t>
        </is>
      </c>
    </row>
    <row r="501">
      <c r="A501" s="3" t="inlineStr">
        <is>
          <t>chains</t>
        </is>
      </c>
      <c r="B501" s="3" t="inlineStr">
        <is>
          <t>14K Yellow Gold Figaro Link Chain / Women's, Men's Jewelry</t>
        </is>
      </c>
      <c r="C501" s="3" t="n">
        <v>1863505492</v>
      </c>
      <c r="D501" s="3" t="inlineStr">
        <is>
          <t>C14FIG5-16</t>
        </is>
      </c>
      <c r="E501" s="3" t="inlineStr">
        <is>
          <t>description</t>
        </is>
      </c>
      <c r="F501" s="14" t="n">
        <v>1201</v>
      </c>
      <c r="G501" s="17" t="n">
        <v>6.4</v>
      </c>
      <c r="H501" s="14">
        <f>IF(G501="","",G501*Ayarlar!$B$3+Ayarlar!$B$4+Ayarlar!$B$5)</f>
        <v/>
      </c>
      <c r="I501" s="14">
        <f>IF(G501="","",ROUNDUP(((G501*Ayarlar!$B$3+Ayarlar!$B$4+Ayarlar!$B$5)+Ayarlar!$B$8)/((1-Ayarlar!$B$6)*(1-Ayarlar!$B$7)),0))</f>
        <v/>
      </c>
      <c r="J501" s="14">
        <f>IF(G501="","",ROUNDUP(((G501*Ayarlar!$B$3+Ayarlar!$B$4+Ayarlar!$B$5)+Ayarlar!$B$8)/((1-Ayarlar!$B$6)*(1-Ayarlar!$B$7-Ayarlar!$B$9)),0))</f>
        <v/>
      </c>
      <c r="K501" s="15">
        <f>IF(OR(G501="",F501=""),"",(F501*(1-Ayarlar!$B$6)-(F501*(1-Ayarlar!$B$6)*Ayarlar!$B$7+Ayarlar!$B$8)-(G501*Ayarlar!$B$3+Ayarlar!$B$4+Ayarlar!$B$5))/(F501*(1-Ayarlar!$B$6)))</f>
        <v/>
      </c>
      <c r="L501" s="3">
        <f>IF(G501="","GRAM EKSİK",IF(F501&gt;30000,"FİYAT ŞÜPHELİ",IF(K501&lt;0,"ZARARDA",IF(F501&lt;I501,"RİSKLİ","ok"))))</f>
        <v/>
      </c>
      <c r="M501" s="16" t="inlineStr">
        <is>
          <t>https://www.etsy.com/listing/1863505492</t>
        </is>
      </c>
    </row>
    <row r="502">
      <c r="A502" s="9" t="inlineStr">
        <is>
          <t>chains</t>
        </is>
      </c>
      <c r="B502" s="9" t="inlineStr">
        <is>
          <t>14K Yellow Gold Figaro Link Chain / Women's, Men's Jewelry</t>
        </is>
      </c>
      <c r="C502" s="9" t="n">
        <v>1863505492</v>
      </c>
      <c r="D502" s="9" t="inlineStr">
        <is>
          <t>C14FIG5-18</t>
        </is>
      </c>
      <c r="E502" s="9" t="inlineStr">
        <is>
          <t>description</t>
        </is>
      </c>
      <c r="F502" s="10" t="n">
        <v>1351</v>
      </c>
      <c r="G502" s="18" t="n">
        <v>7.2</v>
      </c>
      <c r="H502" s="10">
        <f>IF(G502="","",G502*Ayarlar!$B$3+Ayarlar!$B$4+Ayarlar!$B$5)</f>
        <v/>
      </c>
      <c r="I502" s="10">
        <f>IF(G502="","",ROUNDUP(((G502*Ayarlar!$B$3+Ayarlar!$B$4+Ayarlar!$B$5)+Ayarlar!$B$8)/((1-Ayarlar!$B$6)*(1-Ayarlar!$B$7)),0))</f>
        <v/>
      </c>
      <c r="J502" s="10">
        <f>IF(G502="","",ROUNDUP(((G502*Ayarlar!$B$3+Ayarlar!$B$4+Ayarlar!$B$5)+Ayarlar!$B$8)/((1-Ayarlar!$B$6)*(1-Ayarlar!$B$7-Ayarlar!$B$9)),0))</f>
        <v/>
      </c>
      <c r="K502" s="12">
        <f>IF(OR(G502="",F502=""),"",(F502*(1-Ayarlar!$B$6)-(F502*(1-Ayarlar!$B$6)*Ayarlar!$B$7+Ayarlar!$B$8)-(G502*Ayarlar!$B$3+Ayarlar!$B$4+Ayarlar!$B$5))/(F502*(1-Ayarlar!$B$6)))</f>
        <v/>
      </c>
      <c r="L502" s="9">
        <f>IF(G502="","GRAM EKSİK",IF(F502&gt;30000,"FİYAT ŞÜPHELİ",IF(K502&lt;0,"ZARARDA",IF(F502&lt;I502,"RİSKLİ","ok"))))</f>
        <v/>
      </c>
      <c r="M502" s="13" t="inlineStr">
        <is>
          <t>https://www.etsy.com/listing/1863505492</t>
        </is>
      </c>
    </row>
    <row r="503">
      <c r="A503" s="3" t="inlineStr">
        <is>
          <t>chains</t>
        </is>
      </c>
      <c r="B503" s="3" t="inlineStr">
        <is>
          <t>14K Yellow Gold Figaro Link Chain / Women's, Men's Jewelry</t>
        </is>
      </c>
      <c r="C503" s="3" t="n">
        <v>1863505492</v>
      </c>
      <c r="D503" s="3" t="inlineStr">
        <is>
          <t>C14FIG5-20</t>
        </is>
      </c>
      <c r="E503" s="3" t="inlineStr">
        <is>
          <t>shipstation</t>
        </is>
      </c>
      <c r="F503" s="14" t="n">
        <v>1501</v>
      </c>
      <c r="G503" s="17" t="n">
        <v>8.050000000000001</v>
      </c>
      <c r="H503" s="14">
        <f>IF(G503="","",G503*Ayarlar!$B$3+Ayarlar!$B$4+Ayarlar!$B$5)</f>
        <v/>
      </c>
      <c r="I503" s="14">
        <f>IF(G503="","",ROUNDUP(((G503*Ayarlar!$B$3+Ayarlar!$B$4+Ayarlar!$B$5)+Ayarlar!$B$8)/((1-Ayarlar!$B$6)*(1-Ayarlar!$B$7)),0))</f>
        <v/>
      </c>
      <c r="J503" s="14">
        <f>IF(G503="","",ROUNDUP(((G503*Ayarlar!$B$3+Ayarlar!$B$4+Ayarlar!$B$5)+Ayarlar!$B$8)/((1-Ayarlar!$B$6)*(1-Ayarlar!$B$7-Ayarlar!$B$9)),0))</f>
        <v/>
      </c>
      <c r="K503" s="15">
        <f>IF(OR(G503="",F503=""),"",(F503*(1-Ayarlar!$B$6)-(F503*(1-Ayarlar!$B$6)*Ayarlar!$B$7+Ayarlar!$B$8)-(G503*Ayarlar!$B$3+Ayarlar!$B$4+Ayarlar!$B$5))/(F503*(1-Ayarlar!$B$6)))</f>
        <v/>
      </c>
      <c r="L503" s="3">
        <f>IF(G503="","GRAM EKSİK",IF(F503&gt;30000,"FİYAT ŞÜPHELİ",IF(K503&lt;0,"ZARARDA",IF(F503&lt;I503,"RİSKLİ","ok"))))</f>
        <v/>
      </c>
      <c r="M503" s="16" t="inlineStr">
        <is>
          <t>https://www.etsy.com/listing/1863505492</t>
        </is>
      </c>
    </row>
    <row r="504">
      <c r="A504" s="9" t="inlineStr">
        <is>
          <t>chains</t>
        </is>
      </c>
      <c r="B504" s="9" t="inlineStr">
        <is>
          <t>14K Yellow Gold Figaro Link Chain / Women's, Men's Jewelry</t>
        </is>
      </c>
      <c r="C504" s="9" t="n">
        <v>1863505492</v>
      </c>
      <c r="D504" s="9" t="inlineStr">
        <is>
          <t>C14FIG5-22</t>
        </is>
      </c>
      <c r="E504" s="9" t="inlineStr">
        <is>
          <t>description</t>
        </is>
      </c>
      <c r="F504" s="10" t="n">
        <v>1651</v>
      </c>
      <c r="G504" s="18" t="n">
        <v>8.800000000000001</v>
      </c>
      <c r="H504" s="10">
        <f>IF(G504="","",G504*Ayarlar!$B$3+Ayarlar!$B$4+Ayarlar!$B$5)</f>
        <v/>
      </c>
      <c r="I504" s="10">
        <f>IF(G504="","",ROUNDUP(((G504*Ayarlar!$B$3+Ayarlar!$B$4+Ayarlar!$B$5)+Ayarlar!$B$8)/((1-Ayarlar!$B$6)*(1-Ayarlar!$B$7)),0))</f>
        <v/>
      </c>
      <c r="J504" s="10">
        <f>IF(G504="","",ROUNDUP(((G504*Ayarlar!$B$3+Ayarlar!$B$4+Ayarlar!$B$5)+Ayarlar!$B$8)/((1-Ayarlar!$B$6)*(1-Ayarlar!$B$7-Ayarlar!$B$9)),0))</f>
        <v/>
      </c>
      <c r="K504" s="12">
        <f>IF(OR(G504="",F504=""),"",(F504*(1-Ayarlar!$B$6)-(F504*(1-Ayarlar!$B$6)*Ayarlar!$B$7+Ayarlar!$B$8)-(G504*Ayarlar!$B$3+Ayarlar!$B$4+Ayarlar!$B$5))/(F504*(1-Ayarlar!$B$6)))</f>
        <v/>
      </c>
      <c r="L504" s="9">
        <f>IF(G504="","GRAM EKSİK",IF(F504&gt;30000,"FİYAT ŞÜPHELİ",IF(K504&lt;0,"ZARARDA",IF(F504&lt;I504,"RİSKLİ","ok"))))</f>
        <v/>
      </c>
      <c r="M504" s="13" t="inlineStr">
        <is>
          <t>https://www.etsy.com/listing/1863505492</t>
        </is>
      </c>
    </row>
    <row r="505">
      <c r="A505" s="3" t="inlineStr">
        <is>
          <t>chains</t>
        </is>
      </c>
      <c r="B505" s="3" t="inlineStr">
        <is>
          <t>14K Yellow Gold Figaro Link Chain / Women's, Men's Jewelry</t>
        </is>
      </c>
      <c r="C505" s="3" t="n">
        <v>1863505492</v>
      </c>
      <c r="D505" s="3" t="inlineStr">
        <is>
          <t>C14FIG5-24</t>
        </is>
      </c>
      <c r="E505" s="3" t="inlineStr">
        <is>
          <t>description</t>
        </is>
      </c>
      <c r="F505" s="14" t="n">
        <v>1801</v>
      </c>
      <c r="G505" s="17" t="n">
        <v>9.6</v>
      </c>
      <c r="H505" s="14">
        <f>IF(G505="","",G505*Ayarlar!$B$3+Ayarlar!$B$4+Ayarlar!$B$5)</f>
        <v/>
      </c>
      <c r="I505" s="14">
        <f>IF(G505="","",ROUNDUP(((G505*Ayarlar!$B$3+Ayarlar!$B$4+Ayarlar!$B$5)+Ayarlar!$B$8)/((1-Ayarlar!$B$6)*(1-Ayarlar!$B$7)),0))</f>
        <v/>
      </c>
      <c r="J505" s="14">
        <f>IF(G505="","",ROUNDUP(((G505*Ayarlar!$B$3+Ayarlar!$B$4+Ayarlar!$B$5)+Ayarlar!$B$8)/((1-Ayarlar!$B$6)*(1-Ayarlar!$B$7-Ayarlar!$B$9)),0))</f>
        <v/>
      </c>
      <c r="K505" s="15">
        <f>IF(OR(G505="",F505=""),"",(F505*(1-Ayarlar!$B$6)-(F505*(1-Ayarlar!$B$6)*Ayarlar!$B$7+Ayarlar!$B$8)-(G505*Ayarlar!$B$3+Ayarlar!$B$4+Ayarlar!$B$5))/(F505*(1-Ayarlar!$B$6)))</f>
        <v/>
      </c>
      <c r="L505" s="3">
        <f>IF(G505="","GRAM EKSİK",IF(F505&gt;30000,"FİYAT ŞÜPHELİ",IF(K505&lt;0,"ZARARDA",IF(F505&lt;I505,"RİSKLİ","ok"))))</f>
        <v/>
      </c>
      <c r="M505" s="16" t="inlineStr">
        <is>
          <t>https://www.etsy.com/listing/1863505492</t>
        </is>
      </c>
    </row>
    <row r="506">
      <c r="A506" s="9" t="inlineStr">
        <is>
          <t>chains</t>
        </is>
      </c>
      <c r="B506" s="9" t="inlineStr">
        <is>
          <t>14K Yellow Gold Paperclip Chain Necklace / Solid Gold</t>
        </is>
      </c>
      <c r="C506" s="9" t="n">
        <v>1862635763</v>
      </c>
      <c r="D506" s="9" t="inlineStr">
        <is>
          <t>CPS1-16</t>
        </is>
      </c>
      <c r="E506" s="9" t="inlineStr">
        <is>
          <t>description</t>
        </is>
      </c>
      <c r="F506" s="10" t="n">
        <v>2410</v>
      </c>
      <c r="G506" s="18" t="n">
        <v>14.26</v>
      </c>
      <c r="H506" s="10">
        <f>IF(G506="","",G506*Ayarlar!$B$3+Ayarlar!$B$4+Ayarlar!$B$5)</f>
        <v/>
      </c>
      <c r="I506" s="10">
        <f>IF(G506="","",ROUNDUP(((G506*Ayarlar!$B$3+Ayarlar!$B$4+Ayarlar!$B$5)+Ayarlar!$B$8)/((1-Ayarlar!$B$6)*(1-Ayarlar!$B$7)),0))</f>
        <v/>
      </c>
      <c r="J506" s="10">
        <f>IF(G506="","",ROUNDUP(((G506*Ayarlar!$B$3+Ayarlar!$B$4+Ayarlar!$B$5)+Ayarlar!$B$8)/((1-Ayarlar!$B$6)*(1-Ayarlar!$B$7-Ayarlar!$B$9)),0))</f>
        <v/>
      </c>
      <c r="K506" s="12">
        <f>IF(OR(G506="",F506=""),"",(F506*(1-Ayarlar!$B$6)-(F506*(1-Ayarlar!$B$6)*Ayarlar!$B$7+Ayarlar!$B$8)-(G506*Ayarlar!$B$3+Ayarlar!$B$4+Ayarlar!$B$5))/(F506*(1-Ayarlar!$B$6)))</f>
        <v/>
      </c>
      <c r="L506" s="9">
        <f>IF(G506="","GRAM EKSİK",IF(F506&gt;30000,"FİYAT ŞÜPHELİ",IF(K506&lt;0,"ZARARDA",IF(F506&lt;I506,"RİSKLİ","ok"))))</f>
        <v/>
      </c>
      <c r="M506" s="13" t="inlineStr">
        <is>
          <t>https://www.etsy.com/listing/1862635763</t>
        </is>
      </c>
    </row>
    <row r="507">
      <c r="A507" s="3" t="inlineStr">
        <is>
          <t>chains</t>
        </is>
      </c>
      <c r="B507" s="3" t="inlineStr">
        <is>
          <t>14K Yellow Gold Paperclip Chain Necklace / Solid Gold</t>
        </is>
      </c>
      <c r="C507" s="3" t="n">
        <v>1862635763</v>
      </c>
      <c r="D507" s="3" t="inlineStr">
        <is>
          <t>CPS1-18</t>
        </is>
      </c>
      <c r="E507" s="3" t="inlineStr">
        <is>
          <t>description</t>
        </is>
      </c>
      <c r="F507" s="14" t="n">
        <v>2711</v>
      </c>
      <c r="G507" s="17" t="n">
        <v>16.04</v>
      </c>
      <c r="H507" s="14">
        <f>IF(G507="","",G507*Ayarlar!$B$3+Ayarlar!$B$4+Ayarlar!$B$5)</f>
        <v/>
      </c>
      <c r="I507" s="14">
        <f>IF(G507="","",ROUNDUP(((G507*Ayarlar!$B$3+Ayarlar!$B$4+Ayarlar!$B$5)+Ayarlar!$B$8)/((1-Ayarlar!$B$6)*(1-Ayarlar!$B$7)),0))</f>
        <v/>
      </c>
      <c r="J507" s="14">
        <f>IF(G507="","",ROUNDUP(((G507*Ayarlar!$B$3+Ayarlar!$B$4+Ayarlar!$B$5)+Ayarlar!$B$8)/((1-Ayarlar!$B$6)*(1-Ayarlar!$B$7-Ayarlar!$B$9)),0))</f>
        <v/>
      </c>
      <c r="K507" s="15">
        <f>IF(OR(G507="",F507=""),"",(F507*(1-Ayarlar!$B$6)-(F507*(1-Ayarlar!$B$6)*Ayarlar!$B$7+Ayarlar!$B$8)-(G507*Ayarlar!$B$3+Ayarlar!$B$4+Ayarlar!$B$5))/(F507*(1-Ayarlar!$B$6)))</f>
        <v/>
      </c>
      <c r="L507" s="3">
        <f>IF(G507="","GRAM EKSİK",IF(F507&gt;30000,"FİYAT ŞÜPHELİ",IF(K507&lt;0,"ZARARDA",IF(F507&lt;I507,"RİSKLİ","ok"))))</f>
        <v/>
      </c>
      <c r="M507" s="16" t="inlineStr">
        <is>
          <t>https://www.etsy.com/listing/1862635763</t>
        </is>
      </c>
    </row>
    <row r="508">
      <c r="A508" s="9" t="inlineStr">
        <is>
          <t>chains</t>
        </is>
      </c>
      <c r="B508" s="9" t="inlineStr">
        <is>
          <t>14K Yellow Gold Paperclip Chain Necklace / Solid Gold</t>
        </is>
      </c>
      <c r="C508" s="9" t="n">
        <v>1862635763</v>
      </c>
      <c r="D508" s="9" t="inlineStr">
        <is>
          <t>CPS1-20</t>
        </is>
      </c>
      <c r="E508" s="9" t="inlineStr">
        <is>
          <t>description</t>
        </is>
      </c>
      <c r="F508" s="10" t="n">
        <v>3013</v>
      </c>
      <c r="G508" s="18" t="n">
        <v>17.83</v>
      </c>
      <c r="H508" s="10">
        <f>IF(G508="","",G508*Ayarlar!$B$3+Ayarlar!$B$4+Ayarlar!$B$5)</f>
        <v/>
      </c>
      <c r="I508" s="10">
        <f>IF(G508="","",ROUNDUP(((G508*Ayarlar!$B$3+Ayarlar!$B$4+Ayarlar!$B$5)+Ayarlar!$B$8)/((1-Ayarlar!$B$6)*(1-Ayarlar!$B$7)),0))</f>
        <v/>
      </c>
      <c r="J508" s="10">
        <f>IF(G508="","",ROUNDUP(((G508*Ayarlar!$B$3+Ayarlar!$B$4+Ayarlar!$B$5)+Ayarlar!$B$8)/((1-Ayarlar!$B$6)*(1-Ayarlar!$B$7-Ayarlar!$B$9)),0))</f>
        <v/>
      </c>
      <c r="K508" s="12">
        <f>IF(OR(G508="",F508=""),"",(F508*(1-Ayarlar!$B$6)-(F508*(1-Ayarlar!$B$6)*Ayarlar!$B$7+Ayarlar!$B$8)-(G508*Ayarlar!$B$3+Ayarlar!$B$4+Ayarlar!$B$5))/(F508*(1-Ayarlar!$B$6)))</f>
        <v/>
      </c>
      <c r="L508" s="9">
        <f>IF(G508="","GRAM EKSİK",IF(F508&gt;30000,"FİYAT ŞÜPHELİ",IF(K508&lt;0,"ZARARDA",IF(F508&lt;I508,"RİSKLİ","ok"))))</f>
        <v/>
      </c>
      <c r="M508" s="13" t="inlineStr">
        <is>
          <t>https://www.etsy.com/listing/1862635763</t>
        </is>
      </c>
    </row>
    <row r="509">
      <c r="A509" s="3" t="inlineStr">
        <is>
          <t>chains</t>
        </is>
      </c>
      <c r="B509" s="3" t="inlineStr">
        <is>
          <t>14K Yellow Gold Paperclip Chain Necklace / Solid Gold</t>
        </is>
      </c>
      <c r="C509" s="3" t="n">
        <v>1862635763</v>
      </c>
      <c r="D509" s="3" t="inlineStr">
        <is>
          <t>CPS1-22</t>
        </is>
      </c>
      <c r="E509" s="3" t="inlineStr">
        <is>
          <t>description</t>
        </is>
      </c>
      <c r="F509" s="14" t="n">
        <v>3314</v>
      </c>
      <c r="G509" s="17" t="n">
        <v>19.61</v>
      </c>
      <c r="H509" s="14">
        <f>IF(G509="","",G509*Ayarlar!$B$3+Ayarlar!$B$4+Ayarlar!$B$5)</f>
        <v/>
      </c>
      <c r="I509" s="14">
        <f>IF(G509="","",ROUNDUP(((G509*Ayarlar!$B$3+Ayarlar!$B$4+Ayarlar!$B$5)+Ayarlar!$B$8)/((1-Ayarlar!$B$6)*(1-Ayarlar!$B$7)),0))</f>
        <v/>
      </c>
      <c r="J509" s="14">
        <f>IF(G509="","",ROUNDUP(((G509*Ayarlar!$B$3+Ayarlar!$B$4+Ayarlar!$B$5)+Ayarlar!$B$8)/((1-Ayarlar!$B$6)*(1-Ayarlar!$B$7-Ayarlar!$B$9)),0))</f>
        <v/>
      </c>
      <c r="K509" s="15">
        <f>IF(OR(G509="",F509=""),"",(F509*(1-Ayarlar!$B$6)-(F509*(1-Ayarlar!$B$6)*Ayarlar!$B$7+Ayarlar!$B$8)-(G509*Ayarlar!$B$3+Ayarlar!$B$4+Ayarlar!$B$5))/(F509*(1-Ayarlar!$B$6)))</f>
        <v/>
      </c>
      <c r="L509" s="3">
        <f>IF(G509="","GRAM EKSİK",IF(F509&gt;30000,"FİYAT ŞÜPHELİ",IF(K509&lt;0,"ZARARDA",IF(F509&lt;I509,"RİSKLİ","ok"))))</f>
        <v/>
      </c>
      <c r="M509" s="16" t="inlineStr">
        <is>
          <t>https://www.etsy.com/listing/1862635763</t>
        </is>
      </c>
    </row>
    <row r="510">
      <c r="A510" s="9" t="inlineStr">
        <is>
          <t>chains</t>
        </is>
      </c>
      <c r="B510" s="9" t="inlineStr">
        <is>
          <t>14K Yellow Gold Paperclip Chain Necklace / Solid Gold</t>
        </is>
      </c>
      <c r="C510" s="9" t="n">
        <v>1862635763</v>
      </c>
      <c r="D510" s="9" t="inlineStr">
        <is>
          <t>CPS1-24</t>
        </is>
      </c>
      <c r="E510" s="9" t="inlineStr">
        <is>
          <t>description</t>
        </is>
      </c>
      <c r="F510" s="10" t="n">
        <v>3615</v>
      </c>
      <c r="G510" s="18" t="n">
        <v>21.39</v>
      </c>
      <c r="H510" s="10">
        <f>IF(G510="","",G510*Ayarlar!$B$3+Ayarlar!$B$4+Ayarlar!$B$5)</f>
        <v/>
      </c>
      <c r="I510" s="10">
        <f>IF(G510="","",ROUNDUP(((G510*Ayarlar!$B$3+Ayarlar!$B$4+Ayarlar!$B$5)+Ayarlar!$B$8)/((1-Ayarlar!$B$6)*(1-Ayarlar!$B$7)),0))</f>
        <v/>
      </c>
      <c r="J510" s="10">
        <f>IF(G510="","",ROUNDUP(((G510*Ayarlar!$B$3+Ayarlar!$B$4+Ayarlar!$B$5)+Ayarlar!$B$8)/((1-Ayarlar!$B$6)*(1-Ayarlar!$B$7-Ayarlar!$B$9)),0))</f>
        <v/>
      </c>
      <c r="K510" s="12">
        <f>IF(OR(G510="",F510=""),"",(F510*(1-Ayarlar!$B$6)-(F510*(1-Ayarlar!$B$6)*Ayarlar!$B$7+Ayarlar!$B$8)-(G510*Ayarlar!$B$3+Ayarlar!$B$4+Ayarlar!$B$5))/(F510*(1-Ayarlar!$B$6)))</f>
        <v/>
      </c>
      <c r="L510" s="9">
        <f>IF(G510="","GRAM EKSİK",IF(F510&gt;30000,"FİYAT ŞÜPHELİ",IF(K510&lt;0,"ZARARDA",IF(F510&lt;I510,"RİSKLİ","ok"))))</f>
        <v/>
      </c>
      <c r="M510" s="13" t="inlineStr">
        <is>
          <t>https://www.etsy.com/listing/1862635763</t>
        </is>
      </c>
    </row>
    <row r="511">
      <c r="A511" s="3" t="inlineStr">
        <is>
          <t>chains</t>
        </is>
      </c>
      <c r="B511" s="3" t="inlineStr">
        <is>
          <t>14K Yellow Gold Paperclip Chain Necklace / Solid Gold</t>
        </is>
      </c>
      <c r="C511" s="3" t="n">
        <v>1862635763</v>
      </c>
      <c r="D511" s="3" t="inlineStr">
        <is>
          <t>CPS2-16</t>
        </is>
      </c>
      <c r="E511" s="3" t="inlineStr">
        <is>
          <t>description</t>
        </is>
      </c>
      <c r="F511" s="14" t="n">
        <v>2170</v>
      </c>
      <c r="G511" s="17" t="n">
        <v>12.83</v>
      </c>
      <c r="H511" s="14">
        <f>IF(G511="","",G511*Ayarlar!$B$3+Ayarlar!$B$4+Ayarlar!$B$5)</f>
        <v/>
      </c>
      <c r="I511" s="14">
        <f>IF(G511="","",ROUNDUP(((G511*Ayarlar!$B$3+Ayarlar!$B$4+Ayarlar!$B$5)+Ayarlar!$B$8)/((1-Ayarlar!$B$6)*(1-Ayarlar!$B$7)),0))</f>
        <v/>
      </c>
      <c r="J511" s="14">
        <f>IF(G511="","",ROUNDUP(((G511*Ayarlar!$B$3+Ayarlar!$B$4+Ayarlar!$B$5)+Ayarlar!$B$8)/((1-Ayarlar!$B$6)*(1-Ayarlar!$B$7-Ayarlar!$B$9)),0))</f>
        <v/>
      </c>
      <c r="K511" s="15">
        <f>IF(OR(G511="",F511=""),"",(F511*(1-Ayarlar!$B$6)-(F511*(1-Ayarlar!$B$6)*Ayarlar!$B$7+Ayarlar!$B$8)-(G511*Ayarlar!$B$3+Ayarlar!$B$4+Ayarlar!$B$5))/(F511*(1-Ayarlar!$B$6)))</f>
        <v/>
      </c>
      <c r="L511" s="3">
        <f>IF(G511="","GRAM EKSİK",IF(F511&gt;30000,"FİYAT ŞÜPHELİ",IF(K511&lt;0,"ZARARDA",IF(F511&lt;I511,"RİSKLİ","ok"))))</f>
        <v/>
      </c>
      <c r="M511" s="16" t="inlineStr">
        <is>
          <t>https://www.etsy.com/listing/1862635763</t>
        </is>
      </c>
    </row>
    <row r="512">
      <c r="A512" s="9" t="inlineStr">
        <is>
          <t>chains</t>
        </is>
      </c>
      <c r="B512" s="9" t="inlineStr">
        <is>
          <t>14K Yellow Gold Paperclip Chain Necklace / Solid Gold</t>
        </is>
      </c>
      <c r="C512" s="9" t="n">
        <v>1862635763</v>
      </c>
      <c r="D512" s="9" t="inlineStr">
        <is>
          <t>CPS2-18</t>
        </is>
      </c>
      <c r="E512" s="9" t="inlineStr">
        <is>
          <t>description</t>
        </is>
      </c>
      <c r="F512" s="10" t="n">
        <v>2441</v>
      </c>
      <c r="G512" s="18" t="n">
        <v>14.43</v>
      </c>
      <c r="H512" s="10">
        <f>IF(G512="","",G512*Ayarlar!$B$3+Ayarlar!$B$4+Ayarlar!$B$5)</f>
        <v/>
      </c>
      <c r="I512" s="10">
        <f>IF(G512="","",ROUNDUP(((G512*Ayarlar!$B$3+Ayarlar!$B$4+Ayarlar!$B$5)+Ayarlar!$B$8)/((1-Ayarlar!$B$6)*(1-Ayarlar!$B$7)),0))</f>
        <v/>
      </c>
      <c r="J512" s="10">
        <f>IF(G512="","",ROUNDUP(((G512*Ayarlar!$B$3+Ayarlar!$B$4+Ayarlar!$B$5)+Ayarlar!$B$8)/((1-Ayarlar!$B$6)*(1-Ayarlar!$B$7-Ayarlar!$B$9)),0))</f>
        <v/>
      </c>
      <c r="K512" s="12">
        <f>IF(OR(G512="",F512=""),"",(F512*(1-Ayarlar!$B$6)-(F512*(1-Ayarlar!$B$6)*Ayarlar!$B$7+Ayarlar!$B$8)-(G512*Ayarlar!$B$3+Ayarlar!$B$4+Ayarlar!$B$5))/(F512*(1-Ayarlar!$B$6)))</f>
        <v/>
      </c>
      <c r="L512" s="9">
        <f>IF(G512="","GRAM EKSİK",IF(F512&gt;30000,"FİYAT ŞÜPHELİ",IF(K512&lt;0,"ZARARDA",IF(F512&lt;I512,"RİSKLİ","ok"))))</f>
        <v/>
      </c>
      <c r="M512" s="13" t="inlineStr">
        <is>
          <t>https://www.etsy.com/listing/1862635763</t>
        </is>
      </c>
    </row>
    <row r="513">
      <c r="A513" s="3" t="inlineStr">
        <is>
          <t>chains</t>
        </is>
      </c>
      <c r="B513" s="3" t="inlineStr">
        <is>
          <t>14K Yellow Gold Paperclip Chain Necklace / Solid Gold</t>
        </is>
      </c>
      <c r="C513" s="3" t="n">
        <v>1862635763</v>
      </c>
      <c r="D513" s="3" t="inlineStr">
        <is>
          <t>CPS2-20</t>
        </is>
      </c>
      <c r="E513" s="3" t="inlineStr">
        <is>
          <t>description</t>
        </is>
      </c>
      <c r="F513" s="14" t="n">
        <v>2711</v>
      </c>
      <c r="G513" s="17" t="n">
        <v>16.04</v>
      </c>
      <c r="H513" s="14">
        <f>IF(G513="","",G513*Ayarlar!$B$3+Ayarlar!$B$4+Ayarlar!$B$5)</f>
        <v/>
      </c>
      <c r="I513" s="14">
        <f>IF(G513="","",ROUNDUP(((G513*Ayarlar!$B$3+Ayarlar!$B$4+Ayarlar!$B$5)+Ayarlar!$B$8)/((1-Ayarlar!$B$6)*(1-Ayarlar!$B$7)),0))</f>
        <v/>
      </c>
      <c r="J513" s="14">
        <f>IF(G513="","",ROUNDUP(((G513*Ayarlar!$B$3+Ayarlar!$B$4+Ayarlar!$B$5)+Ayarlar!$B$8)/((1-Ayarlar!$B$6)*(1-Ayarlar!$B$7-Ayarlar!$B$9)),0))</f>
        <v/>
      </c>
      <c r="K513" s="15">
        <f>IF(OR(G513="",F513=""),"",(F513*(1-Ayarlar!$B$6)-(F513*(1-Ayarlar!$B$6)*Ayarlar!$B$7+Ayarlar!$B$8)-(G513*Ayarlar!$B$3+Ayarlar!$B$4+Ayarlar!$B$5))/(F513*(1-Ayarlar!$B$6)))</f>
        <v/>
      </c>
      <c r="L513" s="3">
        <f>IF(G513="","GRAM EKSİK",IF(F513&gt;30000,"FİYAT ŞÜPHELİ",IF(K513&lt;0,"ZARARDA",IF(F513&lt;I513,"RİSKLİ","ok"))))</f>
        <v/>
      </c>
      <c r="M513" s="16" t="inlineStr">
        <is>
          <t>https://www.etsy.com/listing/1862635763</t>
        </is>
      </c>
    </row>
    <row r="514">
      <c r="A514" s="9" t="inlineStr">
        <is>
          <t>chains</t>
        </is>
      </c>
      <c r="B514" s="9" t="inlineStr">
        <is>
          <t>14K Yellow Gold Paperclip Chain Necklace / Solid Gold</t>
        </is>
      </c>
      <c r="C514" s="9" t="n">
        <v>1862635763</v>
      </c>
      <c r="D514" s="9" t="inlineStr">
        <is>
          <t>CPS2-22</t>
        </is>
      </c>
      <c r="E514" s="9" t="inlineStr">
        <is>
          <t>description</t>
        </is>
      </c>
      <c r="F514" s="10" t="n">
        <v>2984</v>
      </c>
      <c r="G514" s="18" t="n">
        <v>17.64</v>
      </c>
      <c r="H514" s="10">
        <f>IF(G514="","",G514*Ayarlar!$B$3+Ayarlar!$B$4+Ayarlar!$B$5)</f>
        <v/>
      </c>
      <c r="I514" s="10">
        <f>IF(G514="","",ROUNDUP(((G514*Ayarlar!$B$3+Ayarlar!$B$4+Ayarlar!$B$5)+Ayarlar!$B$8)/((1-Ayarlar!$B$6)*(1-Ayarlar!$B$7)),0))</f>
        <v/>
      </c>
      <c r="J514" s="10">
        <f>IF(G514="","",ROUNDUP(((G514*Ayarlar!$B$3+Ayarlar!$B$4+Ayarlar!$B$5)+Ayarlar!$B$8)/((1-Ayarlar!$B$6)*(1-Ayarlar!$B$7-Ayarlar!$B$9)),0))</f>
        <v/>
      </c>
      <c r="K514" s="12">
        <f>IF(OR(G514="",F514=""),"",(F514*(1-Ayarlar!$B$6)-(F514*(1-Ayarlar!$B$6)*Ayarlar!$B$7+Ayarlar!$B$8)-(G514*Ayarlar!$B$3+Ayarlar!$B$4+Ayarlar!$B$5))/(F514*(1-Ayarlar!$B$6)))</f>
        <v/>
      </c>
      <c r="L514" s="9">
        <f>IF(G514="","GRAM EKSİK",IF(F514&gt;30000,"FİYAT ŞÜPHELİ",IF(K514&lt;0,"ZARARDA",IF(F514&lt;I514,"RİSKLİ","ok"))))</f>
        <v/>
      </c>
      <c r="M514" s="13" t="inlineStr">
        <is>
          <t>https://www.etsy.com/listing/1862635763</t>
        </is>
      </c>
    </row>
    <row r="515">
      <c r="A515" s="3" t="inlineStr">
        <is>
          <t>chains</t>
        </is>
      </c>
      <c r="B515" s="3" t="inlineStr">
        <is>
          <t>14K Yellow Gold Paperclip Chain Necklace / Solid Gold</t>
        </is>
      </c>
      <c r="C515" s="3" t="n">
        <v>1862635763</v>
      </c>
      <c r="D515" s="3" t="inlineStr">
        <is>
          <t>CPS2-24</t>
        </is>
      </c>
      <c r="E515" s="3" t="inlineStr">
        <is>
          <t>description</t>
        </is>
      </c>
      <c r="F515" s="14" t="n">
        <v>3255</v>
      </c>
      <c r="G515" s="17" t="n">
        <v>19.24</v>
      </c>
      <c r="H515" s="14">
        <f>IF(G515="","",G515*Ayarlar!$B$3+Ayarlar!$B$4+Ayarlar!$B$5)</f>
        <v/>
      </c>
      <c r="I515" s="14">
        <f>IF(G515="","",ROUNDUP(((G515*Ayarlar!$B$3+Ayarlar!$B$4+Ayarlar!$B$5)+Ayarlar!$B$8)/((1-Ayarlar!$B$6)*(1-Ayarlar!$B$7)),0))</f>
        <v/>
      </c>
      <c r="J515" s="14">
        <f>IF(G515="","",ROUNDUP(((G515*Ayarlar!$B$3+Ayarlar!$B$4+Ayarlar!$B$5)+Ayarlar!$B$8)/((1-Ayarlar!$B$6)*(1-Ayarlar!$B$7-Ayarlar!$B$9)),0))</f>
        <v/>
      </c>
      <c r="K515" s="15">
        <f>IF(OR(G515="",F515=""),"",(F515*(1-Ayarlar!$B$6)-(F515*(1-Ayarlar!$B$6)*Ayarlar!$B$7+Ayarlar!$B$8)-(G515*Ayarlar!$B$3+Ayarlar!$B$4+Ayarlar!$B$5))/(F515*(1-Ayarlar!$B$6)))</f>
        <v/>
      </c>
      <c r="L515" s="3">
        <f>IF(G515="","GRAM EKSİK",IF(F515&gt;30000,"FİYAT ŞÜPHELİ",IF(K515&lt;0,"ZARARDA",IF(F515&lt;I515,"RİSKLİ","ok"))))</f>
        <v/>
      </c>
      <c r="M515" s="16" t="inlineStr">
        <is>
          <t>https://www.etsy.com/listing/1862635763</t>
        </is>
      </c>
    </row>
    <row r="516">
      <c r="A516" s="9" t="inlineStr">
        <is>
          <t>chains</t>
        </is>
      </c>
      <c r="B516" s="9" t="inlineStr">
        <is>
          <t>14K Yellow Gold Paperclip Chain Necklace / Solid Gold</t>
        </is>
      </c>
      <c r="C516" s="9" t="n">
        <v>1862635763</v>
      </c>
      <c r="D516" s="9" t="inlineStr">
        <is>
          <t>CPS3-16</t>
        </is>
      </c>
      <c r="E516" s="9" t="inlineStr">
        <is>
          <t>description</t>
        </is>
      </c>
      <c r="F516" s="10" t="n">
        <v>2479</v>
      </c>
      <c r="G516" s="18" t="n">
        <v>16</v>
      </c>
      <c r="H516" s="10">
        <f>IF(G516="","",G516*Ayarlar!$B$3+Ayarlar!$B$4+Ayarlar!$B$5)</f>
        <v/>
      </c>
      <c r="I516" s="10">
        <f>IF(G516="","",ROUNDUP(((G516*Ayarlar!$B$3+Ayarlar!$B$4+Ayarlar!$B$5)+Ayarlar!$B$8)/((1-Ayarlar!$B$6)*(1-Ayarlar!$B$7)),0))</f>
        <v/>
      </c>
      <c r="J516" s="10">
        <f>IF(G516="","",ROUNDUP(((G516*Ayarlar!$B$3+Ayarlar!$B$4+Ayarlar!$B$5)+Ayarlar!$B$8)/((1-Ayarlar!$B$6)*(1-Ayarlar!$B$7-Ayarlar!$B$9)),0))</f>
        <v/>
      </c>
      <c r="K516" s="12">
        <f>IF(OR(G516="",F516=""),"",(F516*(1-Ayarlar!$B$6)-(F516*(1-Ayarlar!$B$6)*Ayarlar!$B$7+Ayarlar!$B$8)-(G516*Ayarlar!$B$3+Ayarlar!$B$4+Ayarlar!$B$5))/(F516*(1-Ayarlar!$B$6)))</f>
        <v/>
      </c>
      <c r="L516" s="9">
        <f>IF(G516="","GRAM EKSİK",IF(F516&gt;30000,"FİYAT ŞÜPHELİ",IF(K516&lt;0,"ZARARDA",IF(F516&lt;I516,"RİSKLİ","ok"))))</f>
        <v/>
      </c>
      <c r="M516" s="13" t="inlineStr">
        <is>
          <t>https://www.etsy.com/listing/1862635763</t>
        </is>
      </c>
    </row>
    <row r="517">
      <c r="A517" s="3" t="inlineStr">
        <is>
          <t>chains</t>
        </is>
      </c>
      <c r="B517" s="3" t="inlineStr">
        <is>
          <t>14K Yellow Gold Paperclip Chain Necklace / Solid Gold</t>
        </is>
      </c>
      <c r="C517" s="3" t="n">
        <v>1862635763</v>
      </c>
      <c r="D517" s="3" t="inlineStr">
        <is>
          <t>CPS3-18</t>
        </is>
      </c>
      <c r="E517" s="3" t="inlineStr">
        <is>
          <t>description</t>
        </is>
      </c>
      <c r="F517" s="14" t="n">
        <v>2898</v>
      </c>
      <c r="G517" s="17" t="n">
        <v>18</v>
      </c>
      <c r="H517" s="14">
        <f>IF(G517="","",G517*Ayarlar!$B$3+Ayarlar!$B$4+Ayarlar!$B$5)</f>
        <v/>
      </c>
      <c r="I517" s="14">
        <f>IF(G517="","",ROUNDUP(((G517*Ayarlar!$B$3+Ayarlar!$B$4+Ayarlar!$B$5)+Ayarlar!$B$8)/((1-Ayarlar!$B$6)*(1-Ayarlar!$B$7)),0))</f>
        <v/>
      </c>
      <c r="J517" s="14">
        <f>IF(G517="","",ROUNDUP(((G517*Ayarlar!$B$3+Ayarlar!$B$4+Ayarlar!$B$5)+Ayarlar!$B$8)/((1-Ayarlar!$B$6)*(1-Ayarlar!$B$7-Ayarlar!$B$9)),0))</f>
        <v/>
      </c>
      <c r="K517" s="15">
        <f>IF(OR(G517="",F517=""),"",(F517*(1-Ayarlar!$B$6)-(F517*(1-Ayarlar!$B$6)*Ayarlar!$B$7+Ayarlar!$B$8)-(G517*Ayarlar!$B$3+Ayarlar!$B$4+Ayarlar!$B$5))/(F517*(1-Ayarlar!$B$6)))</f>
        <v/>
      </c>
      <c r="L517" s="3">
        <f>IF(G517="","GRAM EKSİK",IF(F517&gt;30000,"FİYAT ŞÜPHELİ",IF(K517&lt;0,"ZARARDA",IF(F517&lt;I517,"RİSKLİ","ok"))))</f>
        <v/>
      </c>
      <c r="M517" s="16" t="inlineStr">
        <is>
          <t>https://www.etsy.com/listing/1862635763</t>
        </is>
      </c>
    </row>
    <row r="518">
      <c r="A518" s="9" t="inlineStr">
        <is>
          <t>chains</t>
        </is>
      </c>
      <c r="B518" s="9" t="inlineStr">
        <is>
          <t>14K Yellow Gold Paperclip Chain Necklace / Solid Gold</t>
        </is>
      </c>
      <c r="C518" s="9" t="n">
        <v>1862635763</v>
      </c>
      <c r="D518" s="9" t="inlineStr">
        <is>
          <t>CPS3-20</t>
        </is>
      </c>
      <c r="E518" s="9" t="inlineStr">
        <is>
          <t>description</t>
        </is>
      </c>
      <c r="F518" s="10" t="n">
        <v>3201</v>
      </c>
      <c r="G518" s="18" t="n">
        <v>20</v>
      </c>
      <c r="H518" s="10">
        <f>IF(G518="","",G518*Ayarlar!$B$3+Ayarlar!$B$4+Ayarlar!$B$5)</f>
        <v/>
      </c>
      <c r="I518" s="10">
        <f>IF(G518="","",ROUNDUP(((G518*Ayarlar!$B$3+Ayarlar!$B$4+Ayarlar!$B$5)+Ayarlar!$B$8)/((1-Ayarlar!$B$6)*(1-Ayarlar!$B$7)),0))</f>
        <v/>
      </c>
      <c r="J518" s="10">
        <f>IF(G518="","",ROUNDUP(((G518*Ayarlar!$B$3+Ayarlar!$B$4+Ayarlar!$B$5)+Ayarlar!$B$8)/((1-Ayarlar!$B$6)*(1-Ayarlar!$B$7-Ayarlar!$B$9)),0))</f>
        <v/>
      </c>
      <c r="K518" s="12">
        <f>IF(OR(G518="",F518=""),"",(F518*(1-Ayarlar!$B$6)-(F518*(1-Ayarlar!$B$6)*Ayarlar!$B$7+Ayarlar!$B$8)-(G518*Ayarlar!$B$3+Ayarlar!$B$4+Ayarlar!$B$5))/(F518*(1-Ayarlar!$B$6)))</f>
        <v/>
      </c>
      <c r="L518" s="9">
        <f>IF(G518="","GRAM EKSİK",IF(F518&gt;30000,"FİYAT ŞÜPHELİ",IF(K518&lt;0,"ZARARDA",IF(F518&lt;I518,"RİSKLİ","ok"))))</f>
        <v/>
      </c>
      <c r="M518" s="13" t="inlineStr">
        <is>
          <t>https://www.etsy.com/listing/1862635763</t>
        </is>
      </c>
    </row>
    <row r="519">
      <c r="A519" s="3" t="inlineStr">
        <is>
          <t>chains</t>
        </is>
      </c>
      <c r="B519" s="3" t="inlineStr">
        <is>
          <t>14K Yellow Gold Paperclip Chain Necklace / Solid Gold</t>
        </is>
      </c>
      <c r="C519" s="3" t="n">
        <v>1862635763</v>
      </c>
      <c r="D519" s="3" t="inlineStr">
        <is>
          <t>CPS3-22</t>
        </is>
      </c>
      <c r="E519" s="3" t="inlineStr">
        <is>
          <t>description</t>
        </is>
      </c>
      <c r="F519" s="14" t="n">
        <v>3561</v>
      </c>
      <c r="G519" s="17" t="n">
        <v>22</v>
      </c>
      <c r="H519" s="14">
        <f>IF(G519="","",G519*Ayarlar!$B$3+Ayarlar!$B$4+Ayarlar!$B$5)</f>
        <v/>
      </c>
      <c r="I519" s="14">
        <f>IF(G519="","",ROUNDUP(((G519*Ayarlar!$B$3+Ayarlar!$B$4+Ayarlar!$B$5)+Ayarlar!$B$8)/((1-Ayarlar!$B$6)*(1-Ayarlar!$B$7)),0))</f>
        <v/>
      </c>
      <c r="J519" s="14">
        <f>IF(G519="","",ROUNDUP(((G519*Ayarlar!$B$3+Ayarlar!$B$4+Ayarlar!$B$5)+Ayarlar!$B$8)/((1-Ayarlar!$B$6)*(1-Ayarlar!$B$7-Ayarlar!$B$9)),0))</f>
        <v/>
      </c>
      <c r="K519" s="15">
        <f>IF(OR(G519="",F519=""),"",(F519*(1-Ayarlar!$B$6)-(F519*(1-Ayarlar!$B$6)*Ayarlar!$B$7+Ayarlar!$B$8)-(G519*Ayarlar!$B$3+Ayarlar!$B$4+Ayarlar!$B$5))/(F519*(1-Ayarlar!$B$6)))</f>
        <v/>
      </c>
      <c r="L519" s="3">
        <f>IF(G519="","GRAM EKSİK",IF(F519&gt;30000,"FİYAT ŞÜPHELİ",IF(K519&lt;0,"ZARARDA",IF(F519&lt;I519,"RİSKLİ","ok"))))</f>
        <v/>
      </c>
      <c r="M519" s="16" t="inlineStr">
        <is>
          <t>https://www.etsy.com/listing/1862635763</t>
        </is>
      </c>
    </row>
    <row r="520">
      <c r="A520" s="9" t="inlineStr">
        <is>
          <t>chains</t>
        </is>
      </c>
      <c r="B520" s="9" t="inlineStr">
        <is>
          <t>14K Yellow Gold Paperclip Chain Necklace / Solid Gold</t>
        </is>
      </c>
      <c r="C520" s="9" t="n">
        <v>1862635763</v>
      </c>
      <c r="D520" s="9" t="inlineStr">
        <is>
          <t>CPS3-24</t>
        </is>
      </c>
      <c r="E520" s="9" t="inlineStr">
        <is>
          <t>description</t>
        </is>
      </c>
      <c r="F520" s="10" t="n">
        <v>3923</v>
      </c>
      <c r="G520" s="18" t="n">
        <v>24</v>
      </c>
      <c r="H520" s="10">
        <f>IF(G520="","",G520*Ayarlar!$B$3+Ayarlar!$B$4+Ayarlar!$B$5)</f>
        <v/>
      </c>
      <c r="I520" s="10">
        <f>IF(G520="","",ROUNDUP(((G520*Ayarlar!$B$3+Ayarlar!$B$4+Ayarlar!$B$5)+Ayarlar!$B$8)/((1-Ayarlar!$B$6)*(1-Ayarlar!$B$7)),0))</f>
        <v/>
      </c>
      <c r="J520" s="10">
        <f>IF(G520="","",ROUNDUP(((G520*Ayarlar!$B$3+Ayarlar!$B$4+Ayarlar!$B$5)+Ayarlar!$B$8)/((1-Ayarlar!$B$6)*(1-Ayarlar!$B$7-Ayarlar!$B$9)),0))</f>
        <v/>
      </c>
      <c r="K520" s="12">
        <f>IF(OR(G520="",F520=""),"",(F520*(1-Ayarlar!$B$6)-(F520*(1-Ayarlar!$B$6)*Ayarlar!$B$7+Ayarlar!$B$8)-(G520*Ayarlar!$B$3+Ayarlar!$B$4+Ayarlar!$B$5))/(F520*(1-Ayarlar!$B$6)))</f>
        <v/>
      </c>
      <c r="L520" s="9">
        <f>IF(G520="","GRAM EKSİK",IF(F520&gt;30000,"FİYAT ŞÜPHELİ",IF(K520&lt;0,"ZARARDA",IF(F520&lt;I520,"RİSKLİ","ok"))))</f>
        <v/>
      </c>
      <c r="M520" s="13" t="inlineStr">
        <is>
          <t>https://www.etsy.com/listing/1862635763</t>
        </is>
      </c>
    </row>
    <row r="521">
      <c r="A521" s="3" t="inlineStr">
        <is>
          <t>chains</t>
        </is>
      </c>
      <c r="B521" s="3" t="inlineStr">
        <is>
          <t>14K Yellow Gold Round Box Chain Necklace – Unisex</t>
        </is>
      </c>
      <c r="C521" s="3" t="n">
        <v>1522860530</v>
      </c>
      <c r="D521" s="3" t="inlineStr">
        <is>
          <t>CRD1F-16</t>
        </is>
      </c>
      <c r="E521" s="3" t="inlineStr">
        <is>
          <t>description</t>
        </is>
      </c>
      <c r="F521" s="14" t="n">
        <v>241</v>
      </c>
      <c r="G521" s="17" t="n">
        <v>1.44</v>
      </c>
      <c r="H521" s="14">
        <f>IF(G521="","",G521*Ayarlar!$B$3+Ayarlar!$B$4+Ayarlar!$B$5)</f>
        <v/>
      </c>
      <c r="I521" s="14">
        <f>IF(G521="","",ROUNDUP(((G521*Ayarlar!$B$3+Ayarlar!$B$4+Ayarlar!$B$5)+Ayarlar!$B$8)/((1-Ayarlar!$B$6)*(1-Ayarlar!$B$7)),0))</f>
        <v/>
      </c>
      <c r="J521" s="14">
        <f>IF(G521="","",ROUNDUP(((G521*Ayarlar!$B$3+Ayarlar!$B$4+Ayarlar!$B$5)+Ayarlar!$B$8)/((1-Ayarlar!$B$6)*(1-Ayarlar!$B$7-Ayarlar!$B$9)),0))</f>
        <v/>
      </c>
      <c r="K521" s="15">
        <f>IF(OR(G521="",F521=""),"",(F521*(1-Ayarlar!$B$6)-(F521*(1-Ayarlar!$B$6)*Ayarlar!$B$7+Ayarlar!$B$8)-(G521*Ayarlar!$B$3+Ayarlar!$B$4+Ayarlar!$B$5))/(F521*(1-Ayarlar!$B$6)))</f>
        <v/>
      </c>
      <c r="L521" s="3">
        <f>IF(G521="","GRAM EKSİK",IF(F521&gt;30000,"FİYAT ŞÜPHELİ",IF(K521&lt;0,"ZARARDA",IF(F521&lt;I521,"RİSKLİ","ok"))))</f>
        <v/>
      </c>
      <c r="M521" s="16" t="inlineStr">
        <is>
          <t>https://www.etsy.com/listing/1522860530</t>
        </is>
      </c>
    </row>
    <row r="522">
      <c r="A522" s="9" t="inlineStr">
        <is>
          <t>chains</t>
        </is>
      </c>
      <c r="B522" s="9" t="inlineStr">
        <is>
          <t>14K Yellow Gold Round Box Chain Necklace – Unisex</t>
        </is>
      </c>
      <c r="C522" s="9" t="n">
        <v>1522860530</v>
      </c>
      <c r="D522" s="9" t="inlineStr">
        <is>
          <t>CRD1F-18</t>
        </is>
      </c>
      <c r="E522" s="9" t="inlineStr">
        <is>
          <t>description</t>
        </is>
      </c>
      <c r="F522" s="10" t="n">
        <v>266</v>
      </c>
      <c r="G522" s="18" t="n">
        <v>1.62</v>
      </c>
      <c r="H522" s="10">
        <f>IF(G522="","",G522*Ayarlar!$B$3+Ayarlar!$B$4+Ayarlar!$B$5)</f>
        <v/>
      </c>
      <c r="I522" s="10">
        <f>IF(G522="","",ROUNDUP(((G522*Ayarlar!$B$3+Ayarlar!$B$4+Ayarlar!$B$5)+Ayarlar!$B$8)/((1-Ayarlar!$B$6)*(1-Ayarlar!$B$7)),0))</f>
        <v/>
      </c>
      <c r="J522" s="10">
        <f>IF(G522="","",ROUNDUP(((G522*Ayarlar!$B$3+Ayarlar!$B$4+Ayarlar!$B$5)+Ayarlar!$B$8)/((1-Ayarlar!$B$6)*(1-Ayarlar!$B$7-Ayarlar!$B$9)),0))</f>
        <v/>
      </c>
      <c r="K522" s="12">
        <f>IF(OR(G522="",F522=""),"",(F522*(1-Ayarlar!$B$6)-(F522*(1-Ayarlar!$B$6)*Ayarlar!$B$7+Ayarlar!$B$8)-(G522*Ayarlar!$B$3+Ayarlar!$B$4+Ayarlar!$B$5))/(F522*(1-Ayarlar!$B$6)))</f>
        <v/>
      </c>
      <c r="L522" s="9">
        <f>IF(G522="","GRAM EKSİK",IF(F522&gt;30000,"FİYAT ŞÜPHELİ",IF(K522&lt;0,"ZARARDA",IF(F522&lt;I522,"RİSKLİ","ok"))))</f>
        <v/>
      </c>
      <c r="M522" s="13" t="inlineStr">
        <is>
          <t>https://www.etsy.com/listing/1522860530</t>
        </is>
      </c>
    </row>
    <row r="523">
      <c r="A523" s="3" t="inlineStr">
        <is>
          <t>chains</t>
        </is>
      </c>
      <c r="B523" s="3" t="inlineStr">
        <is>
          <t>14K Yellow Gold Round Box Chain Necklace – Unisex</t>
        </is>
      </c>
      <c r="C523" s="3" t="n">
        <v>1522860530</v>
      </c>
      <c r="D523" s="3" t="inlineStr">
        <is>
          <t>CRD1F-20</t>
        </is>
      </c>
      <c r="E523" s="3" t="inlineStr">
        <is>
          <t>description</t>
        </is>
      </c>
      <c r="F523" s="14" t="n">
        <v>278</v>
      </c>
      <c r="G523" s="17" t="n">
        <v>1.8</v>
      </c>
      <c r="H523" s="14">
        <f>IF(G523="","",G523*Ayarlar!$B$3+Ayarlar!$B$4+Ayarlar!$B$5)</f>
        <v/>
      </c>
      <c r="I523" s="14">
        <f>IF(G523="","",ROUNDUP(((G523*Ayarlar!$B$3+Ayarlar!$B$4+Ayarlar!$B$5)+Ayarlar!$B$8)/((1-Ayarlar!$B$6)*(1-Ayarlar!$B$7)),0))</f>
        <v/>
      </c>
      <c r="J523" s="14">
        <f>IF(G523="","",ROUNDUP(((G523*Ayarlar!$B$3+Ayarlar!$B$4+Ayarlar!$B$5)+Ayarlar!$B$8)/((1-Ayarlar!$B$6)*(1-Ayarlar!$B$7-Ayarlar!$B$9)),0))</f>
        <v/>
      </c>
      <c r="K523" s="15">
        <f>IF(OR(G523="",F523=""),"",(F523*(1-Ayarlar!$B$6)-(F523*(1-Ayarlar!$B$6)*Ayarlar!$B$7+Ayarlar!$B$8)-(G523*Ayarlar!$B$3+Ayarlar!$B$4+Ayarlar!$B$5))/(F523*(1-Ayarlar!$B$6)))</f>
        <v/>
      </c>
      <c r="L523" s="3">
        <f>IF(G523="","GRAM EKSİK",IF(F523&gt;30000,"FİYAT ŞÜPHELİ",IF(K523&lt;0,"ZARARDA",IF(F523&lt;I523,"RİSKLİ","ok"))))</f>
        <v/>
      </c>
      <c r="M523" s="16" t="inlineStr">
        <is>
          <t>https://www.etsy.com/listing/1522860530</t>
        </is>
      </c>
    </row>
    <row r="524">
      <c r="A524" s="9" t="inlineStr">
        <is>
          <t>chains</t>
        </is>
      </c>
      <c r="B524" s="9" t="inlineStr">
        <is>
          <t>14K Yellow Gold Round Box Chain Necklace – Unisex</t>
        </is>
      </c>
      <c r="C524" s="9" t="n">
        <v>1522860530</v>
      </c>
      <c r="D524" s="9" t="inlineStr">
        <is>
          <t>CRD1F-22</t>
        </is>
      </c>
      <c r="E524" s="9" t="inlineStr">
        <is>
          <t>description</t>
        </is>
      </c>
      <c r="F524" s="10" t="n">
        <v>296</v>
      </c>
      <c r="G524" s="18" t="n">
        <v>1.98</v>
      </c>
      <c r="H524" s="10">
        <f>IF(G524="","",G524*Ayarlar!$B$3+Ayarlar!$B$4+Ayarlar!$B$5)</f>
        <v/>
      </c>
      <c r="I524" s="10">
        <f>IF(G524="","",ROUNDUP(((G524*Ayarlar!$B$3+Ayarlar!$B$4+Ayarlar!$B$5)+Ayarlar!$B$8)/((1-Ayarlar!$B$6)*(1-Ayarlar!$B$7)),0))</f>
        <v/>
      </c>
      <c r="J524" s="10">
        <f>IF(G524="","",ROUNDUP(((G524*Ayarlar!$B$3+Ayarlar!$B$4+Ayarlar!$B$5)+Ayarlar!$B$8)/((1-Ayarlar!$B$6)*(1-Ayarlar!$B$7-Ayarlar!$B$9)),0))</f>
        <v/>
      </c>
      <c r="K524" s="12">
        <f>IF(OR(G524="",F524=""),"",(F524*(1-Ayarlar!$B$6)-(F524*(1-Ayarlar!$B$6)*Ayarlar!$B$7+Ayarlar!$B$8)-(G524*Ayarlar!$B$3+Ayarlar!$B$4+Ayarlar!$B$5))/(F524*(1-Ayarlar!$B$6)))</f>
        <v/>
      </c>
      <c r="L524" s="9">
        <f>IF(G524="","GRAM EKSİK",IF(F524&gt;30000,"FİYAT ŞÜPHELİ",IF(K524&lt;0,"ZARARDA",IF(F524&lt;I524,"RİSKLİ","ok"))))</f>
        <v/>
      </c>
      <c r="M524" s="13" t="inlineStr">
        <is>
          <t>https://www.etsy.com/listing/1522860530</t>
        </is>
      </c>
    </row>
    <row r="525">
      <c r="A525" s="3" t="inlineStr">
        <is>
          <t>chains</t>
        </is>
      </c>
      <c r="B525" s="3" t="inlineStr">
        <is>
          <t>14K Yellow Gold Round Box Chain Necklace – Unisex</t>
        </is>
      </c>
      <c r="C525" s="3" t="n">
        <v>1522860530</v>
      </c>
      <c r="D525" s="3" t="inlineStr">
        <is>
          <t>CRD1F-24</t>
        </is>
      </c>
      <c r="E525" s="3" t="inlineStr">
        <is>
          <t>description</t>
        </is>
      </c>
      <c r="F525" s="14" t="n">
        <v>315</v>
      </c>
      <c r="G525" s="17" t="n">
        <v>2.16</v>
      </c>
      <c r="H525" s="14">
        <f>IF(G525="","",G525*Ayarlar!$B$3+Ayarlar!$B$4+Ayarlar!$B$5)</f>
        <v/>
      </c>
      <c r="I525" s="14">
        <f>IF(G525="","",ROUNDUP(((G525*Ayarlar!$B$3+Ayarlar!$B$4+Ayarlar!$B$5)+Ayarlar!$B$8)/((1-Ayarlar!$B$6)*(1-Ayarlar!$B$7)),0))</f>
        <v/>
      </c>
      <c r="J525" s="14">
        <f>IF(G525="","",ROUNDUP(((G525*Ayarlar!$B$3+Ayarlar!$B$4+Ayarlar!$B$5)+Ayarlar!$B$8)/((1-Ayarlar!$B$6)*(1-Ayarlar!$B$7-Ayarlar!$B$9)),0))</f>
        <v/>
      </c>
      <c r="K525" s="15">
        <f>IF(OR(G525="",F525=""),"",(F525*(1-Ayarlar!$B$6)-(F525*(1-Ayarlar!$B$6)*Ayarlar!$B$7+Ayarlar!$B$8)-(G525*Ayarlar!$B$3+Ayarlar!$B$4+Ayarlar!$B$5))/(F525*(1-Ayarlar!$B$6)))</f>
        <v/>
      </c>
      <c r="L525" s="3">
        <f>IF(G525="","GRAM EKSİK",IF(F525&gt;30000,"FİYAT ŞÜPHELİ",IF(K525&lt;0,"ZARARDA",IF(F525&lt;I525,"RİSKLİ","ok"))))</f>
        <v/>
      </c>
      <c r="M525" s="16" t="inlineStr">
        <is>
          <t>https://www.etsy.com/listing/1522860530</t>
        </is>
      </c>
    </row>
    <row r="526">
      <c r="A526" s="9" t="inlineStr">
        <is>
          <t>chains</t>
        </is>
      </c>
      <c r="B526" s="9" t="inlineStr">
        <is>
          <t>14K Yellow Gold Round Box Chain Necklace – Unisex</t>
        </is>
      </c>
      <c r="C526" s="9" t="n">
        <v>1522860530</v>
      </c>
      <c r="D526" s="9" t="inlineStr">
        <is>
          <t>CRD2F-16</t>
        </is>
      </c>
      <c r="E526" s="9" t="inlineStr">
        <is>
          <t>description</t>
        </is>
      </c>
      <c r="F526" s="10" t="n">
        <v>480</v>
      </c>
      <c r="G526" s="18" t="n">
        <v>2.58</v>
      </c>
      <c r="H526" s="10">
        <f>IF(G526="","",G526*Ayarlar!$B$3+Ayarlar!$B$4+Ayarlar!$B$5)</f>
        <v/>
      </c>
      <c r="I526" s="10">
        <f>IF(G526="","",ROUNDUP(((G526*Ayarlar!$B$3+Ayarlar!$B$4+Ayarlar!$B$5)+Ayarlar!$B$8)/((1-Ayarlar!$B$6)*(1-Ayarlar!$B$7)),0))</f>
        <v/>
      </c>
      <c r="J526" s="10">
        <f>IF(G526="","",ROUNDUP(((G526*Ayarlar!$B$3+Ayarlar!$B$4+Ayarlar!$B$5)+Ayarlar!$B$8)/((1-Ayarlar!$B$6)*(1-Ayarlar!$B$7-Ayarlar!$B$9)),0))</f>
        <v/>
      </c>
      <c r="K526" s="12">
        <f>IF(OR(G526="",F526=""),"",(F526*(1-Ayarlar!$B$6)-(F526*(1-Ayarlar!$B$6)*Ayarlar!$B$7+Ayarlar!$B$8)-(G526*Ayarlar!$B$3+Ayarlar!$B$4+Ayarlar!$B$5))/(F526*(1-Ayarlar!$B$6)))</f>
        <v/>
      </c>
      <c r="L526" s="9">
        <f>IF(G526="","GRAM EKSİK",IF(F526&gt;30000,"FİYAT ŞÜPHELİ",IF(K526&lt;0,"ZARARDA",IF(F526&lt;I526,"RİSKLİ","ok"))))</f>
        <v/>
      </c>
      <c r="M526" s="13" t="inlineStr">
        <is>
          <t>https://www.etsy.com/listing/1522860530</t>
        </is>
      </c>
    </row>
    <row r="527">
      <c r="A527" s="3" t="inlineStr">
        <is>
          <t>chains</t>
        </is>
      </c>
      <c r="B527" s="3" t="inlineStr">
        <is>
          <t>14K Yellow Gold Round Box Chain Necklace – Unisex</t>
        </is>
      </c>
      <c r="C527" s="3" t="n">
        <v>1522860530</v>
      </c>
      <c r="D527" s="3" t="inlineStr">
        <is>
          <t>CRD2F-18</t>
        </is>
      </c>
      <c r="E527" s="3" t="inlineStr">
        <is>
          <t>description</t>
        </is>
      </c>
      <c r="F527" s="14" t="n">
        <v>540</v>
      </c>
      <c r="G527" s="17" t="n">
        <v>2.9</v>
      </c>
      <c r="H527" s="14">
        <f>IF(G527="","",G527*Ayarlar!$B$3+Ayarlar!$B$4+Ayarlar!$B$5)</f>
        <v/>
      </c>
      <c r="I527" s="14">
        <f>IF(G527="","",ROUNDUP(((G527*Ayarlar!$B$3+Ayarlar!$B$4+Ayarlar!$B$5)+Ayarlar!$B$8)/((1-Ayarlar!$B$6)*(1-Ayarlar!$B$7)),0))</f>
        <v/>
      </c>
      <c r="J527" s="14">
        <f>IF(G527="","",ROUNDUP(((G527*Ayarlar!$B$3+Ayarlar!$B$4+Ayarlar!$B$5)+Ayarlar!$B$8)/((1-Ayarlar!$B$6)*(1-Ayarlar!$B$7-Ayarlar!$B$9)),0))</f>
        <v/>
      </c>
      <c r="K527" s="15">
        <f>IF(OR(G527="",F527=""),"",(F527*(1-Ayarlar!$B$6)-(F527*(1-Ayarlar!$B$6)*Ayarlar!$B$7+Ayarlar!$B$8)-(G527*Ayarlar!$B$3+Ayarlar!$B$4+Ayarlar!$B$5))/(F527*(1-Ayarlar!$B$6)))</f>
        <v/>
      </c>
      <c r="L527" s="3">
        <f>IF(G527="","GRAM EKSİK",IF(F527&gt;30000,"FİYAT ŞÜPHELİ",IF(K527&lt;0,"ZARARDA",IF(F527&lt;I527,"RİSKLİ","ok"))))</f>
        <v/>
      </c>
      <c r="M527" s="16" t="inlineStr">
        <is>
          <t>https://www.etsy.com/listing/1522860530</t>
        </is>
      </c>
    </row>
    <row r="528">
      <c r="A528" s="9" t="inlineStr">
        <is>
          <t>chains</t>
        </is>
      </c>
      <c r="B528" s="9" t="inlineStr">
        <is>
          <t>14K Yellow Gold Round Box Chain Necklace – Unisex</t>
        </is>
      </c>
      <c r="C528" s="9" t="n">
        <v>1522860530</v>
      </c>
      <c r="D528" s="9" t="inlineStr">
        <is>
          <t>CRD2F-20</t>
        </is>
      </c>
      <c r="E528" s="9" t="inlineStr">
        <is>
          <t>description</t>
        </is>
      </c>
      <c r="F528" s="10" t="n">
        <v>601</v>
      </c>
      <c r="G528" s="18" t="n">
        <v>3.22</v>
      </c>
      <c r="H528" s="10">
        <f>IF(G528="","",G528*Ayarlar!$B$3+Ayarlar!$B$4+Ayarlar!$B$5)</f>
        <v/>
      </c>
      <c r="I528" s="10">
        <f>IF(G528="","",ROUNDUP(((G528*Ayarlar!$B$3+Ayarlar!$B$4+Ayarlar!$B$5)+Ayarlar!$B$8)/((1-Ayarlar!$B$6)*(1-Ayarlar!$B$7)),0))</f>
        <v/>
      </c>
      <c r="J528" s="10">
        <f>IF(G528="","",ROUNDUP(((G528*Ayarlar!$B$3+Ayarlar!$B$4+Ayarlar!$B$5)+Ayarlar!$B$8)/((1-Ayarlar!$B$6)*(1-Ayarlar!$B$7-Ayarlar!$B$9)),0))</f>
        <v/>
      </c>
      <c r="K528" s="12">
        <f>IF(OR(G528="",F528=""),"",(F528*(1-Ayarlar!$B$6)-(F528*(1-Ayarlar!$B$6)*Ayarlar!$B$7+Ayarlar!$B$8)-(G528*Ayarlar!$B$3+Ayarlar!$B$4+Ayarlar!$B$5))/(F528*(1-Ayarlar!$B$6)))</f>
        <v/>
      </c>
      <c r="L528" s="9">
        <f>IF(G528="","GRAM EKSİK",IF(F528&gt;30000,"FİYAT ŞÜPHELİ",IF(K528&lt;0,"ZARARDA",IF(F528&lt;I528,"RİSKLİ","ok"))))</f>
        <v/>
      </c>
      <c r="M528" s="13" t="inlineStr">
        <is>
          <t>https://www.etsy.com/listing/1522860530</t>
        </is>
      </c>
    </row>
    <row r="529">
      <c r="A529" s="3" t="inlineStr">
        <is>
          <t>chains</t>
        </is>
      </c>
      <c r="B529" s="3" t="inlineStr">
        <is>
          <t>14K Yellow Gold Round Box Chain Necklace – Unisex</t>
        </is>
      </c>
      <c r="C529" s="3" t="n">
        <v>1522860530</v>
      </c>
      <c r="D529" s="3" t="inlineStr">
        <is>
          <t>CRD2F-22</t>
        </is>
      </c>
      <c r="E529" s="3" t="inlineStr">
        <is>
          <t>description</t>
        </is>
      </c>
      <c r="F529" s="14" t="n">
        <v>661</v>
      </c>
      <c r="G529" s="17" t="n">
        <v>3.54</v>
      </c>
      <c r="H529" s="14">
        <f>IF(G529="","",G529*Ayarlar!$B$3+Ayarlar!$B$4+Ayarlar!$B$5)</f>
        <v/>
      </c>
      <c r="I529" s="14">
        <f>IF(G529="","",ROUNDUP(((G529*Ayarlar!$B$3+Ayarlar!$B$4+Ayarlar!$B$5)+Ayarlar!$B$8)/((1-Ayarlar!$B$6)*(1-Ayarlar!$B$7)),0))</f>
        <v/>
      </c>
      <c r="J529" s="14">
        <f>IF(G529="","",ROUNDUP(((G529*Ayarlar!$B$3+Ayarlar!$B$4+Ayarlar!$B$5)+Ayarlar!$B$8)/((1-Ayarlar!$B$6)*(1-Ayarlar!$B$7-Ayarlar!$B$9)),0))</f>
        <v/>
      </c>
      <c r="K529" s="15">
        <f>IF(OR(G529="",F529=""),"",(F529*(1-Ayarlar!$B$6)-(F529*(1-Ayarlar!$B$6)*Ayarlar!$B$7+Ayarlar!$B$8)-(G529*Ayarlar!$B$3+Ayarlar!$B$4+Ayarlar!$B$5))/(F529*(1-Ayarlar!$B$6)))</f>
        <v/>
      </c>
      <c r="L529" s="3">
        <f>IF(G529="","GRAM EKSİK",IF(F529&gt;30000,"FİYAT ŞÜPHELİ",IF(K529&lt;0,"ZARARDA",IF(F529&lt;I529,"RİSKLİ","ok"))))</f>
        <v/>
      </c>
      <c r="M529" s="16" t="inlineStr">
        <is>
          <t>https://www.etsy.com/listing/1522860530</t>
        </is>
      </c>
    </row>
    <row r="530">
      <c r="A530" s="9" t="inlineStr">
        <is>
          <t>chains</t>
        </is>
      </c>
      <c r="B530" s="9" t="inlineStr">
        <is>
          <t>14K Yellow Gold Round Box Chain Necklace – Unisex</t>
        </is>
      </c>
      <c r="C530" s="9" t="n">
        <v>1522860530</v>
      </c>
      <c r="D530" s="9" t="inlineStr">
        <is>
          <t>CRD2F-24</t>
        </is>
      </c>
      <c r="E530" s="9" t="inlineStr">
        <is>
          <t>description</t>
        </is>
      </c>
      <c r="F530" s="10" t="n">
        <v>720</v>
      </c>
      <c r="G530" s="18" t="n">
        <v>3.87</v>
      </c>
      <c r="H530" s="10">
        <f>IF(G530="","",G530*Ayarlar!$B$3+Ayarlar!$B$4+Ayarlar!$B$5)</f>
        <v/>
      </c>
      <c r="I530" s="10">
        <f>IF(G530="","",ROUNDUP(((G530*Ayarlar!$B$3+Ayarlar!$B$4+Ayarlar!$B$5)+Ayarlar!$B$8)/((1-Ayarlar!$B$6)*(1-Ayarlar!$B$7)),0))</f>
        <v/>
      </c>
      <c r="J530" s="10">
        <f>IF(G530="","",ROUNDUP(((G530*Ayarlar!$B$3+Ayarlar!$B$4+Ayarlar!$B$5)+Ayarlar!$B$8)/((1-Ayarlar!$B$6)*(1-Ayarlar!$B$7-Ayarlar!$B$9)),0))</f>
        <v/>
      </c>
      <c r="K530" s="12">
        <f>IF(OR(G530="",F530=""),"",(F530*(1-Ayarlar!$B$6)-(F530*(1-Ayarlar!$B$6)*Ayarlar!$B$7+Ayarlar!$B$8)-(G530*Ayarlar!$B$3+Ayarlar!$B$4+Ayarlar!$B$5))/(F530*(1-Ayarlar!$B$6)))</f>
        <v/>
      </c>
      <c r="L530" s="9">
        <f>IF(G530="","GRAM EKSİK",IF(F530&gt;30000,"FİYAT ŞÜPHELİ",IF(K530&lt;0,"ZARARDA",IF(F530&lt;I530,"RİSKLİ","ok"))))</f>
        <v/>
      </c>
      <c r="M530" s="13" t="inlineStr">
        <is>
          <t>https://www.etsy.com/listing/1522860530</t>
        </is>
      </c>
    </row>
    <row r="531">
      <c r="A531" s="3" t="inlineStr">
        <is>
          <t>chains</t>
        </is>
      </c>
      <c r="B531" s="3" t="inlineStr">
        <is>
          <t>14K Yellow Gold Round Box Chain Necklace – Unisex</t>
        </is>
      </c>
      <c r="C531" s="3" t="n">
        <v>1522860530</v>
      </c>
      <c r="D531" s="3" t="inlineStr">
        <is>
          <t>CRD3F-16</t>
        </is>
      </c>
      <c r="E531" s="3" t="inlineStr">
        <is>
          <t>description</t>
        </is>
      </c>
      <c r="F531" s="14" t="n">
        <v>601</v>
      </c>
      <c r="G531" s="17" t="n">
        <v>3.24</v>
      </c>
      <c r="H531" s="14">
        <f>IF(G531="","",G531*Ayarlar!$B$3+Ayarlar!$B$4+Ayarlar!$B$5)</f>
        <v/>
      </c>
      <c r="I531" s="14">
        <f>IF(G531="","",ROUNDUP(((G531*Ayarlar!$B$3+Ayarlar!$B$4+Ayarlar!$B$5)+Ayarlar!$B$8)/((1-Ayarlar!$B$6)*(1-Ayarlar!$B$7)),0))</f>
        <v/>
      </c>
      <c r="J531" s="14">
        <f>IF(G531="","",ROUNDUP(((G531*Ayarlar!$B$3+Ayarlar!$B$4+Ayarlar!$B$5)+Ayarlar!$B$8)/((1-Ayarlar!$B$6)*(1-Ayarlar!$B$7-Ayarlar!$B$9)),0))</f>
        <v/>
      </c>
      <c r="K531" s="15">
        <f>IF(OR(G531="",F531=""),"",(F531*(1-Ayarlar!$B$6)-(F531*(1-Ayarlar!$B$6)*Ayarlar!$B$7+Ayarlar!$B$8)-(G531*Ayarlar!$B$3+Ayarlar!$B$4+Ayarlar!$B$5))/(F531*(1-Ayarlar!$B$6)))</f>
        <v/>
      </c>
      <c r="L531" s="3">
        <f>IF(G531="","GRAM EKSİK",IF(F531&gt;30000,"FİYAT ŞÜPHELİ",IF(K531&lt;0,"ZARARDA",IF(F531&lt;I531,"RİSKLİ","ok"))))</f>
        <v/>
      </c>
      <c r="M531" s="16" t="inlineStr">
        <is>
          <t>https://www.etsy.com/listing/1522860530</t>
        </is>
      </c>
    </row>
    <row r="532">
      <c r="A532" s="9" t="inlineStr">
        <is>
          <t>chains</t>
        </is>
      </c>
      <c r="B532" s="9" t="inlineStr">
        <is>
          <t>14K Yellow Gold Round Box Chain Necklace – Unisex</t>
        </is>
      </c>
      <c r="C532" s="9" t="n">
        <v>1522860530</v>
      </c>
      <c r="D532" s="9" t="inlineStr">
        <is>
          <t>CRD3F-18</t>
        </is>
      </c>
      <c r="E532" s="9" t="inlineStr">
        <is>
          <t>shipstation</t>
        </is>
      </c>
      <c r="F532" s="10" t="n">
        <v>673</v>
      </c>
      <c r="G532" s="18" t="n">
        <v>3.87</v>
      </c>
      <c r="H532" s="10">
        <f>IF(G532="","",G532*Ayarlar!$B$3+Ayarlar!$B$4+Ayarlar!$B$5)</f>
        <v/>
      </c>
      <c r="I532" s="10">
        <f>IF(G532="","",ROUNDUP(((G532*Ayarlar!$B$3+Ayarlar!$B$4+Ayarlar!$B$5)+Ayarlar!$B$8)/((1-Ayarlar!$B$6)*(1-Ayarlar!$B$7)),0))</f>
        <v/>
      </c>
      <c r="J532" s="10">
        <f>IF(G532="","",ROUNDUP(((G532*Ayarlar!$B$3+Ayarlar!$B$4+Ayarlar!$B$5)+Ayarlar!$B$8)/((1-Ayarlar!$B$6)*(1-Ayarlar!$B$7-Ayarlar!$B$9)),0))</f>
        <v/>
      </c>
      <c r="K532" s="12">
        <f>IF(OR(G532="",F532=""),"",(F532*(1-Ayarlar!$B$6)-(F532*(1-Ayarlar!$B$6)*Ayarlar!$B$7+Ayarlar!$B$8)-(G532*Ayarlar!$B$3+Ayarlar!$B$4+Ayarlar!$B$5))/(F532*(1-Ayarlar!$B$6)))</f>
        <v/>
      </c>
      <c r="L532" s="9">
        <f>IF(G532="","GRAM EKSİK",IF(F532&gt;30000,"FİYAT ŞÜPHELİ",IF(K532&lt;0,"ZARARDA",IF(F532&lt;I532,"RİSKLİ","ok"))))</f>
        <v/>
      </c>
      <c r="M532" s="13" t="inlineStr">
        <is>
          <t>https://www.etsy.com/listing/1522860530</t>
        </is>
      </c>
    </row>
    <row r="533">
      <c r="A533" s="3" t="inlineStr">
        <is>
          <t>chains</t>
        </is>
      </c>
      <c r="B533" s="3" t="inlineStr">
        <is>
          <t>14K Yellow Gold Round Box Chain Necklace – Unisex</t>
        </is>
      </c>
      <c r="C533" s="3" t="n">
        <v>1522860530</v>
      </c>
      <c r="D533" s="3" t="inlineStr">
        <is>
          <t>CRD3F-20</t>
        </is>
      </c>
      <c r="E533" s="3" t="inlineStr">
        <is>
          <t>shipstation</t>
        </is>
      </c>
      <c r="F533" s="14" t="n">
        <v>735</v>
      </c>
      <c r="G533" s="17" t="n">
        <v>4.17</v>
      </c>
      <c r="H533" s="14">
        <f>IF(G533="","",G533*Ayarlar!$B$3+Ayarlar!$B$4+Ayarlar!$B$5)</f>
        <v/>
      </c>
      <c r="I533" s="14">
        <f>IF(G533="","",ROUNDUP(((G533*Ayarlar!$B$3+Ayarlar!$B$4+Ayarlar!$B$5)+Ayarlar!$B$8)/((1-Ayarlar!$B$6)*(1-Ayarlar!$B$7)),0))</f>
        <v/>
      </c>
      <c r="J533" s="14">
        <f>IF(G533="","",ROUNDUP(((G533*Ayarlar!$B$3+Ayarlar!$B$4+Ayarlar!$B$5)+Ayarlar!$B$8)/((1-Ayarlar!$B$6)*(1-Ayarlar!$B$7-Ayarlar!$B$9)),0))</f>
        <v/>
      </c>
      <c r="K533" s="15">
        <f>IF(OR(G533="",F533=""),"",(F533*(1-Ayarlar!$B$6)-(F533*(1-Ayarlar!$B$6)*Ayarlar!$B$7+Ayarlar!$B$8)-(G533*Ayarlar!$B$3+Ayarlar!$B$4+Ayarlar!$B$5))/(F533*(1-Ayarlar!$B$6)))</f>
        <v/>
      </c>
      <c r="L533" s="3">
        <f>IF(G533="","GRAM EKSİK",IF(F533&gt;30000,"FİYAT ŞÜPHELİ",IF(K533&lt;0,"ZARARDA",IF(F533&lt;I533,"RİSKLİ","ok"))))</f>
        <v/>
      </c>
      <c r="M533" s="16" t="inlineStr">
        <is>
          <t>https://www.etsy.com/listing/1522860530</t>
        </is>
      </c>
    </row>
    <row r="534">
      <c r="A534" s="9" t="inlineStr">
        <is>
          <t>chains</t>
        </is>
      </c>
      <c r="B534" s="9" t="inlineStr">
        <is>
          <t>14K Yellow Gold Round Box Chain Necklace – Unisex</t>
        </is>
      </c>
      <c r="C534" s="9" t="n">
        <v>1522860530</v>
      </c>
      <c r="D534" s="9" t="inlineStr">
        <is>
          <t>CRD3F-22</t>
        </is>
      </c>
      <c r="E534" s="9" t="inlineStr">
        <is>
          <t>description</t>
        </is>
      </c>
      <c r="F534" s="10" t="n">
        <v>794</v>
      </c>
      <c r="G534" s="18" t="n">
        <v>4.46</v>
      </c>
      <c r="H534" s="10">
        <f>IF(G534="","",G534*Ayarlar!$B$3+Ayarlar!$B$4+Ayarlar!$B$5)</f>
        <v/>
      </c>
      <c r="I534" s="10">
        <f>IF(G534="","",ROUNDUP(((G534*Ayarlar!$B$3+Ayarlar!$B$4+Ayarlar!$B$5)+Ayarlar!$B$8)/((1-Ayarlar!$B$6)*(1-Ayarlar!$B$7)),0))</f>
        <v/>
      </c>
      <c r="J534" s="10">
        <f>IF(G534="","",ROUNDUP(((G534*Ayarlar!$B$3+Ayarlar!$B$4+Ayarlar!$B$5)+Ayarlar!$B$8)/((1-Ayarlar!$B$6)*(1-Ayarlar!$B$7-Ayarlar!$B$9)),0))</f>
        <v/>
      </c>
      <c r="K534" s="12">
        <f>IF(OR(G534="",F534=""),"",(F534*(1-Ayarlar!$B$6)-(F534*(1-Ayarlar!$B$6)*Ayarlar!$B$7+Ayarlar!$B$8)-(G534*Ayarlar!$B$3+Ayarlar!$B$4+Ayarlar!$B$5))/(F534*(1-Ayarlar!$B$6)))</f>
        <v/>
      </c>
      <c r="L534" s="9">
        <f>IF(G534="","GRAM EKSİK",IF(F534&gt;30000,"FİYAT ŞÜPHELİ",IF(K534&lt;0,"ZARARDA",IF(F534&lt;I534,"RİSKLİ","ok"))))</f>
        <v/>
      </c>
      <c r="M534" s="13" t="inlineStr">
        <is>
          <t>https://www.etsy.com/listing/1522860530</t>
        </is>
      </c>
    </row>
    <row r="535">
      <c r="A535" s="3" t="inlineStr">
        <is>
          <t>chains</t>
        </is>
      </c>
      <c r="B535" s="3" t="inlineStr">
        <is>
          <t>14K Yellow Gold Round Box Chain Necklace – Unisex</t>
        </is>
      </c>
      <c r="C535" s="3" t="n">
        <v>1522860530</v>
      </c>
      <c r="D535" s="3" t="inlineStr">
        <is>
          <t>CRD3F-24</t>
        </is>
      </c>
      <c r="E535" s="3" t="inlineStr">
        <is>
          <t>description</t>
        </is>
      </c>
      <c r="F535" s="14" t="n">
        <v>855</v>
      </c>
      <c r="G535" s="17" t="n">
        <v>4.87</v>
      </c>
      <c r="H535" s="14">
        <f>IF(G535="","",G535*Ayarlar!$B$3+Ayarlar!$B$4+Ayarlar!$B$5)</f>
        <v/>
      </c>
      <c r="I535" s="14">
        <f>IF(G535="","",ROUNDUP(((G535*Ayarlar!$B$3+Ayarlar!$B$4+Ayarlar!$B$5)+Ayarlar!$B$8)/((1-Ayarlar!$B$6)*(1-Ayarlar!$B$7)),0))</f>
        <v/>
      </c>
      <c r="J535" s="14">
        <f>IF(G535="","",ROUNDUP(((G535*Ayarlar!$B$3+Ayarlar!$B$4+Ayarlar!$B$5)+Ayarlar!$B$8)/((1-Ayarlar!$B$6)*(1-Ayarlar!$B$7-Ayarlar!$B$9)),0))</f>
        <v/>
      </c>
      <c r="K535" s="15">
        <f>IF(OR(G535="",F535=""),"",(F535*(1-Ayarlar!$B$6)-(F535*(1-Ayarlar!$B$6)*Ayarlar!$B$7+Ayarlar!$B$8)-(G535*Ayarlar!$B$3+Ayarlar!$B$4+Ayarlar!$B$5))/(F535*(1-Ayarlar!$B$6)))</f>
        <v/>
      </c>
      <c r="L535" s="3">
        <f>IF(G535="","GRAM EKSİK",IF(F535&gt;30000,"FİYAT ŞÜPHELİ",IF(K535&lt;0,"ZARARDA",IF(F535&lt;I535,"RİSKLİ","ok"))))</f>
        <v/>
      </c>
      <c r="M535" s="16" t="inlineStr">
        <is>
          <t>https://www.etsy.com/listing/1522860530</t>
        </is>
      </c>
    </row>
    <row r="536">
      <c r="A536" s="9" t="inlineStr">
        <is>
          <t>chains</t>
        </is>
      </c>
      <c r="B536" s="9" t="inlineStr">
        <is>
          <t>14K Yellow Gold Round Box Chain Necklace – Unisex</t>
        </is>
      </c>
      <c r="C536" s="9" t="n">
        <v>1522860530</v>
      </c>
      <c r="D536" s="9" t="inlineStr">
        <is>
          <t>CRD4F-16</t>
        </is>
      </c>
      <c r="E536" s="9" t="inlineStr">
        <is>
          <t>description</t>
        </is>
      </c>
      <c r="F536" s="10" t="n">
        <v>1083</v>
      </c>
      <c r="G536" s="18" t="n">
        <v>6</v>
      </c>
      <c r="H536" s="10">
        <f>IF(G536="","",G536*Ayarlar!$B$3+Ayarlar!$B$4+Ayarlar!$B$5)</f>
        <v/>
      </c>
      <c r="I536" s="10">
        <f>IF(G536="","",ROUNDUP(((G536*Ayarlar!$B$3+Ayarlar!$B$4+Ayarlar!$B$5)+Ayarlar!$B$8)/((1-Ayarlar!$B$6)*(1-Ayarlar!$B$7)),0))</f>
        <v/>
      </c>
      <c r="J536" s="10">
        <f>IF(G536="","",ROUNDUP(((G536*Ayarlar!$B$3+Ayarlar!$B$4+Ayarlar!$B$5)+Ayarlar!$B$8)/((1-Ayarlar!$B$6)*(1-Ayarlar!$B$7-Ayarlar!$B$9)),0))</f>
        <v/>
      </c>
      <c r="K536" s="12">
        <f>IF(OR(G536="",F536=""),"",(F536*(1-Ayarlar!$B$6)-(F536*(1-Ayarlar!$B$6)*Ayarlar!$B$7+Ayarlar!$B$8)-(G536*Ayarlar!$B$3+Ayarlar!$B$4+Ayarlar!$B$5))/(F536*(1-Ayarlar!$B$6)))</f>
        <v/>
      </c>
      <c r="L536" s="9">
        <f>IF(G536="","GRAM EKSİK",IF(F536&gt;30000,"FİYAT ŞÜPHELİ",IF(K536&lt;0,"ZARARDA",IF(F536&lt;I536,"RİSKLİ","ok"))))</f>
        <v/>
      </c>
      <c r="M536" s="13" t="inlineStr">
        <is>
          <t>https://www.etsy.com/listing/1522860530</t>
        </is>
      </c>
    </row>
    <row r="537">
      <c r="A537" s="3" t="inlineStr">
        <is>
          <t>chains</t>
        </is>
      </c>
      <c r="B537" s="3" t="inlineStr">
        <is>
          <t>14K Yellow Gold Round Box Chain Necklace – Unisex</t>
        </is>
      </c>
      <c r="C537" s="3" t="n">
        <v>1522860530</v>
      </c>
      <c r="D537" s="3" t="inlineStr">
        <is>
          <t>CRD4F-18</t>
        </is>
      </c>
      <c r="E537" s="3" t="inlineStr">
        <is>
          <t>description</t>
        </is>
      </c>
      <c r="F537" s="14" t="n">
        <v>1215</v>
      </c>
      <c r="G537" s="17" t="n">
        <v>6.75</v>
      </c>
      <c r="H537" s="14">
        <f>IF(G537="","",G537*Ayarlar!$B$3+Ayarlar!$B$4+Ayarlar!$B$5)</f>
        <v/>
      </c>
      <c r="I537" s="14">
        <f>IF(G537="","",ROUNDUP(((G537*Ayarlar!$B$3+Ayarlar!$B$4+Ayarlar!$B$5)+Ayarlar!$B$8)/((1-Ayarlar!$B$6)*(1-Ayarlar!$B$7)),0))</f>
        <v/>
      </c>
      <c r="J537" s="14">
        <f>IF(G537="","",ROUNDUP(((G537*Ayarlar!$B$3+Ayarlar!$B$4+Ayarlar!$B$5)+Ayarlar!$B$8)/((1-Ayarlar!$B$6)*(1-Ayarlar!$B$7-Ayarlar!$B$9)),0))</f>
        <v/>
      </c>
      <c r="K537" s="15">
        <f>IF(OR(G537="",F537=""),"",(F537*(1-Ayarlar!$B$6)-(F537*(1-Ayarlar!$B$6)*Ayarlar!$B$7+Ayarlar!$B$8)-(G537*Ayarlar!$B$3+Ayarlar!$B$4+Ayarlar!$B$5))/(F537*(1-Ayarlar!$B$6)))</f>
        <v/>
      </c>
      <c r="L537" s="3">
        <f>IF(G537="","GRAM EKSİK",IF(F537&gt;30000,"FİYAT ŞÜPHELİ",IF(K537&lt;0,"ZARARDA",IF(F537&lt;I537,"RİSKLİ","ok"))))</f>
        <v/>
      </c>
      <c r="M537" s="16" t="inlineStr">
        <is>
          <t>https://www.etsy.com/listing/1522860530</t>
        </is>
      </c>
    </row>
    <row r="538">
      <c r="A538" s="9" t="inlineStr">
        <is>
          <t>chains</t>
        </is>
      </c>
      <c r="B538" s="9" t="inlineStr">
        <is>
          <t>14K Yellow Gold Round Box Chain Necklace – Unisex</t>
        </is>
      </c>
      <c r="C538" s="9" t="n">
        <v>1522860530</v>
      </c>
      <c r="D538" s="9" t="inlineStr">
        <is>
          <t>CRD4F-20</t>
        </is>
      </c>
      <c r="E538" s="9" t="inlineStr">
        <is>
          <t>description</t>
        </is>
      </c>
      <c r="F538" s="10" t="n">
        <v>1347</v>
      </c>
      <c r="G538" s="18" t="n">
        <v>7.5</v>
      </c>
      <c r="H538" s="10">
        <f>IF(G538="","",G538*Ayarlar!$B$3+Ayarlar!$B$4+Ayarlar!$B$5)</f>
        <v/>
      </c>
      <c r="I538" s="10">
        <f>IF(G538="","",ROUNDUP(((G538*Ayarlar!$B$3+Ayarlar!$B$4+Ayarlar!$B$5)+Ayarlar!$B$8)/((1-Ayarlar!$B$6)*(1-Ayarlar!$B$7)),0))</f>
        <v/>
      </c>
      <c r="J538" s="10">
        <f>IF(G538="","",ROUNDUP(((G538*Ayarlar!$B$3+Ayarlar!$B$4+Ayarlar!$B$5)+Ayarlar!$B$8)/((1-Ayarlar!$B$6)*(1-Ayarlar!$B$7-Ayarlar!$B$9)),0))</f>
        <v/>
      </c>
      <c r="K538" s="12">
        <f>IF(OR(G538="",F538=""),"",(F538*(1-Ayarlar!$B$6)-(F538*(1-Ayarlar!$B$6)*Ayarlar!$B$7+Ayarlar!$B$8)-(G538*Ayarlar!$B$3+Ayarlar!$B$4+Ayarlar!$B$5))/(F538*(1-Ayarlar!$B$6)))</f>
        <v/>
      </c>
      <c r="L538" s="9">
        <f>IF(G538="","GRAM EKSİK",IF(F538&gt;30000,"FİYAT ŞÜPHELİ",IF(K538&lt;0,"ZARARDA",IF(F538&lt;I538,"RİSKLİ","ok"))))</f>
        <v/>
      </c>
      <c r="M538" s="13" t="inlineStr">
        <is>
          <t>https://www.etsy.com/listing/1522860530</t>
        </is>
      </c>
    </row>
    <row r="539">
      <c r="A539" s="3" t="inlineStr">
        <is>
          <t>chains</t>
        </is>
      </c>
      <c r="B539" s="3" t="inlineStr">
        <is>
          <t>14K Yellow Gold Round Box Chain Necklace – Unisex</t>
        </is>
      </c>
      <c r="C539" s="3" t="n">
        <v>1522860530</v>
      </c>
      <c r="D539" s="3" t="inlineStr">
        <is>
          <t>CRD4F-22</t>
        </is>
      </c>
      <c r="E539" s="3" t="inlineStr">
        <is>
          <t>shipstation</t>
        </is>
      </c>
      <c r="F539" s="14" t="n">
        <v>1472</v>
      </c>
      <c r="G539" s="17" t="n">
        <v>7.1</v>
      </c>
      <c r="H539" s="14">
        <f>IF(G539="","",G539*Ayarlar!$B$3+Ayarlar!$B$4+Ayarlar!$B$5)</f>
        <v/>
      </c>
      <c r="I539" s="14">
        <f>IF(G539="","",ROUNDUP(((G539*Ayarlar!$B$3+Ayarlar!$B$4+Ayarlar!$B$5)+Ayarlar!$B$8)/((1-Ayarlar!$B$6)*(1-Ayarlar!$B$7)),0))</f>
        <v/>
      </c>
      <c r="J539" s="14">
        <f>IF(G539="","",ROUNDUP(((G539*Ayarlar!$B$3+Ayarlar!$B$4+Ayarlar!$B$5)+Ayarlar!$B$8)/((1-Ayarlar!$B$6)*(1-Ayarlar!$B$7-Ayarlar!$B$9)),0))</f>
        <v/>
      </c>
      <c r="K539" s="15">
        <f>IF(OR(G539="",F539=""),"",(F539*(1-Ayarlar!$B$6)-(F539*(1-Ayarlar!$B$6)*Ayarlar!$B$7+Ayarlar!$B$8)-(G539*Ayarlar!$B$3+Ayarlar!$B$4+Ayarlar!$B$5))/(F539*(1-Ayarlar!$B$6)))</f>
        <v/>
      </c>
      <c r="L539" s="3">
        <f>IF(G539="","GRAM EKSİK",IF(F539&gt;30000,"FİYAT ŞÜPHELİ",IF(K539&lt;0,"ZARARDA",IF(F539&lt;I539,"RİSKLİ","ok"))))</f>
        <v/>
      </c>
      <c r="M539" s="16" t="inlineStr">
        <is>
          <t>https://www.etsy.com/listing/1522860530</t>
        </is>
      </c>
    </row>
    <row r="540">
      <c r="A540" s="9" t="inlineStr">
        <is>
          <t>chains</t>
        </is>
      </c>
      <c r="B540" s="9" t="inlineStr">
        <is>
          <t>14K Yellow Gold Round Box Chain Necklace – Unisex</t>
        </is>
      </c>
      <c r="C540" s="9" t="n">
        <v>1522860530</v>
      </c>
      <c r="D540" s="9" t="inlineStr">
        <is>
          <t>CRD4F-24</t>
        </is>
      </c>
      <c r="E540" s="9" t="inlineStr">
        <is>
          <t>description</t>
        </is>
      </c>
      <c r="F540" s="10" t="n">
        <v>1612</v>
      </c>
      <c r="G540" s="18" t="n">
        <v>9</v>
      </c>
      <c r="H540" s="10">
        <f>IF(G540="","",G540*Ayarlar!$B$3+Ayarlar!$B$4+Ayarlar!$B$5)</f>
        <v/>
      </c>
      <c r="I540" s="10">
        <f>IF(G540="","",ROUNDUP(((G540*Ayarlar!$B$3+Ayarlar!$B$4+Ayarlar!$B$5)+Ayarlar!$B$8)/((1-Ayarlar!$B$6)*(1-Ayarlar!$B$7)),0))</f>
        <v/>
      </c>
      <c r="J540" s="10">
        <f>IF(G540="","",ROUNDUP(((G540*Ayarlar!$B$3+Ayarlar!$B$4+Ayarlar!$B$5)+Ayarlar!$B$8)/((1-Ayarlar!$B$6)*(1-Ayarlar!$B$7-Ayarlar!$B$9)),0))</f>
        <v/>
      </c>
      <c r="K540" s="12">
        <f>IF(OR(G540="",F540=""),"",(F540*(1-Ayarlar!$B$6)-(F540*(1-Ayarlar!$B$6)*Ayarlar!$B$7+Ayarlar!$B$8)-(G540*Ayarlar!$B$3+Ayarlar!$B$4+Ayarlar!$B$5))/(F540*(1-Ayarlar!$B$6)))</f>
        <v/>
      </c>
      <c r="L540" s="9">
        <f>IF(G540="","GRAM EKSİK",IF(F540&gt;30000,"FİYAT ŞÜPHELİ",IF(K540&lt;0,"ZARARDA",IF(F540&lt;I540,"RİSKLİ","ok"))))</f>
        <v/>
      </c>
      <c r="M540" s="13" t="inlineStr">
        <is>
          <t>https://www.etsy.com/listing/1522860530</t>
        </is>
      </c>
    </row>
    <row r="541">
      <c r="A541" s="3" t="inlineStr">
        <is>
          <t>chains</t>
        </is>
      </c>
      <c r="B541" s="3" t="inlineStr">
        <is>
          <t>14K Yellow Gold Round Box Chain Necklace – Unisex</t>
        </is>
      </c>
      <c r="C541" s="3" t="n">
        <v>1522860530</v>
      </c>
      <c r="D541" s="3" t="inlineStr">
        <is>
          <t>CRD5F-16</t>
        </is>
      </c>
      <c r="E541" s="3" t="inlineStr">
        <is>
          <t>description</t>
        </is>
      </c>
      <c r="F541" s="14" t="n">
        <v>2045</v>
      </c>
      <c r="G541" s="17" t="n">
        <v>11.38</v>
      </c>
      <c r="H541" s="14">
        <f>IF(G541="","",G541*Ayarlar!$B$3+Ayarlar!$B$4+Ayarlar!$B$5)</f>
        <v/>
      </c>
      <c r="I541" s="14">
        <f>IF(G541="","",ROUNDUP(((G541*Ayarlar!$B$3+Ayarlar!$B$4+Ayarlar!$B$5)+Ayarlar!$B$8)/((1-Ayarlar!$B$6)*(1-Ayarlar!$B$7)),0))</f>
        <v/>
      </c>
      <c r="J541" s="14">
        <f>IF(G541="","",ROUNDUP(((G541*Ayarlar!$B$3+Ayarlar!$B$4+Ayarlar!$B$5)+Ayarlar!$B$8)/((1-Ayarlar!$B$6)*(1-Ayarlar!$B$7-Ayarlar!$B$9)),0))</f>
        <v/>
      </c>
      <c r="K541" s="15">
        <f>IF(OR(G541="",F541=""),"",(F541*(1-Ayarlar!$B$6)-(F541*(1-Ayarlar!$B$6)*Ayarlar!$B$7+Ayarlar!$B$8)-(G541*Ayarlar!$B$3+Ayarlar!$B$4+Ayarlar!$B$5))/(F541*(1-Ayarlar!$B$6)))</f>
        <v/>
      </c>
      <c r="L541" s="3">
        <f>IF(G541="","GRAM EKSİK",IF(F541&gt;30000,"FİYAT ŞÜPHELİ",IF(K541&lt;0,"ZARARDA",IF(F541&lt;I541,"RİSKLİ","ok"))))</f>
        <v/>
      </c>
      <c r="M541" s="16" t="inlineStr">
        <is>
          <t>https://www.etsy.com/listing/1522860530</t>
        </is>
      </c>
    </row>
    <row r="542">
      <c r="A542" s="9" t="inlineStr">
        <is>
          <t>chains</t>
        </is>
      </c>
      <c r="B542" s="9" t="inlineStr">
        <is>
          <t>14K Yellow Gold Round Box Chain Necklace – Unisex</t>
        </is>
      </c>
      <c r="C542" s="9" t="n">
        <v>1522860530</v>
      </c>
      <c r="D542" s="9" t="inlineStr">
        <is>
          <t>CRD5F-18</t>
        </is>
      </c>
      <c r="E542" s="9" t="inlineStr">
        <is>
          <t>description</t>
        </is>
      </c>
      <c r="F542" s="10" t="n">
        <v>2286</v>
      </c>
      <c r="G542" s="18" t="n">
        <v>12.8</v>
      </c>
      <c r="H542" s="10">
        <f>IF(G542="","",G542*Ayarlar!$B$3+Ayarlar!$B$4+Ayarlar!$B$5)</f>
        <v/>
      </c>
      <c r="I542" s="10">
        <f>IF(G542="","",ROUNDUP(((G542*Ayarlar!$B$3+Ayarlar!$B$4+Ayarlar!$B$5)+Ayarlar!$B$8)/((1-Ayarlar!$B$6)*(1-Ayarlar!$B$7)),0))</f>
        <v/>
      </c>
      <c r="J542" s="10">
        <f>IF(G542="","",ROUNDUP(((G542*Ayarlar!$B$3+Ayarlar!$B$4+Ayarlar!$B$5)+Ayarlar!$B$8)/((1-Ayarlar!$B$6)*(1-Ayarlar!$B$7-Ayarlar!$B$9)),0))</f>
        <v/>
      </c>
      <c r="K542" s="12">
        <f>IF(OR(G542="",F542=""),"",(F542*(1-Ayarlar!$B$6)-(F542*(1-Ayarlar!$B$6)*Ayarlar!$B$7+Ayarlar!$B$8)-(G542*Ayarlar!$B$3+Ayarlar!$B$4+Ayarlar!$B$5))/(F542*(1-Ayarlar!$B$6)))</f>
        <v/>
      </c>
      <c r="L542" s="9">
        <f>IF(G542="","GRAM EKSİK",IF(F542&gt;30000,"FİYAT ŞÜPHELİ",IF(K542&lt;0,"ZARARDA",IF(F542&lt;I542,"RİSKLİ","ok"))))</f>
        <v/>
      </c>
      <c r="M542" s="13" t="inlineStr">
        <is>
          <t>https://www.etsy.com/listing/1522860530</t>
        </is>
      </c>
    </row>
    <row r="543">
      <c r="A543" s="3" t="inlineStr">
        <is>
          <t>chains</t>
        </is>
      </c>
      <c r="B543" s="3" t="inlineStr">
        <is>
          <t>14K Yellow Gold Round Box Chain Necklace – Unisex</t>
        </is>
      </c>
      <c r="C543" s="3" t="n">
        <v>1522860530</v>
      </c>
      <c r="D543" s="3" t="inlineStr">
        <is>
          <t>CRD5F-20</t>
        </is>
      </c>
      <c r="E543" s="3" t="inlineStr">
        <is>
          <t>description</t>
        </is>
      </c>
      <c r="F543" s="14" t="n">
        <v>2526</v>
      </c>
      <c r="G543" s="17" t="n">
        <v>14.22</v>
      </c>
      <c r="H543" s="14">
        <f>IF(G543="","",G543*Ayarlar!$B$3+Ayarlar!$B$4+Ayarlar!$B$5)</f>
        <v/>
      </c>
      <c r="I543" s="14">
        <f>IF(G543="","",ROUNDUP(((G543*Ayarlar!$B$3+Ayarlar!$B$4+Ayarlar!$B$5)+Ayarlar!$B$8)/((1-Ayarlar!$B$6)*(1-Ayarlar!$B$7)),0))</f>
        <v/>
      </c>
      <c r="J543" s="14">
        <f>IF(G543="","",ROUNDUP(((G543*Ayarlar!$B$3+Ayarlar!$B$4+Ayarlar!$B$5)+Ayarlar!$B$8)/((1-Ayarlar!$B$6)*(1-Ayarlar!$B$7-Ayarlar!$B$9)),0))</f>
        <v/>
      </c>
      <c r="K543" s="15">
        <f>IF(OR(G543="",F543=""),"",(F543*(1-Ayarlar!$B$6)-(F543*(1-Ayarlar!$B$6)*Ayarlar!$B$7+Ayarlar!$B$8)-(G543*Ayarlar!$B$3+Ayarlar!$B$4+Ayarlar!$B$5))/(F543*(1-Ayarlar!$B$6)))</f>
        <v/>
      </c>
      <c r="L543" s="3">
        <f>IF(G543="","GRAM EKSİK",IF(F543&gt;30000,"FİYAT ŞÜPHELİ",IF(K543&lt;0,"ZARARDA",IF(F543&lt;I543,"RİSKLİ","ok"))))</f>
        <v/>
      </c>
      <c r="M543" s="16" t="inlineStr">
        <is>
          <t>https://www.etsy.com/listing/1522860530</t>
        </is>
      </c>
    </row>
    <row r="544">
      <c r="A544" s="9" t="inlineStr">
        <is>
          <t>chains</t>
        </is>
      </c>
      <c r="B544" s="9" t="inlineStr">
        <is>
          <t>14K Yellow Gold Round Box Chain Necklace – Unisex</t>
        </is>
      </c>
      <c r="C544" s="9" t="n">
        <v>1522860530</v>
      </c>
      <c r="D544" s="9" t="inlineStr">
        <is>
          <t>CRD5F-22</t>
        </is>
      </c>
      <c r="E544" s="9" t="inlineStr">
        <is>
          <t>description</t>
        </is>
      </c>
      <c r="F544" s="10" t="n">
        <v>2768</v>
      </c>
      <c r="G544" s="18" t="n">
        <v>15.64</v>
      </c>
      <c r="H544" s="10">
        <f>IF(G544="","",G544*Ayarlar!$B$3+Ayarlar!$B$4+Ayarlar!$B$5)</f>
        <v/>
      </c>
      <c r="I544" s="10">
        <f>IF(G544="","",ROUNDUP(((G544*Ayarlar!$B$3+Ayarlar!$B$4+Ayarlar!$B$5)+Ayarlar!$B$8)/((1-Ayarlar!$B$6)*(1-Ayarlar!$B$7)),0))</f>
        <v/>
      </c>
      <c r="J544" s="10">
        <f>IF(G544="","",ROUNDUP(((G544*Ayarlar!$B$3+Ayarlar!$B$4+Ayarlar!$B$5)+Ayarlar!$B$8)/((1-Ayarlar!$B$6)*(1-Ayarlar!$B$7-Ayarlar!$B$9)),0))</f>
        <v/>
      </c>
      <c r="K544" s="12">
        <f>IF(OR(G544="",F544=""),"",(F544*(1-Ayarlar!$B$6)-(F544*(1-Ayarlar!$B$6)*Ayarlar!$B$7+Ayarlar!$B$8)-(G544*Ayarlar!$B$3+Ayarlar!$B$4+Ayarlar!$B$5))/(F544*(1-Ayarlar!$B$6)))</f>
        <v/>
      </c>
      <c r="L544" s="9">
        <f>IF(G544="","GRAM EKSİK",IF(F544&gt;30000,"FİYAT ŞÜPHELİ",IF(K544&lt;0,"ZARARDA",IF(F544&lt;I544,"RİSKLİ","ok"))))</f>
        <v/>
      </c>
      <c r="M544" s="13" t="inlineStr">
        <is>
          <t>https://www.etsy.com/listing/1522860530</t>
        </is>
      </c>
    </row>
    <row r="545">
      <c r="A545" s="3" t="inlineStr">
        <is>
          <t>chains</t>
        </is>
      </c>
      <c r="B545" s="3" t="inlineStr">
        <is>
          <t>14K Yellow Gold Round Box Chain Necklace – Unisex</t>
        </is>
      </c>
      <c r="C545" s="3" t="n">
        <v>1522860530</v>
      </c>
      <c r="D545" s="3" t="inlineStr">
        <is>
          <t>CRD5F-24</t>
        </is>
      </c>
      <c r="E545" s="3" t="inlineStr">
        <is>
          <t>description</t>
        </is>
      </c>
      <c r="F545" s="14" t="n">
        <v>3008</v>
      </c>
      <c r="G545" s="17" t="n">
        <v>17.07</v>
      </c>
      <c r="H545" s="14">
        <f>IF(G545="","",G545*Ayarlar!$B$3+Ayarlar!$B$4+Ayarlar!$B$5)</f>
        <v/>
      </c>
      <c r="I545" s="14">
        <f>IF(G545="","",ROUNDUP(((G545*Ayarlar!$B$3+Ayarlar!$B$4+Ayarlar!$B$5)+Ayarlar!$B$8)/((1-Ayarlar!$B$6)*(1-Ayarlar!$B$7)),0))</f>
        <v/>
      </c>
      <c r="J545" s="14">
        <f>IF(G545="","",ROUNDUP(((G545*Ayarlar!$B$3+Ayarlar!$B$4+Ayarlar!$B$5)+Ayarlar!$B$8)/((1-Ayarlar!$B$6)*(1-Ayarlar!$B$7-Ayarlar!$B$9)),0))</f>
        <v/>
      </c>
      <c r="K545" s="15">
        <f>IF(OR(G545="",F545=""),"",(F545*(1-Ayarlar!$B$6)-(F545*(1-Ayarlar!$B$6)*Ayarlar!$B$7+Ayarlar!$B$8)-(G545*Ayarlar!$B$3+Ayarlar!$B$4+Ayarlar!$B$5))/(F545*(1-Ayarlar!$B$6)))</f>
        <v/>
      </c>
      <c r="L545" s="3">
        <f>IF(G545="","GRAM EKSİK",IF(F545&gt;30000,"FİYAT ŞÜPHELİ",IF(K545&lt;0,"ZARARDA",IF(F545&lt;I545,"RİSKLİ","ok"))))</f>
        <v/>
      </c>
      <c r="M545" s="16" t="inlineStr">
        <is>
          <t>https://www.etsy.com/listing/1522860530</t>
        </is>
      </c>
    </row>
    <row r="546">
      <c r="A546" s="9" t="inlineStr">
        <is>
          <t>chains</t>
        </is>
      </c>
      <c r="B546" s="9" t="inlineStr">
        <is>
          <t>Chunky 14K Yellow Gold Rope Bracelet / Unisex Statement Jewe</t>
        </is>
      </c>
      <c r="C546" s="9" t="n">
        <v>4296776011</v>
      </c>
      <c r="D546" s="9" t="inlineStr">
        <is>
          <t>BRO65-7</t>
        </is>
      </c>
      <c r="E546" s="9" t="inlineStr">
        <is>
          <t>description-scaled</t>
        </is>
      </c>
      <c r="F546" s="10" t="n">
        <v>1431</v>
      </c>
      <c r="G546" s="18" t="n">
        <v>6.2</v>
      </c>
      <c r="H546" s="10">
        <f>IF(G546="","",G546*Ayarlar!$B$3+Ayarlar!$B$4+Ayarlar!$B$5)</f>
        <v/>
      </c>
      <c r="I546" s="10">
        <f>IF(G546="","",ROUNDUP(((G546*Ayarlar!$B$3+Ayarlar!$B$4+Ayarlar!$B$5)+Ayarlar!$B$8)/((1-Ayarlar!$B$6)*(1-Ayarlar!$B$7)),0))</f>
        <v/>
      </c>
      <c r="J546" s="10">
        <f>IF(G546="","",ROUNDUP(((G546*Ayarlar!$B$3+Ayarlar!$B$4+Ayarlar!$B$5)+Ayarlar!$B$8)/((1-Ayarlar!$B$6)*(1-Ayarlar!$B$7-Ayarlar!$B$9)),0))</f>
        <v/>
      </c>
      <c r="K546" s="12">
        <f>IF(OR(G546="",F546=""),"",(F546*(1-Ayarlar!$B$6)-(F546*(1-Ayarlar!$B$6)*Ayarlar!$B$7+Ayarlar!$B$8)-(G546*Ayarlar!$B$3+Ayarlar!$B$4+Ayarlar!$B$5))/(F546*(1-Ayarlar!$B$6)))</f>
        <v/>
      </c>
      <c r="L546" s="9">
        <f>IF(G546="","GRAM EKSİK",IF(F546&gt;30000,"FİYAT ŞÜPHELİ",IF(K546&lt;0,"ZARARDA",IF(F546&lt;I546,"RİSKLİ","ok"))))</f>
        <v/>
      </c>
      <c r="M546" s="13" t="inlineStr">
        <is>
          <t>https://www.etsy.com/listing/4296776011</t>
        </is>
      </c>
    </row>
    <row r="547">
      <c r="A547" s="3" t="inlineStr">
        <is>
          <t>chains</t>
        </is>
      </c>
      <c r="B547" s="3" t="inlineStr">
        <is>
          <t>Chunky 14K Yellow Gold Rope Bracelet / Unisex Statement Jewe</t>
        </is>
      </c>
      <c r="C547" s="3" t="n">
        <v>4296776011</v>
      </c>
      <c r="D547" s="3" t="inlineStr">
        <is>
          <t>BRO65-7.5</t>
        </is>
      </c>
      <c r="E547" s="3" t="inlineStr">
        <is>
          <t>description-scaled</t>
        </is>
      </c>
      <c r="F547" s="14" t="n">
        <v>1493</v>
      </c>
      <c r="G547" s="17" t="n">
        <v>6.64</v>
      </c>
      <c r="H547" s="14">
        <f>IF(G547="","",G547*Ayarlar!$B$3+Ayarlar!$B$4+Ayarlar!$B$5)</f>
        <v/>
      </c>
      <c r="I547" s="14">
        <f>IF(G547="","",ROUNDUP(((G547*Ayarlar!$B$3+Ayarlar!$B$4+Ayarlar!$B$5)+Ayarlar!$B$8)/((1-Ayarlar!$B$6)*(1-Ayarlar!$B$7)),0))</f>
        <v/>
      </c>
      <c r="J547" s="14">
        <f>IF(G547="","",ROUNDUP(((G547*Ayarlar!$B$3+Ayarlar!$B$4+Ayarlar!$B$5)+Ayarlar!$B$8)/((1-Ayarlar!$B$6)*(1-Ayarlar!$B$7-Ayarlar!$B$9)),0))</f>
        <v/>
      </c>
      <c r="K547" s="15">
        <f>IF(OR(G547="",F547=""),"",(F547*(1-Ayarlar!$B$6)-(F547*(1-Ayarlar!$B$6)*Ayarlar!$B$7+Ayarlar!$B$8)-(G547*Ayarlar!$B$3+Ayarlar!$B$4+Ayarlar!$B$5))/(F547*(1-Ayarlar!$B$6)))</f>
        <v/>
      </c>
      <c r="L547" s="3">
        <f>IF(G547="","GRAM EKSİK",IF(F547&gt;30000,"FİYAT ŞÜPHELİ",IF(K547&lt;0,"ZARARDA",IF(F547&lt;I547,"RİSKLİ","ok"))))</f>
        <v/>
      </c>
      <c r="M547" s="16" t="inlineStr">
        <is>
          <t>https://www.etsy.com/listing/4296776011</t>
        </is>
      </c>
    </row>
    <row r="548">
      <c r="A548" s="9" t="inlineStr">
        <is>
          <t>chains</t>
        </is>
      </c>
      <c r="B548" s="9" t="inlineStr">
        <is>
          <t>Chunky 14K Yellow Gold Rope Bracelet / Unisex Statement Jewe</t>
        </is>
      </c>
      <c r="C548" s="9" t="n">
        <v>4296776011</v>
      </c>
      <c r="D548" s="9" t="inlineStr">
        <is>
          <t>BRO65-8</t>
        </is>
      </c>
      <c r="E548" s="9" t="inlineStr">
        <is>
          <t>description</t>
        </is>
      </c>
      <c r="F548" s="10" t="n">
        <v>1554</v>
      </c>
      <c r="G548" s="18" t="n">
        <v>7.08</v>
      </c>
      <c r="H548" s="10">
        <f>IF(G548="","",G548*Ayarlar!$B$3+Ayarlar!$B$4+Ayarlar!$B$5)</f>
        <v/>
      </c>
      <c r="I548" s="10">
        <f>IF(G548="","",ROUNDUP(((G548*Ayarlar!$B$3+Ayarlar!$B$4+Ayarlar!$B$5)+Ayarlar!$B$8)/((1-Ayarlar!$B$6)*(1-Ayarlar!$B$7)),0))</f>
        <v/>
      </c>
      <c r="J548" s="10">
        <f>IF(G548="","",ROUNDUP(((G548*Ayarlar!$B$3+Ayarlar!$B$4+Ayarlar!$B$5)+Ayarlar!$B$8)/((1-Ayarlar!$B$6)*(1-Ayarlar!$B$7-Ayarlar!$B$9)),0))</f>
        <v/>
      </c>
      <c r="K548" s="12">
        <f>IF(OR(G548="",F548=""),"",(F548*(1-Ayarlar!$B$6)-(F548*(1-Ayarlar!$B$6)*Ayarlar!$B$7+Ayarlar!$B$8)-(G548*Ayarlar!$B$3+Ayarlar!$B$4+Ayarlar!$B$5))/(F548*(1-Ayarlar!$B$6)))</f>
        <v/>
      </c>
      <c r="L548" s="9">
        <f>IF(G548="","GRAM EKSİK",IF(F548&gt;30000,"FİYAT ŞÜPHELİ",IF(K548&lt;0,"ZARARDA",IF(F548&lt;I548,"RİSKLİ","ok"))))</f>
        <v/>
      </c>
      <c r="M548" s="13" t="inlineStr">
        <is>
          <t>https://www.etsy.com/listing/4296776011</t>
        </is>
      </c>
    </row>
    <row r="549">
      <c r="A549" s="3" t="inlineStr">
        <is>
          <t>chains</t>
        </is>
      </c>
      <c r="B549" s="3" t="inlineStr">
        <is>
          <t>Chunky 14K Yellow Gold Rope Bracelet / Unisex Statement Jewe</t>
        </is>
      </c>
      <c r="C549" s="3" t="n">
        <v>4296776011</v>
      </c>
      <c r="D549" s="3" t="inlineStr">
        <is>
          <t>BRO65-8.5</t>
        </is>
      </c>
      <c r="E549" s="3" t="inlineStr">
        <is>
          <t>description-scaled</t>
        </is>
      </c>
      <c r="F549" s="14" t="n">
        <v>1614</v>
      </c>
      <c r="G549" s="17" t="n">
        <v>7.52</v>
      </c>
      <c r="H549" s="14">
        <f>IF(G549="","",G549*Ayarlar!$B$3+Ayarlar!$B$4+Ayarlar!$B$5)</f>
        <v/>
      </c>
      <c r="I549" s="14">
        <f>IF(G549="","",ROUNDUP(((G549*Ayarlar!$B$3+Ayarlar!$B$4+Ayarlar!$B$5)+Ayarlar!$B$8)/((1-Ayarlar!$B$6)*(1-Ayarlar!$B$7)),0))</f>
        <v/>
      </c>
      <c r="J549" s="14">
        <f>IF(G549="","",ROUNDUP(((G549*Ayarlar!$B$3+Ayarlar!$B$4+Ayarlar!$B$5)+Ayarlar!$B$8)/((1-Ayarlar!$B$6)*(1-Ayarlar!$B$7-Ayarlar!$B$9)),0))</f>
        <v/>
      </c>
      <c r="K549" s="15">
        <f>IF(OR(G549="",F549=""),"",(F549*(1-Ayarlar!$B$6)-(F549*(1-Ayarlar!$B$6)*Ayarlar!$B$7+Ayarlar!$B$8)-(G549*Ayarlar!$B$3+Ayarlar!$B$4+Ayarlar!$B$5))/(F549*(1-Ayarlar!$B$6)))</f>
        <v/>
      </c>
      <c r="L549" s="3">
        <f>IF(G549="","GRAM EKSİK",IF(F549&gt;30000,"FİYAT ŞÜPHELİ",IF(K549&lt;0,"ZARARDA",IF(F549&lt;I549,"RİSKLİ","ok"))))</f>
        <v/>
      </c>
      <c r="M549" s="16" t="inlineStr">
        <is>
          <t>https://www.etsy.com/listing/4296776011</t>
        </is>
      </c>
    </row>
    <row r="550">
      <c r="A550" s="9" t="inlineStr">
        <is>
          <t>chains</t>
        </is>
      </c>
      <c r="B550" s="9" t="inlineStr">
        <is>
          <t>Chunky 14K Yellow Gold Rope Bracelet / Unisex Statement Jewe</t>
        </is>
      </c>
      <c r="C550" s="9" t="n">
        <v>4296776011</v>
      </c>
      <c r="D550" s="9" t="inlineStr">
        <is>
          <t>BRO8-7</t>
        </is>
      </c>
      <c r="E550" s="9" t="inlineStr">
        <is>
          <t>description-scaled</t>
        </is>
      </c>
      <c r="F550" s="10" t="n">
        <v>1672</v>
      </c>
      <c r="G550" s="18" t="n">
        <v>7.57</v>
      </c>
      <c r="H550" s="10">
        <f>IF(G550="","",G550*Ayarlar!$B$3+Ayarlar!$B$4+Ayarlar!$B$5)</f>
        <v/>
      </c>
      <c r="I550" s="10">
        <f>IF(G550="","",ROUNDUP(((G550*Ayarlar!$B$3+Ayarlar!$B$4+Ayarlar!$B$5)+Ayarlar!$B$8)/((1-Ayarlar!$B$6)*(1-Ayarlar!$B$7)),0))</f>
        <v/>
      </c>
      <c r="J550" s="10">
        <f>IF(G550="","",ROUNDUP(((G550*Ayarlar!$B$3+Ayarlar!$B$4+Ayarlar!$B$5)+Ayarlar!$B$8)/((1-Ayarlar!$B$6)*(1-Ayarlar!$B$7-Ayarlar!$B$9)),0))</f>
        <v/>
      </c>
      <c r="K550" s="12">
        <f>IF(OR(G550="",F550=""),"",(F550*(1-Ayarlar!$B$6)-(F550*(1-Ayarlar!$B$6)*Ayarlar!$B$7+Ayarlar!$B$8)-(G550*Ayarlar!$B$3+Ayarlar!$B$4+Ayarlar!$B$5))/(F550*(1-Ayarlar!$B$6)))</f>
        <v/>
      </c>
      <c r="L550" s="9">
        <f>IF(G550="","GRAM EKSİK",IF(F550&gt;30000,"FİYAT ŞÜPHELİ",IF(K550&lt;0,"ZARARDA",IF(F550&lt;I550,"RİSKLİ","ok"))))</f>
        <v/>
      </c>
      <c r="M550" s="13" t="inlineStr">
        <is>
          <t>https://www.etsy.com/listing/4296776011</t>
        </is>
      </c>
    </row>
    <row r="551">
      <c r="A551" s="3" t="inlineStr">
        <is>
          <t>chains</t>
        </is>
      </c>
      <c r="B551" s="3" t="inlineStr">
        <is>
          <t>Chunky 14K Yellow Gold Rope Bracelet / Unisex Statement Jewe</t>
        </is>
      </c>
      <c r="C551" s="3" t="n">
        <v>4296776011</v>
      </c>
      <c r="D551" s="3" t="inlineStr">
        <is>
          <t>BRO8-7.5</t>
        </is>
      </c>
      <c r="E551" s="3" t="inlineStr">
        <is>
          <t>description-scaled</t>
        </is>
      </c>
      <c r="F551" s="14" t="n">
        <v>1791</v>
      </c>
      <c r="G551" s="17" t="n">
        <v>8.109999999999999</v>
      </c>
      <c r="H551" s="14">
        <f>IF(G551="","",G551*Ayarlar!$B$3+Ayarlar!$B$4+Ayarlar!$B$5)</f>
        <v/>
      </c>
      <c r="I551" s="14">
        <f>IF(G551="","",ROUNDUP(((G551*Ayarlar!$B$3+Ayarlar!$B$4+Ayarlar!$B$5)+Ayarlar!$B$8)/((1-Ayarlar!$B$6)*(1-Ayarlar!$B$7)),0))</f>
        <v/>
      </c>
      <c r="J551" s="14">
        <f>IF(G551="","",ROUNDUP(((G551*Ayarlar!$B$3+Ayarlar!$B$4+Ayarlar!$B$5)+Ayarlar!$B$8)/((1-Ayarlar!$B$6)*(1-Ayarlar!$B$7-Ayarlar!$B$9)),0))</f>
        <v/>
      </c>
      <c r="K551" s="15">
        <f>IF(OR(G551="",F551=""),"",(F551*(1-Ayarlar!$B$6)-(F551*(1-Ayarlar!$B$6)*Ayarlar!$B$7+Ayarlar!$B$8)-(G551*Ayarlar!$B$3+Ayarlar!$B$4+Ayarlar!$B$5))/(F551*(1-Ayarlar!$B$6)))</f>
        <v/>
      </c>
      <c r="L551" s="3">
        <f>IF(G551="","GRAM EKSİK",IF(F551&gt;30000,"FİYAT ŞÜPHELİ",IF(K551&lt;0,"ZARARDA",IF(F551&lt;I551,"RİSKLİ","ok"))))</f>
        <v/>
      </c>
      <c r="M551" s="16" t="inlineStr">
        <is>
          <t>https://www.etsy.com/listing/4296776011</t>
        </is>
      </c>
    </row>
    <row r="552">
      <c r="A552" s="9" t="inlineStr">
        <is>
          <t>chains</t>
        </is>
      </c>
      <c r="B552" s="9" t="inlineStr">
        <is>
          <t>Chunky 14K Yellow Gold Rope Bracelet / Unisex Statement Jewe</t>
        </is>
      </c>
      <c r="C552" s="9" t="n">
        <v>4296776011</v>
      </c>
      <c r="D552" s="9" t="inlineStr">
        <is>
          <t>BRO8-8</t>
        </is>
      </c>
      <c r="E552" s="9" t="inlineStr">
        <is>
          <t>—</t>
        </is>
      </c>
      <c r="F552" s="10" t="n">
        <v>1857.6</v>
      </c>
      <c r="G552" s="11" t="n"/>
      <c r="H552" s="10">
        <f>IF(G552="","",G552*Ayarlar!$B$3+Ayarlar!$B$4+Ayarlar!$B$5)</f>
        <v/>
      </c>
      <c r="I552" s="10">
        <f>IF(G552="","",ROUNDUP(((G552*Ayarlar!$B$3+Ayarlar!$B$4+Ayarlar!$B$5)+Ayarlar!$B$8)/((1-Ayarlar!$B$6)*(1-Ayarlar!$B$7)),0))</f>
        <v/>
      </c>
      <c r="J552" s="10">
        <f>IF(G552="","",ROUNDUP(((G552*Ayarlar!$B$3+Ayarlar!$B$4+Ayarlar!$B$5)+Ayarlar!$B$8)/((1-Ayarlar!$B$6)*(1-Ayarlar!$B$7-Ayarlar!$B$9)),0))</f>
        <v/>
      </c>
      <c r="K552" s="12">
        <f>IF(OR(G552="",F552=""),"",(F552*(1-Ayarlar!$B$6)-(F552*(1-Ayarlar!$B$6)*Ayarlar!$B$7+Ayarlar!$B$8)-(G552*Ayarlar!$B$3+Ayarlar!$B$4+Ayarlar!$B$5))/(F552*(1-Ayarlar!$B$6)))</f>
        <v/>
      </c>
      <c r="L552" s="9">
        <f>IF(G552="","GRAM EKSİK",IF(F552&gt;30000,"FİYAT ŞÜPHELİ",IF(K552&lt;0,"ZARARDA",IF(F552&lt;I552,"RİSKLİ","ok"))))</f>
        <v/>
      </c>
      <c r="M552" s="13" t="inlineStr">
        <is>
          <t>https://www.etsy.com/listing/4296776011</t>
        </is>
      </c>
    </row>
    <row r="553">
      <c r="A553" s="3" t="inlineStr">
        <is>
          <t>chains</t>
        </is>
      </c>
      <c r="B553" s="3" t="inlineStr">
        <is>
          <t>Chunky 14K Yellow Gold Rope Bracelet / Unisex Statement Jewe</t>
        </is>
      </c>
      <c r="C553" s="3" t="n">
        <v>4296776011</v>
      </c>
      <c r="D553" s="3" t="inlineStr">
        <is>
          <t>BRO8-8.5</t>
        </is>
      </c>
      <c r="E553" s="3" t="inlineStr">
        <is>
          <t>description-scaled</t>
        </is>
      </c>
      <c r="F553" s="14" t="n">
        <v>2030</v>
      </c>
      <c r="G553" s="17" t="n">
        <v>9.19</v>
      </c>
      <c r="H553" s="14">
        <f>IF(G553="","",G553*Ayarlar!$B$3+Ayarlar!$B$4+Ayarlar!$B$5)</f>
        <v/>
      </c>
      <c r="I553" s="14">
        <f>IF(G553="","",ROUNDUP(((G553*Ayarlar!$B$3+Ayarlar!$B$4+Ayarlar!$B$5)+Ayarlar!$B$8)/((1-Ayarlar!$B$6)*(1-Ayarlar!$B$7)),0))</f>
        <v/>
      </c>
      <c r="J553" s="14">
        <f>IF(G553="","",ROUNDUP(((G553*Ayarlar!$B$3+Ayarlar!$B$4+Ayarlar!$B$5)+Ayarlar!$B$8)/((1-Ayarlar!$B$6)*(1-Ayarlar!$B$7-Ayarlar!$B$9)),0))</f>
        <v/>
      </c>
      <c r="K553" s="15">
        <f>IF(OR(G553="",F553=""),"",(F553*(1-Ayarlar!$B$6)-(F553*(1-Ayarlar!$B$6)*Ayarlar!$B$7+Ayarlar!$B$8)-(G553*Ayarlar!$B$3+Ayarlar!$B$4+Ayarlar!$B$5))/(F553*(1-Ayarlar!$B$6)))</f>
        <v/>
      </c>
      <c r="L553" s="3">
        <f>IF(G553="","GRAM EKSİK",IF(F553&gt;30000,"FİYAT ŞÜPHELİ",IF(K553&lt;0,"ZARARDA",IF(F553&lt;I553,"RİSKLİ","ok"))))</f>
        <v/>
      </c>
      <c r="M553" s="16" t="inlineStr">
        <is>
          <t>https://www.etsy.com/listing/4296776011</t>
        </is>
      </c>
    </row>
    <row r="554">
      <c r="A554" s="9" t="inlineStr">
        <is>
          <t>chains</t>
        </is>
      </c>
      <c r="B554" s="9" t="inlineStr">
        <is>
          <t>Chunky 14K Yellow Gold Rope Bracelet / Unisex Statement Jewe</t>
        </is>
      </c>
      <c r="C554" s="9" t="n">
        <v>4296776011</v>
      </c>
      <c r="D554" s="9" t="inlineStr">
        <is>
          <t>BRO85-7</t>
        </is>
      </c>
      <c r="E554" s="9" t="inlineStr">
        <is>
          <t>description-scaled</t>
        </is>
      </c>
      <c r="F554" s="10" t="n">
        <v>1827</v>
      </c>
      <c r="G554" s="18" t="n">
        <v>9.1</v>
      </c>
      <c r="H554" s="10">
        <f>IF(G554="","",G554*Ayarlar!$B$3+Ayarlar!$B$4+Ayarlar!$B$5)</f>
        <v/>
      </c>
      <c r="I554" s="10">
        <f>IF(G554="","",ROUNDUP(((G554*Ayarlar!$B$3+Ayarlar!$B$4+Ayarlar!$B$5)+Ayarlar!$B$8)/((1-Ayarlar!$B$6)*(1-Ayarlar!$B$7)),0))</f>
        <v/>
      </c>
      <c r="J554" s="10">
        <f>IF(G554="","",ROUNDUP(((G554*Ayarlar!$B$3+Ayarlar!$B$4+Ayarlar!$B$5)+Ayarlar!$B$8)/((1-Ayarlar!$B$6)*(1-Ayarlar!$B$7-Ayarlar!$B$9)),0))</f>
        <v/>
      </c>
      <c r="K554" s="12">
        <f>IF(OR(G554="",F554=""),"",(F554*(1-Ayarlar!$B$6)-(F554*(1-Ayarlar!$B$6)*Ayarlar!$B$7+Ayarlar!$B$8)-(G554*Ayarlar!$B$3+Ayarlar!$B$4+Ayarlar!$B$5))/(F554*(1-Ayarlar!$B$6)))</f>
        <v/>
      </c>
      <c r="L554" s="9">
        <f>IF(G554="","GRAM EKSİK",IF(F554&gt;30000,"FİYAT ŞÜPHELİ",IF(K554&lt;0,"ZARARDA",IF(F554&lt;I554,"RİSKLİ","ok"))))</f>
        <v/>
      </c>
      <c r="M554" s="13" t="inlineStr">
        <is>
          <t>https://www.etsy.com/listing/4296776011</t>
        </is>
      </c>
    </row>
    <row r="555">
      <c r="A555" s="3" t="inlineStr">
        <is>
          <t>chains</t>
        </is>
      </c>
      <c r="B555" s="3" t="inlineStr">
        <is>
          <t>Chunky 14K Yellow Gold Rope Bracelet / Unisex Statement Jewe</t>
        </is>
      </c>
      <c r="C555" s="3" t="n">
        <v>4296776011</v>
      </c>
      <c r="D555" s="3" t="inlineStr">
        <is>
          <t>BRO85-7.5</t>
        </is>
      </c>
      <c r="E555" s="3" t="inlineStr">
        <is>
          <t>description-scaled</t>
        </is>
      </c>
      <c r="F555" s="14" t="n">
        <v>1889</v>
      </c>
      <c r="G555" s="17" t="n">
        <v>9.75</v>
      </c>
      <c r="H555" s="14">
        <f>IF(G555="","",G555*Ayarlar!$B$3+Ayarlar!$B$4+Ayarlar!$B$5)</f>
        <v/>
      </c>
      <c r="I555" s="14">
        <f>IF(G555="","",ROUNDUP(((G555*Ayarlar!$B$3+Ayarlar!$B$4+Ayarlar!$B$5)+Ayarlar!$B$8)/((1-Ayarlar!$B$6)*(1-Ayarlar!$B$7)),0))</f>
        <v/>
      </c>
      <c r="J555" s="14">
        <f>IF(G555="","",ROUNDUP(((G555*Ayarlar!$B$3+Ayarlar!$B$4+Ayarlar!$B$5)+Ayarlar!$B$8)/((1-Ayarlar!$B$6)*(1-Ayarlar!$B$7-Ayarlar!$B$9)),0))</f>
        <v/>
      </c>
      <c r="K555" s="15">
        <f>IF(OR(G555="",F555=""),"",(F555*(1-Ayarlar!$B$6)-(F555*(1-Ayarlar!$B$6)*Ayarlar!$B$7+Ayarlar!$B$8)-(G555*Ayarlar!$B$3+Ayarlar!$B$4+Ayarlar!$B$5))/(F555*(1-Ayarlar!$B$6)))</f>
        <v/>
      </c>
      <c r="L555" s="3">
        <f>IF(G555="","GRAM EKSİK",IF(F555&gt;30000,"FİYAT ŞÜPHELİ",IF(K555&lt;0,"ZARARDA",IF(F555&lt;I555,"RİSKLİ","ok"))))</f>
        <v/>
      </c>
      <c r="M555" s="16" t="inlineStr">
        <is>
          <t>https://www.etsy.com/listing/4296776011</t>
        </is>
      </c>
    </row>
    <row r="556">
      <c r="A556" s="9" t="inlineStr">
        <is>
          <t>chains</t>
        </is>
      </c>
      <c r="B556" s="9" t="inlineStr">
        <is>
          <t>Chunky 14K Yellow Gold Rope Bracelet / Unisex Statement Jewe</t>
        </is>
      </c>
      <c r="C556" s="9" t="n">
        <v>4296776011</v>
      </c>
      <c r="D556" s="9" t="inlineStr">
        <is>
          <t>BRO85-8</t>
        </is>
      </c>
      <c r="E556" s="9" t="inlineStr">
        <is>
          <t>description</t>
        </is>
      </c>
      <c r="F556" s="10" t="n">
        <v>2009</v>
      </c>
      <c r="G556" s="18" t="n">
        <v>10.4</v>
      </c>
      <c r="H556" s="10">
        <f>IF(G556="","",G556*Ayarlar!$B$3+Ayarlar!$B$4+Ayarlar!$B$5)</f>
        <v/>
      </c>
      <c r="I556" s="10">
        <f>IF(G556="","",ROUNDUP(((G556*Ayarlar!$B$3+Ayarlar!$B$4+Ayarlar!$B$5)+Ayarlar!$B$8)/((1-Ayarlar!$B$6)*(1-Ayarlar!$B$7)),0))</f>
        <v/>
      </c>
      <c r="J556" s="10">
        <f>IF(G556="","",ROUNDUP(((G556*Ayarlar!$B$3+Ayarlar!$B$4+Ayarlar!$B$5)+Ayarlar!$B$8)/((1-Ayarlar!$B$6)*(1-Ayarlar!$B$7-Ayarlar!$B$9)),0))</f>
        <v/>
      </c>
      <c r="K556" s="12">
        <f>IF(OR(G556="",F556=""),"",(F556*(1-Ayarlar!$B$6)-(F556*(1-Ayarlar!$B$6)*Ayarlar!$B$7+Ayarlar!$B$8)-(G556*Ayarlar!$B$3+Ayarlar!$B$4+Ayarlar!$B$5))/(F556*(1-Ayarlar!$B$6)))</f>
        <v/>
      </c>
      <c r="L556" s="9">
        <f>IF(G556="","GRAM EKSİK",IF(F556&gt;30000,"FİYAT ŞÜPHELİ",IF(K556&lt;0,"ZARARDA",IF(F556&lt;I556,"RİSKLİ","ok"))))</f>
        <v/>
      </c>
      <c r="M556" s="13" t="inlineStr">
        <is>
          <t>https://www.etsy.com/listing/4296776011</t>
        </is>
      </c>
    </row>
    <row r="557">
      <c r="A557" s="3" t="inlineStr">
        <is>
          <t>chains</t>
        </is>
      </c>
      <c r="B557" s="3" t="inlineStr">
        <is>
          <t>Chunky 14K Yellow Gold Rope Bracelet / Unisex Statement Jewe</t>
        </is>
      </c>
      <c r="C557" s="3" t="n">
        <v>4296776011</v>
      </c>
      <c r="D557" s="3" t="inlineStr">
        <is>
          <t>BRO85-8.5</t>
        </is>
      </c>
      <c r="E557" s="3" t="inlineStr">
        <is>
          <t>—</t>
        </is>
      </c>
      <c r="F557" s="14" t="n">
        <v>2031.75</v>
      </c>
      <c r="G557" s="11" t="n"/>
      <c r="H557" s="14">
        <f>IF(G557="","",G557*Ayarlar!$B$3+Ayarlar!$B$4+Ayarlar!$B$5)</f>
        <v/>
      </c>
      <c r="I557" s="14">
        <f>IF(G557="","",ROUNDUP(((G557*Ayarlar!$B$3+Ayarlar!$B$4+Ayarlar!$B$5)+Ayarlar!$B$8)/((1-Ayarlar!$B$6)*(1-Ayarlar!$B$7)),0))</f>
        <v/>
      </c>
      <c r="J557" s="14">
        <f>IF(G557="","",ROUNDUP(((G557*Ayarlar!$B$3+Ayarlar!$B$4+Ayarlar!$B$5)+Ayarlar!$B$8)/((1-Ayarlar!$B$6)*(1-Ayarlar!$B$7-Ayarlar!$B$9)),0))</f>
        <v/>
      </c>
      <c r="K557" s="15">
        <f>IF(OR(G557="",F557=""),"",(F557*(1-Ayarlar!$B$6)-(F557*(1-Ayarlar!$B$6)*Ayarlar!$B$7+Ayarlar!$B$8)-(G557*Ayarlar!$B$3+Ayarlar!$B$4+Ayarlar!$B$5))/(F557*(1-Ayarlar!$B$6)))</f>
        <v/>
      </c>
      <c r="L557" s="3">
        <f>IF(G557="","GRAM EKSİK",IF(F557&gt;30000,"FİYAT ŞÜPHELİ",IF(K557&lt;0,"ZARARDA",IF(F557&lt;I557,"RİSKLİ","ok"))))</f>
        <v/>
      </c>
      <c r="M557" s="16" t="inlineStr">
        <is>
          <t>https://www.etsy.com/listing/4296776011</t>
        </is>
      </c>
    </row>
    <row r="558">
      <c r="A558" s="9" t="inlineStr">
        <is>
          <t>earrings</t>
        </is>
      </c>
      <c r="B558" s="9" t="inlineStr">
        <is>
          <t>10K Gold Diamond Cut Hoop Earrings / Shiny Yellow Gold</t>
        </is>
      </c>
      <c r="C558" s="9" t="n">
        <v>1215771723</v>
      </c>
      <c r="D558" s="9" t="inlineStr">
        <is>
          <t>EH6-25</t>
        </is>
      </c>
      <c r="E558" s="9" t="inlineStr">
        <is>
          <t>description</t>
        </is>
      </c>
      <c r="F558" s="10" t="n">
        <v>222</v>
      </c>
      <c r="G558" s="18" t="n">
        <v>1.55</v>
      </c>
      <c r="H558" s="10">
        <f>IF(G558="","",G558*Ayarlar!$B$3+Ayarlar!$B$4+Ayarlar!$B$5)</f>
        <v/>
      </c>
      <c r="I558" s="10">
        <f>IF(G558="","",ROUNDUP(((G558*Ayarlar!$B$3+Ayarlar!$B$4+Ayarlar!$B$5)+Ayarlar!$B$8)/((1-Ayarlar!$B$6)*(1-Ayarlar!$B$7)),0))</f>
        <v/>
      </c>
      <c r="J558" s="10">
        <f>IF(G558="","",ROUNDUP(((G558*Ayarlar!$B$3+Ayarlar!$B$4+Ayarlar!$B$5)+Ayarlar!$B$8)/((1-Ayarlar!$B$6)*(1-Ayarlar!$B$7-Ayarlar!$B$9)),0))</f>
        <v/>
      </c>
      <c r="K558" s="12">
        <f>IF(OR(G558="",F558=""),"",(F558*(1-Ayarlar!$B$6)-(F558*(1-Ayarlar!$B$6)*Ayarlar!$B$7+Ayarlar!$B$8)-(G558*Ayarlar!$B$3+Ayarlar!$B$4+Ayarlar!$B$5))/(F558*(1-Ayarlar!$B$6)))</f>
        <v/>
      </c>
      <c r="L558" s="9">
        <f>IF(G558="","GRAM EKSİK",IF(F558&gt;30000,"FİYAT ŞÜPHELİ",IF(K558&lt;0,"ZARARDA",IF(F558&lt;I558,"RİSKLİ","ok"))))</f>
        <v/>
      </c>
      <c r="M558" s="13" t="inlineStr">
        <is>
          <t>https://www.etsy.com/listing/1215771723</t>
        </is>
      </c>
    </row>
    <row r="559">
      <c r="A559" s="3" t="inlineStr">
        <is>
          <t>earrings</t>
        </is>
      </c>
      <c r="B559" s="3" t="inlineStr">
        <is>
          <t>10K Gold Diamond Cut Hoop Earrings / Shiny Yellow Gold</t>
        </is>
      </c>
      <c r="C559" s="3" t="n">
        <v>1215771723</v>
      </c>
      <c r="D559" s="3" t="inlineStr">
        <is>
          <t>EH6-30</t>
        </is>
      </c>
      <c r="E559" s="3" t="inlineStr">
        <is>
          <t>description</t>
        </is>
      </c>
      <c r="F559" s="14" t="n">
        <v>256</v>
      </c>
      <c r="G559" s="17" t="n">
        <v>1.85</v>
      </c>
      <c r="H559" s="14">
        <f>IF(G559="","",G559*Ayarlar!$B$3+Ayarlar!$B$4+Ayarlar!$B$5)</f>
        <v/>
      </c>
      <c r="I559" s="14">
        <f>IF(G559="","",ROUNDUP(((G559*Ayarlar!$B$3+Ayarlar!$B$4+Ayarlar!$B$5)+Ayarlar!$B$8)/((1-Ayarlar!$B$6)*(1-Ayarlar!$B$7)),0))</f>
        <v/>
      </c>
      <c r="J559" s="14">
        <f>IF(G559="","",ROUNDUP(((G559*Ayarlar!$B$3+Ayarlar!$B$4+Ayarlar!$B$5)+Ayarlar!$B$8)/((1-Ayarlar!$B$6)*(1-Ayarlar!$B$7-Ayarlar!$B$9)),0))</f>
        <v/>
      </c>
      <c r="K559" s="15">
        <f>IF(OR(G559="",F559=""),"",(F559*(1-Ayarlar!$B$6)-(F559*(1-Ayarlar!$B$6)*Ayarlar!$B$7+Ayarlar!$B$8)-(G559*Ayarlar!$B$3+Ayarlar!$B$4+Ayarlar!$B$5))/(F559*(1-Ayarlar!$B$6)))</f>
        <v/>
      </c>
      <c r="L559" s="3">
        <f>IF(G559="","GRAM EKSİK",IF(F559&gt;30000,"FİYAT ŞÜPHELİ",IF(K559&lt;0,"ZARARDA",IF(F559&lt;I559,"RİSKLİ","ok"))))</f>
        <v/>
      </c>
      <c r="M559" s="16" t="inlineStr">
        <is>
          <t>https://www.etsy.com/listing/1215771723</t>
        </is>
      </c>
    </row>
    <row r="560">
      <c r="A560" s="9" t="inlineStr">
        <is>
          <t>earrings</t>
        </is>
      </c>
      <c r="B560" s="9" t="inlineStr">
        <is>
          <t>10K Gold Diamond Cut Hoop Earrings / Shiny Yellow Gold</t>
        </is>
      </c>
      <c r="C560" s="9" t="n">
        <v>1215771723</v>
      </c>
      <c r="D560" s="9" t="inlineStr">
        <is>
          <t>EH6-35</t>
        </is>
      </c>
      <c r="E560" s="9" t="inlineStr">
        <is>
          <t>description</t>
        </is>
      </c>
      <c r="F560" s="10" t="n">
        <v>272</v>
      </c>
      <c r="G560" s="18" t="n">
        <v>2.05</v>
      </c>
      <c r="H560" s="10">
        <f>IF(G560="","",G560*Ayarlar!$B$3+Ayarlar!$B$4+Ayarlar!$B$5)</f>
        <v/>
      </c>
      <c r="I560" s="10">
        <f>IF(G560="","",ROUNDUP(((G560*Ayarlar!$B$3+Ayarlar!$B$4+Ayarlar!$B$5)+Ayarlar!$B$8)/((1-Ayarlar!$B$6)*(1-Ayarlar!$B$7)),0))</f>
        <v/>
      </c>
      <c r="J560" s="10">
        <f>IF(G560="","",ROUNDUP(((G560*Ayarlar!$B$3+Ayarlar!$B$4+Ayarlar!$B$5)+Ayarlar!$B$8)/((1-Ayarlar!$B$6)*(1-Ayarlar!$B$7-Ayarlar!$B$9)),0))</f>
        <v/>
      </c>
      <c r="K560" s="12">
        <f>IF(OR(G560="",F560=""),"",(F560*(1-Ayarlar!$B$6)-(F560*(1-Ayarlar!$B$6)*Ayarlar!$B$7+Ayarlar!$B$8)-(G560*Ayarlar!$B$3+Ayarlar!$B$4+Ayarlar!$B$5))/(F560*(1-Ayarlar!$B$6)))</f>
        <v/>
      </c>
      <c r="L560" s="9">
        <f>IF(G560="","GRAM EKSİK",IF(F560&gt;30000,"FİYAT ŞÜPHELİ",IF(K560&lt;0,"ZARARDA",IF(F560&lt;I560,"RİSKLİ","ok"))))</f>
        <v/>
      </c>
      <c r="M560" s="13" t="inlineStr">
        <is>
          <t>https://www.etsy.com/listing/1215771723</t>
        </is>
      </c>
    </row>
    <row r="561">
      <c r="A561" s="3" t="inlineStr">
        <is>
          <t>earrings</t>
        </is>
      </c>
      <c r="B561" s="3" t="inlineStr">
        <is>
          <t>10K Gold Diamond Cut Hoop Earrings / Shiny Yellow Gold</t>
        </is>
      </c>
      <c r="C561" s="3" t="n">
        <v>1215771723</v>
      </c>
      <c r="D561" s="3" t="inlineStr">
        <is>
          <t>EH6-40</t>
        </is>
      </c>
      <c r="E561" s="3" t="inlineStr">
        <is>
          <t>shipstation</t>
        </is>
      </c>
      <c r="F561" s="14" t="n">
        <v>323</v>
      </c>
      <c r="G561" s="17" t="n">
        <v>2.36</v>
      </c>
      <c r="H561" s="14">
        <f>IF(G561="","",G561*Ayarlar!$B$3+Ayarlar!$B$4+Ayarlar!$B$5)</f>
        <v/>
      </c>
      <c r="I561" s="14">
        <f>IF(G561="","",ROUNDUP(((G561*Ayarlar!$B$3+Ayarlar!$B$4+Ayarlar!$B$5)+Ayarlar!$B$8)/((1-Ayarlar!$B$6)*(1-Ayarlar!$B$7)),0))</f>
        <v/>
      </c>
      <c r="J561" s="14">
        <f>IF(G561="","",ROUNDUP(((G561*Ayarlar!$B$3+Ayarlar!$B$4+Ayarlar!$B$5)+Ayarlar!$B$8)/((1-Ayarlar!$B$6)*(1-Ayarlar!$B$7-Ayarlar!$B$9)),0))</f>
        <v/>
      </c>
      <c r="K561" s="15">
        <f>IF(OR(G561="",F561=""),"",(F561*(1-Ayarlar!$B$6)-(F561*(1-Ayarlar!$B$6)*Ayarlar!$B$7+Ayarlar!$B$8)-(G561*Ayarlar!$B$3+Ayarlar!$B$4+Ayarlar!$B$5))/(F561*(1-Ayarlar!$B$6)))</f>
        <v/>
      </c>
      <c r="L561" s="3">
        <f>IF(G561="","GRAM EKSİK",IF(F561&gt;30000,"FİYAT ŞÜPHELİ",IF(K561&lt;0,"ZARARDA",IF(F561&lt;I561,"RİSKLİ","ok"))))</f>
        <v/>
      </c>
      <c r="M561" s="16" t="inlineStr">
        <is>
          <t>https://www.etsy.com/listing/1215771723</t>
        </is>
      </c>
    </row>
    <row r="562">
      <c r="A562" s="9" t="inlineStr">
        <is>
          <t>earrings</t>
        </is>
      </c>
      <c r="B562" s="9" t="inlineStr">
        <is>
          <t>10K Gold Diamond Cut Hoop Earrings / Shiny Yellow Gold</t>
        </is>
      </c>
      <c r="C562" s="9" t="n">
        <v>1215771723</v>
      </c>
      <c r="D562" s="9" t="inlineStr">
        <is>
          <t>EH6-50</t>
        </is>
      </c>
      <c r="E562" s="9" t="inlineStr">
        <is>
          <t>description</t>
        </is>
      </c>
      <c r="F562" s="10" t="n">
        <v>361</v>
      </c>
      <c r="G562" s="18" t="n">
        <v>2.9</v>
      </c>
      <c r="H562" s="10">
        <f>IF(G562="","",G562*Ayarlar!$B$3+Ayarlar!$B$4+Ayarlar!$B$5)</f>
        <v/>
      </c>
      <c r="I562" s="10">
        <f>IF(G562="","",ROUNDUP(((G562*Ayarlar!$B$3+Ayarlar!$B$4+Ayarlar!$B$5)+Ayarlar!$B$8)/((1-Ayarlar!$B$6)*(1-Ayarlar!$B$7)),0))</f>
        <v/>
      </c>
      <c r="J562" s="10">
        <f>IF(G562="","",ROUNDUP(((G562*Ayarlar!$B$3+Ayarlar!$B$4+Ayarlar!$B$5)+Ayarlar!$B$8)/((1-Ayarlar!$B$6)*(1-Ayarlar!$B$7-Ayarlar!$B$9)),0))</f>
        <v/>
      </c>
      <c r="K562" s="12">
        <f>IF(OR(G562="",F562=""),"",(F562*(1-Ayarlar!$B$6)-(F562*(1-Ayarlar!$B$6)*Ayarlar!$B$7+Ayarlar!$B$8)-(G562*Ayarlar!$B$3+Ayarlar!$B$4+Ayarlar!$B$5))/(F562*(1-Ayarlar!$B$6)))</f>
        <v/>
      </c>
      <c r="L562" s="9">
        <f>IF(G562="","GRAM EKSİK",IF(F562&gt;30000,"FİYAT ŞÜPHELİ",IF(K562&lt;0,"ZARARDA",IF(F562&lt;I562,"RİSKLİ","ok"))))</f>
        <v/>
      </c>
      <c r="M562" s="13" t="inlineStr">
        <is>
          <t>https://www.etsy.com/listing/1215771723</t>
        </is>
      </c>
    </row>
    <row r="563">
      <c r="A563" s="3" t="inlineStr">
        <is>
          <t>earrings</t>
        </is>
      </c>
      <c r="B563" s="3" t="inlineStr">
        <is>
          <t>10K Gold Diamond Cut Hoop Earrings / Shiny Yellow Gold</t>
        </is>
      </c>
      <c r="C563" s="3" t="n">
        <v>1215771723</v>
      </c>
      <c r="D563" s="3" t="inlineStr">
        <is>
          <t>EH6-60</t>
        </is>
      </c>
      <c r="E563" s="3" t="inlineStr">
        <is>
          <t>description-scaled</t>
        </is>
      </c>
      <c r="F563" s="14" t="n">
        <v>440</v>
      </c>
      <c r="G563" s="17" t="n">
        <v>3.54</v>
      </c>
      <c r="H563" s="14">
        <f>IF(G563="","",G563*Ayarlar!$B$3+Ayarlar!$B$4+Ayarlar!$B$5)</f>
        <v/>
      </c>
      <c r="I563" s="14">
        <f>IF(G563="","",ROUNDUP(((G563*Ayarlar!$B$3+Ayarlar!$B$4+Ayarlar!$B$5)+Ayarlar!$B$8)/((1-Ayarlar!$B$6)*(1-Ayarlar!$B$7)),0))</f>
        <v/>
      </c>
      <c r="J563" s="14">
        <f>IF(G563="","",ROUNDUP(((G563*Ayarlar!$B$3+Ayarlar!$B$4+Ayarlar!$B$5)+Ayarlar!$B$8)/((1-Ayarlar!$B$6)*(1-Ayarlar!$B$7-Ayarlar!$B$9)),0))</f>
        <v/>
      </c>
      <c r="K563" s="15">
        <f>IF(OR(G563="",F563=""),"",(F563*(1-Ayarlar!$B$6)-(F563*(1-Ayarlar!$B$6)*Ayarlar!$B$7+Ayarlar!$B$8)-(G563*Ayarlar!$B$3+Ayarlar!$B$4+Ayarlar!$B$5))/(F563*(1-Ayarlar!$B$6)))</f>
        <v/>
      </c>
      <c r="L563" s="3">
        <f>IF(G563="","GRAM EKSİK",IF(F563&gt;30000,"FİYAT ŞÜPHELİ",IF(K563&lt;0,"ZARARDA",IF(F563&lt;I563,"RİSKLİ","ok"))))</f>
        <v/>
      </c>
      <c r="M563" s="16" t="inlineStr">
        <is>
          <t>https://www.etsy.com/listing/1215771723</t>
        </is>
      </c>
    </row>
    <row r="564">
      <c r="A564" s="9" t="inlineStr">
        <is>
          <t>earrings</t>
        </is>
      </c>
      <c r="B564" s="9" t="inlineStr">
        <is>
          <t>10K Gold Diamond Cut Hoop Earrings / Shiny Yellow Gold</t>
        </is>
      </c>
      <c r="C564" s="9" t="n">
        <v>1215771723</v>
      </c>
      <c r="D564" s="9" t="inlineStr">
        <is>
          <t>EH6-70</t>
        </is>
      </c>
      <c r="E564" s="9" t="inlineStr">
        <is>
          <t>description</t>
        </is>
      </c>
      <c r="F564" s="10" t="n">
        <v>502</v>
      </c>
      <c r="G564" s="18" t="n">
        <v>4.16</v>
      </c>
      <c r="H564" s="10">
        <f>IF(G564="","",G564*Ayarlar!$B$3+Ayarlar!$B$4+Ayarlar!$B$5)</f>
        <v/>
      </c>
      <c r="I564" s="10">
        <f>IF(G564="","",ROUNDUP(((G564*Ayarlar!$B$3+Ayarlar!$B$4+Ayarlar!$B$5)+Ayarlar!$B$8)/((1-Ayarlar!$B$6)*(1-Ayarlar!$B$7)),0))</f>
        <v/>
      </c>
      <c r="J564" s="10">
        <f>IF(G564="","",ROUNDUP(((G564*Ayarlar!$B$3+Ayarlar!$B$4+Ayarlar!$B$5)+Ayarlar!$B$8)/((1-Ayarlar!$B$6)*(1-Ayarlar!$B$7-Ayarlar!$B$9)),0))</f>
        <v/>
      </c>
      <c r="K564" s="12">
        <f>IF(OR(G564="",F564=""),"",(F564*(1-Ayarlar!$B$6)-(F564*(1-Ayarlar!$B$6)*Ayarlar!$B$7+Ayarlar!$B$8)-(G564*Ayarlar!$B$3+Ayarlar!$B$4+Ayarlar!$B$5))/(F564*(1-Ayarlar!$B$6)))</f>
        <v/>
      </c>
      <c r="L564" s="9">
        <f>IF(G564="","GRAM EKSİK",IF(F564&gt;30000,"FİYAT ŞÜPHELİ",IF(K564&lt;0,"ZARARDA",IF(F564&lt;I564,"RİSKLİ","ok"))))</f>
        <v/>
      </c>
      <c r="M564" s="13" t="inlineStr">
        <is>
          <t>https://www.etsy.com/listing/1215771723</t>
        </is>
      </c>
    </row>
    <row r="565">
      <c r="A565" s="3" t="inlineStr">
        <is>
          <t>earrings</t>
        </is>
      </c>
      <c r="B565" s="3" t="inlineStr">
        <is>
          <t>10K Gold Earrings, Graduated Yellow Hoop with Diamond Cut</t>
        </is>
      </c>
      <c r="C565" s="3" t="n">
        <v>1481715945</v>
      </c>
      <c r="D565" s="3" t="inlineStr">
        <is>
          <t>EGRH1-20</t>
        </is>
      </c>
      <c r="E565" s="3" t="inlineStr">
        <is>
          <t>shipstation</t>
        </is>
      </c>
      <c r="F565" s="14" t="n">
        <v>179</v>
      </c>
      <c r="G565" s="17" t="n">
        <v>1.5</v>
      </c>
      <c r="H565" s="14">
        <f>IF(G565="","",G565*Ayarlar!$B$3+Ayarlar!$B$4+Ayarlar!$B$5)</f>
        <v/>
      </c>
      <c r="I565" s="14">
        <f>IF(G565="","",ROUNDUP(((G565*Ayarlar!$B$3+Ayarlar!$B$4+Ayarlar!$B$5)+Ayarlar!$B$8)/((1-Ayarlar!$B$6)*(1-Ayarlar!$B$7)),0))</f>
        <v/>
      </c>
      <c r="J565" s="14">
        <f>IF(G565="","",ROUNDUP(((G565*Ayarlar!$B$3+Ayarlar!$B$4+Ayarlar!$B$5)+Ayarlar!$B$8)/((1-Ayarlar!$B$6)*(1-Ayarlar!$B$7-Ayarlar!$B$9)),0))</f>
        <v/>
      </c>
      <c r="K565" s="15">
        <f>IF(OR(G565="",F565=""),"",(F565*(1-Ayarlar!$B$6)-(F565*(1-Ayarlar!$B$6)*Ayarlar!$B$7+Ayarlar!$B$8)-(G565*Ayarlar!$B$3+Ayarlar!$B$4+Ayarlar!$B$5))/(F565*(1-Ayarlar!$B$6)))</f>
        <v/>
      </c>
      <c r="L565" s="3">
        <f>IF(G565="","GRAM EKSİK",IF(F565&gt;30000,"FİYAT ŞÜPHELİ",IF(K565&lt;0,"ZARARDA",IF(F565&lt;I565,"RİSKLİ","ok"))))</f>
        <v/>
      </c>
      <c r="M565" s="16" t="inlineStr">
        <is>
          <t>https://www.etsy.com/listing/1481715945</t>
        </is>
      </c>
    </row>
    <row r="566">
      <c r="A566" s="9" t="inlineStr">
        <is>
          <t>earrings</t>
        </is>
      </c>
      <c r="B566" s="9" t="inlineStr">
        <is>
          <t>10K Gold Earrings, Graduated Yellow Hoop with Diamond Cut</t>
        </is>
      </c>
      <c r="C566" s="9" t="n">
        <v>1481715945</v>
      </c>
      <c r="D566" s="9" t="inlineStr">
        <is>
          <t>EGRH1-28</t>
        </is>
      </c>
      <c r="E566" s="9" t="inlineStr">
        <is>
          <t>shipstation</t>
        </is>
      </c>
      <c r="F566" s="10" t="n">
        <v>323</v>
      </c>
      <c r="G566" s="18" t="n">
        <v>2.54</v>
      </c>
      <c r="H566" s="10">
        <f>IF(G566="","",G566*Ayarlar!$B$3+Ayarlar!$B$4+Ayarlar!$B$5)</f>
        <v/>
      </c>
      <c r="I566" s="10">
        <f>IF(G566="","",ROUNDUP(((G566*Ayarlar!$B$3+Ayarlar!$B$4+Ayarlar!$B$5)+Ayarlar!$B$8)/((1-Ayarlar!$B$6)*(1-Ayarlar!$B$7)),0))</f>
        <v/>
      </c>
      <c r="J566" s="10">
        <f>IF(G566="","",ROUNDUP(((G566*Ayarlar!$B$3+Ayarlar!$B$4+Ayarlar!$B$5)+Ayarlar!$B$8)/((1-Ayarlar!$B$6)*(1-Ayarlar!$B$7-Ayarlar!$B$9)),0))</f>
        <v/>
      </c>
      <c r="K566" s="12">
        <f>IF(OR(G566="",F566=""),"",(F566*(1-Ayarlar!$B$6)-(F566*(1-Ayarlar!$B$6)*Ayarlar!$B$7+Ayarlar!$B$8)-(G566*Ayarlar!$B$3+Ayarlar!$B$4+Ayarlar!$B$5))/(F566*(1-Ayarlar!$B$6)))</f>
        <v/>
      </c>
      <c r="L566" s="9">
        <f>IF(G566="","GRAM EKSİK",IF(F566&gt;30000,"FİYAT ŞÜPHELİ",IF(K566&lt;0,"ZARARDA",IF(F566&lt;I566,"RİSKLİ","ok"))))</f>
        <v/>
      </c>
      <c r="M566" s="13" t="inlineStr">
        <is>
          <t>https://www.etsy.com/listing/1481715945</t>
        </is>
      </c>
    </row>
    <row r="567">
      <c r="A567" s="3" t="inlineStr">
        <is>
          <t>earrings</t>
        </is>
      </c>
      <c r="B567" s="3" t="inlineStr">
        <is>
          <t>10K Gold Earrings, Graduated Yellow Hoop with Diamond Cut</t>
        </is>
      </c>
      <c r="C567" s="3" t="n">
        <v>1481715945</v>
      </c>
      <c r="D567" s="3" t="inlineStr">
        <is>
          <t>EGRH1-32</t>
        </is>
      </c>
      <c r="E567" s="3" t="inlineStr">
        <is>
          <t>shipstation</t>
        </is>
      </c>
      <c r="F567" s="14" t="n">
        <v>391</v>
      </c>
      <c r="G567" s="17" t="n">
        <v>3.29</v>
      </c>
      <c r="H567" s="14">
        <f>IF(G567="","",G567*Ayarlar!$B$3+Ayarlar!$B$4+Ayarlar!$B$5)</f>
        <v/>
      </c>
      <c r="I567" s="14">
        <f>IF(G567="","",ROUNDUP(((G567*Ayarlar!$B$3+Ayarlar!$B$4+Ayarlar!$B$5)+Ayarlar!$B$8)/((1-Ayarlar!$B$6)*(1-Ayarlar!$B$7)),0))</f>
        <v/>
      </c>
      <c r="J567" s="14">
        <f>IF(G567="","",ROUNDUP(((G567*Ayarlar!$B$3+Ayarlar!$B$4+Ayarlar!$B$5)+Ayarlar!$B$8)/((1-Ayarlar!$B$6)*(1-Ayarlar!$B$7-Ayarlar!$B$9)),0))</f>
        <v/>
      </c>
      <c r="K567" s="15">
        <f>IF(OR(G567="",F567=""),"",(F567*(1-Ayarlar!$B$6)-(F567*(1-Ayarlar!$B$6)*Ayarlar!$B$7+Ayarlar!$B$8)-(G567*Ayarlar!$B$3+Ayarlar!$B$4+Ayarlar!$B$5))/(F567*(1-Ayarlar!$B$6)))</f>
        <v/>
      </c>
      <c r="L567" s="3">
        <f>IF(G567="","GRAM EKSİK",IF(F567&gt;30000,"FİYAT ŞÜPHELİ",IF(K567&lt;0,"ZARARDA",IF(F567&lt;I567,"RİSKLİ","ok"))))</f>
        <v/>
      </c>
      <c r="M567" s="16" t="inlineStr">
        <is>
          <t>https://www.etsy.com/listing/1481715945</t>
        </is>
      </c>
    </row>
    <row r="568">
      <c r="A568" s="9" t="inlineStr">
        <is>
          <t>earrings</t>
        </is>
      </c>
      <c r="B568" s="9" t="inlineStr">
        <is>
          <t>10K Gold Earrings, Graduated Yellow Hoop with Diamond Cut</t>
        </is>
      </c>
      <c r="C568" s="9" t="n">
        <v>1481715945</v>
      </c>
      <c r="D568" s="9" t="inlineStr">
        <is>
          <t>EGRH1-40</t>
        </is>
      </c>
      <c r="E568" s="9" t="inlineStr">
        <is>
          <t>description</t>
        </is>
      </c>
      <c r="F568" s="10" t="n">
        <v>560</v>
      </c>
      <c r="G568" s="18" t="n">
        <v>4.95</v>
      </c>
      <c r="H568" s="10">
        <f>IF(G568="","",G568*Ayarlar!$B$3+Ayarlar!$B$4+Ayarlar!$B$5)</f>
        <v/>
      </c>
      <c r="I568" s="10">
        <f>IF(G568="","",ROUNDUP(((G568*Ayarlar!$B$3+Ayarlar!$B$4+Ayarlar!$B$5)+Ayarlar!$B$8)/((1-Ayarlar!$B$6)*(1-Ayarlar!$B$7)),0))</f>
        <v/>
      </c>
      <c r="J568" s="10">
        <f>IF(G568="","",ROUNDUP(((G568*Ayarlar!$B$3+Ayarlar!$B$4+Ayarlar!$B$5)+Ayarlar!$B$8)/((1-Ayarlar!$B$6)*(1-Ayarlar!$B$7-Ayarlar!$B$9)),0))</f>
        <v/>
      </c>
      <c r="K568" s="12">
        <f>IF(OR(G568="",F568=""),"",(F568*(1-Ayarlar!$B$6)-(F568*(1-Ayarlar!$B$6)*Ayarlar!$B$7+Ayarlar!$B$8)-(G568*Ayarlar!$B$3+Ayarlar!$B$4+Ayarlar!$B$5))/(F568*(1-Ayarlar!$B$6)))</f>
        <v/>
      </c>
      <c r="L568" s="9">
        <f>IF(G568="","GRAM EKSİK",IF(F568&gt;30000,"FİYAT ŞÜPHELİ",IF(K568&lt;0,"ZARARDA",IF(F568&lt;I568,"RİSKLİ","ok"))))</f>
        <v/>
      </c>
      <c r="M568" s="13" t="inlineStr">
        <is>
          <t>https://www.etsy.com/listing/1481715945</t>
        </is>
      </c>
    </row>
    <row r="569">
      <c r="A569" s="3" t="inlineStr">
        <is>
          <t>earrings</t>
        </is>
      </c>
      <c r="B569" s="3" t="inlineStr">
        <is>
          <t>10K Gold Earrings, Graduated Yellow Hoop with Diamond Cut</t>
        </is>
      </c>
      <c r="C569" s="3" t="n">
        <v>1481715945</v>
      </c>
      <c r="D569" s="3" t="inlineStr">
        <is>
          <t>EGRH1-52</t>
        </is>
      </c>
      <c r="E569" s="3" t="inlineStr">
        <is>
          <t>description</t>
        </is>
      </c>
      <c r="F569" s="14" t="n">
        <v>893</v>
      </c>
      <c r="G569" s="17" t="n">
        <v>7.45</v>
      </c>
      <c r="H569" s="14">
        <f>IF(G569="","",G569*Ayarlar!$B$3+Ayarlar!$B$4+Ayarlar!$B$5)</f>
        <v/>
      </c>
      <c r="I569" s="14">
        <f>IF(G569="","",ROUNDUP(((G569*Ayarlar!$B$3+Ayarlar!$B$4+Ayarlar!$B$5)+Ayarlar!$B$8)/((1-Ayarlar!$B$6)*(1-Ayarlar!$B$7)),0))</f>
        <v/>
      </c>
      <c r="J569" s="14">
        <f>IF(G569="","",ROUNDUP(((G569*Ayarlar!$B$3+Ayarlar!$B$4+Ayarlar!$B$5)+Ayarlar!$B$8)/((1-Ayarlar!$B$6)*(1-Ayarlar!$B$7-Ayarlar!$B$9)),0))</f>
        <v/>
      </c>
      <c r="K569" s="15">
        <f>IF(OR(G569="",F569=""),"",(F569*(1-Ayarlar!$B$6)-(F569*(1-Ayarlar!$B$6)*Ayarlar!$B$7+Ayarlar!$B$8)-(G569*Ayarlar!$B$3+Ayarlar!$B$4+Ayarlar!$B$5))/(F569*(1-Ayarlar!$B$6)))</f>
        <v/>
      </c>
      <c r="L569" s="3">
        <f>IF(G569="","GRAM EKSİK",IF(F569&gt;30000,"FİYAT ŞÜPHELİ",IF(K569&lt;0,"ZARARDA",IF(F569&lt;I569,"RİSKLİ","ok"))))</f>
        <v/>
      </c>
      <c r="M569" s="16" t="inlineStr">
        <is>
          <t>https://www.etsy.com/listing/1481715945</t>
        </is>
      </c>
    </row>
    <row r="570">
      <c r="A570" s="9" t="inlineStr">
        <is>
          <t>earrings</t>
        </is>
      </c>
      <c r="B570" s="9" t="inlineStr">
        <is>
          <t>10K Gold Earrings, Graduated Yellow Hoop with Diamond Cut</t>
        </is>
      </c>
      <c r="C570" s="9" t="n">
        <v>1481715945</v>
      </c>
      <c r="D570" s="9" t="inlineStr">
        <is>
          <t>EGRH1-60</t>
        </is>
      </c>
      <c r="E570" s="9" t="inlineStr">
        <is>
          <t>shipstation</t>
        </is>
      </c>
      <c r="F570" s="10" t="n">
        <v>1005</v>
      </c>
      <c r="G570" s="18" t="n">
        <v>8.4</v>
      </c>
      <c r="H570" s="10">
        <f>IF(G570="","",G570*Ayarlar!$B$3+Ayarlar!$B$4+Ayarlar!$B$5)</f>
        <v/>
      </c>
      <c r="I570" s="10">
        <f>IF(G570="","",ROUNDUP(((G570*Ayarlar!$B$3+Ayarlar!$B$4+Ayarlar!$B$5)+Ayarlar!$B$8)/((1-Ayarlar!$B$6)*(1-Ayarlar!$B$7)),0))</f>
        <v/>
      </c>
      <c r="J570" s="10">
        <f>IF(G570="","",ROUNDUP(((G570*Ayarlar!$B$3+Ayarlar!$B$4+Ayarlar!$B$5)+Ayarlar!$B$8)/((1-Ayarlar!$B$6)*(1-Ayarlar!$B$7-Ayarlar!$B$9)),0))</f>
        <v/>
      </c>
      <c r="K570" s="12">
        <f>IF(OR(G570="",F570=""),"",(F570*(1-Ayarlar!$B$6)-(F570*(1-Ayarlar!$B$6)*Ayarlar!$B$7+Ayarlar!$B$8)-(G570*Ayarlar!$B$3+Ayarlar!$B$4+Ayarlar!$B$5))/(F570*(1-Ayarlar!$B$6)))</f>
        <v/>
      </c>
      <c r="L570" s="9">
        <f>IF(G570="","GRAM EKSİK",IF(F570&gt;30000,"FİYAT ŞÜPHELİ",IF(K570&lt;0,"ZARARDA",IF(F570&lt;I570,"RİSKLİ","ok"))))</f>
        <v/>
      </c>
      <c r="M570" s="13" t="inlineStr">
        <is>
          <t>https://www.etsy.com/listing/1481715945</t>
        </is>
      </c>
    </row>
    <row r="571">
      <c r="A571" s="3" t="inlineStr">
        <is>
          <t>earrings</t>
        </is>
      </c>
      <c r="B571" s="3" t="inlineStr">
        <is>
          <t>10K Gold Earrings, Large Diamond Cut Bamboo Hoops in Yellow</t>
        </is>
      </c>
      <c r="C571" s="3" t="n">
        <v>1469384188</v>
      </c>
      <c r="D571" s="3" t="inlineStr">
        <is>
          <t>EBAM1-30</t>
        </is>
      </c>
      <c r="E571" s="3" t="inlineStr">
        <is>
          <t>shipstation</t>
        </is>
      </c>
      <c r="F571" s="14" t="n">
        <v>280</v>
      </c>
      <c r="G571" s="17" t="n">
        <v>2.72</v>
      </c>
      <c r="H571" s="14">
        <f>IF(G571="","",G571*Ayarlar!$B$3+Ayarlar!$B$4+Ayarlar!$B$5)</f>
        <v/>
      </c>
      <c r="I571" s="14">
        <f>IF(G571="","",ROUNDUP(((G571*Ayarlar!$B$3+Ayarlar!$B$4+Ayarlar!$B$5)+Ayarlar!$B$8)/((1-Ayarlar!$B$6)*(1-Ayarlar!$B$7)),0))</f>
        <v/>
      </c>
      <c r="J571" s="14">
        <f>IF(G571="","",ROUNDUP(((G571*Ayarlar!$B$3+Ayarlar!$B$4+Ayarlar!$B$5)+Ayarlar!$B$8)/((1-Ayarlar!$B$6)*(1-Ayarlar!$B$7-Ayarlar!$B$9)),0))</f>
        <v/>
      </c>
      <c r="K571" s="15">
        <f>IF(OR(G571="",F571=""),"",(F571*(1-Ayarlar!$B$6)-(F571*(1-Ayarlar!$B$6)*Ayarlar!$B$7+Ayarlar!$B$8)-(G571*Ayarlar!$B$3+Ayarlar!$B$4+Ayarlar!$B$5))/(F571*(1-Ayarlar!$B$6)))</f>
        <v/>
      </c>
      <c r="L571" s="3">
        <f>IF(G571="","GRAM EKSİK",IF(F571&gt;30000,"FİYAT ŞÜPHELİ",IF(K571&lt;0,"ZARARDA",IF(F571&lt;I571,"RİSKLİ","ok"))))</f>
        <v/>
      </c>
      <c r="M571" s="16" t="inlineStr">
        <is>
          <t>https://www.etsy.com/listing/1469384188</t>
        </is>
      </c>
    </row>
    <row r="572">
      <c r="A572" s="9" t="inlineStr">
        <is>
          <t>earrings</t>
        </is>
      </c>
      <c r="B572" s="9" t="inlineStr">
        <is>
          <t>10K Gold Earrings, Large Diamond Cut Bamboo Hoops in Yellow</t>
        </is>
      </c>
      <c r="C572" s="9" t="n">
        <v>1469384188</v>
      </c>
      <c r="D572" s="9" t="inlineStr">
        <is>
          <t>EBAM1-38</t>
        </is>
      </c>
      <c r="E572" s="9" t="inlineStr">
        <is>
          <t>shipstation</t>
        </is>
      </c>
      <c r="F572" s="10" t="n">
        <v>394</v>
      </c>
      <c r="G572" s="18" t="n">
        <v>4.16</v>
      </c>
      <c r="H572" s="10">
        <f>IF(G572="","",G572*Ayarlar!$B$3+Ayarlar!$B$4+Ayarlar!$B$5)</f>
        <v/>
      </c>
      <c r="I572" s="10">
        <f>IF(G572="","",ROUNDUP(((G572*Ayarlar!$B$3+Ayarlar!$B$4+Ayarlar!$B$5)+Ayarlar!$B$8)/((1-Ayarlar!$B$6)*(1-Ayarlar!$B$7)),0))</f>
        <v/>
      </c>
      <c r="J572" s="10">
        <f>IF(G572="","",ROUNDUP(((G572*Ayarlar!$B$3+Ayarlar!$B$4+Ayarlar!$B$5)+Ayarlar!$B$8)/((1-Ayarlar!$B$6)*(1-Ayarlar!$B$7-Ayarlar!$B$9)),0))</f>
        <v/>
      </c>
      <c r="K572" s="12">
        <f>IF(OR(G572="",F572=""),"",(F572*(1-Ayarlar!$B$6)-(F572*(1-Ayarlar!$B$6)*Ayarlar!$B$7+Ayarlar!$B$8)-(G572*Ayarlar!$B$3+Ayarlar!$B$4+Ayarlar!$B$5))/(F572*(1-Ayarlar!$B$6)))</f>
        <v/>
      </c>
      <c r="L572" s="9">
        <f>IF(G572="","GRAM EKSİK",IF(F572&gt;30000,"FİYAT ŞÜPHELİ",IF(K572&lt;0,"ZARARDA",IF(F572&lt;I572,"RİSKLİ","ok"))))</f>
        <v/>
      </c>
      <c r="M572" s="13" t="inlineStr">
        <is>
          <t>https://www.etsy.com/listing/1469384188</t>
        </is>
      </c>
    </row>
    <row r="573">
      <c r="A573" s="3" t="inlineStr">
        <is>
          <t>earrings</t>
        </is>
      </c>
      <c r="B573" s="3" t="inlineStr">
        <is>
          <t>10K Gold Earrings, Large Diamond Cut Bamboo Hoops in Yellow</t>
        </is>
      </c>
      <c r="C573" s="3" t="n">
        <v>1469384188</v>
      </c>
      <c r="D573" s="3" t="inlineStr">
        <is>
          <t>EBAM1-45</t>
        </is>
      </c>
      <c r="E573" s="3" t="inlineStr">
        <is>
          <t>shipstation</t>
        </is>
      </c>
      <c r="F573" s="14" t="n">
        <v>667</v>
      </c>
      <c r="G573" s="17" t="n">
        <v>4.9</v>
      </c>
      <c r="H573" s="14">
        <f>IF(G573="","",G573*Ayarlar!$B$3+Ayarlar!$B$4+Ayarlar!$B$5)</f>
        <v/>
      </c>
      <c r="I573" s="14">
        <f>IF(G573="","",ROUNDUP(((G573*Ayarlar!$B$3+Ayarlar!$B$4+Ayarlar!$B$5)+Ayarlar!$B$8)/((1-Ayarlar!$B$6)*(1-Ayarlar!$B$7)),0))</f>
        <v/>
      </c>
      <c r="J573" s="14">
        <f>IF(G573="","",ROUNDUP(((G573*Ayarlar!$B$3+Ayarlar!$B$4+Ayarlar!$B$5)+Ayarlar!$B$8)/((1-Ayarlar!$B$6)*(1-Ayarlar!$B$7-Ayarlar!$B$9)),0))</f>
        <v/>
      </c>
      <c r="K573" s="15">
        <f>IF(OR(G573="",F573=""),"",(F573*(1-Ayarlar!$B$6)-(F573*(1-Ayarlar!$B$6)*Ayarlar!$B$7+Ayarlar!$B$8)-(G573*Ayarlar!$B$3+Ayarlar!$B$4+Ayarlar!$B$5))/(F573*(1-Ayarlar!$B$6)))</f>
        <v/>
      </c>
      <c r="L573" s="3">
        <f>IF(G573="","GRAM EKSİK",IF(F573&gt;30000,"FİYAT ŞÜPHELİ",IF(K573&lt;0,"ZARARDA",IF(F573&lt;I573,"RİSKLİ","ok"))))</f>
        <v/>
      </c>
      <c r="M573" s="16" t="inlineStr">
        <is>
          <t>https://www.etsy.com/listing/1469384188</t>
        </is>
      </c>
    </row>
    <row r="574">
      <c r="A574" s="9" t="inlineStr">
        <is>
          <t>earrings</t>
        </is>
      </c>
      <c r="B574" s="9" t="inlineStr">
        <is>
          <t>10K Gold Earrings, Large Diamond Cut Bamboo Hoops in Yellow</t>
        </is>
      </c>
      <c r="C574" s="9" t="n">
        <v>1469384188</v>
      </c>
      <c r="D574" s="9" t="inlineStr">
        <is>
          <t>EBAM1-50</t>
        </is>
      </c>
      <c r="E574" s="9" t="inlineStr">
        <is>
          <t>description</t>
        </is>
      </c>
      <c r="F574" s="10" t="n">
        <v>859</v>
      </c>
      <c r="G574" s="18" t="n">
        <v>5.66</v>
      </c>
      <c r="H574" s="10">
        <f>IF(G574="","",G574*Ayarlar!$B$3+Ayarlar!$B$4+Ayarlar!$B$5)</f>
        <v/>
      </c>
      <c r="I574" s="10">
        <f>IF(G574="","",ROUNDUP(((G574*Ayarlar!$B$3+Ayarlar!$B$4+Ayarlar!$B$5)+Ayarlar!$B$8)/((1-Ayarlar!$B$6)*(1-Ayarlar!$B$7)),0))</f>
        <v/>
      </c>
      <c r="J574" s="10">
        <f>IF(G574="","",ROUNDUP(((G574*Ayarlar!$B$3+Ayarlar!$B$4+Ayarlar!$B$5)+Ayarlar!$B$8)/((1-Ayarlar!$B$6)*(1-Ayarlar!$B$7-Ayarlar!$B$9)),0))</f>
        <v/>
      </c>
      <c r="K574" s="12">
        <f>IF(OR(G574="",F574=""),"",(F574*(1-Ayarlar!$B$6)-(F574*(1-Ayarlar!$B$6)*Ayarlar!$B$7+Ayarlar!$B$8)-(G574*Ayarlar!$B$3+Ayarlar!$B$4+Ayarlar!$B$5))/(F574*(1-Ayarlar!$B$6)))</f>
        <v/>
      </c>
      <c r="L574" s="9">
        <f>IF(G574="","GRAM EKSİK",IF(F574&gt;30000,"FİYAT ŞÜPHELİ",IF(K574&lt;0,"ZARARDA",IF(F574&lt;I574,"RİSKLİ","ok"))))</f>
        <v/>
      </c>
      <c r="M574" s="13" t="inlineStr">
        <is>
          <t>https://www.etsy.com/listing/1469384188</t>
        </is>
      </c>
    </row>
    <row r="575">
      <c r="A575" s="3" t="inlineStr">
        <is>
          <t>earrings</t>
        </is>
      </c>
      <c r="B575" s="3" t="inlineStr">
        <is>
          <t>10K Gold Earrings, Large Diamond Cut Bamboo Hoops in Yellow</t>
        </is>
      </c>
      <c r="C575" s="3" t="n">
        <v>1469384188</v>
      </c>
      <c r="D575" s="3" t="inlineStr">
        <is>
          <t>EBAM1-60</t>
        </is>
      </c>
      <c r="E575" s="3" t="inlineStr">
        <is>
          <t>description</t>
        </is>
      </c>
      <c r="F575" s="14" t="n">
        <v>951</v>
      </c>
      <c r="G575" s="17" t="n">
        <v>8.15</v>
      </c>
      <c r="H575" s="14">
        <f>IF(G575="","",G575*Ayarlar!$B$3+Ayarlar!$B$4+Ayarlar!$B$5)</f>
        <v/>
      </c>
      <c r="I575" s="14">
        <f>IF(G575="","",ROUNDUP(((G575*Ayarlar!$B$3+Ayarlar!$B$4+Ayarlar!$B$5)+Ayarlar!$B$8)/((1-Ayarlar!$B$6)*(1-Ayarlar!$B$7)),0))</f>
        <v/>
      </c>
      <c r="J575" s="14">
        <f>IF(G575="","",ROUNDUP(((G575*Ayarlar!$B$3+Ayarlar!$B$4+Ayarlar!$B$5)+Ayarlar!$B$8)/((1-Ayarlar!$B$6)*(1-Ayarlar!$B$7-Ayarlar!$B$9)),0))</f>
        <v/>
      </c>
      <c r="K575" s="15">
        <f>IF(OR(G575="",F575=""),"",(F575*(1-Ayarlar!$B$6)-(F575*(1-Ayarlar!$B$6)*Ayarlar!$B$7+Ayarlar!$B$8)-(G575*Ayarlar!$B$3+Ayarlar!$B$4+Ayarlar!$B$5))/(F575*(1-Ayarlar!$B$6)))</f>
        <v/>
      </c>
      <c r="L575" s="3">
        <f>IF(G575="","GRAM EKSİK",IF(F575&gt;30000,"FİYAT ŞÜPHELİ",IF(K575&lt;0,"ZARARDA",IF(F575&lt;I575,"RİSKLİ","ok"))))</f>
        <v/>
      </c>
      <c r="M575" s="16" t="inlineStr">
        <is>
          <t>https://www.etsy.com/listing/1469384188</t>
        </is>
      </c>
    </row>
    <row r="576">
      <c r="A576" s="9" t="inlineStr">
        <is>
          <t>earrings</t>
        </is>
      </c>
      <c r="B576" s="9" t="inlineStr">
        <is>
          <t>10K Gold Earrings, Large Diamond Cut Bamboo Hoops in Yellow</t>
        </is>
      </c>
      <c r="C576" s="9" t="n">
        <v>1469384188</v>
      </c>
      <c r="D576" s="9" t="inlineStr">
        <is>
          <t>EBAM1-70</t>
        </is>
      </c>
      <c r="E576" s="9" t="inlineStr">
        <is>
          <t>description</t>
        </is>
      </c>
      <c r="F576" s="10" t="n">
        <v>1117</v>
      </c>
      <c r="G576" s="18" t="n">
        <v>9.449999999999999</v>
      </c>
      <c r="H576" s="10">
        <f>IF(G576="","",G576*Ayarlar!$B$3+Ayarlar!$B$4+Ayarlar!$B$5)</f>
        <v/>
      </c>
      <c r="I576" s="10">
        <f>IF(G576="","",ROUNDUP(((G576*Ayarlar!$B$3+Ayarlar!$B$4+Ayarlar!$B$5)+Ayarlar!$B$8)/((1-Ayarlar!$B$6)*(1-Ayarlar!$B$7)),0))</f>
        <v/>
      </c>
      <c r="J576" s="10">
        <f>IF(G576="","",ROUNDUP(((G576*Ayarlar!$B$3+Ayarlar!$B$4+Ayarlar!$B$5)+Ayarlar!$B$8)/((1-Ayarlar!$B$6)*(1-Ayarlar!$B$7-Ayarlar!$B$9)),0))</f>
        <v/>
      </c>
      <c r="K576" s="12">
        <f>IF(OR(G576="",F576=""),"",(F576*(1-Ayarlar!$B$6)-(F576*(1-Ayarlar!$B$6)*Ayarlar!$B$7+Ayarlar!$B$8)-(G576*Ayarlar!$B$3+Ayarlar!$B$4+Ayarlar!$B$5))/(F576*(1-Ayarlar!$B$6)))</f>
        <v/>
      </c>
      <c r="L576" s="9">
        <f>IF(G576="","GRAM EKSİK",IF(F576&gt;30000,"FİYAT ŞÜPHELİ",IF(K576&lt;0,"ZARARDA",IF(F576&lt;I576,"RİSKLİ","ok"))))</f>
        <v/>
      </c>
      <c r="M576" s="13" t="inlineStr">
        <is>
          <t>https://www.etsy.com/listing/1469384188</t>
        </is>
      </c>
    </row>
    <row r="577">
      <c r="A577" s="3" t="inlineStr">
        <is>
          <t>earrings</t>
        </is>
      </c>
      <c r="B577" s="3" t="inlineStr">
        <is>
          <t>10K Gold Small Hoop Earrings / Shiny Polished Finish</t>
        </is>
      </c>
      <c r="C577" s="3" t="n">
        <v>1205110402</v>
      </c>
      <c r="D577" s="3" t="inlineStr">
        <is>
          <t>EH1-15</t>
        </is>
      </c>
      <c r="E577" s="3" t="inlineStr">
        <is>
          <t>—</t>
        </is>
      </c>
      <c r="F577" s="14" t="n">
        <v>75.23999999999999</v>
      </c>
      <c r="G577" s="11" t="n"/>
      <c r="H577" s="14">
        <f>IF(G577="","",G577*Ayarlar!$B$3+Ayarlar!$B$4+Ayarlar!$B$5)</f>
        <v/>
      </c>
      <c r="I577" s="14">
        <f>IF(G577="","",ROUNDUP(((G577*Ayarlar!$B$3+Ayarlar!$B$4+Ayarlar!$B$5)+Ayarlar!$B$8)/((1-Ayarlar!$B$6)*(1-Ayarlar!$B$7)),0))</f>
        <v/>
      </c>
      <c r="J577" s="14">
        <f>IF(G577="","",ROUNDUP(((G577*Ayarlar!$B$3+Ayarlar!$B$4+Ayarlar!$B$5)+Ayarlar!$B$8)/((1-Ayarlar!$B$6)*(1-Ayarlar!$B$7-Ayarlar!$B$9)),0))</f>
        <v/>
      </c>
      <c r="K577" s="15">
        <f>IF(OR(G577="",F577=""),"",(F577*(1-Ayarlar!$B$6)-(F577*(1-Ayarlar!$B$6)*Ayarlar!$B$7+Ayarlar!$B$8)-(G577*Ayarlar!$B$3+Ayarlar!$B$4+Ayarlar!$B$5))/(F577*(1-Ayarlar!$B$6)))</f>
        <v/>
      </c>
      <c r="L577" s="3">
        <f>IF(G577="","GRAM EKSİK",IF(F577&gt;30000,"FİYAT ŞÜPHELİ",IF(K577&lt;0,"ZARARDA",IF(F577&lt;I577,"RİSKLİ","ok"))))</f>
        <v/>
      </c>
      <c r="M577" s="16" t="inlineStr">
        <is>
          <t>https://www.etsy.com/listing/1205110402</t>
        </is>
      </c>
    </row>
    <row r="578">
      <c r="A578" s="9" t="inlineStr">
        <is>
          <t>earrings</t>
        </is>
      </c>
      <c r="B578" s="9" t="inlineStr">
        <is>
          <t>10K Gold Small Hoop Earrings / Shiny Polished Finish</t>
        </is>
      </c>
      <c r="C578" s="9" t="n">
        <v>1205110402</v>
      </c>
      <c r="D578" s="9" t="inlineStr">
        <is>
          <t>EH1-19</t>
        </is>
      </c>
      <c r="E578" s="9" t="inlineStr">
        <is>
          <t>description</t>
        </is>
      </c>
      <c r="F578" s="10" t="n">
        <v>156</v>
      </c>
      <c r="G578" s="18" t="n">
        <v>1.23</v>
      </c>
      <c r="H578" s="10">
        <f>IF(G578="","",G578*Ayarlar!$B$3+Ayarlar!$B$4+Ayarlar!$B$5)</f>
        <v/>
      </c>
      <c r="I578" s="10">
        <f>IF(G578="","",ROUNDUP(((G578*Ayarlar!$B$3+Ayarlar!$B$4+Ayarlar!$B$5)+Ayarlar!$B$8)/((1-Ayarlar!$B$6)*(1-Ayarlar!$B$7)),0))</f>
        <v/>
      </c>
      <c r="J578" s="10">
        <f>IF(G578="","",ROUNDUP(((G578*Ayarlar!$B$3+Ayarlar!$B$4+Ayarlar!$B$5)+Ayarlar!$B$8)/((1-Ayarlar!$B$6)*(1-Ayarlar!$B$7-Ayarlar!$B$9)),0))</f>
        <v/>
      </c>
      <c r="K578" s="12">
        <f>IF(OR(G578="",F578=""),"",(F578*(1-Ayarlar!$B$6)-(F578*(1-Ayarlar!$B$6)*Ayarlar!$B$7+Ayarlar!$B$8)-(G578*Ayarlar!$B$3+Ayarlar!$B$4+Ayarlar!$B$5))/(F578*(1-Ayarlar!$B$6)))</f>
        <v/>
      </c>
      <c r="L578" s="9">
        <f>IF(G578="","GRAM EKSİK",IF(F578&gt;30000,"FİYAT ŞÜPHELİ",IF(K578&lt;0,"ZARARDA",IF(F578&lt;I578,"RİSKLİ","ok"))))</f>
        <v/>
      </c>
      <c r="M578" s="13" t="inlineStr">
        <is>
          <t>https://www.etsy.com/listing/1205110402</t>
        </is>
      </c>
    </row>
    <row r="579">
      <c r="A579" s="3" t="inlineStr">
        <is>
          <t>earrings</t>
        </is>
      </c>
      <c r="B579" s="3" t="inlineStr">
        <is>
          <t>10K Gold Small Hoop Earrings / Shiny Polished Finish</t>
        </is>
      </c>
      <c r="C579" s="3" t="n">
        <v>1205110402</v>
      </c>
      <c r="D579" s="3" t="inlineStr">
        <is>
          <t>EH1-25</t>
        </is>
      </c>
      <c r="E579" s="3" t="inlineStr">
        <is>
          <t>description</t>
        </is>
      </c>
      <c r="F579" s="14" t="n">
        <v>224</v>
      </c>
      <c r="G579" s="17" t="n">
        <v>1.94</v>
      </c>
      <c r="H579" s="14">
        <f>IF(G579="","",G579*Ayarlar!$B$3+Ayarlar!$B$4+Ayarlar!$B$5)</f>
        <v/>
      </c>
      <c r="I579" s="14">
        <f>IF(G579="","",ROUNDUP(((G579*Ayarlar!$B$3+Ayarlar!$B$4+Ayarlar!$B$5)+Ayarlar!$B$8)/((1-Ayarlar!$B$6)*(1-Ayarlar!$B$7)),0))</f>
        <v/>
      </c>
      <c r="J579" s="14">
        <f>IF(G579="","",ROUNDUP(((G579*Ayarlar!$B$3+Ayarlar!$B$4+Ayarlar!$B$5)+Ayarlar!$B$8)/((1-Ayarlar!$B$6)*(1-Ayarlar!$B$7-Ayarlar!$B$9)),0))</f>
        <v/>
      </c>
      <c r="K579" s="15">
        <f>IF(OR(G579="",F579=""),"",(F579*(1-Ayarlar!$B$6)-(F579*(1-Ayarlar!$B$6)*Ayarlar!$B$7+Ayarlar!$B$8)-(G579*Ayarlar!$B$3+Ayarlar!$B$4+Ayarlar!$B$5))/(F579*(1-Ayarlar!$B$6)))</f>
        <v/>
      </c>
      <c r="L579" s="3">
        <f>IF(G579="","GRAM EKSİK",IF(F579&gt;30000,"FİYAT ŞÜPHELİ",IF(K579&lt;0,"ZARARDA",IF(F579&lt;I579,"RİSKLİ","ok"))))</f>
        <v/>
      </c>
      <c r="M579" s="16" t="inlineStr">
        <is>
          <t>https://www.etsy.com/listing/1205110402</t>
        </is>
      </c>
    </row>
    <row r="580">
      <c r="A580" s="9" t="inlineStr">
        <is>
          <t>earrings</t>
        </is>
      </c>
      <c r="B580" s="9" t="inlineStr">
        <is>
          <t>10K Gold Small Hoop Earrings / Shiny Polished Finish</t>
        </is>
      </c>
      <c r="C580" s="9" t="n">
        <v>1205110402</v>
      </c>
      <c r="D580" s="9" t="inlineStr">
        <is>
          <t>EH1-30</t>
        </is>
      </c>
      <c r="E580" s="9" t="inlineStr">
        <is>
          <t>description</t>
        </is>
      </c>
      <c r="F580" s="10" t="n">
        <v>279</v>
      </c>
      <c r="G580" s="18" t="n">
        <v>2.2</v>
      </c>
      <c r="H580" s="10">
        <f>IF(G580="","",G580*Ayarlar!$B$3+Ayarlar!$B$4+Ayarlar!$B$5)</f>
        <v/>
      </c>
      <c r="I580" s="10">
        <f>IF(G580="","",ROUNDUP(((G580*Ayarlar!$B$3+Ayarlar!$B$4+Ayarlar!$B$5)+Ayarlar!$B$8)/((1-Ayarlar!$B$6)*(1-Ayarlar!$B$7)),0))</f>
        <v/>
      </c>
      <c r="J580" s="10">
        <f>IF(G580="","",ROUNDUP(((G580*Ayarlar!$B$3+Ayarlar!$B$4+Ayarlar!$B$5)+Ayarlar!$B$8)/((1-Ayarlar!$B$6)*(1-Ayarlar!$B$7-Ayarlar!$B$9)),0))</f>
        <v/>
      </c>
      <c r="K580" s="12">
        <f>IF(OR(G580="",F580=""),"",(F580*(1-Ayarlar!$B$6)-(F580*(1-Ayarlar!$B$6)*Ayarlar!$B$7+Ayarlar!$B$8)-(G580*Ayarlar!$B$3+Ayarlar!$B$4+Ayarlar!$B$5))/(F580*(1-Ayarlar!$B$6)))</f>
        <v/>
      </c>
      <c r="L580" s="9">
        <f>IF(G580="","GRAM EKSİK",IF(F580&gt;30000,"FİYAT ŞÜPHELİ",IF(K580&lt;0,"ZARARDA",IF(F580&lt;I580,"RİSKLİ","ok"))))</f>
        <v/>
      </c>
      <c r="M580" s="13" t="inlineStr">
        <is>
          <t>https://www.etsy.com/listing/1205110402</t>
        </is>
      </c>
    </row>
    <row r="581">
      <c r="A581" s="3" t="inlineStr">
        <is>
          <t>earrings</t>
        </is>
      </c>
      <c r="B581" s="3" t="inlineStr">
        <is>
          <t>10K Gold Small Hoop Earrings / Shiny Polished Finish</t>
        </is>
      </c>
      <c r="C581" s="3" t="n">
        <v>1205110402</v>
      </c>
      <c r="D581" s="3" t="inlineStr">
        <is>
          <t>EH1-35</t>
        </is>
      </c>
      <c r="E581" s="3" t="inlineStr">
        <is>
          <t>description</t>
        </is>
      </c>
      <c r="F581" s="14" t="n">
        <v>363</v>
      </c>
      <c r="G581" s="17" t="n">
        <v>3.05</v>
      </c>
      <c r="H581" s="14">
        <f>IF(G581="","",G581*Ayarlar!$B$3+Ayarlar!$B$4+Ayarlar!$B$5)</f>
        <v/>
      </c>
      <c r="I581" s="14">
        <f>IF(G581="","",ROUNDUP(((G581*Ayarlar!$B$3+Ayarlar!$B$4+Ayarlar!$B$5)+Ayarlar!$B$8)/((1-Ayarlar!$B$6)*(1-Ayarlar!$B$7)),0))</f>
        <v/>
      </c>
      <c r="J581" s="14">
        <f>IF(G581="","",ROUNDUP(((G581*Ayarlar!$B$3+Ayarlar!$B$4+Ayarlar!$B$5)+Ayarlar!$B$8)/((1-Ayarlar!$B$6)*(1-Ayarlar!$B$7-Ayarlar!$B$9)),0))</f>
        <v/>
      </c>
      <c r="K581" s="15">
        <f>IF(OR(G581="",F581=""),"",(F581*(1-Ayarlar!$B$6)-(F581*(1-Ayarlar!$B$6)*Ayarlar!$B$7+Ayarlar!$B$8)-(G581*Ayarlar!$B$3+Ayarlar!$B$4+Ayarlar!$B$5))/(F581*(1-Ayarlar!$B$6)))</f>
        <v/>
      </c>
      <c r="L581" s="3">
        <f>IF(G581="","GRAM EKSİK",IF(F581&gt;30000,"FİYAT ŞÜPHELİ",IF(K581&lt;0,"ZARARDA",IF(F581&lt;I581,"RİSKLİ","ok"))))</f>
        <v/>
      </c>
      <c r="M581" s="16" t="inlineStr">
        <is>
          <t>https://www.etsy.com/listing/1205110402</t>
        </is>
      </c>
    </row>
    <row r="582">
      <c r="A582" s="9" t="inlineStr">
        <is>
          <t>earrings</t>
        </is>
      </c>
      <c r="B582" s="9" t="inlineStr">
        <is>
          <t>10K Gold Small Hoop Earrings / Shiny Polished Finish</t>
        </is>
      </c>
      <c r="C582" s="9" t="n">
        <v>1205110402</v>
      </c>
      <c r="D582" s="9" t="inlineStr">
        <is>
          <t>EH1-37</t>
        </is>
      </c>
      <c r="E582" s="9" t="inlineStr">
        <is>
          <t>description</t>
        </is>
      </c>
      <c r="F582" s="10" t="n">
        <v>390</v>
      </c>
      <c r="G582" s="18" t="n">
        <v>3</v>
      </c>
      <c r="H582" s="10">
        <f>IF(G582="","",G582*Ayarlar!$B$3+Ayarlar!$B$4+Ayarlar!$B$5)</f>
        <v/>
      </c>
      <c r="I582" s="10">
        <f>IF(G582="","",ROUNDUP(((G582*Ayarlar!$B$3+Ayarlar!$B$4+Ayarlar!$B$5)+Ayarlar!$B$8)/((1-Ayarlar!$B$6)*(1-Ayarlar!$B$7)),0))</f>
        <v/>
      </c>
      <c r="J582" s="10">
        <f>IF(G582="","",ROUNDUP(((G582*Ayarlar!$B$3+Ayarlar!$B$4+Ayarlar!$B$5)+Ayarlar!$B$8)/((1-Ayarlar!$B$6)*(1-Ayarlar!$B$7-Ayarlar!$B$9)),0))</f>
        <v/>
      </c>
      <c r="K582" s="12">
        <f>IF(OR(G582="",F582=""),"",(F582*(1-Ayarlar!$B$6)-(F582*(1-Ayarlar!$B$6)*Ayarlar!$B$7+Ayarlar!$B$8)-(G582*Ayarlar!$B$3+Ayarlar!$B$4+Ayarlar!$B$5))/(F582*(1-Ayarlar!$B$6)))</f>
        <v/>
      </c>
      <c r="L582" s="9">
        <f>IF(G582="","GRAM EKSİK",IF(F582&gt;30000,"FİYAT ŞÜPHELİ",IF(K582&lt;0,"ZARARDA",IF(F582&lt;I582,"RİSKLİ","ok"))))</f>
        <v/>
      </c>
      <c r="M582" s="13" t="inlineStr">
        <is>
          <t>https://www.etsy.com/listing/1205110402</t>
        </is>
      </c>
    </row>
    <row r="583">
      <c r="A583" s="3" t="inlineStr">
        <is>
          <t>earrings</t>
        </is>
      </c>
      <c r="B583" s="3" t="inlineStr">
        <is>
          <t>10K Solid Gold Nugget Stud Earrings, Diamond Cut</t>
        </is>
      </c>
      <c r="C583" s="3" t="n">
        <v>1475151914</v>
      </c>
      <c r="D583" s="3" t="inlineStr">
        <is>
          <t>ENUG-1</t>
        </is>
      </c>
      <c r="E583" s="3" t="inlineStr">
        <is>
          <t>shipstation</t>
        </is>
      </c>
      <c r="F583" s="14" t="n">
        <v>145</v>
      </c>
      <c r="G583" s="17" t="n">
        <v>1.2</v>
      </c>
      <c r="H583" s="14">
        <f>IF(G583="","",G583*Ayarlar!$B$3+Ayarlar!$B$4+Ayarlar!$B$5)</f>
        <v/>
      </c>
      <c r="I583" s="14">
        <f>IF(G583="","",ROUNDUP(((G583*Ayarlar!$B$3+Ayarlar!$B$4+Ayarlar!$B$5)+Ayarlar!$B$8)/((1-Ayarlar!$B$6)*(1-Ayarlar!$B$7)),0))</f>
        <v/>
      </c>
      <c r="J583" s="14">
        <f>IF(G583="","",ROUNDUP(((G583*Ayarlar!$B$3+Ayarlar!$B$4+Ayarlar!$B$5)+Ayarlar!$B$8)/((1-Ayarlar!$B$6)*(1-Ayarlar!$B$7-Ayarlar!$B$9)),0))</f>
        <v/>
      </c>
      <c r="K583" s="15">
        <f>IF(OR(G583="",F583=""),"",(F583*(1-Ayarlar!$B$6)-(F583*(1-Ayarlar!$B$6)*Ayarlar!$B$7+Ayarlar!$B$8)-(G583*Ayarlar!$B$3+Ayarlar!$B$4+Ayarlar!$B$5))/(F583*(1-Ayarlar!$B$6)))</f>
        <v/>
      </c>
      <c r="L583" s="3">
        <f>IF(G583="","GRAM EKSİK",IF(F583&gt;30000,"FİYAT ŞÜPHELİ",IF(K583&lt;0,"ZARARDA",IF(F583&lt;I583,"RİSKLİ","ok"))))</f>
        <v/>
      </c>
      <c r="M583" s="16" t="inlineStr">
        <is>
          <t>https://www.etsy.com/listing/1475151914</t>
        </is>
      </c>
    </row>
    <row r="584">
      <c r="A584" s="9" t="inlineStr">
        <is>
          <t>earrings</t>
        </is>
      </c>
      <c r="B584" s="9" t="inlineStr">
        <is>
          <t>10K Solid Gold Nugget Stud Earrings, Diamond Cut</t>
        </is>
      </c>
      <c r="C584" s="9" t="n">
        <v>1475151914</v>
      </c>
      <c r="D584" s="9" t="inlineStr">
        <is>
          <t>ENUG-2</t>
        </is>
      </c>
      <c r="E584" s="9" t="inlineStr">
        <is>
          <t>—</t>
        </is>
      </c>
      <c r="F584" s="10" t="n">
        <v>161.25</v>
      </c>
      <c r="G584" s="11" t="n"/>
      <c r="H584" s="10">
        <f>IF(G584="","",G584*Ayarlar!$B$3+Ayarlar!$B$4+Ayarlar!$B$5)</f>
        <v/>
      </c>
      <c r="I584" s="10">
        <f>IF(G584="","",ROUNDUP(((G584*Ayarlar!$B$3+Ayarlar!$B$4+Ayarlar!$B$5)+Ayarlar!$B$8)/((1-Ayarlar!$B$6)*(1-Ayarlar!$B$7)),0))</f>
        <v/>
      </c>
      <c r="J584" s="10">
        <f>IF(G584="","",ROUNDUP(((G584*Ayarlar!$B$3+Ayarlar!$B$4+Ayarlar!$B$5)+Ayarlar!$B$8)/((1-Ayarlar!$B$6)*(1-Ayarlar!$B$7-Ayarlar!$B$9)),0))</f>
        <v/>
      </c>
      <c r="K584" s="12">
        <f>IF(OR(G584="",F584=""),"",(F584*(1-Ayarlar!$B$6)-(F584*(1-Ayarlar!$B$6)*Ayarlar!$B$7+Ayarlar!$B$8)-(G584*Ayarlar!$B$3+Ayarlar!$B$4+Ayarlar!$B$5))/(F584*(1-Ayarlar!$B$6)))</f>
        <v/>
      </c>
      <c r="L584" s="9">
        <f>IF(G584="","GRAM EKSİK",IF(F584&gt;30000,"FİYAT ŞÜPHELİ",IF(K584&lt;0,"ZARARDA",IF(F584&lt;I584,"RİSKLİ","ok"))))</f>
        <v/>
      </c>
      <c r="M584" s="13" t="inlineStr">
        <is>
          <t>https://www.etsy.com/listing/1475151914</t>
        </is>
      </c>
    </row>
    <row r="585">
      <c r="A585" s="3" t="inlineStr">
        <is>
          <t>earrings</t>
        </is>
      </c>
      <c r="B585" s="3" t="inlineStr">
        <is>
          <t>10K Solid Gold Nugget Stud Earrings, Diamond Cut</t>
        </is>
      </c>
      <c r="C585" s="3" t="n">
        <v>1475151914</v>
      </c>
      <c r="D585" s="3" t="inlineStr">
        <is>
          <t>ENUG-3</t>
        </is>
      </c>
      <c r="E585" s="3" t="inlineStr">
        <is>
          <t>—</t>
        </is>
      </c>
      <c r="F585" s="14" t="n">
        <v>258</v>
      </c>
      <c r="G585" s="11" t="n"/>
      <c r="H585" s="14">
        <f>IF(G585="","",G585*Ayarlar!$B$3+Ayarlar!$B$4+Ayarlar!$B$5)</f>
        <v/>
      </c>
      <c r="I585" s="14">
        <f>IF(G585="","",ROUNDUP(((G585*Ayarlar!$B$3+Ayarlar!$B$4+Ayarlar!$B$5)+Ayarlar!$B$8)/((1-Ayarlar!$B$6)*(1-Ayarlar!$B$7)),0))</f>
        <v/>
      </c>
      <c r="J585" s="14">
        <f>IF(G585="","",ROUNDUP(((G585*Ayarlar!$B$3+Ayarlar!$B$4+Ayarlar!$B$5)+Ayarlar!$B$8)/((1-Ayarlar!$B$6)*(1-Ayarlar!$B$7-Ayarlar!$B$9)),0))</f>
        <v/>
      </c>
      <c r="K585" s="15">
        <f>IF(OR(G585="",F585=""),"",(F585*(1-Ayarlar!$B$6)-(F585*(1-Ayarlar!$B$6)*Ayarlar!$B$7+Ayarlar!$B$8)-(G585*Ayarlar!$B$3+Ayarlar!$B$4+Ayarlar!$B$5))/(F585*(1-Ayarlar!$B$6)))</f>
        <v/>
      </c>
      <c r="L585" s="3">
        <f>IF(G585="","GRAM EKSİK",IF(F585&gt;30000,"FİYAT ŞÜPHELİ",IF(K585&lt;0,"ZARARDA",IF(F585&lt;I585,"RİSKLİ","ok"))))</f>
        <v/>
      </c>
      <c r="M585" s="16" t="inlineStr">
        <is>
          <t>https://www.etsy.com/listing/1475151914</t>
        </is>
      </c>
    </row>
    <row r="586">
      <c r="A586" s="9" t="inlineStr">
        <is>
          <t>earrings</t>
        </is>
      </c>
      <c r="B586" s="9" t="inlineStr">
        <is>
          <t>10K Solid Gold Nugget Stud Earrings, Diamond Cut</t>
        </is>
      </c>
      <c r="C586" s="9" t="n">
        <v>1475151914</v>
      </c>
      <c r="D586" s="9" t="inlineStr">
        <is>
          <t>ENUG-4</t>
        </is>
      </c>
      <c r="E586" s="9" t="inlineStr">
        <is>
          <t>shipstation</t>
        </is>
      </c>
      <c r="F586" s="10" t="n">
        <v>418</v>
      </c>
      <c r="G586" s="18" t="n">
        <v>3.4</v>
      </c>
      <c r="H586" s="10">
        <f>IF(G586="","",G586*Ayarlar!$B$3+Ayarlar!$B$4+Ayarlar!$B$5)</f>
        <v/>
      </c>
      <c r="I586" s="10">
        <f>IF(G586="","",ROUNDUP(((G586*Ayarlar!$B$3+Ayarlar!$B$4+Ayarlar!$B$5)+Ayarlar!$B$8)/((1-Ayarlar!$B$6)*(1-Ayarlar!$B$7)),0))</f>
        <v/>
      </c>
      <c r="J586" s="10">
        <f>IF(G586="","",ROUNDUP(((G586*Ayarlar!$B$3+Ayarlar!$B$4+Ayarlar!$B$5)+Ayarlar!$B$8)/((1-Ayarlar!$B$6)*(1-Ayarlar!$B$7-Ayarlar!$B$9)),0))</f>
        <v/>
      </c>
      <c r="K586" s="12">
        <f>IF(OR(G586="",F586=""),"",(F586*(1-Ayarlar!$B$6)-(F586*(1-Ayarlar!$B$6)*Ayarlar!$B$7+Ayarlar!$B$8)-(G586*Ayarlar!$B$3+Ayarlar!$B$4+Ayarlar!$B$5))/(F586*(1-Ayarlar!$B$6)))</f>
        <v/>
      </c>
      <c r="L586" s="9">
        <f>IF(G586="","GRAM EKSİK",IF(F586&gt;30000,"FİYAT ŞÜPHELİ",IF(K586&lt;0,"ZARARDA",IF(F586&lt;I586,"RİSKLİ","ok"))))</f>
        <v/>
      </c>
      <c r="M586" s="13" t="inlineStr">
        <is>
          <t>https://www.etsy.com/listing/1475151914</t>
        </is>
      </c>
    </row>
    <row r="587">
      <c r="A587" s="3" t="inlineStr">
        <is>
          <t>earrings</t>
        </is>
      </c>
      <c r="B587" s="3" t="inlineStr">
        <is>
          <t>10K Yellow Gold Hoop Earrings, Diamond Cut, All Sizes</t>
        </is>
      </c>
      <c r="C587" s="3" t="n">
        <v>1225508465</v>
      </c>
      <c r="D587" s="3" t="inlineStr">
        <is>
          <t>EH2-20</t>
        </is>
      </c>
      <c r="E587" s="3" t="inlineStr">
        <is>
          <t>—</t>
        </is>
      </c>
      <c r="F587" s="14" t="n">
        <v>155.87</v>
      </c>
      <c r="G587" s="11" t="n"/>
      <c r="H587" s="14">
        <f>IF(G587="","",G587*Ayarlar!$B$3+Ayarlar!$B$4+Ayarlar!$B$5)</f>
        <v/>
      </c>
      <c r="I587" s="14">
        <f>IF(G587="","",ROUNDUP(((G587*Ayarlar!$B$3+Ayarlar!$B$4+Ayarlar!$B$5)+Ayarlar!$B$8)/((1-Ayarlar!$B$6)*(1-Ayarlar!$B$7)),0))</f>
        <v/>
      </c>
      <c r="J587" s="14">
        <f>IF(G587="","",ROUNDUP(((G587*Ayarlar!$B$3+Ayarlar!$B$4+Ayarlar!$B$5)+Ayarlar!$B$8)/((1-Ayarlar!$B$6)*(1-Ayarlar!$B$7-Ayarlar!$B$9)),0))</f>
        <v/>
      </c>
      <c r="K587" s="15">
        <f>IF(OR(G587="",F587=""),"",(F587*(1-Ayarlar!$B$6)-(F587*(1-Ayarlar!$B$6)*Ayarlar!$B$7+Ayarlar!$B$8)-(G587*Ayarlar!$B$3+Ayarlar!$B$4+Ayarlar!$B$5))/(F587*(1-Ayarlar!$B$6)))</f>
        <v/>
      </c>
      <c r="L587" s="3">
        <f>IF(G587="","GRAM EKSİK",IF(F587&gt;30000,"FİYAT ŞÜPHELİ",IF(K587&lt;0,"ZARARDA",IF(F587&lt;I587,"RİSKLİ","ok"))))</f>
        <v/>
      </c>
      <c r="M587" s="16" t="inlineStr">
        <is>
          <t>https://www.etsy.com/listing/1225508465</t>
        </is>
      </c>
    </row>
    <row r="588">
      <c r="A588" s="9" t="inlineStr">
        <is>
          <t>earrings</t>
        </is>
      </c>
      <c r="B588" s="9" t="inlineStr">
        <is>
          <t>10K Yellow Gold Hoop Earrings, Diamond Cut, All Sizes</t>
        </is>
      </c>
      <c r="C588" s="9" t="n">
        <v>1225508465</v>
      </c>
      <c r="D588" s="9" t="inlineStr">
        <is>
          <t>EH2-25</t>
        </is>
      </c>
      <c r="E588" s="9" t="inlineStr">
        <is>
          <t>shipstation</t>
        </is>
      </c>
      <c r="F588" s="10" t="n">
        <v>224</v>
      </c>
      <c r="G588" s="18" t="n">
        <v>1.88</v>
      </c>
      <c r="H588" s="10">
        <f>IF(G588="","",G588*Ayarlar!$B$3+Ayarlar!$B$4+Ayarlar!$B$5)</f>
        <v/>
      </c>
      <c r="I588" s="10">
        <f>IF(G588="","",ROUNDUP(((G588*Ayarlar!$B$3+Ayarlar!$B$4+Ayarlar!$B$5)+Ayarlar!$B$8)/((1-Ayarlar!$B$6)*(1-Ayarlar!$B$7)),0))</f>
        <v/>
      </c>
      <c r="J588" s="10">
        <f>IF(G588="","",ROUNDUP(((G588*Ayarlar!$B$3+Ayarlar!$B$4+Ayarlar!$B$5)+Ayarlar!$B$8)/((1-Ayarlar!$B$6)*(1-Ayarlar!$B$7-Ayarlar!$B$9)),0))</f>
        <v/>
      </c>
      <c r="K588" s="12">
        <f>IF(OR(G588="",F588=""),"",(F588*(1-Ayarlar!$B$6)-(F588*(1-Ayarlar!$B$6)*Ayarlar!$B$7+Ayarlar!$B$8)-(G588*Ayarlar!$B$3+Ayarlar!$B$4+Ayarlar!$B$5))/(F588*(1-Ayarlar!$B$6)))</f>
        <v/>
      </c>
      <c r="L588" s="9">
        <f>IF(G588="","GRAM EKSİK",IF(F588&gt;30000,"FİYAT ŞÜPHELİ",IF(K588&lt;0,"ZARARDA",IF(F588&lt;I588,"RİSKLİ","ok"))))</f>
        <v/>
      </c>
      <c r="M588" s="13" t="inlineStr">
        <is>
          <t>https://www.etsy.com/listing/1225508465</t>
        </is>
      </c>
    </row>
    <row r="589">
      <c r="A589" s="3" t="inlineStr">
        <is>
          <t>earrings</t>
        </is>
      </c>
      <c r="B589" s="3" t="inlineStr">
        <is>
          <t>10K Yellow Gold Hoop Earrings, Diamond Cut, All Sizes</t>
        </is>
      </c>
      <c r="C589" s="3" t="n">
        <v>1225508465</v>
      </c>
      <c r="D589" s="3" t="inlineStr">
        <is>
          <t>EH2-30</t>
        </is>
      </c>
      <c r="E589" s="3" t="inlineStr">
        <is>
          <t>description</t>
        </is>
      </c>
      <c r="F589" s="14" t="n">
        <v>258</v>
      </c>
      <c r="G589" s="17" t="n">
        <v>2.18</v>
      </c>
      <c r="H589" s="14">
        <f>IF(G589="","",G589*Ayarlar!$B$3+Ayarlar!$B$4+Ayarlar!$B$5)</f>
        <v/>
      </c>
      <c r="I589" s="14">
        <f>IF(G589="","",ROUNDUP(((G589*Ayarlar!$B$3+Ayarlar!$B$4+Ayarlar!$B$5)+Ayarlar!$B$8)/((1-Ayarlar!$B$6)*(1-Ayarlar!$B$7)),0))</f>
        <v/>
      </c>
      <c r="J589" s="14">
        <f>IF(G589="","",ROUNDUP(((G589*Ayarlar!$B$3+Ayarlar!$B$4+Ayarlar!$B$5)+Ayarlar!$B$8)/((1-Ayarlar!$B$6)*(1-Ayarlar!$B$7-Ayarlar!$B$9)),0))</f>
        <v/>
      </c>
      <c r="K589" s="15">
        <f>IF(OR(G589="",F589=""),"",(F589*(1-Ayarlar!$B$6)-(F589*(1-Ayarlar!$B$6)*Ayarlar!$B$7+Ayarlar!$B$8)-(G589*Ayarlar!$B$3+Ayarlar!$B$4+Ayarlar!$B$5))/(F589*(1-Ayarlar!$B$6)))</f>
        <v/>
      </c>
      <c r="L589" s="3">
        <f>IF(G589="","GRAM EKSİK",IF(F589&gt;30000,"FİYAT ŞÜPHELİ",IF(K589&lt;0,"ZARARDA",IF(F589&lt;I589,"RİSKLİ","ok"))))</f>
        <v/>
      </c>
      <c r="M589" s="16" t="inlineStr">
        <is>
          <t>https://www.etsy.com/listing/1225508465</t>
        </is>
      </c>
    </row>
    <row r="590">
      <c r="A590" s="9" t="inlineStr">
        <is>
          <t>earrings</t>
        </is>
      </c>
      <c r="B590" s="9" t="inlineStr">
        <is>
          <t>10K Yellow Gold Hoop Earrings, Diamond Cut, All Sizes</t>
        </is>
      </c>
      <c r="C590" s="9" t="n">
        <v>1225508465</v>
      </c>
      <c r="D590" s="9" t="inlineStr">
        <is>
          <t>EH2-38</t>
        </is>
      </c>
      <c r="E590" s="9" t="inlineStr">
        <is>
          <t>description</t>
        </is>
      </c>
      <c r="F590" s="10" t="n">
        <v>345</v>
      </c>
      <c r="G590" s="18" t="n">
        <v>2.8</v>
      </c>
      <c r="H590" s="10">
        <f>IF(G590="","",G590*Ayarlar!$B$3+Ayarlar!$B$4+Ayarlar!$B$5)</f>
        <v/>
      </c>
      <c r="I590" s="10">
        <f>IF(G590="","",ROUNDUP(((G590*Ayarlar!$B$3+Ayarlar!$B$4+Ayarlar!$B$5)+Ayarlar!$B$8)/((1-Ayarlar!$B$6)*(1-Ayarlar!$B$7)),0))</f>
        <v/>
      </c>
      <c r="J590" s="10">
        <f>IF(G590="","",ROUNDUP(((G590*Ayarlar!$B$3+Ayarlar!$B$4+Ayarlar!$B$5)+Ayarlar!$B$8)/((1-Ayarlar!$B$6)*(1-Ayarlar!$B$7-Ayarlar!$B$9)),0))</f>
        <v/>
      </c>
      <c r="K590" s="12">
        <f>IF(OR(G590="",F590=""),"",(F590*(1-Ayarlar!$B$6)-(F590*(1-Ayarlar!$B$6)*Ayarlar!$B$7+Ayarlar!$B$8)-(G590*Ayarlar!$B$3+Ayarlar!$B$4+Ayarlar!$B$5))/(F590*(1-Ayarlar!$B$6)))</f>
        <v/>
      </c>
      <c r="L590" s="9">
        <f>IF(G590="","GRAM EKSİK",IF(F590&gt;30000,"FİYAT ŞÜPHELİ",IF(K590&lt;0,"ZARARDA",IF(F590&lt;I590,"RİSKLİ","ok"))))</f>
        <v/>
      </c>
      <c r="M590" s="13" t="inlineStr">
        <is>
          <t>https://www.etsy.com/listing/1225508465</t>
        </is>
      </c>
    </row>
    <row r="591">
      <c r="A591" s="3" t="inlineStr">
        <is>
          <t>earrings</t>
        </is>
      </c>
      <c r="B591" s="3" t="inlineStr">
        <is>
          <t>10K Yellow Gold Hoop Earrings, Diamond Cut, All Sizes</t>
        </is>
      </c>
      <c r="C591" s="3" t="n">
        <v>1225508465</v>
      </c>
      <c r="D591" s="3" t="inlineStr">
        <is>
          <t>EH2-50</t>
        </is>
      </c>
      <c r="E591" s="3" t="inlineStr">
        <is>
          <t>—</t>
        </is>
      </c>
      <c r="F591" s="14" t="n">
        <v>403.12</v>
      </c>
      <c r="G591" s="11" t="n"/>
      <c r="H591" s="14">
        <f>IF(G591="","",G591*Ayarlar!$B$3+Ayarlar!$B$4+Ayarlar!$B$5)</f>
        <v/>
      </c>
      <c r="I591" s="14">
        <f>IF(G591="","",ROUNDUP(((G591*Ayarlar!$B$3+Ayarlar!$B$4+Ayarlar!$B$5)+Ayarlar!$B$8)/((1-Ayarlar!$B$6)*(1-Ayarlar!$B$7)),0))</f>
        <v/>
      </c>
      <c r="J591" s="14">
        <f>IF(G591="","",ROUNDUP(((G591*Ayarlar!$B$3+Ayarlar!$B$4+Ayarlar!$B$5)+Ayarlar!$B$8)/((1-Ayarlar!$B$6)*(1-Ayarlar!$B$7-Ayarlar!$B$9)),0))</f>
        <v/>
      </c>
      <c r="K591" s="15">
        <f>IF(OR(G591="",F591=""),"",(F591*(1-Ayarlar!$B$6)-(F591*(1-Ayarlar!$B$6)*Ayarlar!$B$7+Ayarlar!$B$8)-(G591*Ayarlar!$B$3+Ayarlar!$B$4+Ayarlar!$B$5))/(F591*(1-Ayarlar!$B$6)))</f>
        <v/>
      </c>
      <c r="L591" s="3">
        <f>IF(G591="","GRAM EKSİK",IF(F591&gt;30000,"FİYAT ŞÜPHELİ",IF(K591&lt;0,"ZARARDA",IF(F591&lt;I591,"RİSKLİ","ok"))))</f>
        <v/>
      </c>
      <c r="M591" s="16" t="inlineStr">
        <is>
          <t>https://www.etsy.com/listing/1225508465</t>
        </is>
      </c>
    </row>
    <row r="592">
      <c r="A592" s="9" t="inlineStr">
        <is>
          <t>earrings</t>
        </is>
      </c>
      <c r="B592" s="9" t="inlineStr">
        <is>
          <t>10K Yellow Gold Hoop Earrings, Diamond Cut, All Sizes</t>
        </is>
      </c>
      <c r="C592" s="9" t="n">
        <v>1225508465</v>
      </c>
      <c r="D592" s="9" t="inlineStr">
        <is>
          <t>EH2-57</t>
        </is>
      </c>
      <c r="E592" s="9" t="inlineStr">
        <is>
          <t>shipstation</t>
        </is>
      </c>
      <c r="F592" s="10" t="n">
        <v>493</v>
      </c>
      <c r="G592" s="18" t="n">
        <v>4.46</v>
      </c>
      <c r="H592" s="10">
        <f>IF(G592="","",G592*Ayarlar!$B$3+Ayarlar!$B$4+Ayarlar!$B$5)</f>
        <v/>
      </c>
      <c r="I592" s="10">
        <f>IF(G592="","",ROUNDUP(((G592*Ayarlar!$B$3+Ayarlar!$B$4+Ayarlar!$B$5)+Ayarlar!$B$8)/((1-Ayarlar!$B$6)*(1-Ayarlar!$B$7)),0))</f>
        <v/>
      </c>
      <c r="J592" s="10">
        <f>IF(G592="","",ROUNDUP(((G592*Ayarlar!$B$3+Ayarlar!$B$4+Ayarlar!$B$5)+Ayarlar!$B$8)/((1-Ayarlar!$B$6)*(1-Ayarlar!$B$7-Ayarlar!$B$9)),0))</f>
        <v/>
      </c>
      <c r="K592" s="12">
        <f>IF(OR(G592="",F592=""),"",(F592*(1-Ayarlar!$B$6)-(F592*(1-Ayarlar!$B$6)*Ayarlar!$B$7+Ayarlar!$B$8)-(G592*Ayarlar!$B$3+Ayarlar!$B$4+Ayarlar!$B$5))/(F592*(1-Ayarlar!$B$6)))</f>
        <v/>
      </c>
      <c r="L592" s="9">
        <f>IF(G592="","GRAM EKSİK",IF(F592&gt;30000,"FİYAT ŞÜPHELİ",IF(K592&lt;0,"ZARARDA",IF(F592&lt;I592,"RİSKLİ","ok"))))</f>
        <v/>
      </c>
      <c r="M592" s="13" t="inlineStr">
        <is>
          <t>https://www.etsy.com/listing/1225508465</t>
        </is>
      </c>
    </row>
    <row r="593">
      <c r="A593" s="3" t="inlineStr">
        <is>
          <t>earrings</t>
        </is>
      </c>
      <c r="B593" s="3" t="inlineStr">
        <is>
          <t>10K Yellow Gold Hoop Earrings, Diamond Cut, All Sizes</t>
        </is>
      </c>
      <c r="C593" s="3" t="n">
        <v>1225508465</v>
      </c>
      <c r="D593" s="3" t="inlineStr">
        <is>
          <t>EH2-64</t>
        </is>
      </c>
      <c r="E593" s="3" t="inlineStr">
        <is>
          <t>—</t>
        </is>
      </c>
      <c r="F593" s="14" t="n">
        <v>505.25</v>
      </c>
      <c r="G593" s="11" t="n"/>
      <c r="H593" s="14">
        <f>IF(G593="","",G593*Ayarlar!$B$3+Ayarlar!$B$4+Ayarlar!$B$5)</f>
        <v/>
      </c>
      <c r="I593" s="14">
        <f>IF(G593="","",ROUNDUP(((G593*Ayarlar!$B$3+Ayarlar!$B$4+Ayarlar!$B$5)+Ayarlar!$B$8)/((1-Ayarlar!$B$6)*(1-Ayarlar!$B$7)),0))</f>
        <v/>
      </c>
      <c r="J593" s="14">
        <f>IF(G593="","",ROUNDUP(((G593*Ayarlar!$B$3+Ayarlar!$B$4+Ayarlar!$B$5)+Ayarlar!$B$8)/((1-Ayarlar!$B$6)*(1-Ayarlar!$B$7-Ayarlar!$B$9)),0))</f>
        <v/>
      </c>
      <c r="K593" s="15">
        <f>IF(OR(G593="",F593=""),"",(F593*(1-Ayarlar!$B$6)-(F593*(1-Ayarlar!$B$6)*Ayarlar!$B$7+Ayarlar!$B$8)-(G593*Ayarlar!$B$3+Ayarlar!$B$4+Ayarlar!$B$5))/(F593*(1-Ayarlar!$B$6)))</f>
        <v/>
      </c>
      <c r="L593" s="3">
        <f>IF(G593="","GRAM EKSİK",IF(F593&gt;30000,"FİYAT ŞÜPHELİ",IF(K593&lt;0,"ZARARDA",IF(F593&lt;I593,"RİSKLİ","ok"))))</f>
        <v/>
      </c>
      <c r="M593" s="16" t="inlineStr">
        <is>
          <t>https://www.etsy.com/listing/1225508465</t>
        </is>
      </c>
    </row>
    <row r="594">
      <c r="A594" s="9" t="inlineStr">
        <is>
          <t>earrings</t>
        </is>
      </c>
      <c r="B594" s="9" t="inlineStr">
        <is>
          <t>14K Gold CZ Hoop Earrings, Small Huggie Style (15mm)</t>
        </is>
      </c>
      <c r="C594" s="9" t="n">
        <v>1222574043</v>
      </c>
      <c r="D594" s="9" t="inlineStr">
        <is>
          <t>E8F</t>
        </is>
      </c>
      <c r="E594" s="9" t="inlineStr">
        <is>
          <t>shipstation</t>
        </is>
      </c>
      <c r="F594" s="10" t="n">
        <v>316</v>
      </c>
      <c r="G594" s="18" t="n">
        <v>2.22</v>
      </c>
      <c r="H594" s="10">
        <f>IF(G594="","",G594*Ayarlar!$B$3+Ayarlar!$B$4+Ayarlar!$B$5)</f>
        <v/>
      </c>
      <c r="I594" s="10">
        <f>IF(G594="","",ROUNDUP(((G594*Ayarlar!$B$3+Ayarlar!$B$4+Ayarlar!$B$5)+Ayarlar!$B$8)/((1-Ayarlar!$B$6)*(1-Ayarlar!$B$7)),0))</f>
        <v/>
      </c>
      <c r="J594" s="10">
        <f>IF(G594="","",ROUNDUP(((G594*Ayarlar!$B$3+Ayarlar!$B$4+Ayarlar!$B$5)+Ayarlar!$B$8)/((1-Ayarlar!$B$6)*(1-Ayarlar!$B$7-Ayarlar!$B$9)),0))</f>
        <v/>
      </c>
      <c r="K594" s="12">
        <f>IF(OR(G594="",F594=""),"",(F594*(1-Ayarlar!$B$6)-(F594*(1-Ayarlar!$B$6)*Ayarlar!$B$7+Ayarlar!$B$8)-(G594*Ayarlar!$B$3+Ayarlar!$B$4+Ayarlar!$B$5))/(F594*(1-Ayarlar!$B$6)))</f>
        <v/>
      </c>
      <c r="L594" s="9">
        <f>IF(G594="","GRAM EKSİK",IF(F594&gt;30000,"FİYAT ŞÜPHELİ",IF(K594&lt;0,"ZARARDA",IF(F594&lt;I594,"RİSKLİ","ok"))))</f>
        <v/>
      </c>
      <c r="M594" s="13" t="inlineStr">
        <is>
          <t>https://www.etsy.com/listing/1222574043</t>
        </is>
      </c>
    </row>
    <row r="595">
      <c r="A595" s="3" t="inlineStr">
        <is>
          <t>earrings</t>
        </is>
      </c>
      <c r="B595" s="3" t="inlineStr">
        <is>
          <t>14K Real Gold Diamond Cut Hoop Earrings - Shiny Gold Hoops</t>
        </is>
      </c>
      <c r="C595" s="3" t="n">
        <v>1201031517</v>
      </c>
      <c r="D595" s="3" t="inlineStr">
        <is>
          <t>E17F-13</t>
        </is>
      </c>
      <c r="E595" s="3" t="inlineStr">
        <is>
          <t>description</t>
        </is>
      </c>
      <c r="F595" s="14" t="n">
        <v>134</v>
      </c>
      <c r="G595" s="17" t="n">
        <v>0.75</v>
      </c>
      <c r="H595" s="14">
        <f>IF(G595="","",G595*Ayarlar!$B$3+Ayarlar!$B$4+Ayarlar!$B$5)</f>
        <v/>
      </c>
      <c r="I595" s="14">
        <f>IF(G595="","",ROUNDUP(((G595*Ayarlar!$B$3+Ayarlar!$B$4+Ayarlar!$B$5)+Ayarlar!$B$8)/((1-Ayarlar!$B$6)*(1-Ayarlar!$B$7)),0))</f>
        <v/>
      </c>
      <c r="J595" s="14">
        <f>IF(G595="","",ROUNDUP(((G595*Ayarlar!$B$3+Ayarlar!$B$4+Ayarlar!$B$5)+Ayarlar!$B$8)/((1-Ayarlar!$B$6)*(1-Ayarlar!$B$7-Ayarlar!$B$9)),0))</f>
        <v/>
      </c>
      <c r="K595" s="15">
        <f>IF(OR(G595="",F595=""),"",(F595*(1-Ayarlar!$B$6)-(F595*(1-Ayarlar!$B$6)*Ayarlar!$B$7+Ayarlar!$B$8)-(G595*Ayarlar!$B$3+Ayarlar!$B$4+Ayarlar!$B$5))/(F595*(1-Ayarlar!$B$6)))</f>
        <v/>
      </c>
      <c r="L595" s="3">
        <f>IF(G595="","GRAM EKSİK",IF(F595&gt;30000,"FİYAT ŞÜPHELİ",IF(K595&lt;0,"ZARARDA",IF(F595&lt;I595,"RİSKLİ","ok"))))</f>
        <v/>
      </c>
      <c r="M595" s="16" t="inlineStr">
        <is>
          <t>https://www.etsy.com/listing/1201031517</t>
        </is>
      </c>
    </row>
    <row r="596">
      <c r="A596" s="9" t="inlineStr">
        <is>
          <t>earrings</t>
        </is>
      </c>
      <c r="B596" s="9" t="inlineStr">
        <is>
          <t>14K Real Gold Diamond Cut Hoop Earrings - Shiny Gold Hoops</t>
        </is>
      </c>
      <c r="C596" s="9" t="n">
        <v>1201031517</v>
      </c>
      <c r="D596" s="9" t="inlineStr">
        <is>
          <t>E17F-18</t>
        </is>
      </c>
      <c r="E596" s="9" t="inlineStr">
        <is>
          <t>description</t>
        </is>
      </c>
      <c r="F596" s="10" t="n">
        <v>178</v>
      </c>
      <c r="G596" s="18" t="n">
        <v>1</v>
      </c>
      <c r="H596" s="10">
        <f>IF(G596="","",G596*Ayarlar!$B$3+Ayarlar!$B$4+Ayarlar!$B$5)</f>
        <v/>
      </c>
      <c r="I596" s="10">
        <f>IF(G596="","",ROUNDUP(((G596*Ayarlar!$B$3+Ayarlar!$B$4+Ayarlar!$B$5)+Ayarlar!$B$8)/((1-Ayarlar!$B$6)*(1-Ayarlar!$B$7)),0))</f>
        <v/>
      </c>
      <c r="J596" s="10">
        <f>IF(G596="","",ROUNDUP(((G596*Ayarlar!$B$3+Ayarlar!$B$4+Ayarlar!$B$5)+Ayarlar!$B$8)/((1-Ayarlar!$B$6)*(1-Ayarlar!$B$7-Ayarlar!$B$9)),0))</f>
        <v/>
      </c>
      <c r="K596" s="12">
        <f>IF(OR(G596="",F596=""),"",(F596*(1-Ayarlar!$B$6)-(F596*(1-Ayarlar!$B$6)*Ayarlar!$B$7+Ayarlar!$B$8)-(G596*Ayarlar!$B$3+Ayarlar!$B$4+Ayarlar!$B$5))/(F596*(1-Ayarlar!$B$6)))</f>
        <v/>
      </c>
      <c r="L596" s="9">
        <f>IF(G596="","GRAM EKSİK",IF(F596&gt;30000,"FİYAT ŞÜPHELİ",IF(K596&lt;0,"ZARARDA",IF(F596&lt;I596,"RİSKLİ","ok"))))</f>
        <v/>
      </c>
      <c r="M596" s="13" t="inlineStr">
        <is>
          <t>https://www.etsy.com/listing/1201031517</t>
        </is>
      </c>
    </row>
    <row r="597">
      <c r="A597" s="3" t="inlineStr">
        <is>
          <t>earrings</t>
        </is>
      </c>
      <c r="B597" s="3" t="inlineStr">
        <is>
          <t>14K Real Gold Diamond Cut Hoop Earrings - Shiny Gold Hoops</t>
        </is>
      </c>
      <c r="C597" s="3" t="n">
        <v>1201031517</v>
      </c>
      <c r="D597" s="3" t="inlineStr">
        <is>
          <t>E17F-25</t>
        </is>
      </c>
      <c r="E597" s="3" t="inlineStr">
        <is>
          <t>description</t>
        </is>
      </c>
      <c r="F597" s="14" t="n">
        <v>267</v>
      </c>
      <c r="G597" s="17" t="n">
        <v>1.5</v>
      </c>
      <c r="H597" s="14">
        <f>IF(G597="","",G597*Ayarlar!$B$3+Ayarlar!$B$4+Ayarlar!$B$5)</f>
        <v/>
      </c>
      <c r="I597" s="14">
        <f>IF(G597="","",ROUNDUP(((G597*Ayarlar!$B$3+Ayarlar!$B$4+Ayarlar!$B$5)+Ayarlar!$B$8)/((1-Ayarlar!$B$6)*(1-Ayarlar!$B$7)),0))</f>
        <v/>
      </c>
      <c r="J597" s="14">
        <f>IF(G597="","",ROUNDUP(((G597*Ayarlar!$B$3+Ayarlar!$B$4+Ayarlar!$B$5)+Ayarlar!$B$8)/((1-Ayarlar!$B$6)*(1-Ayarlar!$B$7-Ayarlar!$B$9)),0))</f>
        <v/>
      </c>
      <c r="K597" s="15">
        <f>IF(OR(G597="",F597=""),"",(F597*(1-Ayarlar!$B$6)-(F597*(1-Ayarlar!$B$6)*Ayarlar!$B$7+Ayarlar!$B$8)-(G597*Ayarlar!$B$3+Ayarlar!$B$4+Ayarlar!$B$5))/(F597*(1-Ayarlar!$B$6)))</f>
        <v/>
      </c>
      <c r="L597" s="3">
        <f>IF(G597="","GRAM EKSİK",IF(F597&gt;30000,"FİYAT ŞÜPHELİ",IF(K597&lt;0,"ZARARDA",IF(F597&lt;I597,"RİSKLİ","ok"))))</f>
        <v/>
      </c>
      <c r="M597" s="16" t="inlineStr">
        <is>
          <t>https://www.etsy.com/listing/1201031517</t>
        </is>
      </c>
    </row>
    <row r="598">
      <c r="A598" s="9" t="inlineStr">
        <is>
          <t>earrings</t>
        </is>
      </c>
      <c r="B598" s="9" t="inlineStr">
        <is>
          <t>14K Real Gold Diamond Cut Hoop Earrings - Shiny Gold Hoops</t>
        </is>
      </c>
      <c r="C598" s="9" t="n">
        <v>1201031517</v>
      </c>
      <c r="D598" s="9" t="inlineStr">
        <is>
          <t>E17F-37</t>
        </is>
      </c>
      <c r="E598" s="9" t="inlineStr">
        <is>
          <t>description</t>
        </is>
      </c>
      <c r="F598" s="10" t="n">
        <v>356</v>
      </c>
      <c r="G598" s="18" t="n">
        <v>2.07</v>
      </c>
      <c r="H598" s="10">
        <f>IF(G598="","",G598*Ayarlar!$B$3+Ayarlar!$B$4+Ayarlar!$B$5)</f>
        <v/>
      </c>
      <c r="I598" s="10">
        <f>IF(G598="","",ROUNDUP(((G598*Ayarlar!$B$3+Ayarlar!$B$4+Ayarlar!$B$5)+Ayarlar!$B$8)/((1-Ayarlar!$B$6)*(1-Ayarlar!$B$7)),0))</f>
        <v/>
      </c>
      <c r="J598" s="10">
        <f>IF(G598="","",ROUNDUP(((G598*Ayarlar!$B$3+Ayarlar!$B$4+Ayarlar!$B$5)+Ayarlar!$B$8)/((1-Ayarlar!$B$6)*(1-Ayarlar!$B$7-Ayarlar!$B$9)),0))</f>
        <v/>
      </c>
      <c r="K598" s="12">
        <f>IF(OR(G598="",F598=""),"",(F598*(1-Ayarlar!$B$6)-(F598*(1-Ayarlar!$B$6)*Ayarlar!$B$7+Ayarlar!$B$8)-(G598*Ayarlar!$B$3+Ayarlar!$B$4+Ayarlar!$B$5))/(F598*(1-Ayarlar!$B$6)))</f>
        <v/>
      </c>
      <c r="L598" s="9">
        <f>IF(G598="","GRAM EKSİK",IF(F598&gt;30000,"FİYAT ŞÜPHELİ",IF(K598&lt;0,"ZARARDA",IF(F598&lt;I598,"RİSKLİ","ok"))))</f>
        <v/>
      </c>
      <c r="M598" s="13" t="inlineStr">
        <is>
          <t>https://www.etsy.com/listing/1201031517</t>
        </is>
      </c>
    </row>
    <row r="599">
      <c r="A599" s="3" t="inlineStr">
        <is>
          <t>earrings</t>
        </is>
      </c>
      <c r="B599" s="3" t="inlineStr">
        <is>
          <t>14K Real Gold Diamond Cut Hoop Earrings - Shiny Gold Hoops</t>
        </is>
      </c>
      <c r="C599" s="3" t="n">
        <v>1201031517</v>
      </c>
      <c r="D599" s="3" t="inlineStr">
        <is>
          <t>E17F-47</t>
        </is>
      </c>
      <c r="E599" s="3" t="inlineStr">
        <is>
          <t>description</t>
        </is>
      </c>
      <c r="F599" s="14" t="n">
        <v>535</v>
      </c>
      <c r="G599" s="17" t="n">
        <v>3.08</v>
      </c>
      <c r="H599" s="14">
        <f>IF(G599="","",G599*Ayarlar!$B$3+Ayarlar!$B$4+Ayarlar!$B$5)</f>
        <v/>
      </c>
      <c r="I599" s="14">
        <f>IF(G599="","",ROUNDUP(((G599*Ayarlar!$B$3+Ayarlar!$B$4+Ayarlar!$B$5)+Ayarlar!$B$8)/((1-Ayarlar!$B$6)*(1-Ayarlar!$B$7)),0))</f>
        <v/>
      </c>
      <c r="J599" s="14">
        <f>IF(G599="","",ROUNDUP(((G599*Ayarlar!$B$3+Ayarlar!$B$4+Ayarlar!$B$5)+Ayarlar!$B$8)/((1-Ayarlar!$B$6)*(1-Ayarlar!$B$7-Ayarlar!$B$9)),0))</f>
        <v/>
      </c>
      <c r="K599" s="15">
        <f>IF(OR(G599="",F599=""),"",(F599*(1-Ayarlar!$B$6)-(F599*(1-Ayarlar!$B$6)*Ayarlar!$B$7+Ayarlar!$B$8)-(G599*Ayarlar!$B$3+Ayarlar!$B$4+Ayarlar!$B$5))/(F599*(1-Ayarlar!$B$6)))</f>
        <v/>
      </c>
      <c r="L599" s="3">
        <f>IF(G599="","GRAM EKSİK",IF(F599&gt;30000,"FİYAT ŞÜPHELİ",IF(K599&lt;0,"ZARARDA",IF(F599&lt;I599,"RİSKLİ","ok"))))</f>
        <v/>
      </c>
      <c r="M599" s="16" t="inlineStr">
        <is>
          <t>https://www.etsy.com/listing/1201031517</t>
        </is>
      </c>
    </row>
    <row r="600">
      <c r="A600" s="9" t="inlineStr">
        <is>
          <t>earrings</t>
        </is>
      </c>
      <c r="B600" s="9" t="inlineStr">
        <is>
          <t>14K Real Gold Diamond Cut Hoop Earrings - Shiny Gold Hoops</t>
        </is>
      </c>
      <c r="C600" s="9" t="n">
        <v>1201031517</v>
      </c>
      <c r="D600" s="9" t="inlineStr">
        <is>
          <t>E17F-60</t>
        </is>
      </c>
      <c r="E600" s="9" t="inlineStr">
        <is>
          <t>description</t>
        </is>
      </c>
      <c r="F600" s="10" t="n">
        <v>624</v>
      </c>
      <c r="G600" s="18" t="n">
        <v>3.57</v>
      </c>
      <c r="H600" s="10">
        <f>IF(G600="","",G600*Ayarlar!$B$3+Ayarlar!$B$4+Ayarlar!$B$5)</f>
        <v/>
      </c>
      <c r="I600" s="10">
        <f>IF(G600="","",ROUNDUP(((G600*Ayarlar!$B$3+Ayarlar!$B$4+Ayarlar!$B$5)+Ayarlar!$B$8)/((1-Ayarlar!$B$6)*(1-Ayarlar!$B$7)),0))</f>
        <v/>
      </c>
      <c r="J600" s="10">
        <f>IF(G600="","",ROUNDUP(((G600*Ayarlar!$B$3+Ayarlar!$B$4+Ayarlar!$B$5)+Ayarlar!$B$8)/((1-Ayarlar!$B$6)*(1-Ayarlar!$B$7-Ayarlar!$B$9)),0))</f>
        <v/>
      </c>
      <c r="K600" s="12">
        <f>IF(OR(G600="",F600=""),"",(F600*(1-Ayarlar!$B$6)-(F600*(1-Ayarlar!$B$6)*Ayarlar!$B$7+Ayarlar!$B$8)-(G600*Ayarlar!$B$3+Ayarlar!$B$4+Ayarlar!$B$5))/(F600*(1-Ayarlar!$B$6)))</f>
        <v/>
      </c>
      <c r="L600" s="9">
        <f>IF(G600="","GRAM EKSİK",IF(F600&gt;30000,"FİYAT ŞÜPHELİ",IF(K600&lt;0,"ZARARDA",IF(F600&lt;I600,"RİSKLİ","ok"))))</f>
        <v/>
      </c>
      <c r="M600" s="13" t="inlineStr">
        <is>
          <t>https://www.etsy.com/listing/1201031517</t>
        </is>
      </c>
    </row>
    <row r="601">
      <c r="A601" s="3" t="inlineStr">
        <is>
          <t>earrings</t>
        </is>
      </c>
      <c r="B601" s="3" t="inlineStr">
        <is>
          <t xml:space="preserve">14K Solid Gold Diamond Cut Stud Earrings / Sparkling Yellow </t>
        </is>
      </c>
      <c r="C601" s="3" t="n">
        <v>1710206336</v>
      </c>
      <c r="D601" s="3" t="inlineStr">
        <is>
          <t>ESTD-1</t>
        </is>
      </c>
      <c r="E601" s="3" t="inlineStr">
        <is>
          <t>description</t>
        </is>
      </c>
      <c r="F601" s="14" t="n">
        <v>200</v>
      </c>
      <c r="G601" s="17" t="n">
        <v>1.11</v>
      </c>
      <c r="H601" s="14">
        <f>IF(G601="","",G601*Ayarlar!$B$3+Ayarlar!$B$4+Ayarlar!$B$5)</f>
        <v/>
      </c>
      <c r="I601" s="14">
        <f>IF(G601="","",ROUNDUP(((G601*Ayarlar!$B$3+Ayarlar!$B$4+Ayarlar!$B$5)+Ayarlar!$B$8)/((1-Ayarlar!$B$6)*(1-Ayarlar!$B$7)),0))</f>
        <v/>
      </c>
      <c r="J601" s="14">
        <f>IF(G601="","",ROUNDUP(((G601*Ayarlar!$B$3+Ayarlar!$B$4+Ayarlar!$B$5)+Ayarlar!$B$8)/((1-Ayarlar!$B$6)*(1-Ayarlar!$B$7-Ayarlar!$B$9)),0))</f>
        <v/>
      </c>
      <c r="K601" s="15">
        <f>IF(OR(G601="",F601=""),"",(F601*(1-Ayarlar!$B$6)-(F601*(1-Ayarlar!$B$6)*Ayarlar!$B$7+Ayarlar!$B$8)-(G601*Ayarlar!$B$3+Ayarlar!$B$4+Ayarlar!$B$5))/(F601*(1-Ayarlar!$B$6)))</f>
        <v/>
      </c>
      <c r="L601" s="3">
        <f>IF(G601="","GRAM EKSİK",IF(F601&gt;30000,"FİYAT ŞÜPHELİ",IF(K601&lt;0,"ZARARDA",IF(F601&lt;I601,"RİSKLİ","ok"))))</f>
        <v/>
      </c>
      <c r="M601" s="16" t="inlineStr">
        <is>
          <t>https://www.etsy.com/listing/1710206336</t>
        </is>
      </c>
    </row>
    <row r="602">
      <c r="A602" s="9" t="inlineStr">
        <is>
          <t>earrings</t>
        </is>
      </c>
      <c r="B602" s="9" t="inlineStr">
        <is>
          <t xml:space="preserve">14K Solid Gold Diamond Cut Stud Earrings / Sparkling Yellow </t>
        </is>
      </c>
      <c r="C602" s="9" t="n">
        <v>1710206336</v>
      </c>
      <c r="D602" s="9" t="inlineStr">
        <is>
          <t>ESTD-2</t>
        </is>
      </c>
      <c r="E602" s="9" t="inlineStr">
        <is>
          <t>description</t>
        </is>
      </c>
      <c r="F602" s="10" t="n">
        <v>361</v>
      </c>
      <c r="G602" s="18" t="n">
        <v>2.05</v>
      </c>
      <c r="H602" s="10">
        <f>IF(G602="","",G602*Ayarlar!$B$3+Ayarlar!$B$4+Ayarlar!$B$5)</f>
        <v/>
      </c>
      <c r="I602" s="10">
        <f>IF(G602="","",ROUNDUP(((G602*Ayarlar!$B$3+Ayarlar!$B$4+Ayarlar!$B$5)+Ayarlar!$B$8)/((1-Ayarlar!$B$6)*(1-Ayarlar!$B$7)),0))</f>
        <v/>
      </c>
      <c r="J602" s="10">
        <f>IF(G602="","",ROUNDUP(((G602*Ayarlar!$B$3+Ayarlar!$B$4+Ayarlar!$B$5)+Ayarlar!$B$8)/((1-Ayarlar!$B$6)*(1-Ayarlar!$B$7-Ayarlar!$B$9)),0))</f>
        <v/>
      </c>
      <c r="K602" s="12">
        <f>IF(OR(G602="",F602=""),"",(F602*(1-Ayarlar!$B$6)-(F602*(1-Ayarlar!$B$6)*Ayarlar!$B$7+Ayarlar!$B$8)-(G602*Ayarlar!$B$3+Ayarlar!$B$4+Ayarlar!$B$5))/(F602*(1-Ayarlar!$B$6)))</f>
        <v/>
      </c>
      <c r="L602" s="9">
        <f>IF(G602="","GRAM EKSİK",IF(F602&gt;30000,"FİYAT ŞÜPHELİ",IF(K602&lt;0,"ZARARDA",IF(F602&lt;I602,"RİSKLİ","ok"))))</f>
        <v/>
      </c>
      <c r="M602" s="13" t="inlineStr">
        <is>
          <t>https://www.etsy.com/listing/1710206336</t>
        </is>
      </c>
    </row>
    <row r="603">
      <c r="A603" s="3" t="inlineStr">
        <is>
          <t>earrings</t>
        </is>
      </c>
      <c r="B603" s="3" t="inlineStr">
        <is>
          <t xml:space="preserve">14K Yellow Gold Chunky Twisted Hoop Earrings / Puffed Round </t>
        </is>
      </c>
      <c r="C603" s="3" t="n">
        <v>1820425868</v>
      </c>
      <c r="D603" s="3" t="inlineStr">
        <is>
          <t>EG101F</t>
        </is>
      </c>
      <c r="E603" s="3" t="inlineStr">
        <is>
          <t>description</t>
        </is>
      </c>
      <c r="F603" s="14" t="n">
        <v>2571</v>
      </c>
      <c r="G603" s="17" t="n">
        <v>15.75</v>
      </c>
      <c r="H603" s="14">
        <f>IF(G603="","",G603*Ayarlar!$B$3+Ayarlar!$B$4+Ayarlar!$B$5)</f>
        <v/>
      </c>
      <c r="I603" s="14">
        <f>IF(G603="","",ROUNDUP(((G603*Ayarlar!$B$3+Ayarlar!$B$4+Ayarlar!$B$5)+Ayarlar!$B$8)/((1-Ayarlar!$B$6)*(1-Ayarlar!$B$7)),0))</f>
        <v/>
      </c>
      <c r="J603" s="14">
        <f>IF(G603="","",ROUNDUP(((G603*Ayarlar!$B$3+Ayarlar!$B$4+Ayarlar!$B$5)+Ayarlar!$B$8)/((1-Ayarlar!$B$6)*(1-Ayarlar!$B$7-Ayarlar!$B$9)),0))</f>
        <v/>
      </c>
      <c r="K603" s="15">
        <f>IF(OR(G603="",F603=""),"",(F603*(1-Ayarlar!$B$6)-(F603*(1-Ayarlar!$B$6)*Ayarlar!$B$7+Ayarlar!$B$8)-(G603*Ayarlar!$B$3+Ayarlar!$B$4+Ayarlar!$B$5))/(F603*(1-Ayarlar!$B$6)))</f>
        <v/>
      </c>
      <c r="L603" s="3">
        <f>IF(G603="","GRAM EKSİK",IF(F603&gt;30000,"FİYAT ŞÜPHELİ",IF(K603&lt;0,"ZARARDA",IF(F603&lt;I603,"RİSKLİ","ok"))))</f>
        <v/>
      </c>
      <c r="M603" s="16" t="inlineStr">
        <is>
          <t>https://www.etsy.com/listing/1820425868</t>
        </is>
      </c>
    </row>
    <row r="604">
      <c r="A604" s="9" t="inlineStr">
        <is>
          <t>earrings</t>
        </is>
      </c>
      <c r="B604" s="9" t="inlineStr">
        <is>
          <t>14K Yellow Gold Puffed Hoop Earrings / Chunky Graduated Desi</t>
        </is>
      </c>
      <c r="C604" s="9" t="n">
        <v>1820418158</v>
      </c>
      <c r="D604" s="9" t="inlineStr">
        <is>
          <t>EG10F</t>
        </is>
      </c>
      <c r="E604" s="9" t="inlineStr">
        <is>
          <t>description</t>
        </is>
      </c>
      <c r="F604" s="10" t="n">
        <v>1677</v>
      </c>
      <c r="G604" s="18" t="n">
        <v>10.3</v>
      </c>
      <c r="H604" s="10">
        <f>IF(G604="","",G604*Ayarlar!$B$3+Ayarlar!$B$4+Ayarlar!$B$5)</f>
        <v/>
      </c>
      <c r="I604" s="10">
        <f>IF(G604="","",ROUNDUP(((G604*Ayarlar!$B$3+Ayarlar!$B$4+Ayarlar!$B$5)+Ayarlar!$B$8)/((1-Ayarlar!$B$6)*(1-Ayarlar!$B$7)),0))</f>
        <v/>
      </c>
      <c r="J604" s="10">
        <f>IF(G604="","",ROUNDUP(((G604*Ayarlar!$B$3+Ayarlar!$B$4+Ayarlar!$B$5)+Ayarlar!$B$8)/((1-Ayarlar!$B$6)*(1-Ayarlar!$B$7-Ayarlar!$B$9)),0))</f>
        <v/>
      </c>
      <c r="K604" s="12">
        <f>IF(OR(G604="",F604=""),"",(F604*(1-Ayarlar!$B$6)-(F604*(1-Ayarlar!$B$6)*Ayarlar!$B$7+Ayarlar!$B$8)-(G604*Ayarlar!$B$3+Ayarlar!$B$4+Ayarlar!$B$5))/(F604*(1-Ayarlar!$B$6)))</f>
        <v/>
      </c>
      <c r="L604" s="9">
        <f>IF(G604="","GRAM EKSİK",IF(F604&gt;30000,"FİYAT ŞÜPHELİ",IF(K604&lt;0,"ZARARDA",IF(F604&lt;I604,"RİSKLİ","ok"))))</f>
        <v/>
      </c>
      <c r="M604" s="13" t="inlineStr">
        <is>
          <t>https://www.etsy.com/listing/1820418158</t>
        </is>
      </c>
    </row>
    <row r="605">
      <c r="A605" s="3" t="inlineStr">
        <is>
          <t>faith</t>
        </is>
      </c>
      <c r="B605" s="3" t="inlineStr">
        <is>
          <t>10K Gold Jesus Crucifix Pendant / Religious Christian Jewelr</t>
        </is>
      </c>
      <c r="C605" s="3" t="n">
        <v>1226252485</v>
      </c>
      <c r="D605" s="3" t="inlineStr">
        <is>
          <t>P10</t>
        </is>
      </c>
      <c r="E605" s="3" t="inlineStr">
        <is>
          <t>description</t>
        </is>
      </c>
      <c r="F605" s="14" t="n">
        <v>213</v>
      </c>
      <c r="G605" s="17" t="n">
        <v>1.14</v>
      </c>
      <c r="H605" s="14">
        <f>IF(G605="","",G605*Ayarlar!$B$3+Ayarlar!$B$4+Ayarlar!$B$5)</f>
        <v/>
      </c>
      <c r="I605" s="14">
        <f>IF(G605="","",ROUNDUP(((G605*Ayarlar!$B$3+Ayarlar!$B$4+Ayarlar!$B$5)+Ayarlar!$B$8)/((1-Ayarlar!$B$6)*(1-Ayarlar!$B$7)),0))</f>
        <v/>
      </c>
      <c r="J605" s="14">
        <f>IF(G605="","",ROUNDUP(((G605*Ayarlar!$B$3+Ayarlar!$B$4+Ayarlar!$B$5)+Ayarlar!$B$8)/((1-Ayarlar!$B$6)*(1-Ayarlar!$B$7-Ayarlar!$B$9)),0))</f>
        <v/>
      </c>
      <c r="K605" s="15">
        <f>IF(OR(G605="",F605=""),"",(F605*(1-Ayarlar!$B$6)-(F605*(1-Ayarlar!$B$6)*Ayarlar!$B$7+Ayarlar!$B$8)-(G605*Ayarlar!$B$3+Ayarlar!$B$4+Ayarlar!$B$5))/(F605*(1-Ayarlar!$B$6)))</f>
        <v/>
      </c>
      <c r="L605" s="3">
        <f>IF(G605="","GRAM EKSİK",IF(F605&gt;30000,"FİYAT ŞÜPHELİ",IF(K605&lt;0,"ZARARDA",IF(F605&lt;I605,"RİSKLİ","ok"))))</f>
        <v/>
      </c>
      <c r="M605" s="16" t="inlineStr">
        <is>
          <t>https://www.etsy.com/listing/1226252485</t>
        </is>
      </c>
    </row>
    <row r="606">
      <c r="A606" s="9" t="inlineStr">
        <is>
          <t>faith</t>
        </is>
      </c>
      <c r="B606" s="9" t="inlineStr">
        <is>
          <t>10K Gold Jesus Head Nugget Ring / Religious CZ Stone</t>
        </is>
      </c>
      <c r="C606" s="9" t="n">
        <v>1743457413</v>
      </c>
      <c r="D606" s="9" t="inlineStr">
        <is>
          <t>R1743457413</t>
        </is>
      </c>
      <c r="E606" s="9" t="inlineStr">
        <is>
          <t>description</t>
        </is>
      </c>
      <c r="F606" s="10" t="n">
        <v>979</v>
      </c>
      <c r="G606" s="18" t="n">
        <v>5.47</v>
      </c>
      <c r="H606" s="10">
        <f>IF(G606="","",G606*Ayarlar!$B$3+Ayarlar!$B$4+Ayarlar!$B$5)</f>
        <v/>
      </c>
      <c r="I606" s="10">
        <f>IF(G606="","",ROUNDUP(((G606*Ayarlar!$B$3+Ayarlar!$B$4+Ayarlar!$B$5)+Ayarlar!$B$8)/((1-Ayarlar!$B$6)*(1-Ayarlar!$B$7)),0))</f>
        <v/>
      </c>
      <c r="J606" s="10">
        <f>IF(G606="","",ROUNDUP(((G606*Ayarlar!$B$3+Ayarlar!$B$4+Ayarlar!$B$5)+Ayarlar!$B$8)/((1-Ayarlar!$B$6)*(1-Ayarlar!$B$7-Ayarlar!$B$9)),0))</f>
        <v/>
      </c>
      <c r="K606" s="12">
        <f>IF(OR(G606="",F606=""),"",(F606*(1-Ayarlar!$B$6)-(F606*(1-Ayarlar!$B$6)*Ayarlar!$B$7+Ayarlar!$B$8)-(G606*Ayarlar!$B$3+Ayarlar!$B$4+Ayarlar!$B$5))/(F606*(1-Ayarlar!$B$6)))</f>
        <v/>
      </c>
      <c r="L606" s="9">
        <f>IF(G606="","GRAM EKSİK",IF(F606&gt;30000,"FİYAT ŞÜPHELİ",IF(K606&lt;0,"ZARARDA",IF(F606&lt;I606,"RİSKLİ","ok"))))</f>
        <v/>
      </c>
      <c r="M606" s="13" t="inlineStr">
        <is>
          <t>https://www.etsy.com/listing/1743457413</t>
        </is>
      </c>
    </row>
    <row r="607">
      <c r="A607" s="3" t="inlineStr">
        <is>
          <t>faith</t>
        </is>
      </c>
      <c r="B607" s="3" t="inlineStr">
        <is>
          <t xml:space="preserve">10K Gold Jesus Praying Hand CZ Ring / Men's Two-Tone Nugget </t>
        </is>
      </c>
      <c r="C607" s="3" t="n">
        <v>1725092482</v>
      </c>
      <c r="D607" s="3" t="inlineStr">
        <is>
          <t>RJSP1-10</t>
        </is>
      </c>
      <c r="E607" s="3" t="inlineStr">
        <is>
          <t>description</t>
        </is>
      </c>
      <c r="F607" s="14" t="n">
        <v>778</v>
      </c>
      <c r="G607" s="17" t="n">
        <v>4.33</v>
      </c>
      <c r="H607" s="14">
        <f>IF(G607="","",G607*Ayarlar!$B$3+Ayarlar!$B$4+Ayarlar!$B$5)</f>
        <v/>
      </c>
      <c r="I607" s="14">
        <f>IF(G607="","",ROUNDUP(((G607*Ayarlar!$B$3+Ayarlar!$B$4+Ayarlar!$B$5)+Ayarlar!$B$8)/((1-Ayarlar!$B$6)*(1-Ayarlar!$B$7)),0))</f>
        <v/>
      </c>
      <c r="J607" s="14">
        <f>IF(G607="","",ROUNDUP(((G607*Ayarlar!$B$3+Ayarlar!$B$4+Ayarlar!$B$5)+Ayarlar!$B$8)/((1-Ayarlar!$B$6)*(1-Ayarlar!$B$7-Ayarlar!$B$9)),0))</f>
        <v/>
      </c>
      <c r="K607" s="15">
        <f>IF(OR(G607="",F607=""),"",(F607*(1-Ayarlar!$B$6)-(F607*(1-Ayarlar!$B$6)*Ayarlar!$B$7+Ayarlar!$B$8)-(G607*Ayarlar!$B$3+Ayarlar!$B$4+Ayarlar!$B$5))/(F607*(1-Ayarlar!$B$6)))</f>
        <v/>
      </c>
      <c r="L607" s="3">
        <f>IF(G607="","GRAM EKSİK",IF(F607&gt;30000,"FİYAT ŞÜPHELİ",IF(K607&lt;0,"ZARARDA",IF(F607&lt;I607,"RİSKLİ","ok"))))</f>
        <v/>
      </c>
      <c r="M607" s="16" t="inlineStr">
        <is>
          <t>https://www.etsy.com/listing/1725092482</t>
        </is>
      </c>
    </row>
    <row r="608">
      <c r="A608" s="9" t="inlineStr">
        <is>
          <t>faith</t>
        </is>
      </c>
      <c r="B608" s="9" t="inlineStr">
        <is>
          <t xml:space="preserve">10K Gold Jesus Praying Hand CZ Ring / Men's Two-Tone Nugget </t>
        </is>
      </c>
      <c r="C608" s="9" t="n">
        <v>1725092482</v>
      </c>
      <c r="D608" s="9" t="inlineStr">
        <is>
          <t>RJSP1-10.5</t>
        </is>
      </c>
      <c r="E608" s="9" t="inlineStr">
        <is>
          <t>description</t>
        </is>
      </c>
      <c r="F608" s="10" t="n">
        <v>778</v>
      </c>
      <c r="G608" s="18" t="n">
        <v>4.33</v>
      </c>
      <c r="H608" s="10">
        <f>IF(G608="","",G608*Ayarlar!$B$3+Ayarlar!$B$4+Ayarlar!$B$5)</f>
        <v/>
      </c>
      <c r="I608" s="10">
        <f>IF(G608="","",ROUNDUP(((G608*Ayarlar!$B$3+Ayarlar!$B$4+Ayarlar!$B$5)+Ayarlar!$B$8)/((1-Ayarlar!$B$6)*(1-Ayarlar!$B$7)),0))</f>
        <v/>
      </c>
      <c r="J608" s="10">
        <f>IF(G608="","",ROUNDUP(((G608*Ayarlar!$B$3+Ayarlar!$B$4+Ayarlar!$B$5)+Ayarlar!$B$8)/((1-Ayarlar!$B$6)*(1-Ayarlar!$B$7-Ayarlar!$B$9)),0))</f>
        <v/>
      </c>
      <c r="K608" s="12">
        <f>IF(OR(G608="",F608=""),"",(F608*(1-Ayarlar!$B$6)-(F608*(1-Ayarlar!$B$6)*Ayarlar!$B$7+Ayarlar!$B$8)-(G608*Ayarlar!$B$3+Ayarlar!$B$4+Ayarlar!$B$5))/(F608*(1-Ayarlar!$B$6)))</f>
        <v/>
      </c>
      <c r="L608" s="9">
        <f>IF(G608="","GRAM EKSİK",IF(F608&gt;30000,"FİYAT ŞÜPHELİ",IF(K608&lt;0,"ZARARDA",IF(F608&lt;I608,"RİSKLİ","ok"))))</f>
        <v/>
      </c>
      <c r="M608" s="13" t="inlineStr">
        <is>
          <t>https://www.etsy.com/listing/1725092482</t>
        </is>
      </c>
    </row>
    <row r="609">
      <c r="A609" s="3" t="inlineStr">
        <is>
          <t>faith</t>
        </is>
      </c>
      <c r="B609" s="3" t="inlineStr">
        <is>
          <t xml:space="preserve">10K Gold Jesus Praying Hand CZ Ring / Men's Two-Tone Nugget </t>
        </is>
      </c>
      <c r="C609" s="3" t="n">
        <v>1725092482</v>
      </c>
      <c r="D609" s="3" t="inlineStr">
        <is>
          <t>RJSP1-11</t>
        </is>
      </c>
      <c r="E609" s="3" t="inlineStr">
        <is>
          <t>description</t>
        </is>
      </c>
      <c r="F609" s="14" t="n">
        <v>778</v>
      </c>
      <c r="G609" s="17" t="n">
        <v>4.33</v>
      </c>
      <c r="H609" s="14">
        <f>IF(G609="","",G609*Ayarlar!$B$3+Ayarlar!$B$4+Ayarlar!$B$5)</f>
        <v/>
      </c>
      <c r="I609" s="14">
        <f>IF(G609="","",ROUNDUP(((G609*Ayarlar!$B$3+Ayarlar!$B$4+Ayarlar!$B$5)+Ayarlar!$B$8)/((1-Ayarlar!$B$6)*(1-Ayarlar!$B$7)),0))</f>
        <v/>
      </c>
      <c r="J609" s="14">
        <f>IF(G609="","",ROUNDUP(((G609*Ayarlar!$B$3+Ayarlar!$B$4+Ayarlar!$B$5)+Ayarlar!$B$8)/((1-Ayarlar!$B$6)*(1-Ayarlar!$B$7-Ayarlar!$B$9)),0))</f>
        <v/>
      </c>
      <c r="K609" s="15">
        <f>IF(OR(G609="",F609=""),"",(F609*(1-Ayarlar!$B$6)-(F609*(1-Ayarlar!$B$6)*Ayarlar!$B$7+Ayarlar!$B$8)-(G609*Ayarlar!$B$3+Ayarlar!$B$4+Ayarlar!$B$5))/(F609*(1-Ayarlar!$B$6)))</f>
        <v/>
      </c>
      <c r="L609" s="3">
        <f>IF(G609="","GRAM EKSİK",IF(F609&gt;30000,"FİYAT ŞÜPHELİ",IF(K609&lt;0,"ZARARDA",IF(F609&lt;I609,"RİSKLİ","ok"))))</f>
        <v/>
      </c>
      <c r="M609" s="16" t="inlineStr">
        <is>
          <t>https://www.etsy.com/listing/1725092482</t>
        </is>
      </c>
    </row>
    <row r="610">
      <c r="A610" s="9" t="inlineStr">
        <is>
          <t>faith</t>
        </is>
      </c>
      <c r="B610" s="9" t="inlineStr">
        <is>
          <t xml:space="preserve">10K Gold Jesus Praying Hand CZ Ring / Men's Two-Tone Nugget </t>
        </is>
      </c>
      <c r="C610" s="9" t="n">
        <v>1725092482</v>
      </c>
      <c r="D610" s="9" t="inlineStr">
        <is>
          <t>RJSP1-11.5</t>
        </is>
      </c>
      <c r="E610" s="9" t="inlineStr">
        <is>
          <t>description</t>
        </is>
      </c>
      <c r="F610" s="10" t="n">
        <v>778</v>
      </c>
      <c r="G610" s="18" t="n">
        <v>4.33</v>
      </c>
      <c r="H610" s="10">
        <f>IF(G610="","",G610*Ayarlar!$B$3+Ayarlar!$B$4+Ayarlar!$B$5)</f>
        <v/>
      </c>
      <c r="I610" s="10">
        <f>IF(G610="","",ROUNDUP(((G610*Ayarlar!$B$3+Ayarlar!$B$4+Ayarlar!$B$5)+Ayarlar!$B$8)/((1-Ayarlar!$B$6)*(1-Ayarlar!$B$7)),0))</f>
        <v/>
      </c>
      <c r="J610" s="10">
        <f>IF(G610="","",ROUNDUP(((G610*Ayarlar!$B$3+Ayarlar!$B$4+Ayarlar!$B$5)+Ayarlar!$B$8)/((1-Ayarlar!$B$6)*(1-Ayarlar!$B$7-Ayarlar!$B$9)),0))</f>
        <v/>
      </c>
      <c r="K610" s="12">
        <f>IF(OR(G610="",F610=""),"",(F610*(1-Ayarlar!$B$6)-(F610*(1-Ayarlar!$B$6)*Ayarlar!$B$7+Ayarlar!$B$8)-(G610*Ayarlar!$B$3+Ayarlar!$B$4+Ayarlar!$B$5))/(F610*(1-Ayarlar!$B$6)))</f>
        <v/>
      </c>
      <c r="L610" s="9">
        <f>IF(G610="","GRAM EKSİK",IF(F610&gt;30000,"FİYAT ŞÜPHELİ",IF(K610&lt;0,"ZARARDA",IF(F610&lt;I610,"RİSKLİ","ok"))))</f>
        <v/>
      </c>
      <c r="M610" s="13" t="inlineStr">
        <is>
          <t>https://www.etsy.com/listing/1725092482</t>
        </is>
      </c>
    </row>
    <row r="611">
      <c r="A611" s="3" t="inlineStr">
        <is>
          <t>faith</t>
        </is>
      </c>
      <c r="B611" s="3" t="inlineStr">
        <is>
          <t xml:space="preserve">10K Gold Jesus Praying Hand CZ Ring / Men's Two-Tone Nugget </t>
        </is>
      </c>
      <c r="C611" s="3" t="n">
        <v>1725092482</v>
      </c>
      <c r="D611" s="3" t="inlineStr">
        <is>
          <t>RJSP1-12</t>
        </is>
      </c>
      <c r="E611" s="3" t="inlineStr">
        <is>
          <t>description</t>
        </is>
      </c>
      <c r="F611" s="14" t="n">
        <v>778</v>
      </c>
      <c r="G611" s="17" t="n">
        <v>4.33</v>
      </c>
      <c r="H611" s="14">
        <f>IF(G611="","",G611*Ayarlar!$B$3+Ayarlar!$B$4+Ayarlar!$B$5)</f>
        <v/>
      </c>
      <c r="I611" s="14">
        <f>IF(G611="","",ROUNDUP(((G611*Ayarlar!$B$3+Ayarlar!$B$4+Ayarlar!$B$5)+Ayarlar!$B$8)/((1-Ayarlar!$B$6)*(1-Ayarlar!$B$7)),0))</f>
        <v/>
      </c>
      <c r="J611" s="14">
        <f>IF(G611="","",ROUNDUP(((G611*Ayarlar!$B$3+Ayarlar!$B$4+Ayarlar!$B$5)+Ayarlar!$B$8)/((1-Ayarlar!$B$6)*(1-Ayarlar!$B$7-Ayarlar!$B$9)),0))</f>
        <v/>
      </c>
      <c r="K611" s="15">
        <f>IF(OR(G611="",F611=""),"",(F611*(1-Ayarlar!$B$6)-(F611*(1-Ayarlar!$B$6)*Ayarlar!$B$7+Ayarlar!$B$8)-(G611*Ayarlar!$B$3+Ayarlar!$B$4+Ayarlar!$B$5))/(F611*(1-Ayarlar!$B$6)))</f>
        <v/>
      </c>
      <c r="L611" s="3">
        <f>IF(G611="","GRAM EKSİK",IF(F611&gt;30000,"FİYAT ŞÜPHELİ",IF(K611&lt;0,"ZARARDA",IF(F611&lt;I611,"RİSKLİ","ok"))))</f>
        <v/>
      </c>
      <c r="M611" s="16" t="inlineStr">
        <is>
          <t>https://www.etsy.com/listing/1725092482</t>
        </is>
      </c>
    </row>
    <row r="612">
      <c r="A612" s="9" t="inlineStr">
        <is>
          <t>faith</t>
        </is>
      </c>
      <c r="B612" s="9" t="inlineStr">
        <is>
          <t xml:space="preserve">10K Gold Jesus Praying Hand CZ Ring / Men's Two-Tone Nugget </t>
        </is>
      </c>
      <c r="C612" s="9" t="n">
        <v>1725092482</v>
      </c>
      <c r="D612" s="9" t="inlineStr">
        <is>
          <t>RJSP1-12.5</t>
        </is>
      </c>
      <c r="E612" s="9" t="inlineStr">
        <is>
          <t>description</t>
        </is>
      </c>
      <c r="F612" s="10" t="n">
        <v>778</v>
      </c>
      <c r="G612" s="18" t="n">
        <v>4.33</v>
      </c>
      <c r="H612" s="10">
        <f>IF(G612="","",G612*Ayarlar!$B$3+Ayarlar!$B$4+Ayarlar!$B$5)</f>
        <v/>
      </c>
      <c r="I612" s="10">
        <f>IF(G612="","",ROUNDUP(((G612*Ayarlar!$B$3+Ayarlar!$B$4+Ayarlar!$B$5)+Ayarlar!$B$8)/((1-Ayarlar!$B$6)*(1-Ayarlar!$B$7)),0))</f>
        <v/>
      </c>
      <c r="J612" s="10">
        <f>IF(G612="","",ROUNDUP(((G612*Ayarlar!$B$3+Ayarlar!$B$4+Ayarlar!$B$5)+Ayarlar!$B$8)/((1-Ayarlar!$B$6)*(1-Ayarlar!$B$7-Ayarlar!$B$9)),0))</f>
        <v/>
      </c>
      <c r="K612" s="12">
        <f>IF(OR(G612="",F612=""),"",(F612*(1-Ayarlar!$B$6)-(F612*(1-Ayarlar!$B$6)*Ayarlar!$B$7+Ayarlar!$B$8)-(G612*Ayarlar!$B$3+Ayarlar!$B$4+Ayarlar!$B$5))/(F612*(1-Ayarlar!$B$6)))</f>
        <v/>
      </c>
      <c r="L612" s="9">
        <f>IF(G612="","GRAM EKSİK",IF(F612&gt;30000,"FİYAT ŞÜPHELİ",IF(K612&lt;0,"ZARARDA",IF(F612&lt;I612,"RİSKLİ","ok"))))</f>
        <v/>
      </c>
      <c r="M612" s="13" t="inlineStr">
        <is>
          <t>https://www.etsy.com/listing/1725092482</t>
        </is>
      </c>
    </row>
    <row r="613">
      <c r="A613" s="3" t="inlineStr">
        <is>
          <t>faith</t>
        </is>
      </c>
      <c r="B613" s="3" t="inlineStr">
        <is>
          <t xml:space="preserve">10K Gold Jesus Praying Hand CZ Ring / Men's Two-Tone Nugget </t>
        </is>
      </c>
      <c r="C613" s="3" t="n">
        <v>1725092482</v>
      </c>
      <c r="D613" s="3" t="inlineStr">
        <is>
          <t>RJSP1-8</t>
        </is>
      </c>
      <c r="E613" s="3" t="inlineStr">
        <is>
          <t>description</t>
        </is>
      </c>
      <c r="F613" s="14" t="n">
        <v>778</v>
      </c>
      <c r="G613" s="17" t="n">
        <v>4.33</v>
      </c>
      <c r="H613" s="14">
        <f>IF(G613="","",G613*Ayarlar!$B$3+Ayarlar!$B$4+Ayarlar!$B$5)</f>
        <v/>
      </c>
      <c r="I613" s="14">
        <f>IF(G613="","",ROUNDUP(((G613*Ayarlar!$B$3+Ayarlar!$B$4+Ayarlar!$B$5)+Ayarlar!$B$8)/((1-Ayarlar!$B$6)*(1-Ayarlar!$B$7)),0))</f>
        <v/>
      </c>
      <c r="J613" s="14">
        <f>IF(G613="","",ROUNDUP(((G613*Ayarlar!$B$3+Ayarlar!$B$4+Ayarlar!$B$5)+Ayarlar!$B$8)/((1-Ayarlar!$B$6)*(1-Ayarlar!$B$7-Ayarlar!$B$9)),0))</f>
        <v/>
      </c>
      <c r="K613" s="15">
        <f>IF(OR(G613="",F613=""),"",(F613*(1-Ayarlar!$B$6)-(F613*(1-Ayarlar!$B$6)*Ayarlar!$B$7+Ayarlar!$B$8)-(G613*Ayarlar!$B$3+Ayarlar!$B$4+Ayarlar!$B$5))/(F613*(1-Ayarlar!$B$6)))</f>
        <v/>
      </c>
      <c r="L613" s="3">
        <f>IF(G613="","GRAM EKSİK",IF(F613&gt;30000,"FİYAT ŞÜPHELİ",IF(K613&lt;0,"ZARARDA",IF(F613&lt;I613,"RİSKLİ","ok"))))</f>
        <v/>
      </c>
      <c r="M613" s="16" t="inlineStr">
        <is>
          <t>https://www.etsy.com/listing/1725092482</t>
        </is>
      </c>
    </row>
    <row r="614">
      <c r="A614" s="9" t="inlineStr">
        <is>
          <t>faith</t>
        </is>
      </c>
      <c r="B614" s="9" t="inlineStr">
        <is>
          <t xml:space="preserve">10K Gold Jesus Praying Hand CZ Ring / Men's Two-Tone Nugget </t>
        </is>
      </c>
      <c r="C614" s="9" t="n">
        <v>1725092482</v>
      </c>
      <c r="D614" s="9" t="inlineStr">
        <is>
          <t>RJSP1-8.5</t>
        </is>
      </c>
      <c r="E614" s="9" t="inlineStr">
        <is>
          <t>description</t>
        </is>
      </c>
      <c r="F614" s="10" t="n">
        <v>778</v>
      </c>
      <c r="G614" s="18" t="n">
        <v>4.33</v>
      </c>
      <c r="H614" s="10">
        <f>IF(G614="","",G614*Ayarlar!$B$3+Ayarlar!$B$4+Ayarlar!$B$5)</f>
        <v/>
      </c>
      <c r="I614" s="10">
        <f>IF(G614="","",ROUNDUP(((G614*Ayarlar!$B$3+Ayarlar!$B$4+Ayarlar!$B$5)+Ayarlar!$B$8)/((1-Ayarlar!$B$6)*(1-Ayarlar!$B$7)),0))</f>
        <v/>
      </c>
      <c r="J614" s="10">
        <f>IF(G614="","",ROUNDUP(((G614*Ayarlar!$B$3+Ayarlar!$B$4+Ayarlar!$B$5)+Ayarlar!$B$8)/((1-Ayarlar!$B$6)*(1-Ayarlar!$B$7-Ayarlar!$B$9)),0))</f>
        <v/>
      </c>
      <c r="K614" s="12">
        <f>IF(OR(G614="",F614=""),"",(F614*(1-Ayarlar!$B$6)-(F614*(1-Ayarlar!$B$6)*Ayarlar!$B$7+Ayarlar!$B$8)-(G614*Ayarlar!$B$3+Ayarlar!$B$4+Ayarlar!$B$5))/(F614*(1-Ayarlar!$B$6)))</f>
        <v/>
      </c>
      <c r="L614" s="9">
        <f>IF(G614="","GRAM EKSİK",IF(F614&gt;30000,"FİYAT ŞÜPHELİ",IF(K614&lt;0,"ZARARDA",IF(F614&lt;I614,"RİSKLİ","ok"))))</f>
        <v/>
      </c>
      <c r="M614" s="13" t="inlineStr">
        <is>
          <t>https://www.etsy.com/listing/1725092482</t>
        </is>
      </c>
    </row>
    <row r="615">
      <c r="A615" s="3" t="inlineStr">
        <is>
          <t>faith</t>
        </is>
      </c>
      <c r="B615" s="3" t="inlineStr">
        <is>
          <t xml:space="preserve">10K Gold Jesus Praying Hand CZ Ring / Men's Two-Tone Nugget </t>
        </is>
      </c>
      <c r="C615" s="3" t="n">
        <v>1725092482</v>
      </c>
      <c r="D615" s="3" t="inlineStr">
        <is>
          <t>RJSP1-9</t>
        </is>
      </c>
      <c r="E615" s="3" t="inlineStr">
        <is>
          <t>description</t>
        </is>
      </c>
      <c r="F615" s="14" t="n">
        <v>778</v>
      </c>
      <c r="G615" s="17" t="n">
        <v>4.33</v>
      </c>
      <c r="H615" s="14">
        <f>IF(G615="","",G615*Ayarlar!$B$3+Ayarlar!$B$4+Ayarlar!$B$5)</f>
        <v/>
      </c>
      <c r="I615" s="14">
        <f>IF(G615="","",ROUNDUP(((G615*Ayarlar!$B$3+Ayarlar!$B$4+Ayarlar!$B$5)+Ayarlar!$B$8)/((1-Ayarlar!$B$6)*(1-Ayarlar!$B$7)),0))</f>
        <v/>
      </c>
      <c r="J615" s="14">
        <f>IF(G615="","",ROUNDUP(((G615*Ayarlar!$B$3+Ayarlar!$B$4+Ayarlar!$B$5)+Ayarlar!$B$8)/((1-Ayarlar!$B$6)*(1-Ayarlar!$B$7-Ayarlar!$B$9)),0))</f>
        <v/>
      </c>
      <c r="K615" s="15">
        <f>IF(OR(G615="",F615=""),"",(F615*(1-Ayarlar!$B$6)-(F615*(1-Ayarlar!$B$6)*Ayarlar!$B$7+Ayarlar!$B$8)-(G615*Ayarlar!$B$3+Ayarlar!$B$4+Ayarlar!$B$5))/(F615*(1-Ayarlar!$B$6)))</f>
        <v/>
      </c>
      <c r="L615" s="3">
        <f>IF(G615="","GRAM EKSİK",IF(F615&gt;30000,"FİYAT ŞÜPHELİ",IF(K615&lt;0,"ZARARDA",IF(F615&lt;I615,"RİSKLİ","ok"))))</f>
        <v/>
      </c>
      <c r="M615" s="16" t="inlineStr">
        <is>
          <t>https://www.etsy.com/listing/1725092482</t>
        </is>
      </c>
    </row>
    <row r="616">
      <c r="A616" s="9" t="inlineStr">
        <is>
          <t>faith</t>
        </is>
      </c>
      <c r="B616" s="9" t="inlineStr">
        <is>
          <t xml:space="preserve">10K Gold Jesus Praying Hand CZ Ring / Men's Two-Tone Nugget </t>
        </is>
      </c>
      <c r="C616" s="9" t="n">
        <v>1725092482</v>
      </c>
      <c r="D616" s="9" t="inlineStr">
        <is>
          <t>RJSP1-9.5</t>
        </is>
      </c>
      <c r="E616" s="9" t="inlineStr">
        <is>
          <t>description</t>
        </is>
      </c>
      <c r="F616" s="10" t="n">
        <v>778</v>
      </c>
      <c r="G616" s="18" t="n">
        <v>4.33</v>
      </c>
      <c r="H616" s="10">
        <f>IF(G616="","",G616*Ayarlar!$B$3+Ayarlar!$B$4+Ayarlar!$B$5)</f>
        <v/>
      </c>
      <c r="I616" s="10">
        <f>IF(G616="","",ROUNDUP(((G616*Ayarlar!$B$3+Ayarlar!$B$4+Ayarlar!$B$5)+Ayarlar!$B$8)/((1-Ayarlar!$B$6)*(1-Ayarlar!$B$7)),0))</f>
        <v/>
      </c>
      <c r="J616" s="10">
        <f>IF(G616="","",ROUNDUP(((G616*Ayarlar!$B$3+Ayarlar!$B$4+Ayarlar!$B$5)+Ayarlar!$B$8)/((1-Ayarlar!$B$6)*(1-Ayarlar!$B$7-Ayarlar!$B$9)),0))</f>
        <v/>
      </c>
      <c r="K616" s="12">
        <f>IF(OR(G616="",F616=""),"",(F616*(1-Ayarlar!$B$6)-(F616*(1-Ayarlar!$B$6)*Ayarlar!$B$7+Ayarlar!$B$8)-(G616*Ayarlar!$B$3+Ayarlar!$B$4+Ayarlar!$B$5))/(F616*(1-Ayarlar!$B$6)))</f>
        <v/>
      </c>
      <c r="L616" s="9">
        <f>IF(G616="","GRAM EKSİK",IF(F616&gt;30000,"FİYAT ŞÜPHELİ",IF(K616&lt;0,"ZARARDA",IF(F616&lt;I616,"RİSKLİ","ok"))))</f>
        <v/>
      </c>
      <c r="M616" s="13" t="inlineStr">
        <is>
          <t>https://www.etsy.com/listing/1725092482</t>
        </is>
      </c>
    </row>
    <row r="617">
      <c r="A617" s="3" t="inlineStr">
        <is>
          <t>faith</t>
        </is>
      </c>
      <c r="B617" s="3" t="inlineStr">
        <is>
          <t xml:space="preserve">10K Gold Jesus Praying Hand CZ Ring / Men's Two-Tone Nugget </t>
        </is>
      </c>
      <c r="C617" s="3" t="n">
        <v>1725092482</v>
      </c>
      <c r="D617" s="3" t="inlineStr">
        <is>
          <t>RJSP2-10</t>
        </is>
      </c>
      <c r="E617" s="3" t="inlineStr">
        <is>
          <t>description</t>
        </is>
      </c>
      <c r="F617" s="14" t="n">
        <v>928</v>
      </c>
      <c r="G617" s="17" t="n">
        <v>5.18</v>
      </c>
      <c r="H617" s="14">
        <f>IF(G617="","",G617*Ayarlar!$B$3+Ayarlar!$B$4+Ayarlar!$B$5)</f>
        <v/>
      </c>
      <c r="I617" s="14">
        <f>IF(G617="","",ROUNDUP(((G617*Ayarlar!$B$3+Ayarlar!$B$4+Ayarlar!$B$5)+Ayarlar!$B$8)/((1-Ayarlar!$B$6)*(1-Ayarlar!$B$7)),0))</f>
        <v/>
      </c>
      <c r="J617" s="14">
        <f>IF(G617="","",ROUNDUP(((G617*Ayarlar!$B$3+Ayarlar!$B$4+Ayarlar!$B$5)+Ayarlar!$B$8)/((1-Ayarlar!$B$6)*(1-Ayarlar!$B$7-Ayarlar!$B$9)),0))</f>
        <v/>
      </c>
      <c r="K617" s="15">
        <f>IF(OR(G617="",F617=""),"",(F617*(1-Ayarlar!$B$6)-(F617*(1-Ayarlar!$B$6)*Ayarlar!$B$7+Ayarlar!$B$8)-(G617*Ayarlar!$B$3+Ayarlar!$B$4+Ayarlar!$B$5))/(F617*(1-Ayarlar!$B$6)))</f>
        <v/>
      </c>
      <c r="L617" s="3">
        <f>IF(G617="","GRAM EKSİK",IF(F617&gt;30000,"FİYAT ŞÜPHELİ",IF(K617&lt;0,"ZARARDA",IF(F617&lt;I617,"RİSKLİ","ok"))))</f>
        <v/>
      </c>
      <c r="M617" s="16" t="inlineStr">
        <is>
          <t>https://www.etsy.com/listing/1725092482</t>
        </is>
      </c>
    </row>
    <row r="618">
      <c r="A618" s="9" t="inlineStr">
        <is>
          <t>faith</t>
        </is>
      </c>
      <c r="B618" s="9" t="inlineStr">
        <is>
          <t xml:space="preserve">10K Gold Jesus Praying Hand CZ Ring / Men's Two-Tone Nugget </t>
        </is>
      </c>
      <c r="C618" s="9" t="n">
        <v>1725092482</v>
      </c>
      <c r="D618" s="9" t="inlineStr">
        <is>
          <t>RJSP2-10.5</t>
        </is>
      </c>
      <c r="E618" s="9" t="inlineStr">
        <is>
          <t>description</t>
        </is>
      </c>
      <c r="F618" s="10" t="n">
        <v>928</v>
      </c>
      <c r="G618" s="18" t="n">
        <v>5.18</v>
      </c>
      <c r="H618" s="10">
        <f>IF(G618="","",G618*Ayarlar!$B$3+Ayarlar!$B$4+Ayarlar!$B$5)</f>
        <v/>
      </c>
      <c r="I618" s="10">
        <f>IF(G618="","",ROUNDUP(((G618*Ayarlar!$B$3+Ayarlar!$B$4+Ayarlar!$B$5)+Ayarlar!$B$8)/((1-Ayarlar!$B$6)*(1-Ayarlar!$B$7)),0))</f>
        <v/>
      </c>
      <c r="J618" s="10">
        <f>IF(G618="","",ROUNDUP(((G618*Ayarlar!$B$3+Ayarlar!$B$4+Ayarlar!$B$5)+Ayarlar!$B$8)/((1-Ayarlar!$B$6)*(1-Ayarlar!$B$7-Ayarlar!$B$9)),0))</f>
        <v/>
      </c>
      <c r="K618" s="12">
        <f>IF(OR(G618="",F618=""),"",(F618*(1-Ayarlar!$B$6)-(F618*(1-Ayarlar!$B$6)*Ayarlar!$B$7+Ayarlar!$B$8)-(G618*Ayarlar!$B$3+Ayarlar!$B$4+Ayarlar!$B$5))/(F618*(1-Ayarlar!$B$6)))</f>
        <v/>
      </c>
      <c r="L618" s="9">
        <f>IF(G618="","GRAM EKSİK",IF(F618&gt;30000,"FİYAT ŞÜPHELİ",IF(K618&lt;0,"ZARARDA",IF(F618&lt;I618,"RİSKLİ","ok"))))</f>
        <v/>
      </c>
      <c r="M618" s="13" t="inlineStr">
        <is>
          <t>https://www.etsy.com/listing/1725092482</t>
        </is>
      </c>
    </row>
    <row r="619">
      <c r="A619" s="3" t="inlineStr">
        <is>
          <t>faith</t>
        </is>
      </c>
      <c r="B619" s="3" t="inlineStr">
        <is>
          <t xml:space="preserve">10K Gold Jesus Praying Hand CZ Ring / Men's Two-Tone Nugget </t>
        </is>
      </c>
      <c r="C619" s="3" t="n">
        <v>1725092482</v>
      </c>
      <c r="D619" s="3" t="inlineStr">
        <is>
          <t>RJSP2-11</t>
        </is>
      </c>
      <c r="E619" s="3" t="inlineStr">
        <is>
          <t>description</t>
        </is>
      </c>
      <c r="F619" s="14" t="n">
        <v>928</v>
      </c>
      <c r="G619" s="17" t="n">
        <v>5.18</v>
      </c>
      <c r="H619" s="14">
        <f>IF(G619="","",G619*Ayarlar!$B$3+Ayarlar!$B$4+Ayarlar!$B$5)</f>
        <v/>
      </c>
      <c r="I619" s="14">
        <f>IF(G619="","",ROUNDUP(((G619*Ayarlar!$B$3+Ayarlar!$B$4+Ayarlar!$B$5)+Ayarlar!$B$8)/((1-Ayarlar!$B$6)*(1-Ayarlar!$B$7)),0))</f>
        <v/>
      </c>
      <c r="J619" s="14">
        <f>IF(G619="","",ROUNDUP(((G619*Ayarlar!$B$3+Ayarlar!$B$4+Ayarlar!$B$5)+Ayarlar!$B$8)/((1-Ayarlar!$B$6)*(1-Ayarlar!$B$7-Ayarlar!$B$9)),0))</f>
        <v/>
      </c>
      <c r="K619" s="15">
        <f>IF(OR(G619="",F619=""),"",(F619*(1-Ayarlar!$B$6)-(F619*(1-Ayarlar!$B$6)*Ayarlar!$B$7+Ayarlar!$B$8)-(G619*Ayarlar!$B$3+Ayarlar!$B$4+Ayarlar!$B$5))/(F619*(1-Ayarlar!$B$6)))</f>
        <v/>
      </c>
      <c r="L619" s="3">
        <f>IF(G619="","GRAM EKSİK",IF(F619&gt;30000,"FİYAT ŞÜPHELİ",IF(K619&lt;0,"ZARARDA",IF(F619&lt;I619,"RİSKLİ","ok"))))</f>
        <v/>
      </c>
      <c r="M619" s="16" t="inlineStr">
        <is>
          <t>https://www.etsy.com/listing/1725092482</t>
        </is>
      </c>
    </row>
    <row r="620">
      <c r="A620" s="9" t="inlineStr">
        <is>
          <t>faith</t>
        </is>
      </c>
      <c r="B620" s="9" t="inlineStr">
        <is>
          <t xml:space="preserve">10K Gold Jesus Praying Hand CZ Ring / Men's Two-Tone Nugget </t>
        </is>
      </c>
      <c r="C620" s="9" t="n">
        <v>1725092482</v>
      </c>
      <c r="D620" s="9" t="inlineStr">
        <is>
          <t>RJSP2-11.5</t>
        </is>
      </c>
      <c r="E620" s="9" t="inlineStr">
        <is>
          <t>description</t>
        </is>
      </c>
      <c r="F620" s="10" t="n">
        <v>928</v>
      </c>
      <c r="G620" s="18" t="n">
        <v>5.18</v>
      </c>
      <c r="H620" s="10">
        <f>IF(G620="","",G620*Ayarlar!$B$3+Ayarlar!$B$4+Ayarlar!$B$5)</f>
        <v/>
      </c>
      <c r="I620" s="10">
        <f>IF(G620="","",ROUNDUP(((G620*Ayarlar!$B$3+Ayarlar!$B$4+Ayarlar!$B$5)+Ayarlar!$B$8)/((1-Ayarlar!$B$6)*(1-Ayarlar!$B$7)),0))</f>
        <v/>
      </c>
      <c r="J620" s="10">
        <f>IF(G620="","",ROUNDUP(((G620*Ayarlar!$B$3+Ayarlar!$B$4+Ayarlar!$B$5)+Ayarlar!$B$8)/((1-Ayarlar!$B$6)*(1-Ayarlar!$B$7-Ayarlar!$B$9)),0))</f>
        <v/>
      </c>
      <c r="K620" s="12">
        <f>IF(OR(G620="",F620=""),"",(F620*(1-Ayarlar!$B$6)-(F620*(1-Ayarlar!$B$6)*Ayarlar!$B$7+Ayarlar!$B$8)-(G620*Ayarlar!$B$3+Ayarlar!$B$4+Ayarlar!$B$5))/(F620*(1-Ayarlar!$B$6)))</f>
        <v/>
      </c>
      <c r="L620" s="9">
        <f>IF(G620="","GRAM EKSİK",IF(F620&gt;30000,"FİYAT ŞÜPHELİ",IF(K620&lt;0,"ZARARDA",IF(F620&lt;I620,"RİSKLİ","ok"))))</f>
        <v/>
      </c>
      <c r="M620" s="13" t="inlineStr">
        <is>
          <t>https://www.etsy.com/listing/1725092482</t>
        </is>
      </c>
    </row>
    <row r="621">
      <c r="A621" s="3" t="inlineStr">
        <is>
          <t>faith</t>
        </is>
      </c>
      <c r="B621" s="3" t="inlineStr">
        <is>
          <t xml:space="preserve">10K Gold Jesus Praying Hand CZ Ring / Men's Two-Tone Nugget </t>
        </is>
      </c>
      <c r="C621" s="3" t="n">
        <v>1725092482</v>
      </c>
      <c r="D621" s="3" t="inlineStr">
        <is>
          <t>RJSP2-12</t>
        </is>
      </c>
      <c r="E621" s="3" t="inlineStr">
        <is>
          <t>description</t>
        </is>
      </c>
      <c r="F621" s="14" t="n">
        <v>928</v>
      </c>
      <c r="G621" s="17" t="n">
        <v>5.18</v>
      </c>
      <c r="H621" s="14">
        <f>IF(G621="","",G621*Ayarlar!$B$3+Ayarlar!$B$4+Ayarlar!$B$5)</f>
        <v/>
      </c>
      <c r="I621" s="14">
        <f>IF(G621="","",ROUNDUP(((G621*Ayarlar!$B$3+Ayarlar!$B$4+Ayarlar!$B$5)+Ayarlar!$B$8)/((1-Ayarlar!$B$6)*(1-Ayarlar!$B$7)),0))</f>
        <v/>
      </c>
      <c r="J621" s="14">
        <f>IF(G621="","",ROUNDUP(((G621*Ayarlar!$B$3+Ayarlar!$B$4+Ayarlar!$B$5)+Ayarlar!$B$8)/((1-Ayarlar!$B$6)*(1-Ayarlar!$B$7-Ayarlar!$B$9)),0))</f>
        <v/>
      </c>
      <c r="K621" s="15">
        <f>IF(OR(G621="",F621=""),"",(F621*(1-Ayarlar!$B$6)-(F621*(1-Ayarlar!$B$6)*Ayarlar!$B$7+Ayarlar!$B$8)-(G621*Ayarlar!$B$3+Ayarlar!$B$4+Ayarlar!$B$5))/(F621*(1-Ayarlar!$B$6)))</f>
        <v/>
      </c>
      <c r="L621" s="3">
        <f>IF(G621="","GRAM EKSİK",IF(F621&gt;30000,"FİYAT ŞÜPHELİ",IF(K621&lt;0,"ZARARDA",IF(F621&lt;I621,"RİSKLİ","ok"))))</f>
        <v/>
      </c>
      <c r="M621" s="16" t="inlineStr">
        <is>
          <t>https://www.etsy.com/listing/1725092482</t>
        </is>
      </c>
    </row>
    <row r="622">
      <c r="A622" s="9" t="inlineStr">
        <is>
          <t>faith</t>
        </is>
      </c>
      <c r="B622" s="9" t="inlineStr">
        <is>
          <t xml:space="preserve">10K Gold Jesus Praying Hand CZ Ring / Men's Two-Tone Nugget </t>
        </is>
      </c>
      <c r="C622" s="9" t="n">
        <v>1725092482</v>
      </c>
      <c r="D622" s="9" t="inlineStr">
        <is>
          <t>RJSP2-12.5</t>
        </is>
      </c>
      <c r="E622" s="9" t="inlineStr">
        <is>
          <t>description</t>
        </is>
      </c>
      <c r="F622" s="10" t="n">
        <v>928</v>
      </c>
      <c r="G622" s="18" t="n">
        <v>5.18</v>
      </c>
      <c r="H622" s="10">
        <f>IF(G622="","",G622*Ayarlar!$B$3+Ayarlar!$B$4+Ayarlar!$B$5)</f>
        <v/>
      </c>
      <c r="I622" s="10">
        <f>IF(G622="","",ROUNDUP(((G622*Ayarlar!$B$3+Ayarlar!$B$4+Ayarlar!$B$5)+Ayarlar!$B$8)/((1-Ayarlar!$B$6)*(1-Ayarlar!$B$7)),0))</f>
        <v/>
      </c>
      <c r="J622" s="10">
        <f>IF(G622="","",ROUNDUP(((G622*Ayarlar!$B$3+Ayarlar!$B$4+Ayarlar!$B$5)+Ayarlar!$B$8)/((1-Ayarlar!$B$6)*(1-Ayarlar!$B$7-Ayarlar!$B$9)),0))</f>
        <v/>
      </c>
      <c r="K622" s="12">
        <f>IF(OR(G622="",F622=""),"",(F622*(1-Ayarlar!$B$6)-(F622*(1-Ayarlar!$B$6)*Ayarlar!$B$7+Ayarlar!$B$8)-(G622*Ayarlar!$B$3+Ayarlar!$B$4+Ayarlar!$B$5))/(F622*(1-Ayarlar!$B$6)))</f>
        <v/>
      </c>
      <c r="L622" s="9">
        <f>IF(G622="","GRAM EKSİK",IF(F622&gt;30000,"FİYAT ŞÜPHELİ",IF(K622&lt;0,"ZARARDA",IF(F622&lt;I622,"RİSKLİ","ok"))))</f>
        <v/>
      </c>
      <c r="M622" s="13" t="inlineStr">
        <is>
          <t>https://www.etsy.com/listing/1725092482</t>
        </is>
      </c>
    </row>
    <row r="623">
      <c r="A623" s="3" t="inlineStr">
        <is>
          <t>faith</t>
        </is>
      </c>
      <c r="B623" s="3" t="inlineStr">
        <is>
          <t xml:space="preserve">10K Gold Jesus Praying Hand CZ Ring / Men's Two-Tone Nugget </t>
        </is>
      </c>
      <c r="C623" s="3" t="n">
        <v>1725092482</v>
      </c>
      <c r="D623" s="3" t="inlineStr">
        <is>
          <t>RJSP2-8</t>
        </is>
      </c>
      <c r="E623" s="3" t="inlineStr">
        <is>
          <t>description</t>
        </is>
      </c>
      <c r="F623" s="14" t="n">
        <v>928</v>
      </c>
      <c r="G623" s="17" t="n">
        <v>5.18</v>
      </c>
      <c r="H623" s="14">
        <f>IF(G623="","",G623*Ayarlar!$B$3+Ayarlar!$B$4+Ayarlar!$B$5)</f>
        <v/>
      </c>
      <c r="I623" s="14">
        <f>IF(G623="","",ROUNDUP(((G623*Ayarlar!$B$3+Ayarlar!$B$4+Ayarlar!$B$5)+Ayarlar!$B$8)/((1-Ayarlar!$B$6)*(1-Ayarlar!$B$7)),0))</f>
        <v/>
      </c>
      <c r="J623" s="14">
        <f>IF(G623="","",ROUNDUP(((G623*Ayarlar!$B$3+Ayarlar!$B$4+Ayarlar!$B$5)+Ayarlar!$B$8)/((1-Ayarlar!$B$6)*(1-Ayarlar!$B$7-Ayarlar!$B$9)),0))</f>
        <v/>
      </c>
      <c r="K623" s="15">
        <f>IF(OR(G623="",F623=""),"",(F623*(1-Ayarlar!$B$6)-(F623*(1-Ayarlar!$B$6)*Ayarlar!$B$7+Ayarlar!$B$8)-(G623*Ayarlar!$B$3+Ayarlar!$B$4+Ayarlar!$B$5))/(F623*(1-Ayarlar!$B$6)))</f>
        <v/>
      </c>
      <c r="L623" s="3">
        <f>IF(G623="","GRAM EKSİK",IF(F623&gt;30000,"FİYAT ŞÜPHELİ",IF(K623&lt;0,"ZARARDA",IF(F623&lt;I623,"RİSKLİ","ok"))))</f>
        <v/>
      </c>
      <c r="M623" s="16" t="inlineStr">
        <is>
          <t>https://www.etsy.com/listing/1725092482</t>
        </is>
      </c>
    </row>
    <row r="624">
      <c r="A624" s="9" t="inlineStr">
        <is>
          <t>faith</t>
        </is>
      </c>
      <c r="B624" s="9" t="inlineStr">
        <is>
          <t xml:space="preserve">10K Gold Jesus Praying Hand CZ Ring / Men's Two-Tone Nugget </t>
        </is>
      </c>
      <c r="C624" s="9" t="n">
        <v>1725092482</v>
      </c>
      <c r="D624" s="9" t="inlineStr">
        <is>
          <t>RJSP2-8.5</t>
        </is>
      </c>
      <c r="E624" s="9" t="inlineStr">
        <is>
          <t>description</t>
        </is>
      </c>
      <c r="F624" s="10" t="n">
        <v>928</v>
      </c>
      <c r="G624" s="18" t="n">
        <v>5.18</v>
      </c>
      <c r="H624" s="10">
        <f>IF(G624="","",G624*Ayarlar!$B$3+Ayarlar!$B$4+Ayarlar!$B$5)</f>
        <v/>
      </c>
      <c r="I624" s="10">
        <f>IF(G624="","",ROUNDUP(((G624*Ayarlar!$B$3+Ayarlar!$B$4+Ayarlar!$B$5)+Ayarlar!$B$8)/((1-Ayarlar!$B$6)*(1-Ayarlar!$B$7)),0))</f>
        <v/>
      </c>
      <c r="J624" s="10">
        <f>IF(G624="","",ROUNDUP(((G624*Ayarlar!$B$3+Ayarlar!$B$4+Ayarlar!$B$5)+Ayarlar!$B$8)/((1-Ayarlar!$B$6)*(1-Ayarlar!$B$7-Ayarlar!$B$9)),0))</f>
        <v/>
      </c>
      <c r="K624" s="12">
        <f>IF(OR(G624="",F624=""),"",(F624*(1-Ayarlar!$B$6)-(F624*(1-Ayarlar!$B$6)*Ayarlar!$B$7+Ayarlar!$B$8)-(G624*Ayarlar!$B$3+Ayarlar!$B$4+Ayarlar!$B$5))/(F624*(1-Ayarlar!$B$6)))</f>
        <v/>
      </c>
      <c r="L624" s="9">
        <f>IF(G624="","GRAM EKSİK",IF(F624&gt;30000,"FİYAT ŞÜPHELİ",IF(K624&lt;0,"ZARARDA",IF(F624&lt;I624,"RİSKLİ","ok"))))</f>
        <v/>
      </c>
      <c r="M624" s="13" t="inlineStr">
        <is>
          <t>https://www.etsy.com/listing/1725092482</t>
        </is>
      </c>
    </row>
    <row r="625">
      <c r="A625" s="3" t="inlineStr">
        <is>
          <t>faith</t>
        </is>
      </c>
      <c r="B625" s="3" t="inlineStr">
        <is>
          <t xml:space="preserve">10K Gold Jesus Praying Hand CZ Ring / Men's Two-Tone Nugget </t>
        </is>
      </c>
      <c r="C625" s="3" t="n">
        <v>1725092482</v>
      </c>
      <c r="D625" s="3" t="inlineStr">
        <is>
          <t>RJSP2-9</t>
        </is>
      </c>
      <c r="E625" s="3" t="inlineStr">
        <is>
          <t>description</t>
        </is>
      </c>
      <c r="F625" s="14" t="n">
        <v>928</v>
      </c>
      <c r="G625" s="17" t="n">
        <v>5.18</v>
      </c>
      <c r="H625" s="14">
        <f>IF(G625="","",G625*Ayarlar!$B$3+Ayarlar!$B$4+Ayarlar!$B$5)</f>
        <v/>
      </c>
      <c r="I625" s="14">
        <f>IF(G625="","",ROUNDUP(((G625*Ayarlar!$B$3+Ayarlar!$B$4+Ayarlar!$B$5)+Ayarlar!$B$8)/((1-Ayarlar!$B$6)*(1-Ayarlar!$B$7)),0))</f>
        <v/>
      </c>
      <c r="J625" s="14">
        <f>IF(G625="","",ROUNDUP(((G625*Ayarlar!$B$3+Ayarlar!$B$4+Ayarlar!$B$5)+Ayarlar!$B$8)/((1-Ayarlar!$B$6)*(1-Ayarlar!$B$7-Ayarlar!$B$9)),0))</f>
        <v/>
      </c>
      <c r="K625" s="15">
        <f>IF(OR(G625="",F625=""),"",(F625*(1-Ayarlar!$B$6)-(F625*(1-Ayarlar!$B$6)*Ayarlar!$B$7+Ayarlar!$B$8)-(G625*Ayarlar!$B$3+Ayarlar!$B$4+Ayarlar!$B$5))/(F625*(1-Ayarlar!$B$6)))</f>
        <v/>
      </c>
      <c r="L625" s="3">
        <f>IF(G625="","GRAM EKSİK",IF(F625&gt;30000,"FİYAT ŞÜPHELİ",IF(K625&lt;0,"ZARARDA",IF(F625&lt;I625,"RİSKLİ","ok"))))</f>
        <v/>
      </c>
      <c r="M625" s="16" t="inlineStr">
        <is>
          <t>https://www.etsy.com/listing/1725092482</t>
        </is>
      </c>
    </row>
    <row r="626">
      <c r="A626" s="9" t="inlineStr">
        <is>
          <t>faith</t>
        </is>
      </c>
      <c r="B626" s="9" t="inlineStr">
        <is>
          <t xml:space="preserve">10K Gold Jesus Praying Hand CZ Ring / Men's Two-Tone Nugget </t>
        </is>
      </c>
      <c r="C626" s="9" t="n">
        <v>1725092482</v>
      </c>
      <c r="D626" s="9" t="inlineStr">
        <is>
          <t>RJSP2-9.5</t>
        </is>
      </c>
      <c r="E626" s="9" t="inlineStr">
        <is>
          <t>description</t>
        </is>
      </c>
      <c r="F626" s="10" t="n">
        <v>928</v>
      </c>
      <c r="G626" s="18" t="n">
        <v>5.18</v>
      </c>
      <c r="H626" s="10">
        <f>IF(G626="","",G626*Ayarlar!$B$3+Ayarlar!$B$4+Ayarlar!$B$5)</f>
        <v/>
      </c>
      <c r="I626" s="10">
        <f>IF(G626="","",ROUNDUP(((G626*Ayarlar!$B$3+Ayarlar!$B$4+Ayarlar!$B$5)+Ayarlar!$B$8)/((1-Ayarlar!$B$6)*(1-Ayarlar!$B$7)),0))</f>
        <v/>
      </c>
      <c r="J626" s="10">
        <f>IF(G626="","",ROUNDUP(((G626*Ayarlar!$B$3+Ayarlar!$B$4+Ayarlar!$B$5)+Ayarlar!$B$8)/((1-Ayarlar!$B$6)*(1-Ayarlar!$B$7-Ayarlar!$B$9)),0))</f>
        <v/>
      </c>
      <c r="K626" s="12">
        <f>IF(OR(G626="",F626=""),"",(F626*(1-Ayarlar!$B$6)-(F626*(1-Ayarlar!$B$6)*Ayarlar!$B$7+Ayarlar!$B$8)-(G626*Ayarlar!$B$3+Ayarlar!$B$4+Ayarlar!$B$5))/(F626*(1-Ayarlar!$B$6)))</f>
        <v/>
      </c>
      <c r="L626" s="9">
        <f>IF(G626="","GRAM EKSİK",IF(F626&gt;30000,"FİYAT ŞÜPHELİ",IF(K626&lt;0,"ZARARDA",IF(F626&lt;I626,"RİSKLİ","ok"))))</f>
        <v/>
      </c>
      <c r="M626" s="13" t="inlineStr">
        <is>
          <t>https://www.etsy.com/listing/1725092482</t>
        </is>
      </c>
    </row>
    <row r="627">
      <c r="A627" s="3" t="inlineStr">
        <is>
          <t>faith</t>
        </is>
      </c>
      <c r="B627" s="3" t="inlineStr">
        <is>
          <t>10K Gold Last Supper Medallion Pendant, Miami Curb Border</t>
        </is>
      </c>
      <c r="C627" s="3" t="n">
        <v>1770702803</v>
      </c>
      <c r="D627" s="3" t="inlineStr">
        <is>
          <t>PCLS-30</t>
        </is>
      </c>
      <c r="E627" s="3" t="inlineStr">
        <is>
          <t>description</t>
        </is>
      </c>
      <c r="F627" s="14" t="n">
        <v>366</v>
      </c>
      <c r="G627" s="17" t="n">
        <v>2</v>
      </c>
      <c r="H627" s="14">
        <f>IF(G627="","",G627*Ayarlar!$B$3+Ayarlar!$B$4+Ayarlar!$B$5)</f>
        <v/>
      </c>
      <c r="I627" s="14">
        <f>IF(G627="","",ROUNDUP(((G627*Ayarlar!$B$3+Ayarlar!$B$4+Ayarlar!$B$5)+Ayarlar!$B$8)/((1-Ayarlar!$B$6)*(1-Ayarlar!$B$7)),0))</f>
        <v/>
      </c>
      <c r="J627" s="14">
        <f>IF(G627="","",ROUNDUP(((G627*Ayarlar!$B$3+Ayarlar!$B$4+Ayarlar!$B$5)+Ayarlar!$B$8)/((1-Ayarlar!$B$6)*(1-Ayarlar!$B$7-Ayarlar!$B$9)),0))</f>
        <v/>
      </c>
      <c r="K627" s="15">
        <f>IF(OR(G627="",F627=""),"",(F627*(1-Ayarlar!$B$6)-(F627*(1-Ayarlar!$B$6)*Ayarlar!$B$7+Ayarlar!$B$8)-(G627*Ayarlar!$B$3+Ayarlar!$B$4+Ayarlar!$B$5))/(F627*(1-Ayarlar!$B$6)))</f>
        <v/>
      </c>
      <c r="L627" s="3">
        <f>IF(G627="","GRAM EKSİK",IF(F627&gt;30000,"FİYAT ŞÜPHELİ",IF(K627&lt;0,"ZARARDA",IF(F627&lt;I627,"RİSKLİ","ok"))))</f>
        <v/>
      </c>
      <c r="M627" s="16" t="inlineStr">
        <is>
          <t>https://www.etsy.com/listing/1770702803</t>
        </is>
      </c>
    </row>
    <row r="628">
      <c r="A628" s="9" t="inlineStr">
        <is>
          <t>faith</t>
        </is>
      </c>
      <c r="B628" s="9" t="inlineStr">
        <is>
          <t>10K Gold Last Supper Medallion Pendant, Miami Curb Border</t>
        </is>
      </c>
      <c r="C628" s="9" t="n">
        <v>1770702803</v>
      </c>
      <c r="D628" s="9" t="inlineStr">
        <is>
          <t>PCLS-48</t>
        </is>
      </c>
      <c r="E628" s="9" t="inlineStr">
        <is>
          <t>description</t>
        </is>
      </c>
      <c r="F628" s="10" t="n">
        <v>1197</v>
      </c>
      <c r="G628" s="18" t="n">
        <v>6.7</v>
      </c>
      <c r="H628" s="10">
        <f>IF(G628="","",G628*Ayarlar!$B$3+Ayarlar!$B$4+Ayarlar!$B$5)</f>
        <v/>
      </c>
      <c r="I628" s="10">
        <f>IF(G628="","",ROUNDUP(((G628*Ayarlar!$B$3+Ayarlar!$B$4+Ayarlar!$B$5)+Ayarlar!$B$8)/((1-Ayarlar!$B$6)*(1-Ayarlar!$B$7)),0))</f>
        <v/>
      </c>
      <c r="J628" s="10">
        <f>IF(G628="","",ROUNDUP(((G628*Ayarlar!$B$3+Ayarlar!$B$4+Ayarlar!$B$5)+Ayarlar!$B$8)/((1-Ayarlar!$B$6)*(1-Ayarlar!$B$7-Ayarlar!$B$9)),0))</f>
        <v/>
      </c>
      <c r="K628" s="12">
        <f>IF(OR(G628="",F628=""),"",(F628*(1-Ayarlar!$B$6)-(F628*(1-Ayarlar!$B$6)*Ayarlar!$B$7+Ayarlar!$B$8)-(G628*Ayarlar!$B$3+Ayarlar!$B$4+Ayarlar!$B$5))/(F628*(1-Ayarlar!$B$6)))</f>
        <v/>
      </c>
      <c r="L628" s="9">
        <f>IF(G628="","GRAM EKSİK",IF(F628&gt;30000,"FİYAT ŞÜPHELİ",IF(K628&lt;0,"ZARARDA",IF(F628&lt;I628,"RİSKLİ","ok"))))</f>
        <v/>
      </c>
      <c r="M628" s="13" t="inlineStr">
        <is>
          <t>https://www.etsy.com/listing/1770702803</t>
        </is>
      </c>
    </row>
    <row r="629">
      <c r="A629" s="3" t="inlineStr">
        <is>
          <t>faith</t>
        </is>
      </c>
      <c r="B629" s="3" t="inlineStr">
        <is>
          <t>10K Gold Last Supper Medallion Pendant, Miami Curb Border</t>
        </is>
      </c>
      <c r="C629" s="3" t="n">
        <v>1770702803</v>
      </c>
      <c r="D629" s="3" t="inlineStr">
        <is>
          <t>PCLS-60</t>
        </is>
      </c>
      <c r="E629" s="3" t="inlineStr">
        <is>
          <t>shipstation</t>
        </is>
      </c>
      <c r="F629" s="14" t="n">
        <v>2241</v>
      </c>
      <c r="G629" s="17" t="n">
        <v>12.6</v>
      </c>
      <c r="H629" s="14">
        <f>IF(G629="","",G629*Ayarlar!$B$3+Ayarlar!$B$4+Ayarlar!$B$5)</f>
        <v/>
      </c>
      <c r="I629" s="14">
        <f>IF(G629="","",ROUNDUP(((G629*Ayarlar!$B$3+Ayarlar!$B$4+Ayarlar!$B$5)+Ayarlar!$B$8)/((1-Ayarlar!$B$6)*(1-Ayarlar!$B$7)),0))</f>
        <v/>
      </c>
      <c r="J629" s="14">
        <f>IF(G629="","",ROUNDUP(((G629*Ayarlar!$B$3+Ayarlar!$B$4+Ayarlar!$B$5)+Ayarlar!$B$8)/((1-Ayarlar!$B$6)*(1-Ayarlar!$B$7-Ayarlar!$B$9)),0))</f>
        <v/>
      </c>
      <c r="K629" s="15">
        <f>IF(OR(G629="",F629=""),"",(F629*(1-Ayarlar!$B$6)-(F629*(1-Ayarlar!$B$6)*Ayarlar!$B$7+Ayarlar!$B$8)-(G629*Ayarlar!$B$3+Ayarlar!$B$4+Ayarlar!$B$5))/(F629*(1-Ayarlar!$B$6)))</f>
        <v/>
      </c>
      <c r="L629" s="3">
        <f>IF(G629="","GRAM EKSİK",IF(F629&gt;30000,"FİYAT ŞÜPHELİ",IF(K629&lt;0,"ZARARDA",IF(F629&lt;I629,"RİSKLİ","ok"))))</f>
        <v/>
      </c>
      <c r="M629" s="16" t="inlineStr">
        <is>
          <t>https://www.etsy.com/listing/1770702803</t>
        </is>
      </c>
    </row>
    <row r="630">
      <c r="A630" s="9" t="inlineStr">
        <is>
          <t>faith</t>
        </is>
      </c>
      <c r="B630" s="9" t="inlineStr">
        <is>
          <t>10K Gold Last Supper Medallion Pendant, Miami Curb Border</t>
        </is>
      </c>
      <c r="C630" s="9" t="n">
        <v>1770702803</v>
      </c>
      <c r="D630" s="9" t="inlineStr">
        <is>
          <t>PCLS30-3-16</t>
        </is>
      </c>
      <c r="E630" s="9" t="inlineStr">
        <is>
          <t>description</t>
        </is>
      </c>
      <c r="F630" s="10" t="n">
        <v>1096</v>
      </c>
      <c r="G630" s="18" t="n">
        <v>6.13</v>
      </c>
      <c r="H630" s="10">
        <f>IF(G630="","",G630*Ayarlar!$B$3+Ayarlar!$B$4+Ayarlar!$B$5)</f>
        <v/>
      </c>
      <c r="I630" s="10">
        <f>IF(G630="","",ROUNDUP(((G630*Ayarlar!$B$3+Ayarlar!$B$4+Ayarlar!$B$5)+Ayarlar!$B$8)/((1-Ayarlar!$B$6)*(1-Ayarlar!$B$7)),0))</f>
        <v/>
      </c>
      <c r="J630" s="10">
        <f>IF(G630="","",ROUNDUP(((G630*Ayarlar!$B$3+Ayarlar!$B$4+Ayarlar!$B$5)+Ayarlar!$B$8)/((1-Ayarlar!$B$6)*(1-Ayarlar!$B$7-Ayarlar!$B$9)),0))</f>
        <v/>
      </c>
      <c r="K630" s="12">
        <f>IF(OR(G630="",F630=""),"",(F630*(1-Ayarlar!$B$6)-(F630*(1-Ayarlar!$B$6)*Ayarlar!$B$7+Ayarlar!$B$8)-(G630*Ayarlar!$B$3+Ayarlar!$B$4+Ayarlar!$B$5))/(F630*(1-Ayarlar!$B$6)))</f>
        <v/>
      </c>
      <c r="L630" s="9">
        <f>IF(G630="","GRAM EKSİK",IF(F630&gt;30000,"FİYAT ŞÜPHELİ",IF(K630&lt;0,"ZARARDA",IF(F630&lt;I630,"RİSKLİ","ok"))))</f>
        <v/>
      </c>
      <c r="M630" s="13" t="inlineStr">
        <is>
          <t>https://www.etsy.com/listing/1770702803</t>
        </is>
      </c>
    </row>
    <row r="631">
      <c r="A631" s="3" t="inlineStr">
        <is>
          <t>faith</t>
        </is>
      </c>
      <c r="B631" s="3" t="inlineStr">
        <is>
          <t>10K Gold Last Supper Medallion Pendant, Miami Curb Border</t>
        </is>
      </c>
      <c r="C631" s="3" t="n">
        <v>1770702803</v>
      </c>
      <c r="D631" s="3" t="inlineStr">
        <is>
          <t>PCLS30-3-18</t>
        </is>
      </c>
      <c r="E631" s="3" t="inlineStr">
        <is>
          <t>description</t>
        </is>
      </c>
      <c r="F631" s="14" t="n">
        <v>1186</v>
      </c>
      <c r="G631" s="17" t="n">
        <v>6.64</v>
      </c>
      <c r="H631" s="14">
        <f>IF(G631="","",G631*Ayarlar!$B$3+Ayarlar!$B$4+Ayarlar!$B$5)</f>
        <v/>
      </c>
      <c r="I631" s="14">
        <f>IF(G631="","",ROUNDUP(((G631*Ayarlar!$B$3+Ayarlar!$B$4+Ayarlar!$B$5)+Ayarlar!$B$8)/((1-Ayarlar!$B$6)*(1-Ayarlar!$B$7)),0))</f>
        <v/>
      </c>
      <c r="J631" s="14">
        <f>IF(G631="","",ROUNDUP(((G631*Ayarlar!$B$3+Ayarlar!$B$4+Ayarlar!$B$5)+Ayarlar!$B$8)/((1-Ayarlar!$B$6)*(1-Ayarlar!$B$7-Ayarlar!$B$9)),0))</f>
        <v/>
      </c>
      <c r="K631" s="15">
        <f>IF(OR(G631="",F631=""),"",(F631*(1-Ayarlar!$B$6)-(F631*(1-Ayarlar!$B$6)*Ayarlar!$B$7+Ayarlar!$B$8)-(G631*Ayarlar!$B$3+Ayarlar!$B$4+Ayarlar!$B$5))/(F631*(1-Ayarlar!$B$6)))</f>
        <v/>
      </c>
      <c r="L631" s="3">
        <f>IF(G631="","GRAM EKSİK",IF(F631&gt;30000,"FİYAT ŞÜPHELİ",IF(K631&lt;0,"ZARARDA",IF(F631&lt;I631,"RİSKLİ","ok"))))</f>
        <v/>
      </c>
      <c r="M631" s="16" t="inlineStr">
        <is>
          <t>https://www.etsy.com/listing/1770702803</t>
        </is>
      </c>
    </row>
    <row r="632">
      <c r="A632" s="9" t="inlineStr">
        <is>
          <t>faith</t>
        </is>
      </c>
      <c r="B632" s="9" t="inlineStr">
        <is>
          <t>10K Gold Last Supper Medallion Pendant, Miami Curb Border</t>
        </is>
      </c>
      <c r="C632" s="9" t="n">
        <v>1770702803</v>
      </c>
      <c r="D632" s="9" t="inlineStr">
        <is>
          <t>PCLS30-3-20</t>
        </is>
      </c>
      <c r="E632" s="9" t="inlineStr">
        <is>
          <t>description</t>
        </is>
      </c>
      <c r="F632" s="10" t="n">
        <v>1278</v>
      </c>
      <c r="G632" s="18" t="n">
        <v>7.16</v>
      </c>
      <c r="H632" s="10">
        <f>IF(G632="","",G632*Ayarlar!$B$3+Ayarlar!$B$4+Ayarlar!$B$5)</f>
        <v/>
      </c>
      <c r="I632" s="10">
        <f>IF(G632="","",ROUNDUP(((G632*Ayarlar!$B$3+Ayarlar!$B$4+Ayarlar!$B$5)+Ayarlar!$B$8)/((1-Ayarlar!$B$6)*(1-Ayarlar!$B$7)),0))</f>
        <v/>
      </c>
      <c r="J632" s="10">
        <f>IF(G632="","",ROUNDUP(((G632*Ayarlar!$B$3+Ayarlar!$B$4+Ayarlar!$B$5)+Ayarlar!$B$8)/((1-Ayarlar!$B$6)*(1-Ayarlar!$B$7-Ayarlar!$B$9)),0))</f>
        <v/>
      </c>
      <c r="K632" s="12">
        <f>IF(OR(G632="",F632=""),"",(F632*(1-Ayarlar!$B$6)-(F632*(1-Ayarlar!$B$6)*Ayarlar!$B$7+Ayarlar!$B$8)-(G632*Ayarlar!$B$3+Ayarlar!$B$4+Ayarlar!$B$5))/(F632*(1-Ayarlar!$B$6)))</f>
        <v/>
      </c>
      <c r="L632" s="9">
        <f>IF(G632="","GRAM EKSİK",IF(F632&gt;30000,"FİYAT ŞÜPHELİ",IF(K632&lt;0,"ZARARDA",IF(F632&lt;I632,"RİSKLİ","ok"))))</f>
        <v/>
      </c>
      <c r="M632" s="13" t="inlineStr">
        <is>
          <t>https://www.etsy.com/listing/1770702803</t>
        </is>
      </c>
    </row>
    <row r="633">
      <c r="A633" s="3" t="inlineStr">
        <is>
          <t>faith</t>
        </is>
      </c>
      <c r="B633" s="3" t="inlineStr">
        <is>
          <t>10K Gold Last Supper Medallion Pendant, Miami Curb Border</t>
        </is>
      </c>
      <c r="C633" s="3" t="n">
        <v>1770702803</v>
      </c>
      <c r="D633" s="3" t="inlineStr">
        <is>
          <t>PCLS30-3-22</t>
        </is>
      </c>
      <c r="E633" s="3" t="inlineStr">
        <is>
          <t>description</t>
        </is>
      </c>
      <c r="F633" s="14" t="n">
        <v>1370</v>
      </c>
      <c r="G633" s="17" t="n">
        <v>7.68</v>
      </c>
      <c r="H633" s="14">
        <f>IF(G633="","",G633*Ayarlar!$B$3+Ayarlar!$B$4+Ayarlar!$B$5)</f>
        <v/>
      </c>
      <c r="I633" s="14">
        <f>IF(G633="","",ROUNDUP(((G633*Ayarlar!$B$3+Ayarlar!$B$4+Ayarlar!$B$5)+Ayarlar!$B$8)/((1-Ayarlar!$B$6)*(1-Ayarlar!$B$7)),0))</f>
        <v/>
      </c>
      <c r="J633" s="14">
        <f>IF(G633="","",ROUNDUP(((G633*Ayarlar!$B$3+Ayarlar!$B$4+Ayarlar!$B$5)+Ayarlar!$B$8)/((1-Ayarlar!$B$6)*(1-Ayarlar!$B$7-Ayarlar!$B$9)),0))</f>
        <v/>
      </c>
      <c r="K633" s="15">
        <f>IF(OR(G633="",F633=""),"",(F633*(1-Ayarlar!$B$6)-(F633*(1-Ayarlar!$B$6)*Ayarlar!$B$7+Ayarlar!$B$8)-(G633*Ayarlar!$B$3+Ayarlar!$B$4+Ayarlar!$B$5))/(F633*(1-Ayarlar!$B$6)))</f>
        <v/>
      </c>
      <c r="L633" s="3">
        <f>IF(G633="","GRAM EKSİK",IF(F633&gt;30000,"FİYAT ŞÜPHELİ",IF(K633&lt;0,"ZARARDA",IF(F633&lt;I633,"RİSKLİ","ok"))))</f>
        <v/>
      </c>
      <c r="M633" s="16" t="inlineStr">
        <is>
          <t>https://www.etsy.com/listing/1770702803</t>
        </is>
      </c>
    </row>
    <row r="634">
      <c r="A634" s="9" t="inlineStr">
        <is>
          <t>faith</t>
        </is>
      </c>
      <c r="B634" s="9" t="inlineStr">
        <is>
          <t>10K Gold Last Supper Medallion Pendant, Miami Curb Border</t>
        </is>
      </c>
      <c r="C634" s="9" t="n">
        <v>1770702803</v>
      </c>
      <c r="D634" s="9" t="inlineStr">
        <is>
          <t>PCLS30-3-24</t>
        </is>
      </c>
      <c r="E634" s="9" t="inlineStr">
        <is>
          <t>description</t>
        </is>
      </c>
      <c r="F634" s="10" t="n">
        <v>1460</v>
      </c>
      <c r="G634" s="18" t="n">
        <v>8.19</v>
      </c>
      <c r="H634" s="10">
        <f>IF(G634="","",G634*Ayarlar!$B$3+Ayarlar!$B$4+Ayarlar!$B$5)</f>
        <v/>
      </c>
      <c r="I634" s="10">
        <f>IF(G634="","",ROUNDUP(((G634*Ayarlar!$B$3+Ayarlar!$B$4+Ayarlar!$B$5)+Ayarlar!$B$8)/((1-Ayarlar!$B$6)*(1-Ayarlar!$B$7)),0))</f>
        <v/>
      </c>
      <c r="J634" s="10">
        <f>IF(G634="","",ROUNDUP(((G634*Ayarlar!$B$3+Ayarlar!$B$4+Ayarlar!$B$5)+Ayarlar!$B$8)/((1-Ayarlar!$B$6)*(1-Ayarlar!$B$7-Ayarlar!$B$9)),0))</f>
        <v/>
      </c>
      <c r="K634" s="12">
        <f>IF(OR(G634="",F634=""),"",(F634*(1-Ayarlar!$B$6)-(F634*(1-Ayarlar!$B$6)*Ayarlar!$B$7+Ayarlar!$B$8)-(G634*Ayarlar!$B$3+Ayarlar!$B$4+Ayarlar!$B$5))/(F634*(1-Ayarlar!$B$6)))</f>
        <v/>
      </c>
      <c r="L634" s="9">
        <f>IF(G634="","GRAM EKSİK",IF(F634&gt;30000,"FİYAT ŞÜPHELİ",IF(K634&lt;0,"ZARARDA",IF(F634&lt;I634,"RİSKLİ","ok"))))</f>
        <v/>
      </c>
      <c r="M634" s="13" t="inlineStr">
        <is>
          <t>https://www.etsy.com/listing/1770702803</t>
        </is>
      </c>
    </row>
    <row r="635">
      <c r="A635" s="3" t="inlineStr">
        <is>
          <t>faith</t>
        </is>
      </c>
      <c r="B635" s="3" t="inlineStr">
        <is>
          <t>10K Gold Last Supper Medallion Pendant, Miami Curb Border</t>
        </is>
      </c>
      <c r="C635" s="3" t="n">
        <v>1770702803</v>
      </c>
      <c r="D635" s="3" t="inlineStr">
        <is>
          <t>PCLS30-38-16</t>
        </is>
      </c>
      <c r="E635" s="3" t="inlineStr">
        <is>
          <t>description</t>
        </is>
      </c>
      <c r="F635" s="14" t="n">
        <v>1344</v>
      </c>
      <c r="G635" s="17" t="n">
        <v>7.53</v>
      </c>
      <c r="H635" s="14">
        <f>IF(G635="","",G635*Ayarlar!$B$3+Ayarlar!$B$4+Ayarlar!$B$5)</f>
        <v/>
      </c>
      <c r="I635" s="14">
        <f>IF(G635="","",ROUNDUP(((G635*Ayarlar!$B$3+Ayarlar!$B$4+Ayarlar!$B$5)+Ayarlar!$B$8)/((1-Ayarlar!$B$6)*(1-Ayarlar!$B$7)),0))</f>
        <v/>
      </c>
      <c r="J635" s="14">
        <f>IF(G635="","",ROUNDUP(((G635*Ayarlar!$B$3+Ayarlar!$B$4+Ayarlar!$B$5)+Ayarlar!$B$8)/((1-Ayarlar!$B$6)*(1-Ayarlar!$B$7-Ayarlar!$B$9)),0))</f>
        <v/>
      </c>
      <c r="K635" s="15">
        <f>IF(OR(G635="",F635=""),"",(F635*(1-Ayarlar!$B$6)-(F635*(1-Ayarlar!$B$6)*Ayarlar!$B$7+Ayarlar!$B$8)-(G635*Ayarlar!$B$3+Ayarlar!$B$4+Ayarlar!$B$5))/(F635*(1-Ayarlar!$B$6)))</f>
        <v/>
      </c>
      <c r="L635" s="3">
        <f>IF(G635="","GRAM EKSİK",IF(F635&gt;30000,"FİYAT ŞÜPHELİ",IF(K635&lt;0,"ZARARDA",IF(F635&lt;I635,"RİSKLİ","ok"))))</f>
        <v/>
      </c>
      <c r="M635" s="16" t="inlineStr">
        <is>
          <t>https://www.etsy.com/listing/1770702803</t>
        </is>
      </c>
    </row>
    <row r="636">
      <c r="A636" s="9" t="inlineStr">
        <is>
          <t>faith</t>
        </is>
      </c>
      <c r="B636" s="9" t="inlineStr">
        <is>
          <t>10K Gold Last Supper Medallion Pendant, Miami Curb Border</t>
        </is>
      </c>
      <c r="C636" s="9" t="n">
        <v>1770702803</v>
      </c>
      <c r="D636" s="9" t="inlineStr">
        <is>
          <t>PCLS30-38-18</t>
        </is>
      </c>
      <c r="E636" s="9" t="inlineStr">
        <is>
          <t>description</t>
        </is>
      </c>
      <c r="F636" s="10" t="n">
        <v>1466</v>
      </c>
      <c r="G636" s="18" t="n">
        <v>8.220000000000001</v>
      </c>
      <c r="H636" s="10">
        <f>IF(G636="","",G636*Ayarlar!$B$3+Ayarlar!$B$4+Ayarlar!$B$5)</f>
        <v/>
      </c>
      <c r="I636" s="10">
        <f>IF(G636="","",ROUNDUP(((G636*Ayarlar!$B$3+Ayarlar!$B$4+Ayarlar!$B$5)+Ayarlar!$B$8)/((1-Ayarlar!$B$6)*(1-Ayarlar!$B$7)),0))</f>
        <v/>
      </c>
      <c r="J636" s="10">
        <f>IF(G636="","",ROUNDUP(((G636*Ayarlar!$B$3+Ayarlar!$B$4+Ayarlar!$B$5)+Ayarlar!$B$8)/((1-Ayarlar!$B$6)*(1-Ayarlar!$B$7-Ayarlar!$B$9)),0))</f>
        <v/>
      </c>
      <c r="K636" s="12">
        <f>IF(OR(G636="",F636=""),"",(F636*(1-Ayarlar!$B$6)-(F636*(1-Ayarlar!$B$6)*Ayarlar!$B$7+Ayarlar!$B$8)-(G636*Ayarlar!$B$3+Ayarlar!$B$4+Ayarlar!$B$5))/(F636*(1-Ayarlar!$B$6)))</f>
        <v/>
      </c>
      <c r="L636" s="9">
        <f>IF(G636="","GRAM EKSİK",IF(F636&gt;30000,"FİYAT ŞÜPHELİ",IF(K636&lt;0,"ZARARDA",IF(F636&lt;I636,"RİSKLİ","ok"))))</f>
        <v/>
      </c>
      <c r="M636" s="13" t="inlineStr">
        <is>
          <t>https://www.etsy.com/listing/1770702803</t>
        </is>
      </c>
    </row>
    <row r="637">
      <c r="A637" s="3" t="inlineStr">
        <is>
          <t>faith</t>
        </is>
      </c>
      <c r="B637" s="3" t="inlineStr">
        <is>
          <t>10K Gold Last Supper Medallion Pendant, Miami Curb Border</t>
        </is>
      </c>
      <c r="C637" s="3" t="n">
        <v>1770702803</v>
      </c>
      <c r="D637" s="3" t="inlineStr">
        <is>
          <t>PCLS30-38-20</t>
        </is>
      </c>
      <c r="E637" s="3" t="inlineStr">
        <is>
          <t>description</t>
        </is>
      </c>
      <c r="F637" s="14" t="n">
        <v>1588</v>
      </c>
      <c r="G637" s="17" t="n">
        <v>8.91</v>
      </c>
      <c r="H637" s="14">
        <f>IF(G637="","",G637*Ayarlar!$B$3+Ayarlar!$B$4+Ayarlar!$B$5)</f>
        <v/>
      </c>
      <c r="I637" s="14">
        <f>IF(G637="","",ROUNDUP(((G637*Ayarlar!$B$3+Ayarlar!$B$4+Ayarlar!$B$5)+Ayarlar!$B$8)/((1-Ayarlar!$B$6)*(1-Ayarlar!$B$7)),0))</f>
        <v/>
      </c>
      <c r="J637" s="14">
        <f>IF(G637="","",ROUNDUP(((G637*Ayarlar!$B$3+Ayarlar!$B$4+Ayarlar!$B$5)+Ayarlar!$B$8)/((1-Ayarlar!$B$6)*(1-Ayarlar!$B$7-Ayarlar!$B$9)),0))</f>
        <v/>
      </c>
      <c r="K637" s="15">
        <f>IF(OR(G637="",F637=""),"",(F637*(1-Ayarlar!$B$6)-(F637*(1-Ayarlar!$B$6)*Ayarlar!$B$7+Ayarlar!$B$8)-(G637*Ayarlar!$B$3+Ayarlar!$B$4+Ayarlar!$B$5))/(F637*(1-Ayarlar!$B$6)))</f>
        <v/>
      </c>
      <c r="L637" s="3">
        <f>IF(G637="","GRAM EKSİK",IF(F637&gt;30000,"FİYAT ŞÜPHELİ",IF(K637&lt;0,"ZARARDA",IF(F637&lt;I637,"RİSKLİ","ok"))))</f>
        <v/>
      </c>
      <c r="M637" s="16" t="inlineStr">
        <is>
          <t>https://www.etsy.com/listing/1770702803</t>
        </is>
      </c>
    </row>
    <row r="638">
      <c r="A638" s="9" t="inlineStr">
        <is>
          <t>faith</t>
        </is>
      </c>
      <c r="B638" s="9" t="inlineStr">
        <is>
          <t>10K Gold Last Supper Medallion Pendant, Miami Curb Border</t>
        </is>
      </c>
      <c r="C638" s="9" t="n">
        <v>1770702803</v>
      </c>
      <c r="D638" s="9" t="inlineStr">
        <is>
          <t>PCLS30-38-22</t>
        </is>
      </c>
      <c r="E638" s="9" t="inlineStr">
        <is>
          <t>description</t>
        </is>
      </c>
      <c r="F638" s="10" t="n">
        <v>1710</v>
      </c>
      <c r="G638" s="18" t="n">
        <v>9.6</v>
      </c>
      <c r="H638" s="10">
        <f>IF(G638="","",G638*Ayarlar!$B$3+Ayarlar!$B$4+Ayarlar!$B$5)</f>
        <v/>
      </c>
      <c r="I638" s="10">
        <f>IF(G638="","",ROUNDUP(((G638*Ayarlar!$B$3+Ayarlar!$B$4+Ayarlar!$B$5)+Ayarlar!$B$8)/((1-Ayarlar!$B$6)*(1-Ayarlar!$B$7)),0))</f>
        <v/>
      </c>
      <c r="J638" s="10">
        <f>IF(G638="","",ROUNDUP(((G638*Ayarlar!$B$3+Ayarlar!$B$4+Ayarlar!$B$5)+Ayarlar!$B$8)/((1-Ayarlar!$B$6)*(1-Ayarlar!$B$7-Ayarlar!$B$9)),0))</f>
        <v/>
      </c>
      <c r="K638" s="12">
        <f>IF(OR(G638="",F638=""),"",(F638*(1-Ayarlar!$B$6)-(F638*(1-Ayarlar!$B$6)*Ayarlar!$B$7+Ayarlar!$B$8)-(G638*Ayarlar!$B$3+Ayarlar!$B$4+Ayarlar!$B$5))/(F638*(1-Ayarlar!$B$6)))</f>
        <v/>
      </c>
      <c r="L638" s="9">
        <f>IF(G638="","GRAM EKSİK",IF(F638&gt;30000,"FİYAT ŞÜPHELİ",IF(K638&lt;0,"ZARARDA",IF(F638&lt;I638,"RİSKLİ","ok"))))</f>
        <v/>
      </c>
      <c r="M638" s="13" t="inlineStr">
        <is>
          <t>https://www.etsy.com/listing/1770702803</t>
        </is>
      </c>
    </row>
    <row r="639">
      <c r="A639" s="3" t="inlineStr">
        <is>
          <t>faith</t>
        </is>
      </c>
      <c r="B639" s="3" t="inlineStr">
        <is>
          <t>10K Gold Last Supper Medallion Pendant, Miami Curb Border</t>
        </is>
      </c>
      <c r="C639" s="3" t="n">
        <v>1770702803</v>
      </c>
      <c r="D639" s="3" t="inlineStr">
        <is>
          <t>PCLS30-38-24</t>
        </is>
      </c>
      <c r="E639" s="3" t="inlineStr">
        <is>
          <t>description</t>
        </is>
      </c>
      <c r="F639" s="14" t="n">
        <v>1832</v>
      </c>
      <c r="G639" s="17" t="n">
        <v>10.29</v>
      </c>
      <c r="H639" s="14">
        <f>IF(G639="","",G639*Ayarlar!$B$3+Ayarlar!$B$4+Ayarlar!$B$5)</f>
        <v/>
      </c>
      <c r="I639" s="14">
        <f>IF(G639="","",ROUNDUP(((G639*Ayarlar!$B$3+Ayarlar!$B$4+Ayarlar!$B$5)+Ayarlar!$B$8)/((1-Ayarlar!$B$6)*(1-Ayarlar!$B$7)),0))</f>
        <v/>
      </c>
      <c r="J639" s="14">
        <f>IF(G639="","",ROUNDUP(((G639*Ayarlar!$B$3+Ayarlar!$B$4+Ayarlar!$B$5)+Ayarlar!$B$8)/((1-Ayarlar!$B$6)*(1-Ayarlar!$B$7-Ayarlar!$B$9)),0))</f>
        <v/>
      </c>
      <c r="K639" s="15">
        <f>IF(OR(G639="",F639=""),"",(F639*(1-Ayarlar!$B$6)-(F639*(1-Ayarlar!$B$6)*Ayarlar!$B$7+Ayarlar!$B$8)-(G639*Ayarlar!$B$3+Ayarlar!$B$4+Ayarlar!$B$5))/(F639*(1-Ayarlar!$B$6)))</f>
        <v/>
      </c>
      <c r="L639" s="3">
        <f>IF(G639="","GRAM EKSİK",IF(F639&gt;30000,"FİYAT ŞÜPHELİ",IF(K639&lt;0,"ZARARDA",IF(F639&lt;I639,"RİSKLİ","ok"))))</f>
        <v/>
      </c>
      <c r="M639" s="16" t="inlineStr">
        <is>
          <t>https://www.etsy.com/listing/1770702803</t>
        </is>
      </c>
    </row>
    <row r="640">
      <c r="A640" s="9" t="inlineStr">
        <is>
          <t>faith</t>
        </is>
      </c>
      <c r="B640" s="9" t="inlineStr">
        <is>
          <t>10K Gold Last Supper Medallion Pendant, Miami Curb Border</t>
        </is>
      </c>
      <c r="C640" s="9" t="n">
        <v>1770702803</v>
      </c>
      <c r="D640" s="9" t="inlineStr">
        <is>
          <t>PCLS30-45-16</t>
        </is>
      </c>
      <c r="E640" s="9" t="inlineStr">
        <is>
          <t>description</t>
        </is>
      </c>
      <c r="F640" s="10" t="n">
        <v>1784</v>
      </c>
      <c r="G640" s="18" t="n">
        <v>10.02</v>
      </c>
      <c r="H640" s="10">
        <f>IF(G640="","",G640*Ayarlar!$B$3+Ayarlar!$B$4+Ayarlar!$B$5)</f>
        <v/>
      </c>
      <c r="I640" s="10">
        <f>IF(G640="","",ROUNDUP(((G640*Ayarlar!$B$3+Ayarlar!$B$4+Ayarlar!$B$5)+Ayarlar!$B$8)/((1-Ayarlar!$B$6)*(1-Ayarlar!$B$7)),0))</f>
        <v/>
      </c>
      <c r="J640" s="10">
        <f>IF(G640="","",ROUNDUP(((G640*Ayarlar!$B$3+Ayarlar!$B$4+Ayarlar!$B$5)+Ayarlar!$B$8)/((1-Ayarlar!$B$6)*(1-Ayarlar!$B$7-Ayarlar!$B$9)),0))</f>
        <v/>
      </c>
      <c r="K640" s="12">
        <f>IF(OR(G640="",F640=""),"",(F640*(1-Ayarlar!$B$6)-(F640*(1-Ayarlar!$B$6)*Ayarlar!$B$7+Ayarlar!$B$8)-(G640*Ayarlar!$B$3+Ayarlar!$B$4+Ayarlar!$B$5))/(F640*(1-Ayarlar!$B$6)))</f>
        <v/>
      </c>
      <c r="L640" s="9">
        <f>IF(G640="","GRAM EKSİK",IF(F640&gt;30000,"FİYAT ŞÜPHELİ",IF(K640&lt;0,"ZARARDA",IF(F640&lt;I640,"RİSKLİ","ok"))))</f>
        <v/>
      </c>
      <c r="M640" s="13" t="inlineStr">
        <is>
          <t>https://www.etsy.com/listing/1770702803</t>
        </is>
      </c>
    </row>
    <row r="641">
      <c r="A641" s="3" t="inlineStr">
        <is>
          <t>faith</t>
        </is>
      </c>
      <c r="B641" s="3" t="inlineStr">
        <is>
          <t>10K Gold Last Supper Medallion Pendant, Miami Curb Border</t>
        </is>
      </c>
      <c r="C641" s="3" t="n">
        <v>1770702803</v>
      </c>
      <c r="D641" s="3" t="inlineStr">
        <is>
          <t>PCLS30-45-18</t>
        </is>
      </c>
      <c r="E641" s="3" t="inlineStr">
        <is>
          <t>description</t>
        </is>
      </c>
      <c r="F641" s="14" t="n">
        <v>1963</v>
      </c>
      <c r="G641" s="17" t="n">
        <v>11.03</v>
      </c>
      <c r="H641" s="14">
        <f>IF(G641="","",G641*Ayarlar!$B$3+Ayarlar!$B$4+Ayarlar!$B$5)</f>
        <v/>
      </c>
      <c r="I641" s="14">
        <f>IF(G641="","",ROUNDUP(((G641*Ayarlar!$B$3+Ayarlar!$B$4+Ayarlar!$B$5)+Ayarlar!$B$8)/((1-Ayarlar!$B$6)*(1-Ayarlar!$B$7)),0))</f>
        <v/>
      </c>
      <c r="J641" s="14">
        <f>IF(G641="","",ROUNDUP(((G641*Ayarlar!$B$3+Ayarlar!$B$4+Ayarlar!$B$5)+Ayarlar!$B$8)/((1-Ayarlar!$B$6)*(1-Ayarlar!$B$7-Ayarlar!$B$9)),0))</f>
        <v/>
      </c>
      <c r="K641" s="15">
        <f>IF(OR(G641="",F641=""),"",(F641*(1-Ayarlar!$B$6)-(F641*(1-Ayarlar!$B$6)*Ayarlar!$B$7+Ayarlar!$B$8)-(G641*Ayarlar!$B$3+Ayarlar!$B$4+Ayarlar!$B$5))/(F641*(1-Ayarlar!$B$6)))</f>
        <v/>
      </c>
      <c r="L641" s="3">
        <f>IF(G641="","GRAM EKSİK",IF(F641&gt;30000,"FİYAT ŞÜPHELİ",IF(K641&lt;0,"ZARARDA",IF(F641&lt;I641,"RİSKLİ","ok"))))</f>
        <v/>
      </c>
      <c r="M641" s="16" t="inlineStr">
        <is>
          <t>https://www.etsy.com/listing/1770702803</t>
        </is>
      </c>
    </row>
    <row r="642">
      <c r="A642" s="9" t="inlineStr">
        <is>
          <t>faith</t>
        </is>
      </c>
      <c r="B642" s="9" t="inlineStr">
        <is>
          <t>10K Gold Last Supper Medallion Pendant, Miami Curb Border</t>
        </is>
      </c>
      <c r="C642" s="9" t="n">
        <v>1770702803</v>
      </c>
      <c r="D642" s="9" t="inlineStr">
        <is>
          <t>PCLS30-45-20</t>
        </is>
      </c>
      <c r="E642" s="9" t="inlineStr">
        <is>
          <t>description</t>
        </is>
      </c>
      <c r="F642" s="10" t="n">
        <v>2140</v>
      </c>
      <c r="G642" s="18" t="n">
        <v>12.03</v>
      </c>
      <c r="H642" s="10">
        <f>IF(G642="","",G642*Ayarlar!$B$3+Ayarlar!$B$4+Ayarlar!$B$5)</f>
        <v/>
      </c>
      <c r="I642" s="10">
        <f>IF(G642="","",ROUNDUP(((G642*Ayarlar!$B$3+Ayarlar!$B$4+Ayarlar!$B$5)+Ayarlar!$B$8)/((1-Ayarlar!$B$6)*(1-Ayarlar!$B$7)),0))</f>
        <v/>
      </c>
      <c r="J642" s="10">
        <f>IF(G642="","",ROUNDUP(((G642*Ayarlar!$B$3+Ayarlar!$B$4+Ayarlar!$B$5)+Ayarlar!$B$8)/((1-Ayarlar!$B$6)*(1-Ayarlar!$B$7-Ayarlar!$B$9)),0))</f>
        <v/>
      </c>
      <c r="K642" s="12">
        <f>IF(OR(G642="",F642=""),"",(F642*(1-Ayarlar!$B$6)-(F642*(1-Ayarlar!$B$6)*Ayarlar!$B$7+Ayarlar!$B$8)-(G642*Ayarlar!$B$3+Ayarlar!$B$4+Ayarlar!$B$5))/(F642*(1-Ayarlar!$B$6)))</f>
        <v/>
      </c>
      <c r="L642" s="9">
        <f>IF(G642="","GRAM EKSİK",IF(F642&gt;30000,"FİYAT ŞÜPHELİ",IF(K642&lt;0,"ZARARDA",IF(F642&lt;I642,"RİSKLİ","ok"))))</f>
        <v/>
      </c>
      <c r="M642" s="13" t="inlineStr">
        <is>
          <t>https://www.etsy.com/listing/1770702803</t>
        </is>
      </c>
    </row>
    <row r="643">
      <c r="A643" s="3" t="inlineStr">
        <is>
          <t>faith</t>
        </is>
      </c>
      <c r="B643" s="3" t="inlineStr">
        <is>
          <t>10K Gold Last Supper Medallion Pendant, Miami Curb Border</t>
        </is>
      </c>
      <c r="C643" s="3" t="n">
        <v>1770702803</v>
      </c>
      <c r="D643" s="3" t="inlineStr">
        <is>
          <t>PCLS30-45-22</t>
        </is>
      </c>
      <c r="E643" s="3" t="inlineStr">
        <is>
          <t>description</t>
        </is>
      </c>
      <c r="F643" s="14" t="n">
        <v>2317</v>
      </c>
      <c r="G643" s="17" t="n">
        <v>13.03</v>
      </c>
      <c r="H643" s="14">
        <f>IF(G643="","",G643*Ayarlar!$B$3+Ayarlar!$B$4+Ayarlar!$B$5)</f>
        <v/>
      </c>
      <c r="I643" s="14">
        <f>IF(G643="","",ROUNDUP(((G643*Ayarlar!$B$3+Ayarlar!$B$4+Ayarlar!$B$5)+Ayarlar!$B$8)/((1-Ayarlar!$B$6)*(1-Ayarlar!$B$7)),0))</f>
        <v/>
      </c>
      <c r="J643" s="14">
        <f>IF(G643="","",ROUNDUP(((G643*Ayarlar!$B$3+Ayarlar!$B$4+Ayarlar!$B$5)+Ayarlar!$B$8)/((1-Ayarlar!$B$6)*(1-Ayarlar!$B$7-Ayarlar!$B$9)),0))</f>
        <v/>
      </c>
      <c r="K643" s="15">
        <f>IF(OR(G643="",F643=""),"",(F643*(1-Ayarlar!$B$6)-(F643*(1-Ayarlar!$B$6)*Ayarlar!$B$7+Ayarlar!$B$8)-(G643*Ayarlar!$B$3+Ayarlar!$B$4+Ayarlar!$B$5))/(F643*(1-Ayarlar!$B$6)))</f>
        <v/>
      </c>
      <c r="L643" s="3">
        <f>IF(G643="","GRAM EKSİK",IF(F643&gt;30000,"FİYAT ŞÜPHELİ",IF(K643&lt;0,"ZARARDA",IF(F643&lt;I643,"RİSKLİ","ok"))))</f>
        <v/>
      </c>
      <c r="M643" s="16" t="inlineStr">
        <is>
          <t>https://www.etsy.com/listing/1770702803</t>
        </is>
      </c>
    </row>
    <row r="644">
      <c r="A644" s="9" t="inlineStr">
        <is>
          <t>faith</t>
        </is>
      </c>
      <c r="B644" s="9" t="inlineStr">
        <is>
          <t>10K Gold Last Supper Medallion Pendant, Miami Curb Border</t>
        </is>
      </c>
      <c r="C644" s="9" t="n">
        <v>1770702803</v>
      </c>
      <c r="D644" s="9" t="inlineStr">
        <is>
          <t>PCLS30-45-24</t>
        </is>
      </c>
      <c r="E644" s="9" t="inlineStr">
        <is>
          <t>description</t>
        </is>
      </c>
      <c r="F644" s="10" t="n">
        <v>2495</v>
      </c>
      <c r="G644" s="18" t="n">
        <v>14.04</v>
      </c>
      <c r="H644" s="10">
        <f>IF(G644="","",G644*Ayarlar!$B$3+Ayarlar!$B$4+Ayarlar!$B$5)</f>
        <v/>
      </c>
      <c r="I644" s="10">
        <f>IF(G644="","",ROUNDUP(((G644*Ayarlar!$B$3+Ayarlar!$B$4+Ayarlar!$B$5)+Ayarlar!$B$8)/((1-Ayarlar!$B$6)*(1-Ayarlar!$B$7)),0))</f>
        <v/>
      </c>
      <c r="J644" s="10">
        <f>IF(G644="","",ROUNDUP(((G644*Ayarlar!$B$3+Ayarlar!$B$4+Ayarlar!$B$5)+Ayarlar!$B$8)/((1-Ayarlar!$B$6)*(1-Ayarlar!$B$7-Ayarlar!$B$9)),0))</f>
        <v/>
      </c>
      <c r="K644" s="12">
        <f>IF(OR(G644="",F644=""),"",(F644*(1-Ayarlar!$B$6)-(F644*(1-Ayarlar!$B$6)*Ayarlar!$B$7+Ayarlar!$B$8)-(G644*Ayarlar!$B$3+Ayarlar!$B$4+Ayarlar!$B$5))/(F644*(1-Ayarlar!$B$6)))</f>
        <v/>
      </c>
      <c r="L644" s="9">
        <f>IF(G644="","GRAM EKSİK",IF(F644&gt;30000,"FİYAT ŞÜPHELİ",IF(K644&lt;0,"ZARARDA",IF(F644&lt;I644,"RİSKLİ","ok"))))</f>
        <v/>
      </c>
      <c r="M644" s="13" t="inlineStr">
        <is>
          <t>https://www.etsy.com/listing/1770702803</t>
        </is>
      </c>
    </row>
    <row r="645">
      <c r="A645" s="3" t="inlineStr">
        <is>
          <t>faith</t>
        </is>
      </c>
      <c r="B645" s="3" t="inlineStr">
        <is>
          <t>10K Gold Last Supper Medallion Pendant, Miami Curb Border</t>
        </is>
      </c>
      <c r="C645" s="3" t="n">
        <v>1770702803</v>
      </c>
      <c r="D645" s="3" t="inlineStr">
        <is>
          <t>PCLS48-3-16</t>
        </is>
      </c>
      <c r="E645" s="3" t="inlineStr">
        <is>
          <t>description</t>
        </is>
      </c>
      <c r="F645" s="14" t="n">
        <v>1927</v>
      </c>
      <c r="G645" s="17" t="n">
        <v>10.83</v>
      </c>
      <c r="H645" s="14">
        <f>IF(G645="","",G645*Ayarlar!$B$3+Ayarlar!$B$4+Ayarlar!$B$5)</f>
        <v/>
      </c>
      <c r="I645" s="14">
        <f>IF(G645="","",ROUNDUP(((G645*Ayarlar!$B$3+Ayarlar!$B$4+Ayarlar!$B$5)+Ayarlar!$B$8)/((1-Ayarlar!$B$6)*(1-Ayarlar!$B$7)),0))</f>
        <v/>
      </c>
      <c r="J645" s="14">
        <f>IF(G645="","",ROUNDUP(((G645*Ayarlar!$B$3+Ayarlar!$B$4+Ayarlar!$B$5)+Ayarlar!$B$8)/((1-Ayarlar!$B$6)*(1-Ayarlar!$B$7-Ayarlar!$B$9)),0))</f>
        <v/>
      </c>
      <c r="K645" s="15">
        <f>IF(OR(G645="",F645=""),"",(F645*(1-Ayarlar!$B$6)-(F645*(1-Ayarlar!$B$6)*Ayarlar!$B$7+Ayarlar!$B$8)-(G645*Ayarlar!$B$3+Ayarlar!$B$4+Ayarlar!$B$5))/(F645*(1-Ayarlar!$B$6)))</f>
        <v/>
      </c>
      <c r="L645" s="3">
        <f>IF(G645="","GRAM EKSİK",IF(F645&gt;30000,"FİYAT ŞÜPHELİ",IF(K645&lt;0,"ZARARDA",IF(F645&lt;I645,"RİSKLİ","ok"))))</f>
        <v/>
      </c>
      <c r="M645" s="16" t="inlineStr">
        <is>
          <t>https://www.etsy.com/listing/1770702803</t>
        </is>
      </c>
    </row>
    <row r="646">
      <c r="A646" s="9" t="inlineStr">
        <is>
          <t>faith</t>
        </is>
      </c>
      <c r="B646" s="9" t="inlineStr">
        <is>
          <t>10K Gold Last Supper Medallion Pendant, Miami Curb Border</t>
        </is>
      </c>
      <c r="C646" s="9" t="n">
        <v>1770702803</v>
      </c>
      <c r="D646" s="9" t="inlineStr">
        <is>
          <t>PCLS48-3-18</t>
        </is>
      </c>
      <c r="E646" s="9" t="inlineStr">
        <is>
          <t>description</t>
        </is>
      </c>
      <c r="F646" s="10" t="n">
        <v>2018</v>
      </c>
      <c r="G646" s="18" t="n">
        <v>11.34</v>
      </c>
      <c r="H646" s="10">
        <f>IF(G646="","",G646*Ayarlar!$B$3+Ayarlar!$B$4+Ayarlar!$B$5)</f>
        <v/>
      </c>
      <c r="I646" s="10">
        <f>IF(G646="","",ROUNDUP(((G646*Ayarlar!$B$3+Ayarlar!$B$4+Ayarlar!$B$5)+Ayarlar!$B$8)/((1-Ayarlar!$B$6)*(1-Ayarlar!$B$7)),0))</f>
        <v/>
      </c>
      <c r="J646" s="10">
        <f>IF(G646="","",ROUNDUP(((G646*Ayarlar!$B$3+Ayarlar!$B$4+Ayarlar!$B$5)+Ayarlar!$B$8)/((1-Ayarlar!$B$6)*(1-Ayarlar!$B$7-Ayarlar!$B$9)),0))</f>
        <v/>
      </c>
      <c r="K646" s="12">
        <f>IF(OR(G646="",F646=""),"",(F646*(1-Ayarlar!$B$6)-(F646*(1-Ayarlar!$B$6)*Ayarlar!$B$7+Ayarlar!$B$8)-(G646*Ayarlar!$B$3+Ayarlar!$B$4+Ayarlar!$B$5))/(F646*(1-Ayarlar!$B$6)))</f>
        <v/>
      </c>
      <c r="L646" s="9">
        <f>IF(G646="","GRAM EKSİK",IF(F646&gt;30000,"FİYAT ŞÜPHELİ",IF(K646&lt;0,"ZARARDA",IF(F646&lt;I646,"RİSKLİ","ok"))))</f>
        <v/>
      </c>
      <c r="M646" s="13" t="inlineStr">
        <is>
          <t>https://www.etsy.com/listing/1770702803</t>
        </is>
      </c>
    </row>
    <row r="647">
      <c r="A647" s="3" t="inlineStr">
        <is>
          <t>faith</t>
        </is>
      </c>
      <c r="B647" s="3" t="inlineStr">
        <is>
          <t>10K Gold Last Supper Medallion Pendant, Miami Curb Border</t>
        </is>
      </c>
      <c r="C647" s="3" t="n">
        <v>1770702803</v>
      </c>
      <c r="D647" s="3" t="inlineStr">
        <is>
          <t>PCLS48-3-20</t>
        </is>
      </c>
      <c r="E647" s="3" t="inlineStr">
        <is>
          <t>description</t>
        </is>
      </c>
      <c r="F647" s="14" t="n">
        <v>2110</v>
      </c>
      <c r="G647" s="17" t="n">
        <v>11.86</v>
      </c>
      <c r="H647" s="14">
        <f>IF(G647="","",G647*Ayarlar!$B$3+Ayarlar!$B$4+Ayarlar!$B$5)</f>
        <v/>
      </c>
      <c r="I647" s="14">
        <f>IF(G647="","",ROUNDUP(((G647*Ayarlar!$B$3+Ayarlar!$B$4+Ayarlar!$B$5)+Ayarlar!$B$8)/((1-Ayarlar!$B$6)*(1-Ayarlar!$B$7)),0))</f>
        <v/>
      </c>
      <c r="J647" s="14">
        <f>IF(G647="","",ROUNDUP(((G647*Ayarlar!$B$3+Ayarlar!$B$4+Ayarlar!$B$5)+Ayarlar!$B$8)/((1-Ayarlar!$B$6)*(1-Ayarlar!$B$7-Ayarlar!$B$9)),0))</f>
        <v/>
      </c>
      <c r="K647" s="15">
        <f>IF(OR(G647="",F647=""),"",(F647*(1-Ayarlar!$B$6)-(F647*(1-Ayarlar!$B$6)*Ayarlar!$B$7+Ayarlar!$B$8)-(G647*Ayarlar!$B$3+Ayarlar!$B$4+Ayarlar!$B$5))/(F647*(1-Ayarlar!$B$6)))</f>
        <v/>
      </c>
      <c r="L647" s="3">
        <f>IF(G647="","GRAM EKSİK",IF(F647&gt;30000,"FİYAT ŞÜPHELİ",IF(K647&lt;0,"ZARARDA",IF(F647&lt;I647,"RİSKLİ","ok"))))</f>
        <v/>
      </c>
      <c r="M647" s="16" t="inlineStr">
        <is>
          <t>https://www.etsy.com/listing/1770702803</t>
        </is>
      </c>
    </row>
    <row r="648">
      <c r="A648" s="9" t="inlineStr">
        <is>
          <t>faith</t>
        </is>
      </c>
      <c r="B648" s="9" t="inlineStr">
        <is>
          <t>10K Gold Last Supper Medallion Pendant, Miami Curb Border</t>
        </is>
      </c>
      <c r="C648" s="9" t="n">
        <v>1770702803</v>
      </c>
      <c r="D648" s="9" t="inlineStr">
        <is>
          <t>PCLS48-3-22</t>
        </is>
      </c>
      <c r="E648" s="9" t="inlineStr">
        <is>
          <t>description</t>
        </is>
      </c>
      <c r="F648" s="10" t="n">
        <v>2202</v>
      </c>
      <c r="G648" s="18" t="n">
        <v>12.38</v>
      </c>
      <c r="H648" s="10">
        <f>IF(G648="","",G648*Ayarlar!$B$3+Ayarlar!$B$4+Ayarlar!$B$5)</f>
        <v/>
      </c>
      <c r="I648" s="10">
        <f>IF(G648="","",ROUNDUP(((G648*Ayarlar!$B$3+Ayarlar!$B$4+Ayarlar!$B$5)+Ayarlar!$B$8)/((1-Ayarlar!$B$6)*(1-Ayarlar!$B$7)),0))</f>
        <v/>
      </c>
      <c r="J648" s="10">
        <f>IF(G648="","",ROUNDUP(((G648*Ayarlar!$B$3+Ayarlar!$B$4+Ayarlar!$B$5)+Ayarlar!$B$8)/((1-Ayarlar!$B$6)*(1-Ayarlar!$B$7-Ayarlar!$B$9)),0))</f>
        <v/>
      </c>
      <c r="K648" s="12">
        <f>IF(OR(G648="",F648=""),"",(F648*(1-Ayarlar!$B$6)-(F648*(1-Ayarlar!$B$6)*Ayarlar!$B$7+Ayarlar!$B$8)-(G648*Ayarlar!$B$3+Ayarlar!$B$4+Ayarlar!$B$5))/(F648*(1-Ayarlar!$B$6)))</f>
        <v/>
      </c>
      <c r="L648" s="9">
        <f>IF(G648="","GRAM EKSİK",IF(F648&gt;30000,"FİYAT ŞÜPHELİ",IF(K648&lt;0,"ZARARDA",IF(F648&lt;I648,"RİSKLİ","ok"))))</f>
        <v/>
      </c>
      <c r="M648" s="13" t="inlineStr">
        <is>
          <t>https://www.etsy.com/listing/1770702803</t>
        </is>
      </c>
    </row>
    <row r="649">
      <c r="A649" s="3" t="inlineStr">
        <is>
          <t>faith</t>
        </is>
      </c>
      <c r="B649" s="3" t="inlineStr">
        <is>
          <t>10K Gold Last Supper Medallion Pendant, Miami Curb Border</t>
        </is>
      </c>
      <c r="C649" s="3" t="n">
        <v>1770702803</v>
      </c>
      <c r="D649" s="3" t="inlineStr">
        <is>
          <t>PCLS48-3-24</t>
        </is>
      </c>
      <c r="E649" s="3" t="inlineStr">
        <is>
          <t>description</t>
        </is>
      </c>
      <c r="F649" s="14" t="n">
        <v>2292</v>
      </c>
      <c r="G649" s="17" t="n">
        <v>12.89</v>
      </c>
      <c r="H649" s="14">
        <f>IF(G649="","",G649*Ayarlar!$B$3+Ayarlar!$B$4+Ayarlar!$B$5)</f>
        <v/>
      </c>
      <c r="I649" s="14">
        <f>IF(G649="","",ROUNDUP(((G649*Ayarlar!$B$3+Ayarlar!$B$4+Ayarlar!$B$5)+Ayarlar!$B$8)/((1-Ayarlar!$B$6)*(1-Ayarlar!$B$7)),0))</f>
        <v/>
      </c>
      <c r="J649" s="14">
        <f>IF(G649="","",ROUNDUP(((G649*Ayarlar!$B$3+Ayarlar!$B$4+Ayarlar!$B$5)+Ayarlar!$B$8)/((1-Ayarlar!$B$6)*(1-Ayarlar!$B$7-Ayarlar!$B$9)),0))</f>
        <v/>
      </c>
      <c r="K649" s="15">
        <f>IF(OR(G649="",F649=""),"",(F649*(1-Ayarlar!$B$6)-(F649*(1-Ayarlar!$B$6)*Ayarlar!$B$7+Ayarlar!$B$8)-(G649*Ayarlar!$B$3+Ayarlar!$B$4+Ayarlar!$B$5))/(F649*(1-Ayarlar!$B$6)))</f>
        <v/>
      </c>
      <c r="L649" s="3">
        <f>IF(G649="","GRAM EKSİK",IF(F649&gt;30000,"FİYAT ŞÜPHELİ",IF(K649&lt;0,"ZARARDA",IF(F649&lt;I649,"RİSKLİ","ok"))))</f>
        <v/>
      </c>
      <c r="M649" s="16" t="inlineStr">
        <is>
          <t>https://www.etsy.com/listing/1770702803</t>
        </is>
      </c>
    </row>
    <row r="650">
      <c r="A650" s="9" t="inlineStr">
        <is>
          <t>faith</t>
        </is>
      </c>
      <c r="B650" s="9" t="inlineStr">
        <is>
          <t>10K Gold Last Supper Medallion Pendant, Miami Curb Border</t>
        </is>
      </c>
      <c r="C650" s="9" t="n">
        <v>1770702803</v>
      </c>
      <c r="D650" s="9" t="inlineStr">
        <is>
          <t>PCLS48-38-16</t>
        </is>
      </c>
      <c r="E650" s="9" t="inlineStr">
        <is>
          <t>description</t>
        </is>
      </c>
      <c r="F650" s="10" t="n">
        <v>2175</v>
      </c>
      <c r="G650" s="18" t="n">
        <v>12.23</v>
      </c>
      <c r="H650" s="10">
        <f>IF(G650="","",G650*Ayarlar!$B$3+Ayarlar!$B$4+Ayarlar!$B$5)</f>
        <v/>
      </c>
      <c r="I650" s="10">
        <f>IF(G650="","",ROUNDUP(((G650*Ayarlar!$B$3+Ayarlar!$B$4+Ayarlar!$B$5)+Ayarlar!$B$8)/((1-Ayarlar!$B$6)*(1-Ayarlar!$B$7)),0))</f>
        <v/>
      </c>
      <c r="J650" s="10">
        <f>IF(G650="","",ROUNDUP(((G650*Ayarlar!$B$3+Ayarlar!$B$4+Ayarlar!$B$5)+Ayarlar!$B$8)/((1-Ayarlar!$B$6)*(1-Ayarlar!$B$7-Ayarlar!$B$9)),0))</f>
        <v/>
      </c>
      <c r="K650" s="12">
        <f>IF(OR(G650="",F650=""),"",(F650*(1-Ayarlar!$B$6)-(F650*(1-Ayarlar!$B$6)*Ayarlar!$B$7+Ayarlar!$B$8)-(G650*Ayarlar!$B$3+Ayarlar!$B$4+Ayarlar!$B$5))/(F650*(1-Ayarlar!$B$6)))</f>
        <v/>
      </c>
      <c r="L650" s="9">
        <f>IF(G650="","GRAM EKSİK",IF(F650&gt;30000,"FİYAT ŞÜPHELİ",IF(K650&lt;0,"ZARARDA",IF(F650&lt;I650,"RİSKLİ","ok"))))</f>
        <v/>
      </c>
      <c r="M650" s="13" t="inlineStr">
        <is>
          <t>https://www.etsy.com/listing/1770702803</t>
        </is>
      </c>
    </row>
    <row r="651">
      <c r="A651" s="3" t="inlineStr">
        <is>
          <t>faith</t>
        </is>
      </c>
      <c r="B651" s="3" t="inlineStr">
        <is>
          <t>10K Gold Last Supper Medallion Pendant, Miami Curb Border</t>
        </is>
      </c>
      <c r="C651" s="3" t="n">
        <v>1770702803</v>
      </c>
      <c r="D651" s="3" t="inlineStr">
        <is>
          <t>PCLS48-38-18</t>
        </is>
      </c>
      <c r="E651" s="3" t="inlineStr">
        <is>
          <t>description</t>
        </is>
      </c>
      <c r="F651" s="14" t="n">
        <v>2297</v>
      </c>
      <c r="G651" s="17" t="n">
        <v>12.92</v>
      </c>
      <c r="H651" s="14">
        <f>IF(G651="","",G651*Ayarlar!$B$3+Ayarlar!$B$4+Ayarlar!$B$5)</f>
        <v/>
      </c>
      <c r="I651" s="14">
        <f>IF(G651="","",ROUNDUP(((G651*Ayarlar!$B$3+Ayarlar!$B$4+Ayarlar!$B$5)+Ayarlar!$B$8)/((1-Ayarlar!$B$6)*(1-Ayarlar!$B$7)),0))</f>
        <v/>
      </c>
      <c r="J651" s="14">
        <f>IF(G651="","",ROUNDUP(((G651*Ayarlar!$B$3+Ayarlar!$B$4+Ayarlar!$B$5)+Ayarlar!$B$8)/((1-Ayarlar!$B$6)*(1-Ayarlar!$B$7-Ayarlar!$B$9)),0))</f>
        <v/>
      </c>
      <c r="K651" s="15">
        <f>IF(OR(G651="",F651=""),"",(F651*(1-Ayarlar!$B$6)-(F651*(1-Ayarlar!$B$6)*Ayarlar!$B$7+Ayarlar!$B$8)-(G651*Ayarlar!$B$3+Ayarlar!$B$4+Ayarlar!$B$5))/(F651*(1-Ayarlar!$B$6)))</f>
        <v/>
      </c>
      <c r="L651" s="3">
        <f>IF(G651="","GRAM EKSİK",IF(F651&gt;30000,"FİYAT ŞÜPHELİ",IF(K651&lt;0,"ZARARDA",IF(F651&lt;I651,"RİSKLİ","ok"))))</f>
        <v/>
      </c>
      <c r="M651" s="16" t="inlineStr">
        <is>
          <t>https://www.etsy.com/listing/1770702803</t>
        </is>
      </c>
    </row>
    <row r="652">
      <c r="A652" s="9" t="inlineStr">
        <is>
          <t>faith</t>
        </is>
      </c>
      <c r="B652" s="9" t="inlineStr">
        <is>
          <t>10K Gold Last Supper Medallion Pendant, Miami Curb Border</t>
        </is>
      </c>
      <c r="C652" s="9" t="n">
        <v>1770702803</v>
      </c>
      <c r="D652" s="9" t="inlineStr">
        <is>
          <t>PCLS48-38-20</t>
        </is>
      </c>
      <c r="E652" s="9" t="inlineStr">
        <is>
          <t>description</t>
        </is>
      </c>
      <c r="F652" s="10" t="n">
        <v>2419</v>
      </c>
      <c r="G652" s="18" t="n">
        <v>13.61</v>
      </c>
      <c r="H652" s="10">
        <f>IF(G652="","",G652*Ayarlar!$B$3+Ayarlar!$B$4+Ayarlar!$B$5)</f>
        <v/>
      </c>
      <c r="I652" s="10">
        <f>IF(G652="","",ROUNDUP(((G652*Ayarlar!$B$3+Ayarlar!$B$4+Ayarlar!$B$5)+Ayarlar!$B$8)/((1-Ayarlar!$B$6)*(1-Ayarlar!$B$7)),0))</f>
        <v/>
      </c>
      <c r="J652" s="10">
        <f>IF(G652="","",ROUNDUP(((G652*Ayarlar!$B$3+Ayarlar!$B$4+Ayarlar!$B$5)+Ayarlar!$B$8)/((1-Ayarlar!$B$6)*(1-Ayarlar!$B$7-Ayarlar!$B$9)),0))</f>
        <v/>
      </c>
      <c r="K652" s="12">
        <f>IF(OR(G652="",F652=""),"",(F652*(1-Ayarlar!$B$6)-(F652*(1-Ayarlar!$B$6)*Ayarlar!$B$7+Ayarlar!$B$8)-(G652*Ayarlar!$B$3+Ayarlar!$B$4+Ayarlar!$B$5))/(F652*(1-Ayarlar!$B$6)))</f>
        <v/>
      </c>
      <c r="L652" s="9">
        <f>IF(G652="","GRAM EKSİK",IF(F652&gt;30000,"FİYAT ŞÜPHELİ",IF(K652&lt;0,"ZARARDA",IF(F652&lt;I652,"RİSKLİ","ok"))))</f>
        <v/>
      </c>
      <c r="M652" s="13" t="inlineStr">
        <is>
          <t>https://www.etsy.com/listing/1770702803</t>
        </is>
      </c>
    </row>
    <row r="653">
      <c r="A653" s="3" t="inlineStr">
        <is>
          <t>faith</t>
        </is>
      </c>
      <c r="B653" s="3" t="inlineStr">
        <is>
          <t>10K Gold Last Supper Medallion Pendant, Miami Curb Border</t>
        </is>
      </c>
      <c r="C653" s="3" t="n">
        <v>1770702803</v>
      </c>
      <c r="D653" s="3" t="inlineStr">
        <is>
          <t>PCLS48-38-22</t>
        </is>
      </c>
      <c r="E653" s="3" t="inlineStr">
        <is>
          <t>description</t>
        </is>
      </c>
      <c r="F653" s="14" t="n">
        <v>2541</v>
      </c>
      <c r="G653" s="17" t="n">
        <v>14.3</v>
      </c>
      <c r="H653" s="14">
        <f>IF(G653="","",G653*Ayarlar!$B$3+Ayarlar!$B$4+Ayarlar!$B$5)</f>
        <v/>
      </c>
      <c r="I653" s="14">
        <f>IF(G653="","",ROUNDUP(((G653*Ayarlar!$B$3+Ayarlar!$B$4+Ayarlar!$B$5)+Ayarlar!$B$8)/((1-Ayarlar!$B$6)*(1-Ayarlar!$B$7)),0))</f>
        <v/>
      </c>
      <c r="J653" s="14">
        <f>IF(G653="","",ROUNDUP(((G653*Ayarlar!$B$3+Ayarlar!$B$4+Ayarlar!$B$5)+Ayarlar!$B$8)/((1-Ayarlar!$B$6)*(1-Ayarlar!$B$7-Ayarlar!$B$9)),0))</f>
        <v/>
      </c>
      <c r="K653" s="15">
        <f>IF(OR(G653="",F653=""),"",(F653*(1-Ayarlar!$B$6)-(F653*(1-Ayarlar!$B$6)*Ayarlar!$B$7+Ayarlar!$B$8)-(G653*Ayarlar!$B$3+Ayarlar!$B$4+Ayarlar!$B$5))/(F653*(1-Ayarlar!$B$6)))</f>
        <v/>
      </c>
      <c r="L653" s="3">
        <f>IF(G653="","GRAM EKSİK",IF(F653&gt;30000,"FİYAT ŞÜPHELİ",IF(K653&lt;0,"ZARARDA",IF(F653&lt;I653,"RİSKLİ","ok"))))</f>
        <v/>
      </c>
      <c r="M653" s="16" t="inlineStr">
        <is>
          <t>https://www.etsy.com/listing/1770702803</t>
        </is>
      </c>
    </row>
    <row r="654">
      <c r="A654" s="9" t="inlineStr">
        <is>
          <t>faith</t>
        </is>
      </c>
      <c r="B654" s="9" t="inlineStr">
        <is>
          <t>10K Gold Last Supper Medallion Pendant, Miami Curb Border</t>
        </is>
      </c>
      <c r="C654" s="9" t="n">
        <v>1770702803</v>
      </c>
      <c r="D654" s="9" t="inlineStr">
        <is>
          <t>PCLS48-38-24</t>
        </is>
      </c>
      <c r="E654" s="9" t="inlineStr">
        <is>
          <t>description</t>
        </is>
      </c>
      <c r="F654" s="10" t="n">
        <v>2663</v>
      </c>
      <c r="G654" s="18" t="n">
        <v>14.99</v>
      </c>
      <c r="H654" s="10">
        <f>IF(G654="","",G654*Ayarlar!$B$3+Ayarlar!$B$4+Ayarlar!$B$5)</f>
        <v/>
      </c>
      <c r="I654" s="10">
        <f>IF(G654="","",ROUNDUP(((G654*Ayarlar!$B$3+Ayarlar!$B$4+Ayarlar!$B$5)+Ayarlar!$B$8)/((1-Ayarlar!$B$6)*(1-Ayarlar!$B$7)),0))</f>
        <v/>
      </c>
      <c r="J654" s="10">
        <f>IF(G654="","",ROUNDUP(((G654*Ayarlar!$B$3+Ayarlar!$B$4+Ayarlar!$B$5)+Ayarlar!$B$8)/((1-Ayarlar!$B$6)*(1-Ayarlar!$B$7-Ayarlar!$B$9)),0))</f>
        <v/>
      </c>
      <c r="K654" s="12">
        <f>IF(OR(G654="",F654=""),"",(F654*(1-Ayarlar!$B$6)-(F654*(1-Ayarlar!$B$6)*Ayarlar!$B$7+Ayarlar!$B$8)-(G654*Ayarlar!$B$3+Ayarlar!$B$4+Ayarlar!$B$5))/(F654*(1-Ayarlar!$B$6)))</f>
        <v/>
      </c>
      <c r="L654" s="9">
        <f>IF(G654="","GRAM EKSİK",IF(F654&gt;30000,"FİYAT ŞÜPHELİ",IF(K654&lt;0,"ZARARDA",IF(F654&lt;I654,"RİSKLİ","ok"))))</f>
        <v/>
      </c>
      <c r="M654" s="13" t="inlineStr">
        <is>
          <t>https://www.etsy.com/listing/1770702803</t>
        </is>
      </c>
    </row>
    <row r="655">
      <c r="A655" s="3" t="inlineStr">
        <is>
          <t>faith</t>
        </is>
      </c>
      <c r="B655" s="3" t="inlineStr">
        <is>
          <t>10K Gold Last Supper Medallion Pendant, Miami Curb Border</t>
        </is>
      </c>
      <c r="C655" s="3" t="n">
        <v>1770702803</v>
      </c>
      <c r="D655" s="3" t="inlineStr">
        <is>
          <t>PCLS48-45-16</t>
        </is>
      </c>
      <c r="E655" s="3" t="inlineStr">
        <is>
          <t>description</t>
        </is>
      </c>
      <c r="F655" s="14" t="n">
        <v>2616</v>
      </c>
      <c r="G655" s="17" t="n">
        <v>14.72</v>
      </c>
      <c r="H655" s="14">
        <f>IF(G655="","",G655*Ayarlar!$B$3+Ayarlar!$B$4+Ayarlar!$B$5)</f>
        <v/>
      </c>
      <c r="I655" s="14">
        <f>IF(G655="","",ROUNDUP(((G655*Ayarlar!$B$3+Ayarlar!$B$4+Ayarlar!$B$5)+Ayarlar!$B$8)/((1-Ayarlar!$B$6)*(1-Ayarlar!$B$7)),0))</f>
        <v/>
      </c>
      <c r="J655" s="14">
        <f>IF(G655="","",ROUNDUP(((G655*Ayarlar!$B$3+Ayarlar!$B$4+Ayarlar!$B$5)+Ayarlar!$B$8)/((1-Ayarlar!$B$6)*(1-Ayarlar!$B$7-Ayarlar!$B$9)),0))</f>
        <v/>
      </c>
      <c r="K655" s="15">
        <f>IF(OR(G655="",F655=""),"",(F655*(1-Ayarlar!$B$6)-(F655*(1-Ayarlar!$B$6)*Ayarlar!$B$7+Ayarlar!$B$8)-(G655*Ayarlar!$B$3+Ayarlar!$B$4+Ayarlar!$B$5))/(F655*(1-Ayarlar!$B$6)))</f>
        <v/>
      </c>
      <c r="L655" s="3">
        <f>IF(G655="","GRAM EKSİK",IF(F655&gt;30000,"FİYAT ŞÜPHELİ",IF(K655&lt;0,"ZARARDA",IF(F655&lt;I655,"RİSKLİ","ok"))))</f>
        <v/>
      </c>
      <c r="M655" s="16" t="inlineStr">
        <is>
          <t>https://www.etsy.com/listing/1770702803</t>
        </is>
      </c>
    </row>
    <row r="656">
      <c r="A656" s="9" t="inlineStr">
        <is>
          <t>faith</t>
        </is>
      </c>
      <c r="B656" s="9" t="inlineStr">
        <is>
          <t>10K Gold Last Supper Medallion Pendant, Miami Curb Border</t>
        </is>
      </c>
      <c r="C656" s="9" t="n">
        <v>1770702803</v>
      </c>
      <c r="D656" s="9" t="inlineStr">
        <is>
          <t>PCLS48-45-18</t>
        </is>
      </c>
      <c r="E656" s="9" t="inlineStr">
        <is>
          <t>description</t>
        </is>
      </c>
      <c r="F656" s="10" t="n">
        <v>2794</v>
      </c>
      <c r="G656" s="18" t="n">
        <v>15.73</v>
      </c>
      <c r="H656" s="10">
        <f>IF(G656="","",G656*Ayarlar!$B$3+Ayarlar!$B$4+Ayarlar!$B$5)</f>
        <v/>
      </c>
      <c r="I656" s="10">
        <f>IF(G656="","",ROUNDUP(((G656*Ayarlar!$B$3+Ayarlar!$B$4+Ayarlar!$B$5)+Ayarlar!$B$8)/((1-Ayarlar!$B$6)*(1-Ayarlar!$B$7)),0))</f>
        <v/>
      </c>
      <c r="J656" s="10">
        <f>IF(G656="","",ROUNDUP(((G656*Ayarlar!$B$3+Ayarlar!$B$4+Ayarlar!$B$5)+Ayarlar!$B$8)/((1-Ayarlar!$B$6)*(1-Ayarlar!$B$7-Ayarlar!$B$9)),0))</f>
        <v/>
      </c>
      <c r="K656" s="12">
        <f>IF(OR(G656="",F656=""),"",(F656*(1-Ayarlar!$B$6)-(F656*(1-Ayarlar!$B$6)*Ayarlar!$B$7+Ayarlar!$B$8)-(G656*Ayarlar!$B$3+Ayarlar!$B$4+Ayarlar!$B$5))/(F656*(1-Ayarlar!$B$6)))</f>
        <v/>
      </c>
      <c r="L656" s="9">
        <f>IF(G656="","GRAM EKSİK",IF(F656&gt;30000,"FİYAT ŞÜPHELİ",IF(K656&lt;0,"ZARARDA",IF(F656&lt;I656,"RİSKLİ","ok"))))</f>
        <v/>
      </c>
      <c r="M656" s="13" t="inlineStr">
        <is>
          <t>https://www.etsy.com/listing/1770702803</t>
        </is>
      </c>
    </row>
    <row r="657">
      <c r="A657" s="3" t="inlineStr">
        <is>
          <t>faith</t>
        </is>
      </c>
      <c r="B657" s="3" t="inlineStr">
        <is>
          <t>10K Gold Last Supper Medallion Pendant, Miami Curb Border</t>
        </is>
      </c>
      <c r="C657" s="3" t="n">
        <v>1770702803</v>
      </c>
      <c r="D657" s="3" t="inlineStr">
        <is>
          <t>PCLS48-45-20</t>
        </is>
      </c>
      <c r="E657" s="3" t="inlineStr">
        <is>
          <t>description</t>
        </is>
      </c>
      <c r="F657" s="14" t="n">
        <v>2971</v>
      </c>
      <c r="G657" s="17" t="n">
        <v>16.73</v>
      </c>
      <c r="H657" s="14">
        <f>IF(G657="","",G657*Ayarlar!$B$3+Ayarlar!$B$4+Ayarlar!$B$5)</f>
        <v/>
      </c>
      <c r="I657" s="14">
        <f>IF(G657="","",ROUNDUP(((G657*Ayarlar!$B$3+Ayarlar!$B$4+Ayarlar!$B$5)+Ayarlar!$B$8)/((1-Ayarlar!$B$6)*(1-Ayarlar!$B$7)),0))</f>
        <v/>
      </c>
      <c r="J657" s="14">
        <f>IF(G657="","",ROUNDUP(((G657*Ayarlar!$B$3+Ayarlar!$B$4+Ayarlar!$B$5)+Ayarlar!$B$8)/((1-Ayarlar!$B$6)*(1-Ayarlar!$B$7-Ayarlar!$B$9)),0))</f>
        <v/>
      </c>
      <c r="K657" s="15">
        <f>IF(OR(G657="",F657=""),"",(F657*(1-Ayarlar!$B$6)-(F657*(1-Ayarlar!$B$6)*Ayarlar!$B$7+Ayarlar!$B$8)-(G657*Ayarlar!$B$3+Ayarlar!$B$4+Ayarlar!$B$5))/(F657*(1-Ayarlar!$B$6)))</f>
        <v/>
      </c>
      <c r="L657" s="3">
        <f>IF(G657="","GRAM EKSİK",IF(F657&gt;30000,"FİYAT ŞÜPHELİ",IF(K657&lt;0,"ZARARDA",IF(F657&lt;I657,"RİSKLİ","ok"))))</f>
        <v/>
      </c>
      <c r="M657" s="16" t="inlineStr">
        <is>
          <t>https://www.etsy.com/listing/1770702803</t>
        </is>
      </c>
    </row>
    <row r="658">
      <c r="A658" s="9" t="inlineStr">
        <is>
          <t>faith</t>
        </is>
      </c>
      <c r="B658" s="9" t="inlineStr">
        <is>
          <t>10K Gold Last Supper Medallion Pendant, Miami Curb Border</t>
        </is>
      </c>
      <c r="C658" s="9" t="n">
        <v>1770702803</v>
      </c>
      <c r="D658" s="9" t="inlineStr">
        <is>
          <t>PCLS48-45-22</t>
        </is>
      </c>
      <c r="E658" s="9" t="inlineStr">
        <is>
          <t>description</t>
        </is>
      </c>
      <c r="F658" s="10" t="n">
        <v>3148</v>
      </c>
      <c r="G658" s="18" t="n">
        <v>17.73</v>
      </c>
      <c r="H658" s="10">
        <f>IF(G658="","",G658*Ayarlar!$B$3+Ayarlar!$B$4+Ayarlar!$B$5)</f>
        <v/>
      </c>
      <c r="I658" s="10">
        <f>IF(G658="","",ROUNDUP(((G658*Ayarlar!$B$3+Ayarlar!$B$4+Ayarlar!$B$5)+Ayarlar!$B$8)/((1-Ayarlar!$B$6)*(1-Ayarlar!$B$7)),0))</f>
        <v/>
      </c>
      <c r="J658" s="10">
        <f>IF(G658="","",ROUNDUP(((G658*Ayarlar!$B$3+Ayarlar!$B$4+Ayarlar!$B$5)+Ayarlar!$B$8)/((1-Ayarlar!$B$6)*(1-Ayarlar!$B$7-Ayarlar!$B$9)),0))</f>
        <v/>
      </c>
      <c r="K658" s="12">
        <f>IF(OR(G658="",F658=""),"",(F658*(1-Ayarlar!$B$6)-(F658*(1-Ayarlar!$B$6)*Ayarlar!$B$7+Ayarlar!$B$8)-(G658*Ayarlar!$B$3+Ayarlar!$B$4+Ayarlar!$B$5))/(F658*(1-Ayarlar!$B$6)))</f>
        <v/>
      </c>
      <c r="L658" s="9">
        <f>IF(G658="","GRAM EKSİK",IF(F658&gt;30000,"FİYAT ŞÜPHELİ",IF(K658&lt;0,"ZARARDA",IF(F658&lt;I658,"RİSKLİ","ok"))))</f>
        <v/>
      </c>
      <c r="M658" s="13" t="inlineStr">
        <is>
          <t>https://www.etsy.com/listing/1770702803</t>
        </is>
      </c>
    </row>
    <row r="659">
      <c r="A659" s="3" t="inlineStr">
        <is>
          <t>faith</t>
        </is>
      </c>
      <c r="B659" s="3" t="inlineStr">
        <is>
          <t>10K Gold Last Supper Medallion Pendant, Miami Curb Border</t>
        </is>
      </c>
      <c r="C659" s="3" t="n">
        <v>1770702803</v>
      </c>
      <c r="D659" s="3" t="inlineStr">
        <is>
          <t>PCLS48-45-24</t>
        </is>
      </c>
      <c r="E659" s="3" t="inlineStr">
        <is>
          <t>description</t>
        </is>
      </c>
      <c r="F659" s="14" t="n">
        <v>3327</v>
      </c>
      <c r="G659" s="17" t="n">
        <v>18.74</v>
      </c>
      <c r="H659" s="14">
        <f>IF(G659="","",G659*Ayarlar!$B$3+Ayarlar!$B$4+Ayarlar!$B$5)</f>
        <v/>
      </c>
      <c r="I659" s="14">
        <f>IF(G659="","",ROUNDUP(((G659*Ayarlar!$B$3+Ayarlar!$B$4+Ayarlar!$B$5)+Ayarlar!$B$8)/((1-Ayarlar!$B$6)*(1-Ayarlar!$B$7)),0))</f>
        <v/>
      </c>
      <c r="J659" s="14">
        <f>IF(G659="","",ROUNDUP(((G659*Ayarlar!$B$3+Ayarlar!$B$4+Ayarlar!$B$5)+Ayarlar!$B$8)/((1-Ayarlar!$B$6)*(1-Ayarlar!$B$7-Ayarlar!$B$9)),0))</f>
        <v/>
      </c>
      <c r="K659" s="15">
        <f>IF(OR(G659="",F659=""),"",(F659*(1-Ayarlar!$B$6)-(F659*(1-Ayarlar!$B$6)*Ayarlar!$B$7+Ayarlar!$B$8)-(G659*Ayarlar!$B$3+Ayarlar!$B$4+Ayarlar!$B$5))/(F659*(1-Ayarlar!$B$6)))</f>
        <v/>
      </c>
      <c r="L659" s="3">
        <f>IF(G659="","GRAM EKSİK",IF(F659&gt;30000,"FİYAT ŞÜPHELİ",IF(K659&lt;0,"ZARARDA",IF(F659&lt;I659,"RİSKLİ","ok"))))</f>
        <v/>
      </c>
      <c r="M659" s="16" t="inlineStr">
        <is>
          <t>https://www.etsy.com/listing/1770702803</t>
        </is>
      </c>
    </row>
    <row r="660">
      <c r="A660" s="9" t="inlineStr">
        <is>
          <t>faith</t>
        </is>
      </c>
      <c r="B660" s="9" t="inlineStr">
        <is>
          <t>10K Gold Last Supper Medallion Pendant, Miami Curb Border</t>
        </is>
      </c>
      <c r="C660" s="9" t="n">
        <v>1770702803</v>
      </c>
      <c r="D660" s="9" t="inlineStr">
        <is>
          <t>PCLS60-3-16</t>
        </is>
      </c>
      <c r="E660" s="9" t="inlineStr">
        <is>
          <t>description</t>
        </is>
      </c>
      <c r="F660" s="10" t="n">
        <v>2971</v>
      </c>
      <c r="G660" s="18" t="n">
        <v>16.73</v>
      </c>
      <c r="H660" s="10">
        <f>IF(G660="","",G660*Ayarlar!$B$3+Ayarlar!$B$4+Ayarlar!$B$5)</f>
        <v/>
      </c>
      <c r="I660" s="10">
        <f>IF(G660="","",ROUNDUP(((G660*Ayarlar!$B$3+Ayarlar!$B$4+Ayarlar!$B$5)+Ayarlar!$B$8)/((1-Ayarlar!$B$6)*(1-Ayarlar!$B$7)),0))</f>
        <v/>
      </c>
      <c r="J660" s="10">
        <f>IF(G660="","",ROUNDUP(((G660*Ayarlar!$B$3+Ayarlar!$B$4+Ayarlar!$B$5)+Ayarlar!$B$8)/((1-Ayarlar!$B$6)*(1-Ayarlar!$B$7-Ayarlar!$B$9)),0))</f>
        <v/>
      </c>
      <c r="K660" s="12">
        <f>IF(OR(G660="",F660=""),"",(F660*(1-Ayarlar!$B$6)-(F660*(1-Ayarlar!$B$6)*Ayarlar!$B$7+Ayarlar!$B$8)-(G660*Ayarlar!$B$3+Ayarlar!$B$4+Ayarlar!$B$5))/(F660*(1-Ayarlar!$B$6)))</f>
        <v/>
      </c>
      <c r="L660" s="9">
        <f>IF(G660="","GRAM EKSİK",IF(F660&gt;30000,"FİYAT ŞÜPHELİ",IF(K660&lt;0,"ZARARDA",IF(F660&lt;I660,"RİSKLİ","ok"))))</f>
        <v/>
      </c>
      <c r="M660" s="13" t="inlineStr">
        <is>
          <t>https://www.etsy.com/listing/1770702803</t>
        </is>
      </c>
    </row>
    <row r="661">
      <c r="A661" s="3" t="inlineStr">
        <is>
          <t>faith</t>
        </is>
      </c>
      <c r="B661" s="3" t="inlineStr">
        <is>
          <t>10K Gold Last Supper Medallion Pendant, Miami Curb Border</t>
        </is>
      </c>
      <c r="C661" s="3" t="n">
        <v>1770702803</v>
      </c>
      <c r="D661" s="3" t="inlineStr">
        <is>
          <t>PCLS60-3-18</t>
        </is>
      </c>
      <c r="E661" s="3" t="inlineStr">
        <is>
          <t>description</t>
        </is>
      </c>
      <c r="F661" s="14" t="n">
        <v>3061</v>
      </c>
      <c r="G661" s="17" t="n">
        <v>17.24</v>
      </c>
      <c r="H661" s="14">
        <f>IF(G661="","",G661*Ayarlar!$B$3+Ayarlar!$B$4+Ayarlar!$B$5)</f>
        <v/>
      </c>
      <c r="I661" s="14">
        <f>IF(G661="","",ROUNDUP(((G661*Ayarlar!$B$3+Ayarlar!$B$4+Ayarlar!$B$5)+Ayarlar!$B$8)/((1-Ayarlar!$B$6)*(1-Ayarlar!$B$7)),0))</f>
        <v/>
      </c>
      <c r="J661" s="14">
        <f>IF(G661="","",ROUNDUP(((G661*Ayarlar!$B$3+Ayarlar!$B$4+Ayarlar!$B$5)+Ayarlar!$B$8)/((1-Ayarlar!$B$6)*(1-Ayarlar!$B$7-Ayarlar!$B$9)),0))</f>
        <v/>
      </c>
      <c r="K661" s="15">
        <f>IF(OR(G661="",F661=""),"",(F661*(1-Ayarlar!$B$6)-(F661*(1-Ayarlar!$B$6)*Ayarlar!$B$7+Ayarlar!$B$8)-(G661*Ayarlar!$B$3+Ayarlar!$B$4+Ayarlar!$B$5))/(F661*(1-Ayarlar!$B$6)))</f>
        <v/>
      </c>
      <c r="L661" s="3">
        <f>IF(G661="","GRAM EKSİK",IF(F661&gt;30000,"FİYAT ŞÜPHELİ",IF(K661&lt;0,"ZARARDA",IF(F661&lt;I661,"RİSKLİ","ok"))))</f>
        <v/>
      </c>
      <c r="M661" s="16" t="inlineStr">
        <is>
          <t>https://www.etsy.com/listing/1770702803</t>
        </is>
      </c>
    </row>
    <row r="662">
      <c r="A662" s="9" t="inlineStr">
        <is>
          <t>faith</t>
        </is>
      </c>
      <c r="B662" s="9" t="inlineStr">
        <is>
          <t>10K Gold Last Supper Medallion Pendant, Miami Curb Border</t>
        </is>
      </c>
      <c r="C662" s="9" t="n">
        <v>1770702803</v>
      </c>
      <c r="D662" s="9" t="inlineStr">
        <is>
          <t>PCLS60-3-20</t>
        </is>
      </c>
      <c r="E662" s="9" t="inlineStr">
        <is>
          <t>description</t>
        </is>
      </c>
      <c r="F662" s="10" t="n">
        <v>3153</v>
      </c>
      <c r="G662" s="18" t="n">
        <v>17.76</v>
      </c>
      <c r="H662" s="10">
        <f>IF(G662="","",G662*Ayarlar!$B$3+Ayarlar!$B$4+Ayarlar!$B$5)</f>
        <v/>
      </c>
      <c r="I662" s="10">
        <f>IF(G662="","",ROUNDUP(((G662*Ayarlar!$B$3+Ayarlar!$B$4+Ayarlar!$B$5)+Ayarlar!$B$8)/((1-Ayarlar!$B$6)*(1-Ayarlar!$B$7)),0))</f>
        <v/>
      </c>
      <c r="J662" s="10">
        <f>IF(G662="","",ROUNDUP(((G662*Ayarlar!$B$3+Ayarlar!$B$4+Ayarlar!$B$5)+Ayarlar!$B$8)/((1-Ayarlar!$B$6)*(1-Ayarlar!$B$7-Ayarlar!$B$9)),0))</f>
        <v/>
      </c>
      <c r="K662" s="12">
        <f>IF(OR(G662="",F662=""),"",(F662*(1-Ayarlar!$B$6)-(F662*(1-Ayarlar!$B$6)*Ayarlar!$B$7+Ayarlar!$B$8)-(G662*Ayarlar!$B$3+Ayarlar!$B$4+Ayarlar!$B$5))/(F662*(1-Ayarlar!$B$6)))</f>
        <v/>
      </c>
      <c r="L662" s="9">
        <f>IF(G662="","GRAM EKSİK",IF(F662&gt;30000,"FİYAT ŞÜPHELİ",IF(K662&lt;0,"ZARARDA",IF(F662&lt;I662,"RİSKLİ","ok"))))</f>
        <v/>
      </c>
      <c r="M662" s="13" t="inlineStr">
        <is>
          <t>https://www.etsy.com/listing/1770702803</t>
        </is>
      </c>
    </row>
    <row r="663">
      <c r="A663" s="3" t="inlineStr">
        <is>
          <t>faith</t>
        </is>
      </c>
      <c r="B663" s="3" t="inlineStr">
        <is>
          <t>10K Gold Last Supper Medallion Pendant, Miami Curb Border</t>
        </is>
      </c>
      <c r="C663" s="3" t="n">
        <v>1770702803</v>
      </c>
      <c r="D663" s="3" t="inlineStr">
        <is>
          <t>PCLS60-3-22</t>
        </is>
      </c>
      <c r="E663" s="3" t="inlineStr">
        <is>
          <t>description</t>
        </is>
      </c>
      <c r="F663" s="14" t="n">
        <v>3245</v>
      </c>
      <c r="G663" s="17" t="n">
        <v>18.28</v>
      </c>
      <c r="H663" s="14">
        <f>IF(G663="","",G663*Ayarlar!$B$3+Ayarlar!$B$4+Ayarlar!$B$5)</f>
        <v/>
      </c>
      <c r="I663" s="14">
        <f>IF(G663="","",ROUNDUP(((G663*Ayarlar!$B$3+Ayarlar!$B$4+Ayarlar!$B$5)+Ayarlar!$B$8)/((1-Ayarlar!$B$6)*(1-Ayarlar!$B$7)),0))</f>
        <v/>
      </c>
      <c r="J663" s="14">
        <f>IF(G663="","",ROUNDUP(((G663*Ayarlar!$B$3+Ayarlar!$B$4+Ayarlar!$B$5)+Ayarlar!$B$8)/((1-Ayarlar!$B$6)*(1-Ayarlar!$B$7-Ayarlar!$B$9)),0))</f>
        <v/>
      </c>
      <c r="K663" s="15">
        <f>IF(OR(G663="",F663=""),"",(F663*(1-Ayarlar!$B$6)-(F663*(1-Ayarlar!$B$6)*Ayarlar!$B$7+Ayarlar!$B$8)-(G663*Ayarlar!$B$3+Ayarlar!$B$4+Ayarlar!$B$5))/(F663*(1-Ayarlar!$B$6)))</f>
        <v/>
      </c>
      <c r="L663" s="3">
        <f>IF(G663="","GRAM EKSİK",IF(F663&gt;30000,"FİYAT ŞÜPHELİ",IF(K663&lt;0,"ZARARDA",IF(F663&lt;I663,"RİSKLİ","ok"))))</f>
        <v/>
      </c>
      <c r="M663" s="16" t="inlineStr">
        <is>
          <t>https://www.etsy.com/listing/1770702803</t>
        </is>
      </c>
    </row>
    <row r="664">
      <c r="A664" s="9" t="inlineStr">
        <is>
          <t>faith</t>
        </is>
      </c>
      <c r="B664" s="9" t="inlineStr">
        <is>
          <t>10K Gold Last Supper Medallion Pendant, Miami Curb Border</t>
        </is>
      </c>
      <c r="C664" s="9" t="n">
        <v>1770702803</v>
      </c>
      <c r="D664" s="9" t="inlineStr">
        <is>
          <t>PCLS60-3-24</t>
        </is>
      </c>
      <c r="E664" s="9" t="inlineStr">
        <is>
          <t>description</t>
        </is>
      </c>
      <c r="F664" s="10" t="n">
        <v>3335</v>
      </c>
      <c r="G664" s="18" t="n">
        <v>18.79</v>
      </c>
      <c r="H664" s="10">
        <f>IF(G664="","",G664*Ayarlar!$B$3+Ayarlar!$B$4+Ayarlar!$B$5)</f>
        <v/>
      </c>
      <c r="I664" s="10">
        <f>IF(G664="","",ROUNDUP(((G664*Ayarlar!$B$3+Ayarlar!$B$4+Ayarlar!$B$5)+Ayarlar!$B$8)/((1-Ayarlar!$B$6)*(1-Ayarlar!$B$7)),0))</f>
        <v/>
      </c>
      <c r="J664" s="10">
        <f>IF(G664="","",ROUNDUP(((G664*Ayarlar!$B$3+Ayarlar!$B$4+Ayarlar!$B$5)+Ayarlar!$B$8)/((1-Ayarlar!$B$6)*(1-Ayarlar!$B$7-Ayarlar!$B$9)),0))</f>
        <v/>
      </c>
      <c r="K664" s="12">
        <f>IF(OR(G664="",F664=""),"",(F664*(1-Ayarlar!$B$6)-(F664*(1-Ayarlar!$B$6)*Ayarlar!$B$7+Ayarlar!$B$8)-(G664*Ayarlar!$B$3+Ayarlar!$B$4+Ayarlar!$B$5))/(F664*(1-Ayarlar!$B$6)))</f>
        <v/>
      </c>
      <c r="L664" s="9">
        <f>IF(G664="","GRAM EKSİK",IF(F664&gt;30000,"FİYAT ŞÜPHELİ",IF(K664&lt;0,"ZARARDA",IF(F664&lt;I664,"RİSKLİ","ok"))))</f>
        <v/>
      </c>
      <c r="M664" s="13" t="inlineStr">
        <is>
          <t>https://www.etsy.com/listing/1770702803</t>
        </is>
      </c>
    </row>
    <row r="665">
      <c r="A665" s="3" t="inlineStr">
        <is>
          <t>faith</t>
        </is>
      </c>
      <c r="B665" s="3" t="inlineStr">
        <is>
          <t>10K Gold Last Supper Medallion Pendant, Miami Curb Border</t>
        </is>
      </c>
      <c r="C665" s="3" t="n">
        <v>1770702803</v>
      </c>
      <c r="D665" s="3" t="inlineStr">
        <is>
          <t>PCLS60-38-16</t>
        </is>
      </c>
      <c r="E665" s="3" t="inlineStr">
        <is>
          <t>description</t>
        </is>
      </c>
      <c r="F665" s="14" t="n">
        <v>3219</v>
      </c>
      <c r="G665" s="17" t="n">
        <v>18.13</v>
      </c>
      <c r="H665" s="14">
        <f>IF(G665="","",G665*Ayarlar!$B$3+Ayarlar!$B$4+Ayarlar!$B$5)</f>
        <v/>
      </c>
      <c r="I665" s="14">
        <f>IF(G665="","",ROUNDUP(((G665*Ayarlar!$B$3+Ayarlar!$B$4+Ayarlar!$B$5)+Ayarlar!$B$8)/((1-Ayarlar!$B$6)*(1-Ayarlar!$B$7)),0))</f>
        <v/>
      </c>
      <c r="J665" s="14">
        <f>IF(G665="","",ROUNDUP(((G665*Ayarlar!$B$3+Ayarlar!$B$4+Ayarlar!$B$5)+Ayarlar!$B$8)/((1-Ayarlar!$B$6)*(1-Ayarlar!$B$7-Ayarlar!$B$9)),0))</f>
        <v/>
      </c>
      <c r="K665" s="15">
        <f>IF(OR(G665="",F665=""),"",(F665*(1-Ayarlar!$B$6)-(F665*(1-Ayarlar!$B$6)*Ayarlar!$B$7+Ayarlar!$B$8)-(G665*Ayarlar!$B$3+Ayarlar!$B$4+Ayarlar!$B$5))/(F665*(1-Ayarlar!$B$6)))</f>
        <v/>
      </c>
      <c r="L665" s="3">
        <f>IF(G665="","GRAM EKSİK",IF(F665&gt;30000,"FİYAT ŞÜPHELİ",IF(K665&lt;0,"ZARARDA",IF(F665&lt;I665,"RİSKLİ","ok"))))</f>
        <v/>
      </c>
      <c r="M665" s="16" t="inlineStr">
        <is>
          <t>https://www.etsy.com/listing/1770702803</t>
        </is>
      </c>
    </row>
    <row r="666">
      <c r="A666" s="9" t="inlineStr">
        <is>
          <t>faith</t>
        </is>
      </c>
      <c r="B666" s="9" t="inlineStr">
        <is>
          <t>10K Gold Last Supper Medallion Pendant, Miami Curb Border</t>
        </is>
      </c>
      <c r="C666" s="9" t="n">
        <v>1770702803</v>
      </c>
      <c r="D666" s="9" t="inlineStr">
        <is>
          <t>PCLS60-38-18</t>
        </is>
      </c>
      <c r="E666" s="9" t="inlineStr">
        <is>
          <t>description</t>
        </is>
      </c>
      <c r="F666" s="10" t="n">
        <v>3341</v>
      </c>
      <c r="G666" s="18" t="n">
        <v>18.82</v>
      </c>
      <c r="H666" s="10">
        <f>IF(G666="","",G666*Ayarlar!$B$3+Ayarlar!$B$4+Ayarlar!$B$5)</f>
        <v/>
      </c>
      <c r="I666" s="10">
        <f>IF(G666="","",ROUNDUP(((G666*Ayarlar!$B$3+Ayarlar!$B$4+Ayarlar!$B$5)+Ayarlar!$B$8)/((1-Ayarlar!$B$6)*(1-Ayarlar!$B$7)),0))</f>
        <v/>
      </c>
      <c r="J666" s="10">
        <f>IF(G666="","",ROUNDUP(((G666*Ayarlar!$B$3+Ayarlar!$B$4+Ayarlar!$B$5)+Ayarlar!$B$8)/((1-Ayarlar!$B$6)*(1-Ayarlar!$B$7-Ayarlar!$B$9)),0))</f>
        <v/>
      </c>
      <c r="K666" s="12">
        <f>IF(OR(G666="",F666=""),"",(F666*(1-Ayarlar!$B$6)-(F666*(1-Ayarlar!$B$6)*Ayarlar!$B$7+Ayarlar!$B$8)-(G666*Ayarlar!$B$3+Ayarlar!$B$4+Ayarlar!$B$5))/(F666*(1-Ayarlar!$B$6)))</f>
        <v/>
      </c>
      <c r="L666" s="9">
        <f>IF(G666="","GRAM EKSİK",IF(F666&gt;30000,"FİYAT ŞÜPHELİ",IF(K666&lt;0,"ZARARDA",IF(F666&lt;I666,"RİSKLİ","ok"))))</f>
        <v/>
      </c>
      <c r="M666" s="13" t="inlineStr">
        <is>
          <t>https://www.etsy.com/listing/1770702803</t>
        </is>
      </c>
    </row>
    <row r="667">
      <c r="A667" s="3" t="inlineStr">
        <is>
          <t>faith</t>
        </is>
      </c>
      <c r="B667" s="3" t="inlineStr">
        <is>
          <t>10K Gold Last Supper Medallion Pendant, Miami Curb Border</t>
        </is>
      </c>
      <c r="C667" s="3" t="n">
        <v>1770702803</v>
      </c>
      <c r="D667" s="3" t="inlineStr">
        <is>
          <t>PCLS60-38-20</t>
        </is>
      </c>
      <c r="E667" s="3" t="inlineStr">
        <is>
          <t>description</t>
        </is>
      </c>
      <c r="F667" s="14" t="n">
        <v>3463</v>
      </c>
      <c r="G667" s="17" t="n">
        <v>19.51</v>
      </c>
      <c r="H667" s="14">
        <f>IF(G667="","",G667*Ayarlar!$B$3+Ayarlar!$B$4+Ayarlar!$B$5)</f>
        <v/>
      </c>
      <c r="I667" s="14">
        <f>IF(G667="","",ROUNDUP(((G667*Ayarlar!$B$3+Ayarlar!$B$4+Ayarlar!$B$5)+Ayarlar!$B$8)/((1-Ayarlar!$B$6)*(1-Ayarlar!$B$7)),0))</f>
        <v/>
      </c>
      <c r="J667" s="14">
        <f>IF(G667="","",ROUNDUP(((G667*Ayarlar!$B$3+Ayarlar!$B$4+Ayarlar!$B$5)+Ayarlar!$B$8)/((1-Ayarlar!$B$6)*(1-Ayarlar!$B$7-Ayarlar!$B$9)),0))</f>
        <v/>
      </c>
      <c r="K667" s="15">
        <f>IF(OR(G667="",F667=""),"",(F667*(1-Ayarlar!$B$6)-(F667*(1-Ayarlar!$B$6)*Ayarlar!$B$7+Ayarlar!$B$8)-(G667*Ayarlar!$B$3+Ayarlar!$B$4+Ayarlar!$B$5))/(F667*(1-Ayarlar!$B$6)))</f>
        <v/>
      </c>
      <c r="L667" s="3">
        <f>IF(G667="","GRAM EKSİK",IF(F667&gt;30000,"FİYAT ŞÜPHELİ",IF(K667&lt;0,"ZARARDA",IF(F667&lt;I667,"RİSKLİ","ok"))))</f>
        <v/>
      </c>
      <c r="M667" s="16" t="inlineStr">
        <is>
          <t>https://www.etsy.com/listing/1770702803</t>
        </is>
      </c>
    </row>
    <row r="668">
      <c r="A668" s="9" t="inlineStr">
        <is>
          <t>faith</t>
        </is>
      </c>
      <c r="B668" s="9" t="inlineStr">
        <is>
          <t>10K Gold Last Supper Medallion Pendant, Miami Curb Border</t>
        </is>
      </c>
      <c r="C668" s="9" t="n">
        <v>1770702803</v>
      </c>
      <c r="D668" s="9" t="inlineStr">
        <is>
          <t>PCLS60-38-22</t>
        </is>
      </c>
      <c r="E668" s="9" t="inlineStr">
        <is>
          <t>description</t>
        </is>
      </c>
      <c r="F668" s="10" t="n">
        <v>3585</v>
      </c>
      <c r="G668" s="18" t="n">
        <v>20.2</v>
      </c>
      <c r="H668" s="10">
        <f>IF(G668="","",G668*Ayarlar!$B$3+Ayarlar!$B$4+Ayarlar!$B$5)</f>
        <v/>
      </c>
      <c r="I668" s="10">
        <f>IF(G668="","",ROUNDUP(((G668*Ayarlar!$B$3+Ayarlar!$B$4+Ayarlar!$B$5)+Ayarlar!$B$8)/((1-Ayarlar!$B$6)*(1-Ayarlar!$B$7)),0))</f>
        <v/>
      </c>
      <c r="J668" s="10">
        <f>IF(G668="","",ROUNDUP(((G668*Ayarlar!$B$3+Ayarlar!$B$4+Ayarlar!$B$5)+Ayarlar!$B$8)/((1-Ayarlar!$B$6)*(1-Ayarlar!$B$7-Ayarlar!$B$9)),0))</f>
        <v/>
      </c>
      <c r="K668" s="12">
        <f>IF(OR(G668="",F668=""),"",(F668*(1-Ayarlar!$B$6)-(F668*(1-Ayarlar!$B$6)*Ayarlar!$B$7+Ayarlar!$B$8)-(G668*Ayarlar!$B$3+Ayarlar!$B$4+Ayarlar!$B$5))/(F668*(1-Ayarlar!$B$6)))</f>
        <v/>
      </c>
      <c r="L668" s="9">
        <f>IF(G668="","GRAM EKSİK",IF(F668&gt;30000,"FİYAT ŞÜPHELİ",IF(K668&lt;0,"ZARARDA",IF(F668&lt;I668,"RİSKLİ","ok"))))</f>
        <v/>
      </c>
      <c r="M668" s="13" t="inlineStr">
        <is>
          <t>https://www.etsy.com/listing/1770702803</t>
        </is>
      </c>
    </row>
    <row r="669">
      <c r="A669" s="3" t="inlineStr">
        <is>
          <t>faith</t>
        </is>
      </c>
      <c r="B669" s="3" t="inlineStr">
        <is>
          <t>10K Gold Last Supper Medallion Pendant, Miami Curb Border</t>
        </is>
      </c>
      <c r="C669" s="3" t="n">
        <v>1770702803</v>
      </c>
      <c r="D669" s="3" t="inlineStr">
        <is>
          <t>PCLS60-38-24</t>
        </is>
      </c>
      <c r="E669" s="3" t="inlineStr">
        <is>
          <t>description</t>
        </is>
      </c>
      <c r="F669" s="14" t="n">
        <v>3707</v>
      </c>
      <c r="G669" s="17" t="n">
        <v>20.89</v>
      </c>
      <c r="H669" s="14">
        <f>IF(G669="","",G669*Ayarlar!$B$3+Ayarlar!$B$4+Ayarlar!$B$5)</f>
        <v/>
      </c>
      <c r="I669" s="14">
        <f>IF(G669="","",ROUNDUP(((G669*Ayarlar!$B$3+Ayarlar!$B$4+Ayarlar!$B$5)+Ayarlar!$B$8)/((1-Ayarlar!$B$6)*(1-Ayarlar!$B$7)),0))</f>
        <v/>
      </c>
      <c r="J669" s="14">
        <f>IF(G669="","",ROUNDUP(((G669*Ayarlar!$B$3+Ayarlar!$B$4+Ayarlar!$B$5)+Ayarlar!$B$8)/((1-Ayarlar!$B$6)*(1-Ayarlar!$B$7-Ayarlar!$B$9)),0))</f>
        <v/>
      </c>
      <c r="K669" s="15">
        <f>IF(OR(G669="",F669=""),"",(F669*(1-Ayarlar!$B$6)-(F669*(1-Ayarlar!$B$6)*Ayarlar!$B$7+Ayarlar!$B$8)-(G669*Ayarlar!$B$3+Ayarlar!$B$4+Ayarlar!$B$5))/(F669*(1-Ayarlar!$B$6)))</f>
        <v/>
      </c>
      <c r="L669" s="3">
        <f>IF(G669="","GRAM EKSİK",IF(F669&gt;30000,"FİYAT ŞÜPHELİ",IF(K669&lt;0,"ZARARDA",IF(F669&lt;I669,"RİSKLİ","ok"))))</f>
        <v/>
      </c>
      <c r="M669" s="16" t="inlineStr">
        <is>
          <t>https://www.etsy.com/listing/1770702803</t>
        </is>
      </c>
    </row>
    <row r="670">
      <c r="A670" s="9" t="inlineStr">
        <is>
          <t>faith</t>
        </is>
      </c>
      <c r="B670" s="9" t="inlineStr">
        <is>
          <t>10K Gold Last Supper Medallion Pendant, Miami Curb Border</t>
        </is>
      </c>
      <c r="C670" s="9" t="n">
        <v>1770702803</v>
      </c>
      <c r="D670" s="9" t="inlineStr">
        <is>
          <t>PCLS60-45-16</t>
        </is>
      </c>
      <c r="E670" s="9" t="inlineStr">
        <is>
          <t>description</t>
        </is>
      </c>
      <c r="F670" s="10" t="n">
        <v>3659</v>
      </c>
      <c r="G670" s="18" t="n">
        <v>20.62</v>
      </c>
      <c r="H670" s="10">
        <f>IF(G670="","",G670*Ayarlar!$B$3+Ayarlar!$B$4+Ayarlar!$B$5)</f>
        <v/>
      </c>
      <c r="I670" s="10">
        <f>IF(G670="","",ROUNDUP(((G670*Ayarlar!$B$3+Ayarlar!$B$4+Ayarlar!$B$5)+Ayarlar!$B$8)/((1-Ayarlar!$B$6)*(1-Ayarlar!$B$7)),0))</f>
        <v/>
      </c>
      <c r="J670" s="10">
        <f>IF(G670="","",ROUNDUP(((G670*Ayarlar!$B$3+Ayarlar!$B$4+Ayarlar!$B$5)+Ayarlar!$B$8)/((1-Ayarlar!$B$6)*(1-Ayarlar!$B$7-Ayarlar!$B$9)),0))</f>
        <v/>
      </c>
      <c r="K670" s="12">
        <f>IF(OR(G670="",F670=""),"",(F670*(1-Ayarlar!$B$6)-(F670*(1-Ayarlar!$B$6)*Ayarlar!$B$7+Ayarlar!$B$8)-(G670*Ayarlar!$B$3+Ayarlar!$B$4+Ayarlar!$B$5))/(F670*(1-Ayarlar!$B$6)))</f>
        <v/>
      </c>
      <c r="L670" s="9">
        <f>IF(G670="","GRAM EKSİK",IF(F670&gt;30000,"FİYAT ŞÜPHELİ",IF(K670&lt;0,"ZARARDA",IF(F670&lt;I670,"RİSKLİ","ok"))))</f>
        <v/>
      </c>
      <c r="M670" s="13" t="inlineStr">
        <is>
          <t>https://www.etsy.com/listing/1770702803</t>
        </is>
      </c>
    </row>
    <row r="671">
      <c r="A671" s="3" t="inlineStr">
        <is>
          <t>faith</t>
        </is>
      </c>
      <c r="B671" s="3" t="inlineStr">
        <is>
          <t>10K Gold Last Supper Medallion Pendant, Miami Curb Border</t>
        </is>
      </c>
      <c r="C671" s="3" t="n">
        <v>1770702803</v>
      </c>
      <c r="D671" s="3" t="inlineStr">
        <is>
          <t>PCLS60-45-18</t>
        </is>
      </c>
      <c r="E671" s="3" t="inlineStr">
        <is>
          <t>description</t>
        </is>
      </c>
      <c r="F671" s="14" t="n">
        <v>3838</v>
      </c>
      <c r="G671" s="17" t="n">
        <v>21.63</v>
      </c>
      <c r="H671" s="14">
        <f>IF(G671="","",G671*Ayarlar!$B$3+Ayarlar!$B$4+Ayarlar!$B$5)</f>
        <v/>
      </c>
      <c r="I671" s="14">
        <f>IF(G671="","",ROUNDUP(((G671*Ayarlar!$B$3+Ayarlar!$B$4+Ayarlar!$B$5)+Ayarlar!$B$8)/((1-Ayarlar!$B$6)*(1-Ayarlar!$B$7)),0))</f>
        <v/>
      </c>
      <c r="J671" s="14">
        <f>IF(G671="","",ROUNDUP(((G671*Ayarlar!$B$3+Ayarlar!$B$4+Ayarlar!$B$5)+Ayarlar!$B$8)/((1-Ayarlar!$B$6)*(1-Ayarlar!$B$7-Ayarlar!$B$9)),0))</f>
        <v/>
      </c>
      <c r="K671" s="15">
        <f>IF(OR(G671="",F671=""),"",(F671*(1-Ayarlar!$B$6)-(F671*(1-Ayarlar!$B$6)*Ayarlar!$B$7+Ayarlar!$B$8)-(G671*Ayarlar!$B$3+Ayarlar!$B$4+Ayarlar!$B$5))/(F671*(1-Ayarlar!$B$6)))</f>
        <v/>
      </c>
      <c r="L671" s="3">
        <f>IF(G671="","GRAM EKSİK",IF(F671&gt;30000,"FİYAT ŞÜPHELİ",IF(K671&lt;0,"ZARARDA",IF(F671&lt;I671,"RİSKLİ","ok"))))</f>
        <v/>
      </c>
      <c r="M671" s="16" t="inlineStr">
        <is>
          <t>https://www.etsy.com/listing/1770702803</t>
        </is>
      </c>
    </row>
    <row r="672">
      <c r="A672" s="9" t="inlineStr">
        <is>
          <t>faith</t>
        </is>
      </c>
      <c r="B672" s="9" t="inlineStr">
        <is>
          <t>10K Gold Last Supper Medallion Pendant, Miami Curb Border</t>
        </is>
      </c>
      <c r="C672" s="9" t="n">
        <v>1770702803</v>
      </c>
      <c r="D672" s="9" t="inlineStr">
        <is>
          <t>PCLS60-45-20</t>
        </is>
      </c>
      <c r="E672" s="9" t="inlineStr">
        <is>
          <t>description</t>
        </is>
      </c>
      <c r="F672" s="10" t="n">
        <v>4015</v>
      </c>
      <c r="G672" s="18" t="n">
        <v>22.63</v>
      </c>
      <c r="H672" s="10">
        <f>IF(G672="","",G672*Ayarlar!$B$3+Ayarlar!$B$4+Ayarlar!$B$5)</f>
        <v/>
      </c>
      <c r="I672" s="10">
        <f>IF(G672="","",ROUNDUP(((G672*Ayarlar!$B$3+Ayarlar!$B$4+Ayarlar!$B$5)+Ayarlar!$B$8)/((1-Ayarlar!$B$6)*(1-Ayarlar!$B$7)),0))</f>
        <v/>
      </c>
      <c r="J672" s="10">
        <f>IF(G672="","",ROUNDUP(((G672*Ayarlar!$B$3+Ayarlar!$B$4+Ayarlar!$B$5)+Ayarlar!$B$8)/((1-Ayarlar!$B$6)*(1-Ayarlar!$B$7-Ayarlar!$B$9)),0))</f>
        <v/>
      </c>
      <c r="K672" s="12">
        <f>IF(OR(G672="",F672=""),"",(F672*(1-Ayarlar!$B$6)-(F672*(1-Ayarlar!$B$6)*Ayarlar!$B$7+Ayarlar!$B$8)-(G672*Ayarlar!$B$3+Ayarlar!$B$4+Ayarlar!$B$5))/(F672*(1-Ayarlar!$B$6)))</f>
        <v/>
      </c>
      <c r="L672" s="9">
        <f>IF(G672="","GRAM EKSİK",IF(F672&gt;30000,"FİYAT ŞÜPHELİ",IF(K672&lt;0,"ZARARDA",IF(F672&lt;I672,"RİSKLİ","ok"))))</f>
        <v/>
      </c>
      <c r="M672" s="13" t="inlineStr">
        <is>
          <t>https://www.etsy.com/listing/1770702803</t>
        </is>
      </c>
    </row>
    <row r="673">
      <c r="A673" s="3" t="inlineStr">
        <is>
          <t>faith</t>
        </is>
      </c>
      <c r="B673" s="3" t="inlineStr">
        <is>
          <t>10K Gold Last Supper Medallion Pendant, Miami Curb Border</t>
        </is>
      </c>
      <c r="C673" s="3" t="n">
        <v>1770702803</v>
      </c>
      <c r="D673" s="3" t="inlineStr">
        <is>
          <t>PCLS60-45-22</t>
        </is>
      </c>
      <c r="E673" s="3" t="inlineStr">
        <is>
          <t>description</t>
        </is>
      </c>
      <c r="F673" s="14" t="n">
        <v>4192</v>
      </c>
      <c r="G673" s="17" t="n">
        <v>23.63</v>
      </c>
      <c r="H673" s="14">
        <f>IF(G673="","",G673*Ayarlar!$B$3+Ayarlar!$B$4+Ayarlar!$B$5)</f>
        <v/>
      </c>
      <c r="I673" s="14">
        <f>IF(G673="","",ROUNDUP(((G673*Ayarlar!$B$3+Ayarlar!$B$4+Ayarlar!$B$5)+Ayarlar!$B$8)/((1-Ayarlar!$B$6)*(1-Ayarlar!$B$7)),0))</f>
        <v/>
      </c>
      <c r="J673" s="14">
        <f>IF(G673="","",ROUNDUP(((G673*Ayarlar!$B$3+Ayarlar!$B$4+Ayarlar!$B$5)+Ayarlar!$B$8)/((1-Ayarlar!$B$6)*(1-Ayarlar!$B$7-Ayarlar!$B$9)),0))</f>
        <v/>
      </c>
      <c r="K673" s="15">
        <f>IF(OR(G673="",F673=""),"",(F673*(1-Ayarlar!$B$6)-(F673*(1-Ayarlar!$B$6)*Ayarlar!$B$7+Ayarlar!$B$8)-(G673*Ayarlar!$B$3+Ayarlar!$B$4+Ayarlar!$B$5))/(F673*(1-Ayarlar!$B$6)))</f>
        <v/>
      </c>
      <c r="L673" s="3">
        <f>IF(G673="","GRAM EKSİK",IF(F673&gt;30000,"FİYAT ŞÜPHELİ",IF(K673&lt;0,"ZARARDA",IF(F673&lt;I673,"RİSKLİ","ok"))))</f>
        <v/>
      </c>
      <c r="M673" s="16" t="inlineStr">
        <is>
          <t>https://www.etsy.com/listing/1770702803</t>
        </is>
      </c>
    </row>
    <row r="674">
      <c r="A674" s="9" t="inlineStr">
        <is>
          <t>faith</t>
        </is>
      </c>
      <c r="B674" s="9" t="inlineStr">
        <is>
          <t>10K Gold Last Supper Medallion Pendant, Miami Curb Border</t>
        </is>
      </c>
      <c r="C674" s="9" t="n">
        <v>1770702803</v>
      </c>
      <c r="D674" s="9" t="inlineStr">
        <is>
          <t>PCLS60-45-24</t>
        </is>
      </c>
      <c r="E674" s="9" t="inlineStr">
        <is>
          <t>description</t>
        </is>
      </c>
      <c r="F674" s="10" t="n">
        <v>4370</v>
      </c>
      <c r="G674" s="18" t="n">
        <v>24.64</v>
      </c>
      <c r="H674" s="10">
        <f>IF(G674="","",G674*Ayarlar!$B$3+Ayarlar!$B$4+Ayarlar!$B$5)</f>
        <v/>
      </c>
      <c r="I674" s="10">
        <f>IF(G674="","",ROUNDUP(((G674*Ayarlar!$B$3+Ayarlar!$B$4+Ayarlar!$B$5)+Ayarlar!$B$8)/((1-Ayarlar!$B$6)*(1-Ayarlar!$B$7)),0))</f>
        <v/>
      </c>
      <c r="J674" s="10">
        <f>IF(G674="","",ROUNDUP(((G674*Ayarlar!$B$3+Ayarlar!$B$4+Ayarlar!$B$5)+Ayarlar!$B$8)/((1-Ayarlar!$B$6)*(1-Ayarlar!$B$7-Ayarlar!$B$9)),0))</f>
        <v/>
      </c>
      <c r="K674" s="12">
        <f>IF(OR(G674="",F674=""),"",(F674*(1-Ayarlar!$B$6)-(F674*(1-Ayarlar!$B$6)*Ayarlar!$B$7+Ayarlar!$B$8)-(G674*Ayarlar!$B$3+Ayarlar!$B$4+Ayarlar!$B$5))/(F674*(1-Ayarlar!$B$6)))</f>
        <v/>
      </c>
      <c r="L674" s="9">
        <f>IF(G674="","GRAM EKSİK",IF(F674&gt;30000,"FİYAT ŞÜPHELİ",IF(K674&lt;0,"ZARARDA",IF(F674&lt;I674,"RİSKLİ","ok"))))</f>
        <v/>
      </c>
      <c r="M674" s="13" t="inlineStr">
        <is>
          <t>https://www.etsy.com/listing/1770702803</t>
        </is>
      </c>
    </row>
    <row r="675">
      <c r="A675" s="3" t="inlineStr">
        <is>
          <t>faith</t>
        </is>
      </c>
      <c r="B675" s="3" t="inlineStr">
        <is>
          <t>10K Gold Last Supper Pendant Necklace, Miami Cuban Chain</t>
        </is>
      </c>
      <c r="C675" s="3" t="n">
        <v>1520386344</v>
      </c>
      <c r="D675" s="3" t="inlineStr">
        <is>
          <t>P2-25</t>
        </is>
      </c>
      <c r="E675" s="3" t="inlineStr">
        <is>
          <t>description</t>
        </is>
      </c>
      <c r="F675" s="14" t="n">
        <v>216</v>
      </c>
      <c r="G675" s="17" t="n">
        <v>6.21</v>
      </c>
      <c r="H675" s="14">
        <f>IF(G675="","",G675*Ayarlar!$B$3+Ayarlar!$B$4+Ayarlar!$B$5)</f>
        <v/>
      </c>
      <c r="I675" s="14">
        <f>IF(G675="","",ROUNDUP(((G675*Ayarlar!$B$3+Ayarlar!$B$4+Ayarlar!$B$5)+Ayarlar!$B$8)/((1-Ayarlar!$B$6)*(1-Ayarlar!$B$7)),0))</f>
        <v/>
      </c>
      <c r="J675" s="14">
        <f>IF(G675="","",ROUNDUP(((G675*Ayarlar!$B$3+Ayarlar!$B$4+Ayarlar!$B$5)+Ayarlar!$B$8)/((1-Ayarlar!$B$6)*(1-Ayarlar!$B$7-Ayarlar!$B$9)),0))</f>
        <v/>
      </c>
      <c r="K675" s="15">
        <f>IF(OR(G675="",F675=""),"",(F675*(1-Ayarlar!$B$6)-(F675*(1-Ayarlar!$B$6)*Ayarlar!$B$7+Ayarlar!$B$8)-(G675*Ayarlar!$B$3+Ayarlar!$B$4+Ayarlar!$B$5))/(F675*(1-Ayarlar!$B$6)))</f>
        <v/>
      </c>
      <c r="L675" s="3">
        <f>IF(G675="","GRAM EKSİK",IF(F675&gt;30000,"FİYAT ŞÜPHELİ",IF(K675&lt;0,"ZARARDA",IF(F675&lt;I675,"RİSKLİ","ok"))))</f>
        <v/>
      </c>
      <c r="M675" s="16" t="inlineStr">
        <is>
          <t>https://www.etsy.com/listing/1520386344</t>
        </is>
      </c>
    </row>
    <row r="676">
      <c r="A676" s="9" t="inlineStr">
        <is>
          <t>faith</t>
        </is>
      </c>
      <c r="B676" s="9" t="inlineStr">
        <is>
          <t>10K Gold Last Supper Pendant Necklace, Miami Cuban Chain</t>
        </is>
      </c>
      <c r="C676" s="9" t="n">
        <v>1520386344</v>
      </c>
      <c r="D676" s="9" t="inlineStr">
        <is>
          <t>P2-38</t>
        </is>
      </c>
      <c r="E676" s="9" t="inlineStr">
        <is>
          <t>description</t>
        </is>
      </c>
      <c r="F676" s="10" t="n">
        <v>367</v>
      </c>
      <c r="G676" s="18" t="n">
        <v>6.21</v>
      </c>
      <c r="H676" s="10">
        <f>IF(G676="","",G676*Ayarlar!$B$3+Ayarlar!$B$4+Ayarlar!$B$5)</f>
        <v/>
      </c>
      <c r="I676" s="10">
        <f>IF(G676="","",ROUNDUP(((G676*Ayarlar!$B$3+Ayarlar!$B$4+Ayarlar!$B$5)+Ayarlar!$B$8)/((1-Ayarlar!$B$6)*(1-Ayarlar!$B$7)),0))</f>
        <v/>
      </c>
      <c r="J676" s="10">
        <f>IF(G676="","",ROUNDUP(((G676*Ayarlar!$B$3+Ayarlar!$B$4+Ayarlar!$B$5)+Ayarlar!$B$8)/((1-Ayarlar!$B$6)*(1-Ayarlar!$B$7-Ayarlar!$B$9)),0))</f>
        <v/>
      </c>
      <c r="K676" s="12">
        <f>IF(OR(G676="",F676=""),"",(F676*(1-Ayarlar!$B$6)-(F676*(1-Ayarlar!$B$6)*Ayarlar!$B$7+Ayarlar!$B$8)-(G676*Ayarlar!$B$3+Ayarlar!$B$4+Ayarlar!$B$5))/(F676*(1-Ayarlar!$B$6)))</f>
        <v/>
      </c>
      <c r="L676" s="9">
        <f>IF(G676="","GRAM EKSİK",IF(F676&gt;30000,"FİYAT ŞÜPHELİ",IF(K676&lt;0,"ZARARDA",IF(F676&lt;I676,"RİSKLİ","ok"))))</f>
        <v/>
      </c>
      <c r="M676" s="13" t="inlineStr">
        <is>
          <t>https://www.etsy.com/listing/1520386344</t>
        </is>
      </c>
    </row>
    <row r="677">
      <c r="A677" s="3" t="inlineStr">
        <is>
          <t>faith</t>
        </is>
      </c>
      <c r="B677" s="3" t="inlineStr">
        <is>
          <t>10K Gold Last Supper Pendant Necklace, Miami Cuban Chain</t>
        </is>
      </c>
      <c r="C677" s="3" t="n">
        <v>1520386344</v>
      </c>
      <c r="D677" s="3" t="inlineStr">
        <is>
          <t>P2-50</t>
        </is>
      </c>
      <c r="E677" s="3" t="inlineStr">
        <is>
          <t>description</t>
        </is>
      </c>
      <c r="F677" s="14" t="n">
        <v>555</v>
      </c>
      <c r="G677" s="17" t="n">
        <v>6.21</v>
      </c>
      <c r="H677" s="14">
        <f>IF(G677="","",G677*Ayarlar!$B$3+Ayarlar!$B$4+Ayarlar!$B$5)</f>
        <v/>
      </c>
      <c r="I677" s="14">
        <f>IF(G677="","",ROUNDUP(((G677*Ayarlar!$B$3+Ayarlar!$B$4+Ayarlar!$B$5)+Ayarlar!$B$8)/((1-Ayarlar!$B$6)*(1-Ayarlar!$B$7)),0))</f>
        <v/>
      </c>
      <c r="J677" s="14">
        <f>IF(G677="","",ROUNDUP(((G677*Ayarlar!$B$3+Ayarlar!$B$4+Ayarlar!$B$5)+Ayarlar!$B$8)/((1-Ayarlar!$B$6)*(1-Ayarlar!$B$7-Ayarlar!$B$9)),0))</f>
        <v/>
      </c>
      <c r="K677" s="15">
        <f>IF(OR(G677="",F677=""),"",(F677*(1-Ayarlar!$B$6)-(F677*(1-Ayarlar!$B$6)*Ayarlar!$B$7+Ayarlar!$B$8)-(G677*Ayarlar!$B$3+Ayarlar!$B$4+Ayarlar!$B$5))/(F677*(1-Ayarlar!$B$6)))</f>
        <v/>
      </c>
      <c r="L677" s="3">
        <f>IF(G677="","GRAM EKSİK",IF(F677&gt;30000,"FİYAT ŞÜPHELİ",IF(K677&lt;0,"ZARARDA",IF(F677&lt;I677,"RİSKLİ","ok"))))</f>
        <v/>
      </c>
      <c r="M677" s="16" t="inlineStr">
        <is>
          <t>https://www.etsy.com/listing/1520386344</t>
        </is>
      </c>
    </row>
    <row r="678">
      <c r="A678" s="9" t="inlineStr">
        <is>
          <t>faith</t>
        </is>
      </c>
      <c r="B678" s="9" t="inlineStr">
        <is>
          <t>10K Gold Last Supper Pendant Necklace, Miami Cuban Chain</t>
        </is>
      </c>
      <c r="C678" s="9" t="n">
        <v>1520386344</v>
      </c>
      <c r="D678" s="9" t="inlineStr">
        <is>
          <t>P2-60</t>
        </is>
      </c>
      <c r="E678" s="9" t="inlineStr">
        <is>
          <t>description</t>
        </is>
      </c>
      <c r="F678" s="10" t="n">
        <v>1046</v>
      </c>
      <c r="G678" s="18" t="n">
        <v>6.21</v>
      </c>
      <c r="H678" s="10">
        <f>IF(G678="","",G678*Ayarlar!$B$3+Ayarlar!$B$4+Ayarlar!$B$5)</f>
        <v/>
      </c>
      <c r="I678" s="10">
        <f>IF(G678="","",ROUNDUP(((G678*Ayarlar!$B$3+Ayarlar!$B$4+Ayarlar!$B$5)+Ayarlar!$B$8)/((1-Ayarlar!$B$6)*(1-Ayarlar!$B$7)),0))</f>
        <v/>
      </c>
      <c r="J678" s="10">
        <f>IF(G678="","",ROUNDUP(((G678*Ayarlar!$B$3+Ayarlar!$B$4+Ayarlar!$B$5)+Ayarlar!$B$8)/((1-Ayarlar!$B$6)*(1-Ayarlar!$B$7-Ayarlar!$B$9)),0))</f>
        <v/>
      </c>
      <c r="K678" s="12">
        <f>IF(OR(G678="",F678=""),"",(F678*(1-Ayarlar!$B$6)-(F678*(1-Ayarlar!$B$6)*Ayarlar!$B$7+Ayarlar!$B$8)-(G678*Ayarlar!$B$3+Ayarlar!$B$4+Ayarlar!$B$5))/(F678*(1-Ayarlar!$B$6)))</f>
        <v/>
      </c>
      <c r="L678" s="9">
        <f>IF(G678="","GRAM EKSİK",IF(F678&gt;30000,"FİYAT ŞÜPHELİ",IF(K678&lt;0,"ZARARDA",IF(F678&lt;I678,"RİSKLİ","ok"))))</f>
        <v/>
      </c>
      <c r="M678" s="13" t="inlineStr">
        <is>
          <t>https://www.etsy.com/listing/1520386344</t>
        </is>
      </c>
    </row>
    <row r="679">
      <c r="A679" s="3" t="inlineStr">
        <is>
          <t>faith</t>
        </is>
      </c>
      <c r="B679" s="3" t="inlineStr">
        <is>
          <t>10K Gold Last Supper Pendant Necklace, Miami Cuban Chain</t>
        </is>
      </c>
      <c r="C679" s="3" t="n">
        <v>1520386344</v>
      </c>
      <c r="D679" s="3" t="inlineStr">
        <is>
          <t>P25-16</t>
        </is>
      </c>
      <c r="E679" s="3" t="inlineStr">
        <is>
          <t>description</t>
        </is>
      </c>
      <c r="F679" s="14" t="n">
        <v>571</v>
      </c>
      <c r="G679" s="17" t="n">
        <v>6.21</v>
      </c>
      <c r="H679" s="14">
        <f>IF(G679="","",G679*Ayarlar!$B$3+Ayarlar!$B$4+Ayarlar!$B$5)</f>
        <v/>
      </c>
      <c r="I679" s="14">
        <f>IF(G679="","",ROUNDUP(((G679*Ayarlar!$B$3+Ayarlar!$B$4+Ayarlar!$B$5)+Ayarlar!$B$8)/((1-Ayarlar!$B$6)*(1-Ayarlar!$B$7)),0))</f>
        <v/>
      </c>
      <c r="J679" s="14">
        <f>IF(G679="","",ROUNDUP(((G679*Ayarlar!$B$3+Ayarlar!$B$4+Ayarlar!$B$5)+Ayarlar!$B$8)/((1-Ayarlar!$B$6)*(1-Ayarlar!$B$7-Ayarlar!$B$9)),0))</f>
        <v/>
      </c>
      <c r="K679" s="15">
        <f>IF(OR(G679="",F679=""),"",(F679*(1-Ayarlar!$B$6)-(F679*(1-Ayarlar!$B$6)*Ayarlar!$B$7+Ayarlar!$B$8)-(G679*Ayarlar!$B$3+Ayarlar!$B$4+Ayarlar!$B$5))/(F679*(1-Ayarlar!$B$6)))</f>
        <v/>
      </c>
      <c r="L679" s="3">
        <f>IF(G679="","GRAM EKSİK",IF(F679&gt;30000,"FİYAT ŞÜPHELİ",IF(K679&lt;0,"ZARARDA",IF(F679&lt;I679,"RİSKLİ","ok"))))</f>
        <v/>
      </c>
      <c r="M679" s="16" t="inlineStr">
        <is>
          <t>https://www.etsy.com/listing/1520386344</t>
        </is>
      </c>
    </row>
    <row r="680">
      <c r="A680" s="9" t="inlineStr">
        <is>
          <t>faith</t>
        </is>
      </c>
      <c r="B680" s="9" t="inlineStr">
        <is>
          <t>10K Gold Last Supper Pendant Necklace, Miami Cuban Chain</t>
        </is>
      </c>
      <c r="C680" s="9" t="n">
        <v>1520386344</v>
      </c>
      <c r="D680" s="9" t="inlineStr">
        <is>
          <t>P25-18</t>
        </is>
      </c>
      <c r="E680" s="9" t="inlineStr">
        <is>
          <t>description</t>
        </is>
      </c>
      <c r="F680" s="10" t="n">
        <v>631</v>
      </c>
      <c r="G680" s="18" t="n">
        <v>6.21</v>
      </c>
      <c r="H680" s="10">
        <f>IF(G680="","",G680*Ayarlar!$B$3+Ayarlar!$B$4+Ayarlar!$B$5)</f>
        <v/>
      </c>
      <c r="I680" s="10">
        <f>IF(G680="","",ROUNDUP(((G680*Ayarlar!$B$3+Ayarlar!$B$4+Ayarlar!$B$5)+Ayarlar!$B$8)/((1-Ayarlar!$B$6)*(1-Ayarlar!$B$7)),0))</f>
        <v/>
      </c>
      <c r="J680" s="10">
        <f>IF(G680="","",ROUNDUP(((G680*Ayarlar!$B$3+Ayarlar!$B$4+Ayarlar!$B$5)+Ayarlar!$B$8)/((1-Ayarlar!$B$6)*(1-Ayarlar!$B$7-Ayarlar!$B$9)),0))</f>
        <v/>
      </c>
      <c r="K680" s="12">
        <f>IF(OR(G680="",F680=""),"",(F680*(1-Ayarlar!$B$6)-(F680*(1-Ayarlar!$B$6)*Ayarlar!$B$7+Ayarlar!$B$8)-(G680*Ayarlar!$B$3+Ayarlar!$B$4+Ayarlar!$B$5))/(F680*(1-Ayarlar!$B$6)))</f>
        <v/>
      </c>
      <c r="L680" s="9">
        <f>IF(G680="","GRAM EKSİK",IF(F680&gt;30000,"FİYAT ŞÜPHELİ",IF(K680&lt;0,"ZARARDA",IF(F680&lt;I680,"RİSKLİ","ok"))))</f>
        <v/>
      </c>
      <c r="M680" s="13" t="inlineStr">
        <is>
          <t>https://www.etsy.com/listing/1520386344</t>
        </is>
      </c>
    </row>
    <row r="681">
      <c r="A681" s="3" t="inlineStr">
        <is>
          <t>faith</t>
        </is>
      </c>
      <c r="B681" s="3" t="inlineStr">
        <is>
          <t>10K Gold Last Supper Pendant Necklace, Miami Cuban Chain</t>
        </is>
      </c>
      <c r="C681" s="3" t="n">
        <v>1520386344</v>
      </c>
      <c r="D681" s="3" t="inlineStr">
        <is>
          <t>P25-20</t>
        </is>
      </c>
      <c r="E681" s="3" t="inlineStr">
        <is>
          <t>description</t>
        </is>
      </c>
      <c r="F681" s="14" t="n">
        <v>669</v>
      </c>
      <c r="G681" s="17" t="n">
        <v>6.21</v>
      </c>
      <c r="H681" s="14">
        <f>IF(G681="","",G681*Ayarlar!$B$3+Ayarlar!$B$4+Ayarlar!$B$5)</f>
        <v/>
      </c>
      <c r="I681" s="14">
        <f>IF(G681="","",ROUNDUP(((G681*Ayarlar!$B$3+Ayarlar!$B$4+Ayarlar!$B$5)+Ayarlar!$B$8)/((1-Ayarlar!$B$6)*(1-Ayarlar!$B$7)),0))</f>
        <v/>
      </c>
      <c r="J681" s="14">
        <f>IF(G681="","",ROUNDUP(((G681*Ayarlar!$B$3+Ayarlar!$B$4+Ayarlar!$B$5)+Ayarlar!$B$8)/((1-Ayarlar!$B$6)*(1-Ayarlar!$B$7-Ayarlar!$B$9)),0))</f>
        <v/>
      </c>
      <c r="K681" s="15">
        <f>IF(OR(G681="",F681=""),"",(F681*(1-Ayarlar!$B$6)-(F681*(1-Ayarlar!$B$6)*Ayarlar!$B$7+Ayarlar!$B$8)-(G681*Ayarlar!$B$3+Ayarlar!$B$4+Ayarlar!$B$5))/(F681*(1-Ayarlar!$B$6)))</f>
        <v/>
      </c>
      <c r="L681" s="3">
        <f>IF(G681="","GRAM EKSİK",IF(F681&gt;30000,"FİYAT ŞÜPHELİ",IF(K681&lt;0,"ZARARDA",IF(F681&lt;I681,"RİSKLİ","ok"))))</f>
        <v/>
      </c>
      <c r="M681" s="16" t="inlineStr">
        <is>
          <t>https://www.etsy.com/listing/1520386344</t>
        </is>
      </c>
    </row>
    <row r="682">
      <c r="A682" s="9" t="inlineStr">
        <is>
          <t>faith</t>
        </is>
      </c>
      <c r="B682" s="9" t="inlineStr">
        <is>
          <t>10K Gold Last Supper Pendant Necklace, Miami Cuban Chain</t>
        </is>
      </c>
      <c r="C682" s="9" t="n">
        <v>1520386344</v>
      </c>
      <c r="D682" s="9" t="inlineStr">
        <is>
          <t>P25-22</t>
        </is>
      </c>
      <c r="E682" s="9" t="inlineStr">
        <is>
          <t>description</t>
        </is>
      </c>
      <c r="F682" s="10" t="n">
        <v>744</v>
      </c>
      <c r="G682" s="18" t="n">
        <v>6.21</v>
      </c>
      <c r="H682" s="10">
        <f>IF(G682="","",G682*Ayarlar!$B$3+Ayarlar!$B$4+Ayarlar!$B$5)</f>
        <v/>
      </c>
      <c r="I682" s="10">
        <f>IF(G682="","",ROUNDUP(((G682*Ayarlar!$B$3+Ayarlar!$B$4+Ayarlar!$B$5)+Ayarlar!$B$8)/((1-Ayarlar!$B$6)*(1-Ayarlar!$B$7)),0))</f>
        <v/>
      </c>
      <c r="J682" s="10">
        <f>IF(G682="","",ROUNDUP(((G682*Ayarlar!$B$3+Ayarlar!$B$4+Ayarlar!$B$5)+Ayarlar!$B$8)/((1-Ayarlar!$B$6)*(1-Ayarlar!$B$7-Ayarlar!$B$9)),0))</f>
        <v/>
      </c>
      <c r="K682" s="12">
        <f>IF(OR(G682="",F682=""),"",(F682*(1-Ayarlar!$B$6)-(F682*(1-Ayarlar!$B$6)*Ayarlar!$B$7+Ayarlar!$B$8)-(G682*Ayarlar!$B$3+Ayarlar!$B$4+Ayarlar!$B$5))/(F682*(1-Ayarlar!$B$6)))</f>
        <v/>
      </c>
      <c r="L682" s="9">
        <f>IF(G682="","GRAM EKSİK",IF(F682&gt;30000,"FİYAT ŞÜPHELİ",IF(K682&lt;0,"ZARARDA",IF(F682&lt;I682,"RİSKLİ","ok"))))</f>
        <v/>
      </c>
      <c r="M682" s="13" t="inlineStr">
        <is>
          <t>https://www.etsy.com/listing/1520386344</t>
        </is>
      </c>
    </row>
    <row r="683">
      <c r="A683" s="3" t="inlineStr">
        <is>
          <t>faith</t>
        </is>
      </c>
      <c r="B683" s="3" t="inlineStr">
        <is>
          <t>10K Gold Last Supper Pendant Necklace, Miami Cuban Chain</t>
        </is>
      </c>
      <c r="C683" s="3" t="n">
        <v>1520386344</v>
      </c>
      <c r="D683" s="3" t="inlineStr">
        <is>
          <t>P25-24</t>
        </is>
      </c>
      <c r="E683" s="3" t="inlineStr">
        <is>
          <t>description</t>
        </is>
      </c>
      <c r="F683" s="14" t="n">
        <v>789</v>
      </c>
      <c r="G683" s="17" t="n">
        <v>6.21</v>
      </c>
      <c r="H683" s="14">
        <f>IF(G683="","",G683*Ayarlar!$B$3+Ayarlar!$B$4+Ayarlar!$B$5)</f>
        <v/>
      </c>
      <c r="I683" s="14">
        <f>IF(G683="","",ROUNDUP(((G683*Ayarlar!$B$3+Ayarlar!$B$4+Ayarlar!$B$5)+Ayarlar!$B$8)/((1-Ayarlar!$B$6)*(1-Ayarlar!$B$7)),0))</f>
        <v/>
      </c>
      <c r="J683" s="14">
        <f>IF(G683="","",ROUNDUP(((G683*Ayarlar!$B$3+Ayarlar!$B$4+Ayarlar!$B$5)+Ayarlar!$B$8)/((1-Ayarlar!$B$6)*(1-Ayarlar!$B$7-Ayarlar!$B$9)),0))</f>
        <v/>
      </c>
      <c r="K683" s="15">
        <f>IF(OR(G683="",F683=""),"",(F683*(1-Ayarlar!$B$6)-(F683*(1-Ayarlar!$B$6)*Ayarlar!$B$7+Ayarlar!$B$8)-(G683*Ayarlar!$B$3+Ayarlar!$B$4+Ayarlar!$B$5))/(F683*(1-Ayarlar!$B$6)))</f>
        <v/>
      </c>
      <c r="L683" s="3">
        <f>IF(G683="","GRAM EKSİK",IF(F683&gt;30000,"FİYAT ŞÜPHELİ",IF(K683&lt;0,"ZARARDA",IF(F683&lt;I683,"RİSKLİ","ok"))))</f>
        <v/>
      </c>
      <c r="M683" s="16" t="inlineStr">
        <is>
          <t>https://www.etsy.com/listing/1520386344</t>
        </is>
      </c>
    </row>
    <row r="684">
      <c r="A684" s="9" t="inlineStr">
        <is>
          <t>faith</t>
        </is>
      </c>
      <c r="B684" s="9" t="inlineStr">
        <is>
          <t>10K Gold Last Supper Pendant Necklace, Miami Cuban Chain</t>
        </is>
      </c>
      <c r="C684" s="9" t="n">
        <v>1520386344</v>
      </c>
      <c r="D684" s="9" t="inlineStr">
        <is>
          <t>P38-16</t>
        </is>
      </c>
      <c r="E684" s="9" t="inlineStr">
        <is>
          <t>description</t>
        </is>
      </c>
      <c r="F684" s="10" t="n">
        <v>669</v>
      </c>
      <c r="G684" s="18" t="n">
        <v>6.21</v>
      </c>
      <c r="H684" s="10">
        <f>IF(G684="","",G684*Ayarlar!$B$3+Ayarlar!$B$4+Ayarlar!$B$5)</f>
        <v/>
      </c>
      <c r="I684" s="10">
        <f>IF(G684="","",ROUNDUP(((G684*Ayarlar!$B$3+Ayarlar!$B$4+Ayarlar!$B$5)+Ayarlar!$B$8)/((1-Ayarlar!$B$6)*(1-Ayarlar!$B$7)),0))</f>
        <v/>
      </c>
      <c r="J684" s="10">
        <f>IF(G684="","",ROUNDUP(((G684*Ayarlar!$B$3+Ayarlar!$B$4+Ayarlar!$B$5)+Ayarlar!$B$8)/((1-Ayarlar!$B$6)*(1-Ayarlar!$B$7-Ayarlar!$B$9)),0))</f>
        <v/>
      </c>
      <c r="K684" s="12">
        <f>IF(OR(G684="",F684=""),"",(F684*(1-Ayarlar!$B$6)-(F684*(1-Ayarlar!$B$6)*Ayarlar!$B$7+Ayarlar!$B$8)-(G684*Ayarlar!$B$3+Ayarlar!$B$4+Ayarlar!$B$5))/(F684*(1-Ayarlar!$B$6)))</f>
        <v/>
      </c>
      <c r="L684" s="9">
        <f>IF(G684="","GRAM EKSİK",IF(F684&gt;30000,"FİYAT ŞÜPHELİ",IF(K684&lt;0,"ZARARDA",IF(F684&lt;I684,"RİSKLİ","ok"))))</f>
        <v/>
      </c>
      <c r="M684" s="13" t="inlineStr">
        <is>
          <t>https://www.etsy.com/listing/1520386344</t>
        </is>
      </c>
    </row>
    <row r="685">
      <c r="A685" s="3" t="inlineStr">
        <is>
          <t>faith</t>
        </is>
      </c>
      <c r="B685" s="3" t="inlineStr">
        <is>
          <t>10K Gold Last Supper Pendant Necklace, Miami Cuban Chain</t>
        </is>
      </c>
      <c r="C685" s="3" t="n">
        <v>1520386344</v>
      </c>
      <c r="D685" s="3" t="inlineStr">
        <is>
          <t>P38-18</t>
        </is>
      </c>
      <c r="E685" s="3" t="inlineStr">
        <is>
          <t>description</t>
        </is>
      </c>
      <c r="F685" s="14" t="n">
        <v>767</v>
      </c>
      <c r="G685" s="17" t="n">
        <v>6.21</v>
      </c>
      <c r="H685" s="14">
        <f>IF(G685="","",G685*Ayarlar!$B$3+Ayarlar!$B$4+Ayarlar!$B$5)</f>
        <v/>
      </c>
      <c r="I685" s="14">
        <f>IF(G685="","",ROUNDUP(((G685*Ayarlar!$B$3+Ayarlar!$B$4+Ayarlar!$B$5)+Ayarlar!$B$8)/((1-Ayarlar!$B$6)*(1-Ayarlar!$B$7)),0))</f>
        <v/>
      </c>
      <c r="J685" s="14">
        <f>IF(G685="","",ROUNDUP(((G685*Ayarlar!$B$3+Ayarlar!$B$4+Ayarlar!$B$5)+Ayarlar!$B$8)/((1-Ayarlar!$B$6)*(1-Ayarlar!$B$7-Ayarlar!$B$9)),0))</f>
        <v/>
      </c>
      <c r="K685" s="15">
        <f>IF(OR(G685="",F685=""),"",(F685*(1-Ayarlar!$B$6)-(F685*(1-Ayarlar!$B$6)*Ayarlar!$B$7+Ayarlar!$B$8)-(G685*Ayarlar!$B$3+Ayarlar!$B$4+Ayarlar!$B$5))/(F685*(1-Ayarlar!$B$6)))</f>
        <v/>
      </c>
      <c r="L685" s="3">
        <f>IF(G685="","GRAM EKSİK",IF(F685&gt;30000,"FİYAT ŞÜPHELİ",IF(K685&lt;0,"ZARARDA",IF(F685&lt;I685,"RİSKLİ","ok"))))</f>
        <v/>
      </c>
      <c r="M685" s="16" t="inlineStr">
        <is>
          <t>https://www.etsy.com/listing/1520386344</t>
        </is>
      </c>
    </row>
    <row r="686">
      <c r="A686" s="9" t="inlineStr">
        <is>
          <t>faith</t>
        </is>
      </c>
      <c r="B686" s="9" t="inlineStr">
        <is>
          <t>10K Gold Last Supper Pendant Necklace, Miami Cuban Chain</t>
        </is>
      </c>
      <c r="C686" s="9" t="n">
        <v>1520386344</v>
      </c>
      <c r="D686" s="9" t="inlineStr">
        <is>
          <t>P38-20</t>
        </is>
      </c>
      <c r="E686" s="9" t="inlineStr">
        <is>
          <t>description</t>
        </is>
      </c>
      <c r="F686" s="10" t="n">
        <v>827</v>
      </c>
      <c r="G686" s="18" t="n">
        <v>6.21</v>
      </c>
      <c r="H686" s="10">
        <f>IF(G686="","",G686*Ayarlar!$B$3+Ayarlar!$B$4+Ayarlar!$B$5)</f>
        <v/>
      </c>
      <c r="I686" s="10">
        <f>IF(G686="","",ROUNDUP(((G686*Ayarlar!$B$3+Ayarlar!$B$4+Ayarlar!$B$5)+Ayarlar!$B$8)/((1-Ayarlar!$B$6)*(1-Ayarlar!$B$7)),0))</f>
        <v/>
      </c>
      <c r="J686" s="10">
        <f>IF(G686="","",ROUNDUP(((G686*Ayarlar!$B$3+Ayarlar!$B$4+Ayarlar!$B$5)+Ayarlar!$B$8)/((1-Ayarlar!$B$6)*(1-Ayarlar!$B$7-Ayarlar!$B$9)),0))</f>
        <v/>
      </c>
      <c r="K686" s="12">
        <f>IF(OR(G686="",F686=""),"",(F686*(1-Ayarlar!$B$6)-(F686*(1-Ayarlar!$B$6)*Ayarlar!$B$7+Ayarlar!$B$8)-(G686*Ayarlar!$B$3+Ayarlar!$B$4+Ayarlar!$B$5))/(F686*(1-Ayarlar!$B$6)))</f>
        <v/>
      </c>
      <c r="L686" s="9">
        <f>IF(G686="","GRAM EKSİK",IF(F686&gt;30000,"FİYAT ŞÜPHELİ",IF(K686&lt;0,"ZARARDA",IF(F686&lt;I686,"RİSKLİ","ok"))))</f>
        <v/>
      </c>
      <c r="M686" s="13" t="inlineStr">
        <is>
          <t>https://www.etsy.com/listing/1520386344</t>
        </is>
      </c>
    </row>
    <row r="687">
      <c r="A687" s="3" t="inlineStr">
        <is>
          <t>faith</t>
        </is>
      </c>
      <c r="B687" s="3" t="inlineStr">
        <is>
          <t>10K Gold Last Supper Pendant Necklace, Miami Cuban Chain</t>
        </is>
      </c>
      <c r="C687" s="3" t="n">
        <v>1520386344</v>
      </c>
      <c r="D687" s="3" t="inlineStr">
        <is>
          <t>P38-22</t>
        </is>
      </c>
      <c r="E687" s="3" t="inlineStr">
        <is>
          <t>description</t>
        </is>
      </c>
      <c r="F687" s="14" t="n">
        <v>933</v>
      </c>
      <c r="G687" s="17" t="n">
        <v>6.21</v>
      </c>
      <c r="H687" s="14">
        <f>IF(G687="","",G687*Ayarlar!$B$3+Ayarlar!$B$4+Ayarlar!$B$5)</f>
        <v/>
      </c>
      <c r="I687" s="14">
        <f>IF(G687="","",ROUNDUP(((G687*Ayarlar!$B$3+Ayarlar!$B$4+Ayarlar!$B$5)+Ayarlar!$B$8)/((1-Ayarlar!$B$6)*(1-Ayarlar!$B$7)),0))</f>
        <v/>
      </c>
      <c r="J687" s="14">
        <f>IF(G687="","",ROUNDUP(((G687*Ayarlar!$B$3+Ayarlar!$B$4+Ayarlar!$B$5)+Ayarlar!$B$8)/((1-Ayarlar!$B$6)*(1-Ayarlar!$B$7-Ayarlar!$B$9)),0))</f>
        <v/>
      </c>
      <c r="K687" s="15">
        <f>IF(OR(G687="",F687=""),"",(F687*(1-Ayarlar!$B$6)-(F687*(1-Ayarlar!$B$6)*Ayarlar!$B$7+Ayarlar!$B$8)-(G687*Ayarlar!$B$3+Ayarlar!$B$4+Ayarlar!$B$5))/(F687*(1-Ayarlar!$B$6)))</f>
        <v/>
      </c>
      <c r="L687" s="3">
        <f>IF(G687="","GRAM EKSİK",IF(F687&gt;30000,"FİYAT ŞÜPHELİ",IF(K687&lt;0,"ZARARDA",IF(F687&lt;I687,"RİSKLİ","ok"))))</f>
        <v/>
      </c>
      <c r="M687" s="16" t="inlineStr">
        <is>
          <t>https://www.etsy.com/listing/1520386344</t>
        </is>
      </c>
    </row>
    <row r="688">
      <c r="A688" s="9" t="inlineStr">
        <is>
          <t>faith</t>
        </is>
      </c>
      <c r="B688" s="9" t="inlineStr">
        <is>
          <t>10K Gold Last Supper Pendant Necklace, Miami Cuban Chain</t>
        </is>
      </c>
      <c r="C688" s="9" t="n">
        <v>1520386344</v>
      </c>
      <c r="D688" s="9" t="inlineStr">
        <is>
          <t>P38-24</t>
        </is>
      </c>
      <c r="E688" s="9" t="inlineStr">
        <is>
          <t>description</t>
        </is>
      </c>
      <c r="F688" s="10" t="n">
        <v>1008</v>
      </c>
      <c r="G688" s="18" t="n">
        <v>6.21</v>
      </c>
      <c r="H688" s="10">
        <f>IF(G688="","",G688*Ayarlar!$B$3+Ayarlar!$B$4+Ayarlar!$B$5)</f>
        <v/>
      </c>
      <c r="I688" s="10">
        <f>IF(G688="","",ROUNDUP(((G688*Ayarlar!$B$3+Ayarlar!$B$4+Ayarlar!$B$5)+Ayarlar!$B$8)/((1-Ayarlar!$B$6)*(1-Ayarlar!$B$7)),0))</f>
        <v/>
      </c>
      <c r="J688" s="10">
        <f>IF(G688="","",ROUNDUP(((G688*Ayarlar!$B$3+Ayarlar!$B$4+Ayarlar!$B$5)+Ayarlar!$B$8)/((1-Ayarlar!$B$6)*(1-Ayarlar!$B$7-Ayarlar!$B$9)),0))</f>
        <v/>
      </c>
      <c r="K688" s="12">
        <f>IF(OR(G688="",F688=""),"",(F688*(1-Ayarlar!$B$6)-(F688*(1-Ayarlar!$B$6)*Ayarlar!$B$7+Ayarlar!$B$8)-(G688*Ayarlar!$B$3+Ayarlar!$B$4+Ayarlar!$B$5))/(F688*(1-Ayarlar!$B$6)))</f>
        <v/>
      </c>
      <c r="L688" s="9">
        <f>IF(G688="","GRAM EKSİK",IF(F688&gt;30000,"FİYAT ŞÜPHELİ",IF(K688&lt;0,"ZARARDA",IF(F688&lt;I688,"RİSKLİ","ok"))))</f>
        <v/>
      </c>
      <c r="M688" s="13" t="inlineStr">
        <is>
          <t>https://www.etsy.com/listing/1520386344</t>
        </is>
      </c>
    </row>
    <row r="689">
      <c r="A689" s="3" t="inlineStr">
        <is>
          <t>faith</t>
        </is>
      </c>
      <c r="B689" s="3" t="inlineStr">
        <is>
          <t>10K Gold Last Supper Pendant Necklace, Miami Cuban Chain</t>
        </is>
      </c>
      <c r="C689" s="3" t="n">
        <v>1520386344</v>
      </c>
      <c r="D689" s="3" t="inlineStr">
        <is>
          <t>P50-16</t>
        </is>
      </c>
      <c r="E689" s="3" t="inlineStr">
        <is>
          <t>description</t>
        </is>
      </c>
      <c r="F689" s="14" t="n">
        <v>857</v>
      </c>
      <c r="G689" s="17" t="n">
        <v>6.21</v>
      </c>
      <c r="H689" s="14">
        <f>IF(G689="","",G689*Ayarlar!$B$3+Ayarlar!$B$4+Ayarlar!$B$5)</f>
        <v/>
      </c>
      <c r="I689" s="14">
        <f>IF(G689="","",ROUNDUP(((G689*Ayarlar!$B$3+Ayarlar!$B$4+Ayarlar!$B$5)+Ayarlar!$B$8)/((1-Ayarlar!$B$6)*(1-Ayarlar!$B$7)),0))</f>
        <v/>
      </c>
      <c r="J689" s="14">
        <f>IF(G689="","",ROUNDUP(((G689*Ayarlar!$B$3+Ayarlar!$B$4+Ayarlar!$B$5)+Ayarlar!$B$8)/((1-Ayarlar!$B$6)*(1-Ayarlar!$B$7-Ayarlar!$B$9)),0))</f>
        <v/>
      </c>
      <c r="K689" s="15">
        <f>IF(OR(G689="",F689=""),"",(F689*(1-Ayarlar!$B$6)-(F689*(1-Ayarlar!$B$6)*Ayarlar!$B$7+Ayarlar!$B$8)-(G689*Ayarlar!$B$3+Ayarlar!$B$4+Ayarlar!$B$5))/(F689*(1-Ayarlar!$B$6)))</f>
        <v/>
      </c>
      <c r="L689" s="3">
        <f>IF(G689="","GRAM EKSİK",IF(F689&gt;30000,"FİYAT ŞÜPHELİ",IF(K689&lt;0,"ZARARDA",IF(F689&lt;I689,"RİSKLİ","ok"))))</f>
        <v/>
      </c>
      <c r="M689" s="16" t="inlineStr">
        <is>
          <t>https://www.etsy.com/listing/1520386344</t>
        </is>
      </c>
    </row>
    <row r="690">
      <c r="A690" s="9" t="inlineStr">
        <is>
          <t>faith</t>
        </is>
      </c>
      <c r="B690" s="9" t="inlineStr">
        <is>
          <t>10K Gold Last Supper Pendant Necklace, Miami Cuban Chain</t>
        </is>
      </c>
      <c r="C690" s="9" t="n">
        <v>1520386344</v>
      </c>
      <c r="D690" s="9" t="inlineStr">
        <is>
          <t>P50-18</t>
        </is>
      </c>
      <c r="E690" s="9" t="inlineStr">
        <is>
          <t>description</t>
        </is>
      </c>
      <c r="F690" s="10" t="n">
        <v>903</v>
      </c>
      <c r="G690" s="18" t="n">
        <v>6.21</v>
      </c>
      <c r="H690" s="10">
        <f>IF(G690="","",G690*Ayarlar!$B$3+Ayarlar!$B$4+Ayarlar!$B$5)</f>
        <v/>
      </c>
      <c r="I690" s="10">
        <f>IF(G690="","",ROUNDUP(((G690*Ayarlar!$B$3+Ayarlar!$B$4+Ayarlar!$B$5)+Ayarlar!$B$8)/((1-Ayarlar!$B$6)*(1-Ayarlar!$B$7)),0))</f>
        <v/>
      </c>
      <c r="J690" s="10">
        <f>IF(G690="","",ROUNDUP(((G690*Ayarlar!$B$3+Ayarlar!$B$4+Ayarlar!$B$5)+Ayarlar!$B$8)/((1-Ayarlar!$B$6)*(1-Ayarlar!$B$7-Ayarlar!$B$9)),0))</f>
        <v/>
      </c>
      <c r="K690" s="12">
        <f>IF(OR(G690="",F690=""),"",(F690*(1-Ayarlar!$B$6)-(F690*(1-Ayarlar!$B$6)*Ayarlar!$B$7+Ayarlar!$B$8)-(G690*Ayarlar!$B$3+Ayarlar!$B$4+Ayarlar!$B$5))/(F690*(1-Ayarlar!$B$6)))</f>
        <v/>
      </c>
      <c r="L690" s="9">
        <f>IF(G690="","GRAM EKSİK",IF(F690&gt;30000,"FİYAT ŞÜPHELİ",IF(K690&lt;0,"ZARARDA",IF(F690&lt;I690,"RİSKLİ","ok"))))</f>
        <v/>
      </c>
      <c r="M690" s="13" t="inlineStr">
        <is>
          <t>https://www.etsy.com/listing/1520386344</t>
        </is>
      </c>
    </row>
    <row r="691">
      <c r="A691" s="3" t="inlineStr">
        <is>
          <t>faith</t>
        </is>
      </c>
      <c r="B691" s="3" t="inlineStr">
        <is>
          <t>10K Gold Last Supper Pendant Necklace, Miami Cuban Chain</t>
        </is>
      </c>
      <c r="C691" s="3" t="n">
        <v>1520386344</v>
      </c>
      <c r="D691" s="3" t="inlineStr">
        <is>
          <t>P50-20</t>
        </is>
      </c>
      <c r="E691" s="3" t="inlineStr">
        <is>
          <t>description</t>
        </is>
      </c>
      <c r="F691" s="14" t="n">
        <v>933</v>
      </c>
      <c r="G691" s="17" t="n">
        <v>6.21</v>
      </c>
      <c r="H691" s="14">
        <f>IF(G691="","",G691*Ayarlar!$B$3+Ayarlar!$B$4+Ayarlar!$B$5)</f>
        <v/>
      </c>
      <c r="I691" s="14">
        <f>IF(G691="","",ROUNDUP(((G691*Ayarlar!$B$3+Ayarlar!$B$4+Ayarlar!$B$5)+Ayarlar!$B$8)/((1-Ayarlar!$B$6)*(1-Ayarlar!$B$7)),0))</f>
        <v/>
      </c>
      <c r="J691" s="14">
        <f>IF(G691="","",ROUNDUP(((G691*Ayarlar!$B$3+Ayarlar!$B$4+Ayarlar!$B$5)+Ayarlar!$B$8)/((1-Ayarlar!$B$6)*(1-Ayarlar!$B$7-Ayarlar!$B$9)),0))</f>
        <v/>
      </c>
      <c r="K691" s="15">
        <f>IF(OR(G691="",F691=""),"",(F691*(1-Ayarlar!$B$6)-(F691*(1-Ayarlar!$B$6)*Ayarlar!$B$7+Ayarlar!$B$8)-(G691*Ayarlar!$B$3+Ayarlar!$B$4+Ayarlar!$B$5))/(F691*(1-Ayarlar!$B$6)))</f>
        <v/>
      </c>
      <c r="L691" s="3">
        <f>IF(G691="","GRAM EKSİK",IF(F691&gt;30000,"FİYAT ŞÜPHELİ",IF(K691&lt;0,"ZARARDA",IF(F691&lt;I691,"RİSKLİ","ok"))))</f>
        <v/>
      </c>
      <c r="M691" s="16" t="inlineStr">
        <is>
          <t>https://www.etsy.com/listing/1520386344</t>
        </is>
      </c>
    </row>
    <row r="692">
      <c r="A692" s="9" t="inlineStr">
        <is>
          <t>faith</t>
        </is>
      </c>
      <c r="B692" s="9" t="inlineStr">
        <is>
          <t>10K Gold Last Supper Pendant Necklace, Miami Cuban Chain</t>
        </is>
      </c>
      <c r="C692" s="9" t="n">
        <v>1520386344</v>
      </c>
      <c r="D692" s="9" t="inlineStr">
        <is>
          <t>P50-22</t>
        </is>
      </c>
      <c r="E692" s="9" t="inlineStr">
        <is>
          <t>description</t>
        </is>
      </c>
      <c r="F692" s="10" t="n">
        <v>978</v>
      </c>
      <c r="G692" s="18" t="n">
        <v>6.21</v>
      </c>
      <c r="H692" s="10">
        <f>IF(G692="","",G692*Ayarlar!$B$3+Ayarlar!$B$4+Ayarlar!$B$5)</f>
        <v/>
      </c>
      <c r="I692" s="10">
        <f>IF(G692="","",ROUNDUP(((G692*Ayarlar!$B$3+Ayarlar!$B$4+Ayarlar!$B$5)+Ayarlar!$B$8)/((1-Ayarlar!$B$6)*(1-Ayarlar!$B$7)),0))</f>
        <v/>
      </c>
      <c r="J692" s="10">
        <f>IF(G692="","",ROUNDUP(((G692*Ayarlar!$B$3+Ayarlar!$B$4+Ayarlar!$B$5)+Ayarlar!$B$8)/((1-Ayarlar!$B$6)*(1-Ayarlar!$B$7-Ayarlar!$B$9)),0))</f>
        <v/>
      </c>
      <c r="K692" s="12">
        <f>IF(OR(G692="",F692=""),"",(F692*(1-Ayarlar!$B$6)-(F692*(1-Ayarlar!$B$6)*Ayarlar!$B$7+Ayarlar!$B$8)-(G692*Ayarlar!$B$3+Ayarlar!$B$4+Ayarlar!$B$5))/(F692*(1-Ayarlar!$B$6)))</f>
        <v/>
      </c>
      <c r="L692" s="9">
        <f>IF(G692="","GRAM EKSİK",IF(F692&gt;30000,"FİYAT ŞÜPHELİ",IF(K692&lt;0,"ZARARDA",IF(F692&lt;I692,"RİSKLİ","ok"))))</f>
        <v/>
      </c>
      <c r="M692" s="13" t="inlineStr">
        <is>
          <t>https://www.etsy.com/listing/1520386344</t>
        </is>
      </c>
    </row>
    <row r="693">
      <c r="A693" s="3" t="inlineStr">
        <is>
          <t>faith</t>
        </is>
      </c>
      <c r="B693" s="3" t="inlineStr">
        <is>
          <t>10K Gold Last Supper Pendant Necklace, Miami Cuban Chain</t>
        </is>
      </c>
      <c r="C693" s="3" t="n">
        <v>1520386344</v>
      </c>
      <c r="D693" s="3" t="inlineStr">
        <is>
          <t>P50-24</t>
        </is>
      </c>
      <c r="E693" s="3" t="inlineStr">
        <is>
          <t>description</t>
        </is>
      </c>
      <c r="F693" s="14" t="n">
        <v>1084</v>
      </c>
      <c r="G693" s="17" t="n">
        <v>6.21</v>
      </c>
      <c r="H693" s="14">
        <f>IF(G693="","",G693*Ayarlar!$B$3+Ayarlar!$B$4+Ayarlar!$B$5)</f>
        <v/>
      </c>
      <c r="I693" s="14">
        <f>IF(G693="","",ROUNDUP(((G693*Ayarlar!$B$3+Ayarlar!$B$4+Ayarlar!$B$5)+Ayarlar!$B$8)/((1-Ayarlar!$B$6)*(1-Ayarlar!$B$7)),0))</f>
        <v/>
      </c>
      <c r="J693" s="14">
        <f>IF(G693="","",ROUNDUP(((G693*Ayarlar!$B$3+Ayarlar!$B$4+Ayarlar!$B$5)+Ayarlar!$B$8)/((1-Ayarlar!$B$6)*(1-Ayarlar!$B$7-Ayarlar!$B$9)),0))</f>
        <v/>
      </c>
      <c r="K693" s="15">
        <f>IF(OR(G693="",F693=""),"",(F693*(1-Ayarlar!$B$6)-(F693*(1-Ayarlar!$B$6)*Ayarlar!$B$7+Ayarlar!$B$8)-(G693*Ayarlar!$B$3+Ayarlar!$B$4+Ayarlar!$B$5))/(F693*(1-Ayarlar!$B$6)))</f>
        <v/>
      </c>
      <c r="L693" s="3">
        <f>IF(G693="","GRAM EKSİK",IF(F693&gt;30000,"FİYAT ŞÜPHELİ",IF(K693&lt;0,"ZARARDA",IF(F693&lt;I693,"RİSKLİ","ok"))))</f>
        <v/>
      </c>
      <c r="M693" s="16" t="inlineStr">
        <is>
          <t>https://www.etsy.com/listing/1520386344</t>
        </is>
      </c>
    </row>
    <row r="694">
      <c r="A694" s="9" t="inlineStr">
        <is>
          <t>faith</t>
        </is>
      </c>
      <c r="B694" s="9" t="inlineStr">
        <is>
          <t>10K Gold Last Supper Pendant Necklace, Miami Cuban Chain</t>
        </is>
      </c>
      <c r="C694" s="9" t="n">
        <v>1520386344</v>
      </c>
      <c r="D694" s="9" t="inlineStr">
        <is>
          <t>P60-16</t>
        </is>
      </c>
      <c r="E694" s="9" t="inlineStr">
        <is>
          <t>description</t>
        </is>
      </c>
      <c r="F694" s="10" t="n">
        <v>1386</v>
      </c>
      <c r="G694" s="18" t="n">
        <v>6.21</v>
      </c>
      <c r="H694" s="10">
        <f>IF(G694="","",G694*Ayarlar!$B$3+Ayarlar!$B$4+Ayarlar!$B$5)</f>
        <v/>
      </c>
      <c r="I694" s="10">
        <f>IF(G694="","",ROUNDUP(((G694*Ayarlar!$B$3+Ayarlar!$B$4+Ayarlar!$B$5)+Ayarlar!$B$8)/((1-Ayarlar!$B$6)*(1-Ayarlar!$B$7)),0))</f>
        <v/>
      </c>
      <c r="J694" s="10">
        <f>IF(G694="","",ROUNDUP(((G694*Ayarlar!$B$3+Ayarlar!$B$4+Ayarlar!$B$5)+Ayarlar!$B$8)/((1-Ayarlar!$B$6)*(1-Ayarlar!$B$7-Ayarlar!$B$9)),0))</f>
        <v/>
      </c>
      <c r="K694" s="12">
        <f>IF(OR(G694="",F694=""),"",(F694*(1-Ayarlar!$B$6)-(F694*(1-Ayarlar!$B$6)*Ayarlar!$B$7+Ayarlar!$B$8)-(G694*Ayarlar!$B$3+Ayarlar!$B$4+Ayarlar!$B$5))/(F694*(1-Ayarlar!$B$6)))</f>
        <v/>
      </c>
      <c r="L694" s="9">
        <f>IF(G694="","GRAM EKSİK",IF(F694&gt;30000,"FİYAT ŞÜPHELİ",IF(K694&lt;0,"ZARARDA",IF(F694&lt;I694,"RİSKLİ","ok"))))</f>
        <v/>
      </c>
      <c r="M694" s="13" t="inlineStr">
        <is>
          <t>https://www.etsy.com/listing/1520386344</t>
        </is>
      </c>
    </row>
    <row r="695">
      <c r="A695" s="3" t="inlineStr">
        <is>
          <t>faith</t>
        </is>
      </c>
      <c r="B695" s="3" t="inlineStr">
        <is>
          <t>10K Gold Last Supper Pendant Necklace, Miami Cuban Chain</t>
        </is>
      </c>
      <c r="C695" s="3" t="n">
        <v>1520386344</v>
      </c>
      <c r="D695" s="3" t="inlineStr">
        <is>
          <t>P60-18</t>
        </is>
      </c>
      <c r="E695" s="3" t="inlineStr">
        <is>
          <t>description</t>
        </is>
      </c>
      <c r="F695" s="14" t="n">
        <v>1499</v>
      </c>
      <c r="G695" s="17" t="n">
        <v>6.21</v>
      </c>
      <c r="H695" s="14">
        <f>IF(G695="","",G695*Ayarlar!$B$3+Ayarlar!$B$4+Ayarlar!$B$5)</f>
        <v/>
      </c>
      <c r="I695" s="14">
        <f>IF(G695="","",ROUNDUP(((G695*Ayarlar!$B$3+Ayarlar!$B$4+Ayarlar!$B$5)+Ayarlar!$B$8)/((1-Ayarlar!$B$6)*(1-Ayarlar!$B$7)),0))</f>
        <v/>
      </c>
      <c r="J695" s="14">
        <f>IF(G695="","",ROUNDUP(((G695*Ayarlar!$B$3+Ayarlar!$B$4+Ayarlar!$B$5)+Ayarlar!$B$8)/((1-Ayarlar!$B$6)*(1-Ayarlar!$B$7-Ayarlar!$B$9)),0))</f>
        <v/>
      </c>
      <c r="K695" s="15">
        <f>IF(OR(G695="",F695=""),"",(F695*(1-Ayarlar!$B$6)-(F695*(1-Ayarlar!$B$6)*Ayarlar!$B$7+Ayarlar!$B$8)-(G695*Ayarlar!$B$3+Ayarlar!$B$4+Ayarlar!$B$5))/(F695*(1-Ayarlar!$B$6)))</f>
        <v/>
      </c>
      <c r="L695" s="3">
        <f>IF(G695="","GRAM EKSİK",IF(F695&gt;30000,"FİYAT ŞÜPHELİ",IF(K695&lt;0,"ZARARDA",IF(F695&lt;I695,"RİSKLİ","ok"))))</f>
        <v/>
      </c>
      <c r="M695" s="16" t="inlineStr">
        <is>
          <t>https://www.etsy.com/listing/1520386344</t>
        </is>
      </c>
    </row>
    <row r="696">
      <c r="A696" s="9" t="inlineStr">
        <is>
          <t>faith</t>
        </is>
      </c>
      <c r="B696" s="9" t="inlineStr">
        <is>
          <t>10K Gold Last Supper Pendant Necklace, Miami Cuban Chain</t>
        </is>
      </c>
      <c r="C696" s="9" t="n">
        <v>1520386344</v>
      </c>
      <c r="D696" s="9" t="inlineStr">
        <is>
          <t>P60-20</t>
        </is>
      </c>
      <c r="E696" s="9" t="inlineStr">
        <is>
          <t>description</t>
        </is>
      </c>
      <c r="F696" s="10" t="n">
        <v>1801</v>
      </c>
      <c r="G696" s="18" t="n">
        <v>6.21</v>
      </c>
      <c r="H696" s="10">
        <f>IF(G696="","",G696*Ayarlar!$B$3+Ayarlar!$B$4+Ayarlar!$B$5)</f>
        <v/>
      </c>
      <c r="I696" s="10">
        <f>IF(G696="","",ROUNDUP(((G696*Ayarlar!$B$3+Ayarlar!$B$4+Ayarlar!$B$5)+Ayarlar!$B$8)/((1-Ayarlar!$B$6)*(1-Ayarlar!$B$7)),0))</f>
        <v/>
      </c>
      <c r="J696" s="10">
        <f>IF(G696="","",ROUNDUP(((G696*Ayarlar!$B$3+Ayarlar!$B$4+Ayarlar!$B$5)+Ayarlar!$B$8)/((1-Ayarlar!$B$6)*(1-Ayarlar!$B$7-Ayarlar!$B$9)),0))</f>
        <v/>
      </c>
      <c r="K696" s="12">
        <f>IF(OR(G696="",F696=""),"",(F696*(1-Ayarlar!$B$6)-(F696*(1-Ayarlar!$B$6)*Ayarlar!$B$7+Ayarlar!$B$8)-(G696*Ayarlar!$B$3+Ayarlar!$B$4+Ayarlar!$B$5))/(F696*(1-Ayarlar!$B$6)))</f>
        <v/>
      </c>
      <c r="L696" s="9">
        <f>IF(G696="","GRAM EKSİK",IF(F696&gt;30000,"FİYAT ŞÜPHELİ",IF(K696&lt;0,"ZARARDA",IF(F696&lt;I696,"RİSKLİ","ok"))))</f>
        <v/>
      </c>
      <c r="M696" s="13" t="inlineStr">
        <is>
          <t>https://www.etsy.com/listing/1520386344</t>
        </is>
      </c>
    </row>
    <row r="697">
      <c r="A697" s="3" t="inlineStr">
        <is>
          <t>faith</t>
        </is>
      </c>
      <c r="B697" s="3" t="inlineStr">
        <is>
          <t>10K Gold Last Supper Pendant Necklace, Miami Cuban Chain</t>
        </is>
      </c>
      <c r="C697" s="3" t="n">
        <v>1520386344</v>
      </c>
      <c r="D697" s="3" t="inlineStr">
        <is>
          <t>P60-22</t>
        </is>
      </c>
      <c r="E697" s="3" t="inlineStr">
        <is>
          <t>description</t>
        </is>
      </c>
      <c r="F697" s="14" t="n">
        <v>2027</v>
      </c>
      <c r="G697" s="17" t="n">
        <v>6.21</v>
      </c>
      <c r="H697" s="14">
        <f>IF(G697="","",G697*Ayarlar!$B$3+Ayarlar!$B$4+Ayarlar!$B$5)</f>
        <v/>
      </c>
      <c r="I697" s="14">
        <f>IF(G697="","",ROUNDUP(((G697*Ayarlar!$B$3+Ayarlar!$B$4+Ayarlar!$B$5)+Ayarlar!$B$8)/((1-Ayarlar!$B$6)*(1-Ayarlar!$B$7)),0))</f>
        <v/>
      </c>
      <c r="J697" s="14">
        <f>IF(G697="","",ROUNDUP(((G697*Ayarlar!$B$3+Ayarlar!$B$4+Ayarlar!$B$5)+Ayarlar!$B$8)/((1-Ayarlar!$B$6)*(1-Ayarlar!$B$7-Ayarlar!$B$9)),0))</f>
        <v/>
      </c>
      <c r="K697" s="15">
        <f>IF(OR(G697="",F697=""),"",(F697*(1-Ayarlar!$B$6)-(F697*(1-Ayarlar!$B$6)*Ayarlar!$B$7+Ayarlar!$B$8)-(G697*Ayarlar!$B$3+Ayarlar!$B$4+Ayarlar!$B$5))/(F697*(1-Ayarlar!$B$6)))</f>
        <v/>
      </c>
      <c r="L697" s="3">
        <f>IF(G697="","GRAM EKSİK",IF(F697&gt;30000,"FİYAT ŞÜPHELİ",IF(K697&lt;0,"ZARARDA",IF(F697&lt;I697,"RİSKLİ","ok"))))</f>
        <v/>
      </c>
      <c r="M697" s="16" t="inlineStr">
        <is>
          <t>https://www.etsy.com/listing/1520386344</t>
        </is>
      </c>
    </row>
    <row r="698">
      <c r="A698" s="9" t="inlineStr">
        <is>
          <t>faith</t>
        </is>
      </c>
      <c r="B698" s="9" t="inlineStr">
        <is>
          <t>10K Gold Last Supper Pendant Necklace, Miami Cuban Chain</t>
        </is>
      </c>
      <c r="C698" s="9" t="n">
        <v>1520386344</v>
      </c>
      <c r="D698" s="9" t="inlineStr">
        <is>
          <t>P60-24</t>
        </is>
      </c>
      <c r="E698" s="9" t="inlineStr">
        <is>
          <t>description</t>
        </is>
      </c>
      <c r="F698" s="10" t="n">
        <v>1499</v>
      </c>
      <c r="G698" s="18" t="n">
        <v>6.21</v>
      </c>
      <c r="H698" s="10">
        <f>IF(G698="","",G698*Ayarlar!$B$3+Ayarlar!$B$4+Ayarlar!$B$5)</f>
        <v/>
      </c>
      <c r="I698" s="10">
        <f>IF(G698="","",ROUNDUP(((G698*Ayarlar!$B$3+Ayarlar!$B$4+Ayarlar!$B$5)+Ayarlar!$B$8)/((1-Ayarlar!$B$6)*(1-Ayarlar!$B$7)),0))</f>
        <v/>
      </c>
      <c r="J698" s="10">
        <f>IF(G698="","",ROUNDUP(((G698*Ayarlar!$B$3+Ayarlar!$B$4+Ayarlar!$B$5)+Ayarlar!$B$8)/((1-Ayarlar!$B$6)*(1-Ayarlar!$B$7-Ayarlar!$B$9)),0))</f>
        <v/>
      </c>
      <c r="K698" s="12">
        <f>IF(OR(G698="",F698=""),"",(F698*(1-Ayarlar!$B$6)-(F698*(1-Ayarlar!$B$6)*Ayarlar!$B$7+Ayarlar!$B$8)-(G698*Ayarlar!$B$3+Ayarlar!$B$4+Ayarlar!$B$5))/(F698*(1-Ayarlar!$B$6)))</f>
        <v/>
      </c>
      <c r="L698" s="9">
        <f>IF(G698="","GRAM EKSİK",IF(F698&gt;30000,"FİYAT ŞÜPHELİ",IF(K698&lt;0,"ZARARDA",IF(F698&lt;I698,"RİSKLİ","ok"))))</f>
        <v/>
      </c>
      <c r="M698" s="13" t="inlineStr">
        <is>
          <t>https://www.etsy.com/listing/1520386344</t>
        </is>
      </c>
    </row>
    <row r="699">
      <c r="A699" s="3" t="inlineStr">
        <is>
          <t>faith</t>
        </is>
      </c>
      <c r="B699" s="3" t="inlineStr">
        <is>
          <t>10K Gold Lion &amp; Eagle Pendant – Diamond Cut Two-Tone Necklac</t>
        </is>
      </c>
      <c r="C699" s="3" t="n">
        <v>1768689465</v>
      </c>
      <c r="D699" s="3" t="inlineStr">
        <is>
          <t>PEAG</t>
        </is>
      </c>
      <c r="E699" s="3" t="inlineStr">
        <is>
          <t>description</t>
        </is>
      </c>
      <c r="F699" s="14" t="n">
        <v>666</v>
      </c>
      <c r="G699" s="17" t="n">
        <v>3.7</v>
      </c>
      <c r="H699" s="14">
        <f>IF(G699="","",G699*Ayarlar!$B$3+Ayarlar!$B$4+Ayarlar!$B$5)</f>
        <v/>
      </c>
      <c r="I699" s="14">
        <f>IF(G699="","",ROUNDUP(((G699*Ayarlar!$B$3+Ayarlar!$B$4+Ayarlar!$B$5)+Ayarlar!$B$8)/((1-Ayarlar!$B$6)*(1-Ayarlar!$B$7)),0))</f>
        <v/>
      </c>
      <c r="J699" s="14">
        <f>IF(G699="","",ROUNDUP(((G699*Ayarlar!$B$3+Ayarlar!$B$4+Ayarlar!$B$5)+Ayarlar!$B$8)/((1-Ayarlar!$B$6)*(1-Ayarlar!$B$7-Ayarlar!$B$9)),0))</f>
        <v/>
      </c>
      <c r="K699" s="15">
        <f>IF(OR(G699="",F699=""),"",(F699*(1-Ayarlar!$B$6)-(F699*(1-Ayarlar!$B$6)*Ayarlar!$B$7+Ayarlar!$B$8)-(G699*Ayarlar!$B$3+Ayarlar!$B$4+Ayarlar!$B$5))/(F699*(1-Ayarlar!$B$6)))</f>
        <v/>
      </c>
      <c r="L699" s="3">
        <f>IF(G699="","GRAM EKSİK",IF(F699&gt;30000,"FİYAT ŞÜPHELİ",IF(K699&lt;0,"ZARARDA",IF(F699&lt;I699,"RİSKLİ","ok"))))</f>
        <v/>
      </c>
      <c r="M699" s="16" t="inlineStr">
        <is>
          <t>https://www.etsy.com/listing/1768689465</t>
        </is>
      </c>
    </row>
    <row r="700">
      <c r="A700" s="9" t="inlineStr">
        <is>
          <t>faith</t>
        </is>
      </c>
      <c r="B700" s="9" t="inlineStr">
        <is>
          <t>10K Gold Lion &amp; Eagle Pendant – Diamond Cut Two-Tone Necklac</t>
        </is>
      </c>
      <c r="C700" s="9" t="n">
        <v>1768689465</v>
      </c>
      <c r="D700" s="9" t="inlineStr">
        <is>
          <t>PEAG-3-16</t>
        </is>
      </c>
      <c r="E700" s="9" t="inlineStr">
        <is>
          <t>description</t>
        </is>
      </c>
      <c r="F700" s="10" t="n">
        <v>990</v>
      </c>
      <c r="G700" s="18" t="n">
        <v>4.13</v>
      </c>
      <c r="H700" s="10">
        <f>IF(G700="","",G700*Ayarlar!$B$3+Ayarlar!$B$4+Ayarlar!$B$5)</f>
        <v/>
      </c>
      <c r="I700" s="10">
        <f>IF(G700="","",ROUNDUP(((G700*Ayarlar!$B$3+Ayarlar!$B$4+Ayarlar!$B$5)+Ayarlar!$B$8)/((1-Ayarlar!$B$6)*(1-Ayarlar!$B$7)),0))</f>
        <v/>
      </c>
      <c r="J700" s="10">
        <f>IF(G700="","",ROUNDUP(((G700*Ayarlar!$B$3+Ayarlar!$B$4+Ayarlar!$B$5)+Ayarlar!$B$8)/((1-Ayarlar!$B$6)*(1-Ayarlar!$B$7-Ayarlar!$B$9)),0))</f>
        <v/>
      </c>
      <c r="K700" s="12">
        <f>IF(OR(G700="",F700=""),"",(F700*(1-Ayarlar!$B$6)-(F700*(1-Ayarlar!$B$6)*Ayarlar!$B$7+Ayarlar!$B$8)-(G700*Ayarlar!$B$3+Ayarlar!$B$4+Ayarlar!$B$5))/(F700*(1-Ayarlar!$B$6)))</f>
        <v/>
      </c>
      <c r="L700" s="9">
        <f>IF(G700="","GRAM EKSİK",IF(F700&gt;30000,"FİYAT ŞÜPHELİ",IF(K700&lt;0,"ZARARDA",IF(F700&lt;I700,"RİSKLİ","ok"))))</f>
        <v/>
      </c>
      <c r="M700" s="13" t="inlineStr">
        <is>
          <t>https://www.etsy.com/listing/1768689465</t>
        </is>
      </c>
    </row>
    <row r="701">
      <c r="A701" s="3" t="inlineStr">
        <is>
          <t>faith</t>
        </is>
      </c>
      <c r="B701" s="3" t="inlineStr">
        <is>
          <t>10K Gold Lion &amp; Eagle Pendant – Diamond Cut Two-Tone Necklac</t>
        </is>
      </c>
      <c r="C701" s="3" t="n">
        <v>1768689465</v>
      </c>
      <c r="D701" s="3" t="inlineStr">
        <is>
          <t>PEAG-3-18</t>
        </is>
      </c>
      <c r="E701" s="3" t="inlineStr">
        <is>
          <t>description</t>
        </is>
      </c>
      <c r="F701" s="14" t="n">
        <v>1055</v>
      </c>
      <c r="G701" s="17" t="n">
        <v>4.64</v>
      </c>
      <c r="H701" s="14">
        <f>IF(G701="","",G701*Ayarlar!$B$3+Ayarlar!$B$4+Ayarlar!$B$5)</f>
        <v/>
      </c>
      <c r="I701" s="14">
        <f>IF(G701="","",ROUNDUP(((G701*Ayarlar!$B$3+Ayarlar!$B$4+Ayarlar!$B$5)+Ayarlar!$B$8)/((1-Ayarlar!$B$6)*(1-Ayarlar!$B$7)),0))</f>
        <v/>
      </c>
      <c r="J701" s="14">
        <f>IF(G701="","",ROUNDUP(((G701*Ayarlar!$B$3+Ayarlar!$B$4+Ayarlar!$B$5)+Ayarlar!$B$8)/((1-Ayarlar!$B$6)*(1-Ayarlar!$B$7-Ayarlar!$B$9)),0))</f>
        <v/>
      </c>
      <c r="K701" s="15">
        <f>IF(OR(G701="",F701=""),"",(F701*(1-Ayarlar!$B$6)-(F701*(1-Ayarlar!$B$6)*Ayarlar!$B$7+Ayarlar!$B$8)-(G701*Ayarlar!$B$3+Ayarlar!$B$4+Ayarlar!$B$5))/(F701*(1-Ayarlar!$B$6)))</f>
        <v/>
      </c>
      <c r="L701" s="3">
        <f>IF(G701="","GRAM EKSİK",IF(F701&gt;30000,"FİYAT ŞÜPHELİ",IF(K701&lt;0,"ZARARDA",IF(F701&lt;I701,"RİSKLİ","ok"))))</f>
        <v/>
      </c>
      <c r="M701" s="16" t="inlineStr">
        <is>
          <t>https://www.etsy.com/listing/1768689465</t>
        </is>
      </c>
    </row>
    <row r="702">
      <c r="A702" s="9" t="inlineStr">
        <is>
          <t>faith</t>
        </is>
      </c>
      <c r="B702" s="9" t="inlineStr">
        <is>
          <t>10K Gold Lion &amp; Eagle Pendant – Diamond Cut Two-Tone Necklac</t>
        </is>
      </c>
      <c r="C702" s="9" t="n">
        <v>1768689465</v>
      </c>
      <c r="D702" s="9" t="inlineStr">
        <is>
          <t>PEAG-3-20</t>
        </is>
      </c>
      <c r="E702" s="9" t="inlineStr">
        <is>
          <t>description</t>
        </is>
      </c>
      <c r="F702" s="10" t="n">
        <v>1135</v>
      </c>
      <c r="G702" s="18" t="n">
        <v>5.16</v>
      </c>
      <c r="H702" s="10">
        <f>IF(G702="","",G702*Ayarlar!$B$3+Ayarlar!$B$4+Ayarlar!$B$5)</f>
        <v/>
      </c>
      <c r="I702" s="10">
        <f>IF(G702="","",ROUNDUP(((G702*Ayarlar!$B$3+Ayarlar!$B$4+Ayarlar!$B$5)+Ayarlar!$B$8)/((1-Ayarlar!$B$6)*(1-Ayarlar!$B$7)),0))</f>
        <v/>
      </c>
      <c r="J702" s="10">
        <f>IF(G702="","",ROUNDUP(((G702*Ayarlar!$B$3+Ayarlar!$B$4+Ayarlar!$B$5)+Ayarlar!$B$8)/((1-Ayarlar!$B$6)*(1-Ayarlar!$B$7-Ayarlar!$B$9)),0))</f>
        <v/>
      </c>
      <c r="K702" s="12">
        <f>IF(OR(G702="",F702=""),"",(F702*(1-Ayarlar!$B$6)-(F702*(1-Ayarlar!$B$6)*Ayarlar!$B$7+Ayarlar!$B$8)-(G702*Ayarlar!$B$3+Ayarlar!$B$4+Ayarlar!$B$5))/(F702*(1-Ayarlar!$B$6)))</f>
        <v/>
      </c>
      <c r="L702" s="9">
        <f>IF(G702="","GRAM EKSİK",IF(F702&gt;30000,"FİYAT ŞÜPHELİ",IF(K702&lt;0,"ZARARDA",IF(F702&lt;I702,"RİSKLİ","ok"))))</f>
        <v/>
      </c>
      <c r="M702" s="13" t="inlineStr">
        <is>
          <t>https://www.etsy.com/listing/1768689465</t>
        </is>
      </c>
    </row>
    <row r="703">
      <c r="A703" s="3" t="inlineStr">
        <is>
          <t>faith</t>
        </is>
      </c>
      <c r="B703" s="3" t="inlineStr">
        <is>
          <t>10K Gold Lion &amp; Eagle Pendant – Diamond Cut Two-Tone Necklac</t>
        </is>
      </c>
      <c r="C703" s="3" t="n">
        <v>1768689465</v>
      </c>
      <c r="D703" s="3" t="inlineStr">
        <is>
          <t>PEAG-3-22</t>
        </is>
      </c>
      <c r="E703" s="3" t="inlineStr">
        <is>
          <t>description</t>
        </is>
      </c>
      <c r="F703" s="14" t="n">
        <v>1201</v>
      </c>
      <c r="G703" s="17" t="n">
        <v>5.68</v>
      </c>
      <c r="H703" s="14">
        <f>IF(G703="","",G703*Ayarlar!$B$3+Ayarlar!$B$4+Ayarlar!$B$5)</f>
        <v/>
      </c>
      <c r="I703" s="14">
        <f>IF(G703="","",ROUNDUP(((G703*Ayarlar!$B$3+Ayarlar!$B$4+Ayarlar!$B$5)+Ayarlar!$B$8)/((1-Ayarlar!$B$6)*(1-Ayarlar!$B$7)),0))</f>
        <v/>
      </c>
      <c r="J703" s="14">
        <f>IF(G703="","",ROUNDUP(((G703*Ayarlar!$B$3+Ayarlar!$B$4+Ayarlar!$B$5)+Ayarlar!$B$8)/((1-Ayarlar!$B$6)*(1-Ayarlar!$B$7-Ayarlar!$B$9)),0))</f>
        <v/>
      </c>
      <c r="K703" s="15">
        <f>IF(OR(G703="",F703=""),"",(F703*(1-Ayarlar!$B$6)-(F703*(1-Ayarlar!$B$6)*Ayarlar!$B$7+Ayarlar!$B$8)-(G703*Ayarlar!$B$3+Ayarlar!$B$4+Ayarlar!$B$5))/(F703*(1-Ayarlar!$B$6)))</f>
        <v/>
      </c>
      <c r="L703" s="3">
        <f>IF(G703="","GRAM EKSİK",IF(F703&gt;30000,"FİYAT ŞÜPHELİ",IF(K703&lt;0,"ZARARDA",IF(F703&lt;I703,"RİSKLİ","ok"))))</f>
        <v/>
      </c>
      <c r="M703" s="16" t="inlineStr">
        <is>
          <t>https://www.etsy.com/listing/1768689465</t>
        </is>
      </c>
    </row>
    <row r="704">
      <c r="A704" s="9" t="inlineStr">
        <is>
          <t>faith</t>
        </is>
      </c>
      <c r="B704" s="9" t="inlineStr">
        <is>
          <t>10K Gold Lion &amp; Eagle Pendant – Diamond Cut Two-Tone Necklac</t>
        </is>
      </c>
      <c r="C704" s="9" t="n">
        <v>1768689465</v>
      </c>
      <c r="D704" s="9" t="inlineStr">
        <is>
          <t>PEAG-3-24</t>
        </is>
      </c>
      <c r="E704" s="9" t="inlineStr">
        <is>
          <t>description</t>
        </is>
      </c>
      <c r="F704" s="10" t="n">
        <v>1312</v>
      </c>
      <c r="G704" s="18" t="n">
        <v>6.19</v>
      </c>
      <c r="H704" s="10">
        <f>IF(G704="","",G704*Ayarlar!$B$3+Ayarlar!$B$4+Ayarlar!$B$5)</f>
        <v/>
      </c>
      <c r="I704" s="10">
        <f>IF(G704="","",ROUNDUP(((G704*Ayarlar!$B$3+Ayarlar!$B$4+Ayarlar!$B$5)+Ayarlar!$B$8)/((1-Ayarlar!$B$6)*(1-Ayarlar!$B$7)),0))</f>
        <v/>
      </c>
      <c r="J704" s="10">
        <f>IF(G704="","",ROUNDUP(((G704*Ayarlar!$B$3+Ayarlar!$B$4+Ayarlar!$B$5)+Ayarlar!$B$8)/((1-Ayarlar!$B$6)*(1-Ayarlar!$B$7-Ayarlar!$B$9)),0))</f>
        <v/>
      </c>
      <c r="K704" s="12">
        <f>IF(OR(G704="",F704=""),"",(F704*(1-Ayarlar!$B$6)-(F704*(1-Ayarlar!$B$6)*Ayarlar!$B$7+Ayarlar!$B$8)-(G704*Ayarlar!$B$3+Ayarlar!$B$4+Ayarlar!$B$5))/(F704*(1-Ayarlar!$B$6)))</f>
        <v/>
      </c>
      <c r="L704" s="9">
        <f>IF(G704="","GRAM EKSİK",IF(F704&gt;30000,"FİYAT ŞÜPHELİ",IF(K704&lt;0,"ZARARDA",IF(F704&lt;I704,"RİSKLİ","ok"))))</f>
        <v/>
      </c>
      <c r="M704" s="13" t="inlineStr">
        <is>
          <t>https://www.etsy.com/listing/1768689465</t>
        </is>
      </c>
    </row>
    <row r="705">
      <c r="A705" s="3" t="inlineStr">
        <is>
          <t>faith</t>
        </is>
      </c>
      <c r="B705" s="3" t="inlineStr">
        <is>
          <t>10K Gold Lion &amp; Eagle Pendant – Diamond Cut Two-Tone Necklac</t>
        </is>
      </c>
      <c r="C705" s="3" t="n">
        <v>1768689465</v>
      </c>
      <c r="D705" s="3" t="inlineStr">
        <is>
          <t>PEAG-38-16</t>
        </is>
      </c>
      <c r="E705" s="3" t="inlineStr">
        <is>
          <t>description</t>
        </is>
      </c>
      <c r="F705" s="14" t="n">
        <v>1122</v>
      </c>
      <c r="G705" s="17" t="n">
        <v>5.53</v>
      </c>
      <c r="H705" s="14">
        <f>IF(G705="","",G705*Ayarlar!$B$3+Ayarlar!$B$4+Ayarlar!$B$5)</f>
        <v/>
      </c>
      <c r="I705" s="14">
        <f>IF(G705="","",ROUNDUP(((G705*Ayarlar!$B$3+Ayarlar!$B$4+Ayarlar!$B$5)+Ayarlar!$B$8)/((1-Ayarlar!$B$6)*(1-Ayarlar!$B$7)),0))</f>
        <v/>
      </c>
      <c r="J705" s="14">
        <f>IF(G705="","",ROUNDUP(((G705*Ayarlar!$B$3+Ayarlar!$B$4+Ayarlar!$B$5)+Ayarlar!$B$8)/((1-Ayarlar!$B$6)*(1-Ayarlar!$B$7-Ayarlar!$B$9)),0))</f>
        <v/>
      </c>
      <c r="K705" s="15">
        <f>IF(OR(G705="",F705=""),"",(F705*(1-Ayarlar!$B$6)-(F705*(1-Ayarlar!$B$6)*Ayarlar!$B$7+Ayarlar!$B$8)-(G705*Ayarlar!$B$3+Ayarlar!$B$4+Ayarlar!$B$5))/(F705*(1-Ayarlar!$B$6)))</f>
        <v/>
      </c>
      <c r="L705" s="3">
        <f>IF(G705="","GRAM EKSİK",IF(F705&gt;30000,"FİYAT ŞÜPHELİ",IF(K705&lt;0,"ZARARDA",IF(F705&lt;I705,"RİSKLİ","ok"))))</f>
        <v/>
      </c>
      <c r="M705" s="16" t="inlineStr">
        <is>
          <t>https://www.etsy.com/listing/1768689465</t>
        </is>
      </c>
    </row>
    <row r="706">
      <c r="A706" s="9" t="inlineStr">
        <is>
          <t>faith</t>
        </is>
      </c>
      <c r="B706" s="9" t="inlineStr">
        <is>
          <t>10K Gold Lion &amp; Eagle Pendant – Diamond Cut Two-Tone Necklac</t>
        </is>
      </c>
      <c r="C706" s="9" t="n">
        <v>1768689465</v>
      </c>
      <c r="D706" s="9" t="inlineStr">
        <is>
          <t>PEAG-38-18</t>
        </is>
      </c>
      <c r="E706" s="9" t="inlineStr">
        <is>
          <t>description</t>
        </is>
      </c>
      <c r="F706" s="10" t="n">
        <v>1203</v>
      </c>
      <c r="G706" s="18" t="n">
        <v>6.22</v>
      </c>
      <c r="H706" s="10">
        <f>IF(G706="","",G706*Ayarlar!$B$3+Ayarlar!$B$4+Ayarlar!$B$5)</f>
        <v/>
      </c>
      <c r="I706" s="10">
        <f>IF(G706="","",ROUNDUP(((G706*Ayarlar!$B$3+Ayarlar!$B$4+Ayarlar!$B$5)+Ayarlar!$B$8)/((1-Ayarlar!$B$6)*(1-Ayarlar!$B$7)),0))</f>
        <v/>
      </c>
      <c r="J706" s="10">
        <f>IF(G706="","",ROUNDUP(((G706*Ayarlar!$B$3+Ayarlar!$B$4+Ayarlar!$B$5)+Ayarlar!$B$8)/((1-Ayarlar!$B$6)*(1-Ayarlar!$B$7-Ayarlar!$B$9)),0))</f>
        <v/>
      </c>
      <c r="K706" s="12">
        <f>IF(OR(G706="",F706=""),"",(F706*(1-Ayarlar!$B$6)-(F706*(1-Ayarlar!$B$6)*Ayarlar!$B$7+Ayarlar!$B$8)-(G706*Ayarlar!$B$3+Ayarlar!$B$4+Ayarlar!$B$5))/(F706*(1-Ayarlar!$B$6)))</f>
        <v/>
      </c>
      <c r="L706" s="9">
        <f>IF(G706="","GRAM EKSİK",IF(F706&gt;30000,"FİYAT ŞÜPHELİ",IF(K706&lt;0,"ZARARDA",IF(F706&lt;I706,"RİSKLİ","ok"))))</f>
        <v/>
      </c>
      <c r="M706" s="13" t="inlineStr">
        <is>
          <t>https://www.etsy.com/listing/1768689465</t>
        </is>
      </c>
    </row>
    <row r="707">
      <c r="A707" s="3" t="inlineStr">
        <is>
          <t>faith</t>
        </is>
      </c>
      <c r="B707" s="3" t="inlineStr">
        <is>
          <t>10K Gold Lion &amp; Eagle Pendant – Diamond Cut Two-Tone Necklac</t>
        </is>
      </c>
      <c r="C707" s="3" t="n">
        <v>1768689465</v>
      </c>
      <c r="D707" s="3" t="inlineStr">
        <is>
          <t>PEAG-38-20</t>
        </is>
      </c>
      <c r="E707" s="3" t="inlineStr">
        <is>
          <t>description</t>
        </is>
      </c>
      <c r="F707" s="14" t="n">
        <v>1285</v>
      </c>
      <c r="G707" s="17" t="n">
        <v>6.91</v>
      </c>
      <c r="H707" s="14">
        <f>IF(G707="","",G707*Ayarlar!$B$3+Ayarlar!$B$4+Ayarlar!$B$5)</f>
        <v/>
      </c>
      <c r="I707" s="14">
        <f>IF(G707="","",ROUNDUP(((G707*Ayarlar!$B$3+Ayarlar!$B$4+Ayarlar!$B$5)+Ayarlar!$B$8)/((1-Ayarlar!$B$6)*(1-Ayarlar!$B$7)),0))</f>
        <v/>
      </c>
      <c r="J707" s="14">
        <f>IF(G707="","",ROUNDUP(((G707*Ayarlar!$B$3+Ayarlar!$B$4+Ayarlar!$B$5)+Ayarlar!$B$8)/((1-Ayarlar!$B$6)*(1-Ayarlar!$B$7-Ayarlar!$B$9)),0))</f>
        <v/>
      </c>
      <c r="K707" s="15">
        <f>IF(OR(G707="",F707=""),"",(F707*(1-Ayarlar!$B$6)-(F707*(1-Ayarlar!$B$6)*Ayarlar!$B$7+Ayarlar!$B$8)-(G707*Ayarlar!$B$3+Ayarlar!$B$4+Ayarlar!$B$5))/(F707*(1-Ayarlar!$B$6)))</f>
        <v/>
      </c>
      <c r="L707" s="3">
        <f>IF(G707="","GRAM EKSİK",IF(F707&gt;30000,"FİYAT ŞÜPHELİ",IF(K707&lt;0,"ZARARDA",IF(F707&lt;I707,"RİSKLİ","ok"))))</f>
        <v/>
      </c>
      <c r="M707" s="16" t="inlineStr">
        <is>
          <t>https://www.etsy.com/listing/1768689465</t>
        </is>
      </c>
    </row>
    <row r="708">
      <c r="A708" s="9" t="inlineStr">
        <is>
          <t>faith</t>
        </is>
      </c>
      <c r="B708" s="9" t="inlineStr">
        <is>
          <t>10K Gold Lion &amp; Eagle Pendant – Diamond Cut Two-Tone Necklac</t>
        </is>
      </c>
      <c r="C708" s="9" t="n">
        <v>1768689465</v>
      </c>
      <c r="D708" s="9" t="inlineStr">
        <is>
          <t>PEAG-38-22</t>
        </is>
      </c>
      <c r="E708" s="9" t="inlineStr">
        <is>
          <t>description</t>
        </is>
      </c>
      <c r="F708" s="10" t="n">
        <v>1366</v>
      </c>
      <c r="G708" s="18" t="n">
        <v>7.6</v>
      </c>
      <c r="H708" s="10">
        <f>IF(G708="","",G708*Ayarlar!$B$3+Ayarlar!$B$4+Ayarlar!$B$5)</f>
        <v/>
      </c>
      <c r="I708" s="10">
        <f>IF(G708="","",ROUNDUP(((G708*Ayarlar!$B$3+Ayarlar!$B$4+Ayarlar!$B$5)+Ayarlar!$B$8)/((1-Ayarlar!$B$6)*(1-Ayarlar!$B$7)),0))</f>
        <v/>
      </c>
      <c r="J708" s="10">
        <f>IF(G708="","",ROUNDUP(((G708*Ayarlar!$B$3+Ayarlar!$B$4+Ayarlar!$B$5)+Ayarlar!$B$8)/((1-Ayarlar!$B$6)*(1-Ayarlar!$B$7-Ayarlar!$B$9)),0))</f>
        <v/>
      </c>
      <c r="K708" s="12">
        <f>IF(OR(G708="",F708=""),"",(F708*(1-Ayarlar!$B$6)-(F708*(1-Ayarlar!$B$6)*Ayarlar!$B$7+Ayarlar!$B$8)-(G708*Ayarlar!$B$3+Ayarlar!$B$4+Ayarlar!$B$5))/(F708*(1-Ayarlar!$B$6)))</f>
        <v/>
      </c>
      <c r="L708" s="9">
        <f>IF(G708="","GRAM EKSİK",IF(F708&gt;30000,"FİYAT ŞÜPHELİ",IF(K708&lt;0,"ZARARDA",IF(F708&lt;I708,"RİSKLİ","ok"))))</f>
        <v/>
      </c>
      <c r="M708" s="13" t="inlineStr">
        <is>
          <t>https://www.etsy.com/listing/1768689465</t>
        </is>
      </c>
    </row>
    <row r="709">
      <c r="A709" s="3" t="inlineStr">
        <is>
          <t>faith</t>
        </is>
      </c>
      <c r="B709" s="3" t="inlineStr">
        <is>
          <t>10K Gold Lion &amp; Eagle Pendant – Diamond Cut Two-Tone Necklac</t>
        </is>
      </c>
      <c r="C709" s="3" t="n">
        <v>1768689465</v>
      </c>
      <c r="D709" s="3" t="inlineStr">
        <is>
          <t>PEAG-38-24</t>
        </is>
      </c>
      <c r="E709" s="3" t="inlineStr">
        <is>
          <t>description</t>
        </is>
      </c>
      <c r="F709" s="14" t="n">
        <v>2232</v>
      </c>
      <c r="G709" s="17" t="n">
        <v>8.289999999999999</v>
      </c>
      <c r="H709" s="14">
        <f>IF(G709="","",G709*Ayarlar!$B$3+Ayarlar!$B$4+Ayarlar!$B$5)</f>
        <v/>
      </c>
      <c r="I709" s="14">
        <f>IF(G709="","",ROUNDUP(((G709*Ayarlar!$B$3+Ayarlar!$B$4+Ayarlar!$B$5)+Ayarlar!$B$8)/((1-Ayarlar!$B$6)*(1-Ayarlar!$B$7)),0))</f>
        <v/>
      </c>
      <c r="J709" s="14">
        <f>IF(G709="","",ROUNDUP(((G709*Ayarlar!$B$3+Ayarlar!$B$4+Ayarlar!$B$5)+Ayarlar!$B$8)/((1-Ayarlar!$B$6)*(1-Ayarlar!$B$7-Ayarlar!$B$9)),0))</f>
        <v/>
      </c>
      <c r="K709" s="15">
        <f>IF(OR(G709="",F709=""),"",(F709*(1-Ayarlar!$B$6)-(F709*(1-Ayarlar!$B$6)*Ayarlar!$B$7+Ayarlar!$B$8)-(G709*Ayarlar!$B$3+Ayarlar!$B$4+Ayarlar!$B$5))/(F709*(1-Ayarlar!$B$6)))</f>
        <v/>
      </c>
      <c r="L709" s="3">
        <f>IF(G709="","GRAM EKSİK",IF(F709&gt;30000,"FİYAT ŞÜPHELİ",IF(K709&lt;0,"ZARARDA",IF(F709&lt;I709,"RİSKLİ","ok"))))</f>
        <v/>
      </c>
      <c r="M709" s="16" t="inlineStr">
        <is>
          <t>https://www.etsy.com/listing/1768689465</t>
        </is>
      </c>
    </row>
    <row r="710">
      <c r="A710" s="9" t="inlineStr">
        <is>
          <t>faith</t>
        </is>
      </c>
      <c r="B710" s="9" t="inlineStr">
        <is>
          <t>10K Gold Lion &amp; Eagle Pendant – Diamond Cut Two-Tone Necklac</t>
        </is>
      </c>
      <c r="C710" s="9" t="n">
        <v>1768689465</v>
      </c>
      <c r="D710" s="9" t="inlineStr">
        <is>
          <t>PLIO</t>
        </is>
      </c>
      <c r="E710" s="9" t="inlineStr">
        <is>
          <t>description</t>
        </is>
      </c>
      <c r="F710" s="10" t="n">
        <v>666</v>
      </c>
      <c r="G710" s="18" t="n">
        <v>3.7</v>
      </c>
      <c r="H710" s="10">
        <f>IF(G710="","",G710*Ayarlar!$B$3+Ayarlar!$B$4+Ayarlar!$B$5)</f>
        <v/>
      </c>
      <c r="I710" s="10">
        <f>IF(G710="","",ROUNDUP(((G710*Ayarlar!$B$3+Ayarlar!$B$4+Ayarlar!$B$5)+Ayarlar!$B$8)/((1-Ayarlar!$B$6)*(1-Ayarlar!$B$7)),0))</f>
        <v/>
      </c>
      <c r="J710" s="10">
        <f>IF(G710="","",ROUNDUP(((G710*Ayarlar!$B$3+Ayarlar!$B$4+Ayarlar!$B$5)+Ayarlar!$B$8)/((1-Ayarlar!$B$6)*(1-Ayarlar!$B$7-Ayarlar!$B$9)),0))</f>
        <v/>
      </c>
      <c r="K710" s="12">
        <f>IF(OR(G710="",F710=""),"",(F710*(1-Ayarlar!$B$6)-(F710*(1-Ayarlar!$B$6)*Ayarlar!$B$7+Ayarlar!$B$8)-(G710*Ayarlar!$B$3+Ayarlar!$B$4+Ayarlar!$B$5))/(F710*(1-Ayarlar!$B$6)))</f>
        <v/>
      </c>
      <c r="L710" s="9">
        <f>IF(G710="","GRAM EKSİK",IF(F710&gt;30000,"FİYAT ŞÜPHELİ",IF(K710&lt;0,"ZARARDA",IF(F710&lt;I710,"RİSKLİ","ok"))))</f>
        <v/>
      </c>
      <c r="M710" s="13" t="inlineStr">
        <is>
          <t>https://www.etsy.com/listing/1768689465</t>
        </is>
      </c>
    </row>
    <row r="711">
      <c r="A711" s="3" t="inlineStr">
        <is>
          <t>faith</t>
        </is>
      </c>
      <c r="B711" s="3" t="inlineStr">
        <is>
          <t>10K Gold Lion &amp; Eagle Pendant – Diamond Cut Two-Tone Necklac</t>
        </is>
      </c>
      <c r="C711" s="3" t="n">
        <v>1768689465</v>
      </c>
      <c r="D711" s="3" t="inlineStr">
        <is>
          <t>PLIO-3-16</t>
        </is>
      </c>
      <c r="E711" s="3" t="inlineStr">
        <is>
          <t>description</t>
        </is>
      </c>
      <c r="F711" s="14" t="n">
        <v>990</v>
      </c>
      <c r="G711" s="17" t="n">
        <v>4.13</v>
      </c>
      <c r="H711" s="14">
        <f>IF(G711="","",G711*Ayarlar!$B$3+Ayarlar!$B$4+Ayarlar!$B$5)</f>
        <v/>
      </c>
      <c r="I711" s="14">
        <f>IF(G711="","",ROUNDUP(((G711*Ayarlar!$B$3+Ayarlar!$B$4+Ayarlar!$B$5)+Ayarlar!$B$8)/((1-Ayarlar!$B$6)*(1-Ayarlar!$B$7)),0))</f>
        <v/>
      </c>
      <c r="J711" s="14">
        <f>IF(G711="","",ROUNDUP(((G711*Ayarlar!$B$3+Ayarlar!$B$4+Ayarlar!$B$5)+Ayarlar!$B$8)/((1-Ayarlar!$B$6)*(1-Ayarlar!$B$7-Ayarlar!$B$9)),0))</f>
        <v/>
      </c>
      <c r="K711" s="15">
        <f>IF(OR(G711="",F711=""),"",(F711*(1-Ayarlar!$B$6)-(F711*(1-Ayarlar!$B$6)*Ayarlar!$B$7+Ayarlar!$B$8)-(G711*Ayarlar!$B$3+Ayarlar!$B$4+Ayarlar!$B$5))/(F711*(1-Ayarlar!$B$6)))</f>
        <v/>
      </c>
      <c r="L711" s="3">
        <f>IF(G711="","GRAM EKSİK",IF(F711&gt;30000,"FİYAT ŞÜPHELİ",IF(K711&lt;0,"ZARARDA",IF(F711&lt;I711,"RİSKLİ","ok"))))</f>
        <v/>
      </c>
      <c r="M711" s="16" t="inlineStr">
        <is>
          <t>https://www.etsy.com/listing/1768689465</t>
        </is>
      </c>
    </row>
    <row r="712">
      <c r="A712" s="9" t="inlineStr">
        <is>
          <t>faith</t>
        </is>
      </c>
      <c r="B712" s="9" t="inlineStr">
        <is>
          <t>10K Gold Lion &amp; Eagle Pendant – Diamond Cut Two-Tone Necklac</t>
        </is>
      </c>
      <c r="C712" s="9" t="n">
        <v>1768689465</v>
      </c>
      <c r="D712" s="9" t="inlineStr">
        <is>
          <t>PLIO-3-18</t>
        </is>
      </c>
      <c r="E712" s="9" t="inlineStr">
        <is>
          <t>description</t>
        </is>
      </c>
      <c r="F712" s="10" t="n">
        <v>1055</v>
      </c>
      <c r="G712" s="18" t="n">
        <v>4.64</v>
      </c>
      <c r="H712" s="10">
        <f>IF(G712="","",G712*Ayarlar!$B$3+Ayarlar!$B$4+Ayarlar!$B$5)</f>
        <v/>
      </c>
      <c r="I712" s="10">
        <f>IF(G712="","",ROUNDUP(((G712*Ayarlar!$B$3+Ayarlar!$B$4+Ayarlar!$B$5)+Ayarlar!$B$8)/((1-Ayarlar!$B$6)*(1-Ayarlar!$B$7)),0))</f>
        <v/>
      </c>
      <c r="J712" s="10">
        <f>IF(G712="","",ROUNDUP(((G712*Ayarlar!$B$3+Ayarlar!$B$4+Ayarlar!$B$5)+Ayarlar!$B$8)/((1-Ayarlar!$B$6)*(1-Ayarlar!$B$7-Ayarlar!$B$9)),0))</f>
        <v/>
      </c>
      <c r="K712" s="12">
        <f>IF(OR(G712="",F712=""),"",(F712*(1-Ayarlar!$B$6)-(F712*(1-Ayarlar!$B$6)*Ayarlar!$B$7+Ayarlar!$B$8)-(G712*Ayarlar!$B$3+Ayarlar!$B$4+Ayarlar!$B$5))/(F712*(1-Ayarlar!$B$6)))</f>
        <v/>
      </c>
      <c r="L712" s="9">
        <f>IF(G712="","GRAM EKSİK",IF(F712&gt;30000,"FİYAT ŞÜPHELİ",IF(K712&lt;0,"ZARARDA",IF(F712&lt;I712,"RİSKLİ","ok"))))</f>
        <v/>
      </c>
      <c r="M712" s="13" t="inlineStr">
        <is>
          <t>https://www.etsy.com/listing/1768689465</t>
        </is>
      </c>
    </row>
    <row r="713">
      <c r="A713" s="3" t="inlineStr">
        <is>
          <t>faith</t>
        </is>
      </c>
      <c r="B713" s="3" t="inlineStr">
        <is>
          <t>10K Gold Lion &amp; Eagle Pendant – Diamond Cut Two-Tone Necklac</t>
        </is>
      </c>
      <c r="C713" s="3" t="n">
        <v>1768689465</v>
      </c>
      <c r="D713" s="3" t="inlineStr">
        <is>
          <t>PLIO-3-20</t>
        </is>
      </c>
      <c r="E713" s="3" t="inlineStr">
        <is>
          <t>description</t>
        </is>
      </c>
      <c r="F713" s="14" t="n">
        <v>1135</v>
      </c>
      <c r="G713" s="17" t="n">
        <v>5.16</v>
      </c>
      <c r="H713" s="14">
        <f>IF(G713="","",G713*Ayarlar!$B$3+Ayarlar!$B$4+Ayarlar!$B$5)</f>
        <v/>
      </c>
      <c r="I713" s="14">
        <f>IF(G713="","",ROUNDUP(((G713*Ayarlar!$B$3+Ayarlar!$B$4+Ayarlar!$B$5)+Ayarlar!$B$8)/((1-Ayarlar!$B$6)*(1-Ayarlar!$B$7)),0))</f>
        <v/>
      </c>
      <c r="J713" s="14">
        <f>IF(G713="","",ROUNDUP(((G713*Ayarlar!$B$3+Ayarlar!$B$4+Ayarlar!$B$5)+Ayarlar!$B$8)/((1-Ayarlar!$B$6)*(1-Ayarlar!$B$7-Ayarlar!$B$9)),0))</f>
        <v/>
      </c>
      <c r="K713" s="15">
        <f>IF(OR(G713="",F713=""),"",(F713*(1-Ayarlar!$B$6)-(F713*(1-Ayarlar!$B$6)*Ayarlar!$B$7+Ayarlar!$B$8)-(G713*Ayarlar!$B$3+Ayarlar!$B$4+Ayarlar!$B$5))/(F713*(1-Ayarlar!$B$6)))</f>
        <v/>
      </c>
      <c r="L713" s="3">
        <f>IF(G713="","GRAM EKSİK",IF(F713&gt;30000,"FİYAT ŞÜPHELİ",IF(K713&lt;0,"ZARARDA",IF(F713&lt;I713,"RİSKLİ","ok"))))</f>
        <v/>
      </c>
      <c r="M713" s="16" t="inlineStr">
        <is>
          <t>https://www.etsy.com/listing/1768689465</t>
        </is>
      </c>
    </row>
    <row r="714">
      <c r="A714" s="9" t="inlineStr">
        <is>
          <t>faith</t>
        </is>
      </c>
      <c r="B714" s="9" t="inlineStr">
        <is>
          <t>10K Gold Lion &amp; Eagle Pendant – Diamond Cut Two-Tone Necklac</t>
        </is>
      </c>
      <c r="C714" s="9" t="n">
        <v>1768689465</v>
      </c>
      <c r="D714" s="9" t="inlineStr">
        <is>
          <t>PLIO-3-22</t>
        </is>
      </c>
      <c r="E714" s="9" t="inlineStr">
        <is>
          <t>description</t>
        </is>
      </c>
      <c r="F714" s="10" t="n">
        <v>1201</v>
      </c>
      <c r="G714" s="18" t="n">
        <v>5.68</v>
      </c>
      <c r="H714" s="10">
        <f>IF(G714="","",G714*Ayarlar!$B$3+Ayarlar!$B$4+Ayarlar!$B$5)</f>
        <v/>
      </c>
      <c r="I714" s="10">
        <f>IF(G714="","",ROUNDUP(((G714*Ayarlar!$B$3+Ayarlar!$B$4+Ayarlar!$B$5)+Ayarlar!$B$8)/((1-Ayarlar!$B$6)*(1-Ayarlar!$B$7)),0))</f>
        <v/>
      </c>
      <c r="J714" s="10">
        <f>IF(G714="","",ROUNDUP(((G714*Ayarlar!$B$3+Ayarlar!$B$4+Ayarlar!$B$5)+Ayarlar!$B$8)/((1-Ayarlar!$B$6)*(1-Ayarlar!$B$7-Ayarlar!$B$9)),0))</f>
        <v/>
      </c>
      <c r="K714" s="12">
        <f>IF(OR(G714="",F714=""),"",(F714*(1-Ayarlar!$B$6)-(F714*(1-Ayarlar!$B$6)*Ayarlar!$B$7+Ayarlar!$B$8)-(G714*Ayarlar!$B$3+Ayarlar!$B$4+Ayarlar!$B$5))/(F714*(1-Ayarlar!$B$6)))</f>
        <v/>
      </c>
      <c r="L714" s="9">
        <f>IF(G714="","GRAM EKSİK",IF(F714&gt;30000,"FİYAT ŞÜPHELİ",IF(K714&lt;0,"ZARARDA",IF(F714&lt;I714,"RİSKLİ","ok"))))</f>
        <v/>
      </c>
      <c r="M714" s="13" t="inlineStr">
        <is>
          <t>https://www.etsy.com/listing/1768689465</t>
        </is>
      </c>
    </row>
    <row r="715">
      <c r="A715" s="3" t="inlineStr">
        <is>
          <t>faith</t>
        </is>
      </c>
      <c r="B715" s="3" t="inlineStr">
        <is>
          <t>10K Gold Lion &amp; Eagle Pendant – Diamond Cut Two-Tone Necklac</t>
        </is>
      </c>
      <c r="C715" s="3" t="n">
        <v>1768689465</v>
      </c>
      <c r="D715" s="3" t="inlineStr">
        <is>
          <t>PLIO-3-24</t>
        </is>
      </c>
      <c r="E715" s="3" t="inlineStr">
        <is>
          <t>description</t>
        </is>
      </c>
      <c r="F715" s="14" t="n">
        <v>1312</v>
      </c>
      <c r="G715" s="17" t="n">
        <v>6.19</v>
      </c>
      <c r="H715" s="14">
        <f>IF(G715="","",G715*Ayarlar!$B$3+Ayarlar!$B$4+Ayarlar!$B$5)</f>
        <v/>
      </c>
      <c r="I715" s="14">
        <f>IF(G715="","",ROUNDUP(((G715*Ayarlar!$B$3+Ayarlar!$B$4+Ayarlar!$B$5)+Ayarlar!$B$8)/((1-Ayarlar!$B$6)*(1-Ayarlar!$B$7)),0))</f>
        <v/>
      </c>
      <c r="J715" s="14">
        <f>IF(G715="","",ROUNDUP(((G715*Ayarlar!$B$3+Ayarlar!$B$4+Ayarlar!$B$5)+Ayarlar!$B$8)/((1-Ayarlar!$B$6)*(1-Ayarlar!$B$7-Ayarlar!$B$9)),0))</f>
        <v/>
      </c>
      <c r="K715" s="15">
        <f>IF(OR(G715="",F715=""),"",(F715*(1-Ayarlar!$B$6)-(F715*(1-Ayarlar!$B$6)*Ayarlar!$B$7+Ayarlar!$B$8)-(G715*Ayarlar!$B$3+Ayarlar!$B$4+Ayarlar!$B$5))/(F715*(1-Ayarlar!$B$6)))</f>
        <v/>
      </c>
      <c r="L715" s="3">
        <f>IF(G715="","GRAM EKSİK",IF(F715&gt;30000,"FİYAT ŞÜPHELİ",IF(K715&lt;0,"ZARARDA",IF(F715&lt;I715,"RİSKLİ","ok"))))</f>
        <v/>
      </c>
      <c r="M715" s="16" t="inlineStr">
        <is>
          <t>https://www.etsy.com/listing/1768689465</t>
        </is>
      </c>
    </row>
    <row r="716">
      <c r="A716" s="9" t="inlineStr">
        <is>
          <t>faith</t>
        </is>
      </c>
      <c r="B716" s="9" t="inlineStr">
        <is>
          <t>10K Gold Lion &amp; Eagle Pendant – Diamond Cut Two-Tone Necklac</t>
        </is>
      </c>
      <c r="C716" s="9" t="n">
        <v>1768689465</v>
      </c>
      <c r="D716" s="9" t="inlineStr">
        <is>
          <t>PLIO-38-16</t>
        </is>
      </c>
      <c r="E716" s="9" t="inlineStr">
        <is>
          <t>description</t>
        </is>
      </c>
      <c r="F716" s="10" t="n">
        <v>1122</v>
      </c>
      <c r="G716" s="18" t="n">
        <v>5.53</v>
      </c>
      <c r="H716" s="10">
        <f>IF(G716="","",G716*Ayarlar!$B$3+Ayarlar!$B$4+Ayarlar!$B$5)</f>
        <v/>
      </c>
      <c r="I716" s="10">
        <f>IF(G716="","",ROUNDUP(((G716*Ayarlar!$B$3+Ayarlar!$B$4+Ayarlar!$B$5)+Ayarlar!$B$8)/((1-Ayarlar!$B$6)*(1-Ayarlar!$B$7)),0))</f>
        <v/>
      </c>
      <c r="J716" s="10">
        <f>IF(G716="","",ROUNDUP(((G716*Ayarlar!$B$3+Ayarlar!$B$4+Ayarlar!$B$5)+Ayarlar!$B$8)/((1-Ayarlar!$B$6)*(1-Ayarlar!$B$7-Ayarlar!$B$9)),0))</f>
        <v/>
      </c>
      <c r="K716" s="12">
        <f>IF(OR(G716="",F716=""),"",(F716*(1-Ayarlar!$B$6)-(F716*(1-Ayarlar!$B$6)*Ayarlar!$B$7+Ayarlar!$B$8)-(G716*Ayarlar!$B$3+Ayarlar!$B$4+Ayarlar!$B$5))/(F716*(1-Ayarlar!$B$6)))</f>
        <v/>
      </c>
      <c r="L716" s="9">
        <f>IF(G716="","GRAM EKSİK",IF(F716&gt;30000,"FİYAT ŞÜPHELİ",IF(K716&lt;0,"ZARARDA",IF(F716&lt;I716,"RİSKLİ","ok"))))</f>
        <v/>
      </c>
      <c r="M716" s="13" t="inlineStr">
        <is>
          <t>https://www.etsy.com/listing/1768689465</t>
        </is>
      </c>
    </row>
    <row r="717">
      <c r="A717" s="3" t="inlineStr">
        <is>
          <t>faith</t>
        </is>
      </c>
      <c r="B717" s="3" t="inlineStr">
        <is>
          <t>10K Gold Lion &amp; Eagle Pendant – Diamond Cut Two-Tone Necklac</t>
        </is>
      </c>
      <c r="C717" s="3" t="n">
        <v>1768689465</v>
      </c>
      <c r="D717" s="3" t="inlineStr">
        <is>
          <t>PLIO-38-18</t>
        </is>
      </c>
      <c r="E717" s="3" t="inlineStr">
        <is>
          <t>description</t>
        </is>
      </c>
      <c r="F717" s="14" t="n">
        <v>1203</v>
      </c>
      <c r="G717" s="17" t="n">
        <v>6.22</v>
      </c>
      <c r="H717" s="14">
        <f>IF(G717="","",G717*Ayarlar!$B$3+Ayarlar!$B$4+Ayarlar!$B$5)</f>
        <v/>
      </c>
      <c r="I717" s="14">
        <f>IF(G717="","",ROUNDUP(((G717*Ayarlar!$B$3+Ayarlar!$B$4+Ayarlar!$B$5)+Ayarlar!$B$8)/((1-Ayarlar!$B$6)*(1-Ayarlar!$B$7)),0))</f>
        <v/>
      </c>
      <c r="J717" s="14">
        <f>IF(G717="","",ROUNDUP(((G717*Ayarlar!$B$3+Ayarlar!$B$4+Ayarlar!$B$5)+Ayarlar!$B$8)/((1-Ayarlar!$B$6)*(1-Ayarlar!$B$7-Ayarlar!$B$9)),0))</f>
        <v/>
      </c>
      <c r="K717" s="15">
        <f>IF(OR(G717="",F717=""),"",(F717*(1-Ayarlar!$B$6)-(F717*(1-Ayarlar!$B$6)*Ayarlar!$B$7+Ayarlar!$B$8)-(G717*Ayarlar!$B$3+Ayarlar!$B$4+Ayarlar!$B$5))/(F717*(1-Ayarlar!$B$6)))</f>
        <v/>
      </c>
      <c r="L717" s="3">
        <f>IF(G717="","GRAM EKSİK",IF(F717&gt;30000,"FİYAT ŞÜPHELİ",IF(K717&lt;0,"ZARARDA",IF(F717&lt;I717,"RİSKLİ","ok"))))</f>
        <v/>
      </c>
      <c r="M717" s="16" t="inlineStr">
        <is>
          <t>https://www.etsy.com/listing/1768689465</t>
        </is>
      </c>
    </row>
    <row r="718">
      <c r="A718" s="9" t="inlineStr">
        <is>
          <t>faith</t>
        </is>
      </c>
      <c r="B718" s="9" t="inlineStr">
        <is>
          <t>10K Gold Lion &amp; Eagle Pendant – Diamond Cut Two-Tone Necklac</t>
        </is>
      </c>
      <c r="C718" s="9" t="n">
        <v>1768689465</v>
      </c>
      <c r="D718" s="9" t="inlineStr">
        <is>
          <t>PLIO-38-20</t>
        </is>
      </c>
      <c r="E718" s="9" t="inlineStr">
        <is>
          <t>description</t>
        </is>
      </c>
      <c r="F718" s="10" t="n">
        <v>2069</v>
      </c>
      <c r="G718" s="18" t="n">
        <v>6.91</v>
      </c>
      <c r="H718" s="10">
        <f>IF(G718="","",G718*Ayarlar!$B$3+Ayarlar!$B$4+Ayarlar!$B$5)</f>
        <v/>
      </c>
      <c r="I718" s="10">
        <f>IF(G718="","",ROUNDUP(((G718*Ayarlar!$B$3+Ayarlar!$B$4+Ayarlar!$B$5)+Ayarlar!$B$8)/((1-Ayarlar!$B$6)*(1-Ayarlar!$B$7)),0))</f>
        <v/>
      </c>
      <c r="J718" s="10">
        <f>IF(G718="","",ROUNDUP(((G718*Ayarlar!$B$3+Ayarlar!$B$4+Ayarlar!$B$5)+Ayarlar!$B$8)/((1-Ayarlar!$B$6)*(1-Ayarlar!$B$7-Ayarlar!$B$9)),0))</f>
        <v/>
      </c>
      <c r="K718" s="12">
        <f>IF(OR(G718="",F718=""),"",(F718*(1-Ayarlar!$B$6)-(F718*(1-Ayarlar!$B$6)*Ayarlar!$B$7+Ayarlar!$B$8)-(G718*Ayarlar!$B$3+Ayarlar!$B$4+Ayarlar!$B$5))/(F718*(1-Ayarlar!$B$6)))</f>
        <v/>
      </c>
      <c r="L718" s="9">
        <f>IF(G718="","GRAM EKSİK",IF(F718&gt;30000,"FİYAT ŞÜPHELİ",IF(K718&lt;0,"ZARARDA",IF(F718&lt;I718,"RİSKLİ","ok"))))</f>
        <v/>
      </c>
      <c r="M718" s="13" t="inlineStr">
        <is>
          <t>https://www.etsy.com/listing/1768689465</t>
        </is>
      </c>
    </row>
    <row r="719">
      <c r="A719" s="3" t="inlineStr">
        <is>
          <t>faith</t>
        </is>
      </c>
      <c r="B719" s="3" t="inlineStr">
        <is>
          <t>10K Gold Lion &amp; Eagle Pendant – Diamond Cut Two-Tone Necklac</t>
        </is>
      </c>
      <c r="C719" s="3" t="n">
        <v>1768689465</v>
      </c>
      <c r="D719" s="3" t="inlineStr">
        <is>
          <t>PLIO-38-22</t>
        </is>
      </c>
      <c r="E719" s="3" t="inlineStr">
        <is>
          <t>description</t>
        </is>
      </c>
      <c r="F719" s="14" t="n">
        <v>1366</v>
      </c>
      <c r="G719" s="17" t="n">
        <v>7.6</v>
      </c>
      <c r="H719" s="14">
        <f>IF(G719="","",G719*Ayarlar!$B$3+Ayarlar!$B$4+Ayarlar!$B$5)</f>
        <v/>
      </c>
      <c r="I719" s="14">
        <f>IF(G719="","",ROUNDUP(((G719*Ayarlar!$B$3+Ayarlar!$B$4+Ayarlar!$B$5)+Ayarlar!$B$8)/((1-Ayarlar!$B$6)*(1-Ayarlar!$B$7)),0))</f>
        <v/>
      </c>
      <c r="J719" s="14">
        <f>IF(G719="","",ROUNDUP(((G719*Ayarlar!$B$3+Ayarlar!$B$4+Ayarlar!$B$5)+Ayarlar!$B$8)/((1-Ayarlar!$B$6)*(1-Ayarlar!$B$7-Ayarlar!$B$9)),0))</f>
        <v/>
      </c>
      <c r="K719" s="15">
        <f>IF(OR(G719="",F719=""),"",(F719*(1-Ayarlar!$B$6)-(F719*(1-Ayarlar!$B$6)*Ayarlar!$B$7+Ayarlar!$B$8)-(G719*Ayarlar!$B$3+Ayarlar!$B$4+Ayarlar!$B$5))/(F719*(1-Ayarlar!$B$6)))</f>
        <v/>
      </c>
      <c r="L719" s="3">
        <f>IF(G719="","GRAM EKSİK",IF(F719&gt;30000,"FİYAT ŞÜPHELİ",IF(K719&lt;0,"ZARARDA",IF(F719&lt;I719,"RİSKLİ","ok"))))</f>
        <v/>
      </c>
      <c r="M719" s="16" t="inlineStr">
        <is>
          <t>https://www.etsy.com/listing/1768689465</t>
        </is>
      </c>
    </row>
    <row r="720">
      <c r="A720" s="9" t="inlineStr">
        <is>
          <t>faith</t>
        </is>
      </c>
      <c r="B720" s="9" t="inlineStr">
        <is>
          <t>10K Gold Lion &amp; Eagle Pendant – Diamond Cut Two-Tone Necklac</t>
        </is>
      </c>
      <c r="C720" s="9" t="n">
        <v>1768689465</v>
      </c>
      <c r="D720" s="9" t="inlineStr">
        <is>
          <t>PLIO-38-24</t>
        </is>
      </c>
      <c r="E720" s="9" t="inlineStr">
        <is>
          <t>description</t>
        </is>
      </c>
      <c r="F720" s="10" t="n">
        <v>2232</v>
      </c>
      <c r="G720" s="18" t="n">
        <v>8.289999999999999</v>
      </c>
      <c r="H720" s="10">
        <f>IF(G720="","",G720*Ayarlar!$B$3+Ayarlar!$B$4+Ayarlar!$B$5)</f>
        <v/>
      </c>
      <c r="I720" s="10">
        <f>IF(G720="","",ROUNDUP(((G720*Ayarlar!$B$3+Ayarlar!$B$4+Ayarlar!$B$5)+Ayarlar!$B$8)/((1-Ayarlar!$B$6)*(1-Ayarlar!$B$7)),0))</f>
        <v/>
      </c>
      <c r="J720" s="10">
        <f>IF(G720="","",ROUNDUP(((G720*Ayarlar!$B$3+Ayarlar!$B$4+Ayarlar!$B$5)+Ayarlar!$B$8)/((1-Ayarlar!$B$6)*(1-Ayarlar!$B$7-Ayarlar!$B$9)),0))</f>
        <v/>
      </c>
      <c r="K720" s="12">
        <f>IF(OR(G720="",F720=""),"",(F720*(1-Ayarlar!$B$6)-(F720*(1-Ayarlar!$B$6)*Ayarlar!$B$7+Ayarlar!$B$8)-(G720*Ayarlar!$B$3+Ayarlar!$B$4+Ayarlar!$B$5))/(F720*(1-Ayarlar!$B$6)))</f>
        <v/>
      </c>
      <c r="L720" s="9">
        <f>IF(G720="","GRAM EKSİK",IF(F720&gt;30000,"FİYAT ŞÜPHELİ",IF(K720&lt;0,"ZARARDA",IF(F720&lt;I720,"RİSKLİ","ok"))))</f>
        <v/>
      </c>
      <c r="M720" s="13" t="inlineStr">
        <is>
          <t>https://www.etsy.com/listing/1768689465</t>
        </is>
      </c>
    </row>
    <row r="721">
      <c r="A721" s="3" t="inlineStr">
        <is>
          <t>faith</t>
        </is>
      </c>
      <c r="B721" s="3" t="inlineStr">
        <is>
          <t>10K Gold Religious Medallion Pendant – St. Jude, Last Supper</t>
        </is>
      </c>
      <c r="C721" s="3" t="n">
        <v>1753972282</v>
      </c>
      <c r="D721" s="3" t="inlineStr">
        <is>
          <t>PRL10-1</t>
        </is>
      </c>
      <c r="E721" s="3" t="inlineStr">
        <is>
          <t>description</t>
        </is>
      </c>
      <c r="F721" s="14" t="n">
        <v>675</v>
      </c>
      <c r="G721" s="17" t="n">
        <v>3.75</v>
      </c>
      <c r="H721" s="14">
        <f>IF(G721="","",G721*Ayarlar!$B$3+Ayarlar!$B$4+Ayarlar!$B$5)</f>
        <v/>
      </c>
      <c r="I721" s="14">
        <f>IF(G721="","",ROUNDUP(((G721*Ayarlar!$B$3+Ayarlar!$B$4+Ayarlar!$B$5)+Ayarlar!$B$8)/((1-Ayarlar!$B$6)*(1-Ayarlar!$B$7)),0))</f>
        <v/>
      </c>
      <c r="J721" s="14">
        <f>IF(G721="","",ROUNDUP(((G721*Ayarlar!$B$3+Ayarlar!$B$4+Ayarlar!$B$5)+Ayarlar!$B$8)/((1-Ayarlar!$B$6)*(1-Ayarlar!$B$7-Ayarlar!$B$9)),0))</f>
        <v/>
      </c>
      <c r="K721" s="15">
        <f>IF(OR(G721="",F721=""),"",(F721*(1-Ayarlar!$B$6)-(F721*(1-Ayarlar!$B$6)*Ayarlar!$B$7+Ayarlar!$B$8)-(G721*Ayarlar!$B$3+Ayarlar!$B$4+Ayarlar!$B$5))/(F721*(1-Ayarlar!$B$6)))</f>
        <v/>
      </c>
      <c r="L721" s="3">
        <f>IF(G721="","GRAM EKSİK",IF(F721&gt;30000,"FİYAT ŞÜPHELİ",IF(K721&lt;0,"ZARARDA",IF(F721&lt;I721,"RİSKLİ","ok"))))</f>
        <v/>
      </c>
      <c r="M721" s="16" t="inlineStr">
        <is>
          <t>https://www.etsy.com/listing/1753972282</t>
        </is>
      </c>
    </row>
    <row r="722">
      <c r="A722" s="9" t="inlineStr">
        <is>
          <t>faith</t>
        </is>
      </c>
      <c r="B722" s="9" t="inlineStr">
        <is>
          <t>10K Gold Religious Medallion Pendant – St. Jude, Last Supper</t>
        </is>
      </c>
      <c r="C722" s="9" t="n">
        <v>1753972282</v>
      </c>
      <c r="D722" s="9" t="inlineStr">
        <is>
          <t>PRL10-2</t>
        </is>
      </c>
      <c r="E722" s="9" t="inlineStr">
        <is>
          <t>description</t>
        </is>
      </c>
      <c r="F722" s="10" t="n">
        <v>675</v>
      </c>
      <c r="G722" s="18" t="n">
        <v>3.75</v>
      </c>
      <c r="H722" s="10">
        <f>IF(G722="","",G722*Ayarlar!$B$3+Ayarlar!$B$4+Ayarlar!$B$5)</f>
        <v/>
      </c>
      <c r="I722" s="10">
        <f>IF(G722="","",ROUNDUP(((G722*Ayarlar!$B$3+Ayarlar!$B$4+Ayarlar!$B$5)+Ayarlar!$B$8)/((1-Ayarlar!$B$6)*(1-Ayarlar!$B$7)),0))</f>
        <v/>
      </c>
      <c r="J722" s="10">
        <f>IF(G722="","",ROUNDUP(((G722*Ayarlar!$B$3+Ayarlar!$B$4+Ayarlar!$B$5)+Ayarlar!$B$8)/((1-Ayarlar!$B$6)*(1-Ayarlar!$B$7-Ayarlar!$B$9)),0))</f>
        <v/>
      </c>
      <c r="K722" s="12">
        <f>IF(OR(G722="",F722=""),"",(F722*(1-Ayarlar!$B$6)-(F722*(1-Ayarlar!$B$6)*Ayarlar!$B$7+Ayarlar!$B$8)-(G722*Ayarlar!$B$3+Ayarlar!$B$4+Ayarlar!$B$5))/(F722*(1-Ayarlar!$B$6)))</f>
        <v/>
      </c>
      <c r="L722" s="9">
        <f>IF(G722="","GRAM EKSİK",IF(F722&gt;30000,"FİYAT ŞÜPHELİ",IF(K722&lt;0,"ZARARDA",IF(F722&lt;I722,"RİSKLİ","ok"))))</f>
        <v/>
      </c>
      <c r="M722" s="13" t="inlineStr">
        <is>
          <t>https://www.etsy.com/listing/1753972282</t>
        </is>
      </c>
    </row>
    <row r="723">
      <c r="A723" s="3" t="inlineStr">
        <is>
          <t>faith</t>
        </is>
      </c>
      <c r="B723" s="3" t="inlineStr">
        <is>
          <t>10K Gold Religious Medallion Pendant – St. Jude, Last Supper</t>
        </is>
      </c>
      <c r="C723" s="3" t="n">
        <v>1753972282</v>
      </c>
      <c r="D723" s="3" t="inlineStr">
        <is>
          <t>PRL10-3</t>
        </is>
      </c>
      <c r="E723" s="3" t="inlineStr">
        <is>
          <t>description</t>
        </is>
      </c>
      <c r="F723" s="14" t="n">
        <v>675</v>
      </c>
      <c r="G723" s="17" t="n">
        <v>3.75</v>
      </c>
      <c r="H723" s="14">
        <f>IF(G723="","",G723*Ayarlar!$B$3+Ayarlar!$B$4+Ayarlar!$B$5)</f>
        <v/>
      </c>
      <c r="I723" s="14">
        <f>IF(G723="","",ROUNDUP(((G723*Ayarlar!$B$3+Ayarlar!$B$4+Ayarlar!$B$5)+Ayarlar!$B$8)/((1-Ayarlar!$B$6)*(1-Ayarlar!$B$7)),0))</f>
        <v/>
      </c>
      <c r="J723" s="14">
        <f>IF(G723="","",ROUNDUP(((G723*Ayarlar!$B$3+Ayarlar!$B$4+Ayarlar!$B$5)+Ayarlar!$B$8)/((1-Ayarlar!$B$6)*(1-Ayarlar!$B$7-Ayarlar!$B$9)),0))</f>
        <v/>
      </c>
      <c r="K723" s="15">
        <f>IF(OR(G723="",F723=""),"",(F723*(1-Ayarlar!$B$6)-(F723*(1-Ayarlar!$B$6)*Ayarlar!$B$7+Ayarlar!$B$8)-(G723*Ayarlar!$B$3+Ayarlar!$B$4+Ayarlar!$B$5))/(F723*(1-Ayarlar!$B$6)))</f>
        <v/>
      </c>
      <c r="L723" s="3">
        <f>IF(G723="","GRAM EKSİK",IF(F723&gt;30000,"FİYAT ŞÜPHELİ",IF(K723&lt;0,"ZARARDA",IF(F723&lt;I723,"RİSKLİ","ok"))))</f>
        <v/>
      </c>
      <c r="M723" s="16" t="inlineStr">
        <is>
          <t>https://www.etsy.com/listing/1753972282</t>
        </is>
      </c>
    </row>
    <row r="724">
      <c r="A724" s="9" t="inlineStr">
        <is>
          <t>faith</t>
        </is>
      </c>
      <c r="B724" s="9" t="inlineStr">
        <is>
          <t>10K Gold Religious Medallion Pendant – St. Jude, Last Supper</t>
        </is>
      </c>
      <c r="C724" s="9" t="n">
        <v>1753972282</v>
      </c>
      <c r="D724" s="9" t="inlineStr">
        <is>
          <t>PRL10-4</t>
        </is>
      </c>
      <c r="E724" s="9" t="inlineStr">
        <is>
          <t>description</t>
        </is>
      </c>
      <c r="F724" s="10" t="n">
        <v>675</v>
      </c>
      <c r="G724" s="18" t="n">
        <v>3.75</v>
      </c>
      <c r="H724" s="10">
        <f>IF(G724="","",G724*Ayarlar!$B$3+Ayarlar!$B$4+Ayarlar!$B$5)</f>
        <v/>
      </c>
      <c r="I724" s="10">
        <f>IF(G724="","",ROUNDUP(((G724*Ayarlar!$B$3+Ayarlar!$B$4+Ayarlar!$B$5)+Ayarlar!$B$8)/((1-Ayarlar!$B$6)*(1-Ayarlar!$B$7)),0))</f>
        <v/>
      </c>
      <c r="J724" s="10">
        <f>IF(G724="","",ROUNDUP(((G724*Ayarlar!$B$3+Ayarlar!$B$4+Ayarlar!$B$5)+Ayarlar!$B$8)/((1-Ayarlar!$B$6)*(1-Ayarlar!$B$7-Ayarlar!$B$9)),0))</f>
        <v/>
      </c>
      <c r="K724" s="12">
        <f>IF(OR(G724="",F724=""),"",(F724*(1-Ayarlar!$B$6)-(F724*(1-Ayarlar!$B$6)*Ayarlar!$B$7+Ayarlar!$B$8)-(G724*Ayarlar!$B$3+Ayarlar!$B$4+Ayarlar!$B$5))/(F724*(1-Ayarlar!$B$6)))</f>
        <v/>
      </c>
      <c r="L724" s="9">
        <f>IF(G724="","GRAM EKSİK",IF(F724&gt;30000,"FİYAT ŞÜPHELİ",IF(K724&lt;0,"ZARARDA",IF(F724&lt;I724,"RİSKLİ","ok"))))</f>
        <v/>
      </c>
      <c r="M724" s="13" t="inlineStr">
        <is>
          <t>https://www.etsy.com/listing/1753972282</t>
        </is>
      </c>
    </row>
    <row r="725">
      <c r="A725" s="3" t="inlineStr">
        <is>
          <t>faith</t>
        </is>
      </c>
      <c r="B725" s="3" t="inlineStr">
        <is>
          <t>10K Gold Religious Medallion Pendant – St. Jude, Last Supper</t>
        </is>
      </c>
      <c r="C725" s="3" t="n">
        <v>1753972282</v>
      </c>
      <c r="D725" s="3" t="inlineStr">
        <is>
          <t>PRL10-5</t>
        </is>
      </c>
      <c r="E725" s="3" t="inlineStr">
        <is>
          <t>description</t>
        </is>
      </c>
      <c r="F725" s="14" t="n">
        <v>675</v>
      </c>
      <c r="G725" s="17" t="n">
        <v>3.75</v>
      </c>
      <c r="H725" s="14">
        <f>IF(G725="","",G725*Ayarlar!$B$3+Ayarlar!$B$4+Ayarlar!$B$5)</f>
        <v/>
      </c>
      <c r="I725" s="14">
        <f>IF(G725="","",ROUNDUP(((G725*Ayarlar!$B$3+Ayarlar!$B$4+Ayarlar!$B$5)+Ayarlar!$B$8)/((1-Ayarlar!$B$6)*(1-Ayarlar!$B$7)),0))</f>
        <v/>
      </c>
      <c r="J725" s="14">
        <f>IF(G725="","",ROUNDUP(((G725*Ayarlar!$B$3+Ayarlar!$B$4+Ayarlar!$B$5)+Ayarlar!$B$8)/((1-Ayarlar!$B$6)*(1-Ayarlar!$B$7-Ayarlar!$B$9)),0))</f>
        <v/>
      </c>
      <c r="K725" s="15">
        <f>IF(OR(G725="",F725=""),"",(F725*(1-Ayarlar!$B$6)-(F725*(1-Ayarlar!$B$6)*Ayarlar!$B$7+Ayarlar!$B$8)-(G725*Ayarlar!$B$3+Ayarlar!$B$4+Ayarlar!$B$5))/(F725*(1-Ayarlar!$B$6)))</f>
        <v/>
      </c>
      <c r="L725" s="3">
        <f>IF(G725="","GRAM EKSİK",IF(F725&gt;30000,"FİYAT ŞÜPHELİ",IF(K725&lt;0,"ZARARDA",IF(F725&lt;I725,"RİSKLİ","ok"))))</f>
        <v/>
      </c>
      <c r="M725" s="16" t="inlineStr">
        <is>
          <t>https://www.etsy.com/listing/1753972282</t>
        </is>
      </c>
    </row>
    <row r="726">
      <c r="A726" s="9" t="inlineStr">
        <is>
          <t>faith</t>
        </is>
      </c>
      <c r="B726" s="9" t="inlineStr">
        <is>
          <t>10K Gold Saint Barbara Diamond Cut Ruby Pendant</t>
        </is>
      </c>
      <c r="C726" s="9" t="n">
        <v>1768580839</v>
      </c>
      <c r="D726" s="9" t="inlineStr">
        <is>
          <t>PSBAR-27</t>
        </is>
      </c>
      <c r="E726" s="9" t="inlineStr">
        <is>
          <t>inferred</t>
        </is>
      </c>
      <c r="F726" s="10" t="n">
        <v>260</v>
      </c>
      <c r="G726" s="18" t="n">
        <v>0.58</v>
      </c>
      <c r="H726" s="10">
        <f>IF(G726="","",G726*Ayarlar!$B$3+Ayarlar!$B$4+Ayarlar!$B$5)</f>
        <v/>
      </c>
      <c r="I726" s="10">
        <f>IF(G726="","",ROUNDUP(((G726*Ayarlar!$B$3+Ayarlar!$B$4+Ayarlar!$B$5)+Ayarlar!$B$8)/((1-Ayarlar!$B$6)*(1-Ayarlar!$B$7)),0))</f>
        <v/>
      </c>
      <c r="J726" s="10">
        <f>IF(G726="","",ROUNDUP(((G726*Ayarlar!$B$3+Ayarlar!$B$4+Ayarlar!$B$5)+Ayarlar!$B$8)/((1-Ayarlar!$B$6)*(1-Ayarlar!$B$7-Ayarlar!$B$9)),0))</f>
        <v/>
      </c>
      <c r="K726" s="12">
        <f>IF(OR(G726="",F726=""),"",(F726*(1-Ayarlar!$B$6)-(F726*(1-Ayarlar!$B$6)*Ayarlar!$B$7+Ayarlar!$B$8)-(G726*Ayarlar!$B$3+Ayarlar!$B$4+Ayarlar!$B$5))/(F726*(1-Ayarlar!$B$6)))</f>
        <v/>
      </c>
      <c r="L726" s="9">
        <f>IF(G726="","GRAM EKSİK",IF(F726&gt;30000,"FİYAT ŞÜPHELİ",IF(K726&lt;0,"ZARARDA",IF(F726&lt;I726,"RİSKLİ","ok"))))</f>
        <v/>
      </c>
      <c r="M726" s="13" t="inlineStr">
        <is>
          <t>https://www.etsy.com/listing/1768580839</t>
        </is>
      </c>
    </row>
    <row r="727">
      <c r="A727" s="3" t="inlineStr">
        <is>
          <t>faith</t>
        </is>
      </c>
      <c r="B727" s="3" t="inlineStr">
        <is>
          <t>10K Gold Saint Barbara Diamond Cut Ruby Pendant</t>
        </is>
      </c>
      <c r="C727" s="3" t="n">
        <v>1768580839</v>
      </c>
      <c r="D727" s="3" t="inlineStr">
        <is>
          <t>PSBAR-30</t>
        </is>
      </c>
      <c r="E727" s="3" t="inlineStr">
        <is>
          <t>inferred</t>
        </is>
      </c>
      <c r="F727" s="14" t="n">
        <v>337</v>
      </c>
      <c r="G727" s="17" t="n">
        <v>1.66</v>
      </c>
      <c r="H727" s="14">
        <f>IF(G727="","",G727*Ayarlar!$B$3+Ayarlar!$B$4+Ayarlar!$B$5)</f>
        <v/>
      </c>
      <c r="I727" s="14">
        <f>IF(G727="","",ROUNDUP(((G727*Ayarlar!$B$3+Ayarlar!$B$4+Ayarlar!$B$5)+Ayarlar!$B$8)/((1-Ayarlar!$B$6)*(1-Ayarlar!$B$7)),0))</f>
        <v/>
      </c>
      <c r="J727" s="14">
        <f>IF(G727="","",ROUNDUP(((G727*Ayarlar!$B$3+Ayarlar!$B$4+Ayarlar!$B$5)+Ayarlar!$B$8)/((1-Ayarlar!$B$6)*(1-Ayarlar!$B$7-Ayarlar!$B$9)),0))</f>
        <v/>
      </c>
      <c r="K727" s="15">
        <f>IF(OR(G727="",F727=""),"",(F727*(1-Ayarlar!$B$6)-(F727*(1-Ayarlar!$B$6)*Ayarlar!$B$7+Ayarlar!$B$8)-(G727*Ayarlar!$B$3+Ayarlar!$B$4+Ayarlar!$B$5))/(F727*(1-Ayarlar!$B$6)))</f>
        <v/>
      </c>
      <c r="L727" s="3">
        <f>IF(G727="","GRAM EKSİK",IF(F727&gt;30000,"FİYAT ŞÜPHELİ",IF(K727&lt;0,"ZARARDA",IF(F727&lt;I727,"RİSKLİ","ok"))))</f>
        <v/>
      </c>
      <c r="M727" s="16" t="inlineStr">
        <is>
          <t>https://www.etsy.com/listing/1768580839</t>
        </is>
      </c>
    </row>
    <row r="728">
      <c r="A728" s="9" t="inlineStr">
        <is>
          <t>faith</t>
        </is>
      </c>
      <c r="B728" s="9" t="inlineStr">
        <is>
          <t>10K Gold Saint Barbara Diamond Cut Ruby Pendant</t>
        </is>
      </c>
      <c r="C728" s="9" t="n">
        <v>1768580839</v>
      </c>
      <c r="D728" s="9" t="inlineStr">
        <is>
          <t>PSBAR-34</t>
        </is>
      </c>
      <c r="E728" s="9" t="inlineStr">
        <is>
          <t>inferred</t>
        </is>
      </c>
      <c r="F728" s="10" t="n">
        <v>562</v>
      </c>
      <c r="G728" s="18" t="n">
        <v>3.11</v>
      </c>
      <c r="H728" s="10">
        <f>IF(G728="","",G728*Ayarlar!$B$3+Ayarlar!$B$4+Ayarlar!$B$5)</f>
        <v/>
      </c>
      <c r="I728" s="10">
        <f>IF(G728="","",ROUNDUP(((G728*Ayarlar!$B$3+Ayarlar!$B$4+Ayarlar!$B$5)+Ayarlar!$B$8)/((1-Ayarlar!$B$6)*(1-Ayarlar!$B$7)),0))</f>
        <v/>
      </c>
      <c r="J728" s="10">
        <f>IF(G728="","",ROUNDUP(((G728*Ayarlar!$B$3+Ayarlar!$B$4+Ayarlar!$B$5)+Ayarlar!$B$8)/((1-Ayarlar!$B$6)*(1-Ayarlar!$B$7-Ayarlar!$B$9)),0))</f>
        <v/>
      </c>
      <c r="K728" s="12">
        <f>IF(OR(G728="",F728=""),"",(F728*(1-Ayarlar!$B$6)-(F728*(1-Ayarlar!$B$6)*Ayarlar!$B$7+Ayarlar!$B$8)-(G728*Ayarlar!$B$3+Ayarlar!$B$4+Ayarlar!$B$5))/(F728*(1-Ayarlar!$B$6)))</f>
        <v/>
      </c>
      <c r="L728" s="9">
        <f>IF(G728="","GRAM EKSİK",IF(F728&gt;30000,"FİYAT ŞÜPHELİ",IF(K728&lt;0,"ZARARDA",IF(F728&lt;I728,"RİSKLİ","ok"))))</f>
        <v/>
      </c>
      <c r="M728" s="13" t="inlineStr">
        <is>
          <t>https://www.etsy.com/listing/1768580839</t>
        </is>
      </c>
    </row>
    <row r="729">
      <c r="A729" s="3" t="inlineStr">
        <is>
          <t>faith</t>
        </is>
      </c>
      <c r="B729" s="3" t="inlineStr">
        <is>
          <t>10K Gold Saint Barbara Diamond Cut Ruby Pendant</t>
        </is>
      </c>
      <c r="C729" s="3" t="n">
        <v>1768580839</v>
      </c>
      <c r="D729" s="3" t="inlineStr">
        <is>
          <t>PSBAR-44</t>
        </is>
      </c>
      <c r="E729" s="3" t="inlineStr">
        <is>
          <t>shipstation</t>
        </is>
      </c>
      <c r="F729" s="14" t="n">
        <v>1193</v>
      </c>
      <c r="G729" s="17" t="n">
        <v>6.68</v>
      </c>
      <c r="H729" s="14">
        <f>IF(G729="","",G729*Ayarlar!$B$3+Ayarlar!$B$4+Ayarlar!$B$5)</f>
        <v/>
      </c>
      <c r="I729" s="14">
        <f>IF(G729="","",ROUNDUP(((G729*Ayarlar!$B$3+Ayarlar!$B$4+Ayarlar!$B$5)+Ayarlar!$B$8)/((1-Ayarlar!$B$6)*(1-Ayarlar!$B$7)),0))</f>
        <v/>
      </c>
      <c r="J729" s="14">
        <f>IF(G729="","",ROUNDUP(((G729*Ayarlar!$B$3+Ayarlar!$B$4+Ayarlar!$B$5)+Ayarlar!$B$8)/((1-Ayarlar!$B$6)*(1-Ayarlar!$B$7-Ayarlar!$B$9)),0))</f>
        <v/>
      </c>
      <c r="K729" s="15">
        <f>IF(OR(G729="",F729=""),"",(F729*(1-Ayarlar!$B$6)-(F729*(1-Ayarlar!$B$6)*Ayarlar!$B$7+Ayarlar!$B$8)-(G729*Ayarlar!$B$3+Ayarlar!$B$4+Ayarlar!$B$5))/(F729*(1-Ayarlar!$B$6)))</f>
        <v/>
      </c>
      <c r="L729" s="3">
        <f>IF(G729="","GRAM EKSİK",IF(F729&gt;30000,"FİYAT ŞÜPHELİ",IF(K729&lt;0,"ZARARDA",IF(F729&lt;I729,"RİSKLİ","ok"))))</f>
        <v/>
      </c>
      <c r="M729" s="16" t="inlineStr">
        <is>
          <t>https://www.etsy.com/listing/1768580839</t>
        </is>
      </c>
    </row>
    <row r="730">
      <c r="A730" s="9" t="inlineStr">
        <is>
          <t>faith</t>
        </is>
      </c>
      <c r="B730" s="9" t="inlineStr">
        <is>
          <t>10K Gold Saint Barbara Diamond Cut Ruby Pendant</t>
        </is>
      </c>
      <c r="C730" s="9" t="n">
        <v>1768580839</v>
      </c>
      <c r="D730" s="9" t="inlineStr">
        <is>
          <t>PSBAR-52</t>
        </is>
      </c>
      <c r="E730" s="9" t="inlineStr">
        <is>
          <t>inferred</t>
        </is>
      </c>
      <c r="F730" s="10" t="n">
        <v>1715</v>
      </c>
      <c r="G730" s="18" t="n">
        <v>9.630000000000001</v>
      </c>
      <c r="H730" s="10">
        <f>IF(G730="","",G730*Ayarlar!$B$3+Ayarlar!$B$4+Ayarlar!$B$5)</f>
        <v/>
      </c>
      <c r="I730" s="10">
        <f>IF(G730="","",ROUNDUP(((G730*Ayarlar!$B$3+Ayarlar!$B$4+Ayarlar!$B$5)+Ayarlar!$B$8)/((1-Ayarlar!$B$6)*(1-Ayarlar!$B$7)),0))</f>
        <v/>
      </c>
      <c r="J730" s="10">
        <f>IF(G730="","",ROUNDUP(((G730*Ayarlar!$B$3+Ayarlar!$B$4+Ayarlar!$B$5)+Ayarlar!$B$8)/((1-Ayarlar!$B$6)*(1-Ayarlar!$B$7-Ayarlar!$B$9)),0))</f>
        <v/>
      </c>
      <c r="K730" s="12">
        <f>IF(OR(G730="",F730=""),"",(F730*(1-Ayarlar!$B$6)-(F730*(1-Ayarlar!$B$6)*Ayarlar!$B$7+Ayarlar!$B$8)-(G730*Ayarlar!$B$3+Ayarlar!$B$4+Ayarlar!$B$5))/(F730*(1-Ayarlar!$B$6)))</f>
        <v/>
      </c>
      <c r="L730" s="9">
        <f>IF(G730="","GRAM EKSİK",IF(F730&gt;30000,"FİYAT ŞÜPHELİ",IF(K730&lt;0,"ZARARDA",IF(F730&lt;I730,"RİSKLİ","ok"))))</f>
        <v/>
      </c>
      <c r="M730" s="13" t="inlineStr">
        <is>
          <t>https://www.etsy.com/listing/1768580839</t>
        </is>
      </c>
    </row>
    <row r="731">
      <c r="A731" s="3" t="inlineStr">
        <is>
          <t>faith</t>
        </is>
      </c>
      <c r="B731" s="3" t="inlineStr">
        <is>
          <t>10K Gold Saint Barbara Diamond Cut Ruby Pendant</t>
        </is>
      </c>
      <c r="C731" s="3" t="n">
        <v>1768580839</v>
      </c>
      <c r="D731" s="3" t="inlineStr">
        <is>
          <t>PSBAR-64</t>
        </is>
      </c>
      <c r="E731" s="3" t="inlineStr">
        <is>
          <t>shipstation</t>
        </is>
      </c>
      <c r="F731" s="14" t="n">
        <v>2516</v>
      </c>
      <c r="G731" s="17" t="n">
        <v>14.16</v>
      </c>
      <c r="H731" s="14">
        <f>IF(G731="","",G731*Ayarlar!$B$3+Ayarlar!$B$4+Ayarlar!$B$5)</f>
        <v/>
      </c>
      <c r="I731" s="14">
        <f>IF(G731="","",ROUNDUP(((G731*Ayarlar!$B$3+Ayarlar!$B$4+Ayarlar!$B$5)+Ayarlar!$B$8)/((1-Ayarlar!$B$6)*(1-Ayarlar!$B$7)),0))</f>
        <v/>
      </c>
      <c r="J731" s="14">
        <f>IF(G731="","",ROUNDUP(((G731*Ayarlar!$B$3+Ayarlar!$B$4+Ayarlar!$B$5)+Ayarlar!$B$8)/((1-Ayarlar!$B$6)*(1-Ayarlar!$B$7-Ayarlar!$B$9)),0))</f>
        <v/>
      </c>
      <c r="K731" s="15">
        <f>IF(OR(G731="",F731=""),"",(F731*(1-Ayarlar!$B$6)-(F731*(1-Ayarlar!$B$6)*Ayarlar!$B$7+Ayarlar!$B$8)-(G731*Ayarlar!$B$3+Ayarlar!$B$4+Ayarlar!$B$5))/(F731*(1-Ayarlar!$B$6)))</f>
        <v/>
      </c>
      <c r="L731" s="3">
        <f>IF(G731="","GRAM EKSİK",IF(F731&gt;30000,"FİYAT ŞÜPHELİ",IF(K731&lt;0,"ZARARDA",IF(F731&lt;I731,"RİSKLİ","ok"))))</f>
        <v/>
      </c>
      <c r="M731" s="16" t="inlineStr">
        <is>
          <t>https://www.etsy.com/listing/1768580839</t>
        </is>
      </c>
    </row>
    <row r="732">
      <c r="A732" s="9" t="inlineStr">
        <is>
          <t>faith</t>
        </is>
      </c>
      <c r="B732" s="9" t="inlineStr">
        <is>
          <t>10K Gold Saint Barbara Diamond Cut Ruby Pendant</t>
        </is>
      </c>
      <c r="C732" s="9" t="n">
        <v>1768580839</v>
      </c>
      <c r="D732" s="9" t="inlineStr">
        <is>
          <t>PSBAR-72</t>
        </is>
      </c>
      <c r="E732" s="9" t="inlineStr">
        <is>
          <t>shipstation</t>
        </is>
      </c>
      <c r="F732" s="10" t="n">
        <v>2973</v>
      </c>
      <c r="G732" s="18" t="n">
        <v>16.74</v>
      </c>
      <c r="H732" s="10">
        <f>IF(G732="","",G732*Ayarlar!$B$3+Ayarlar!$B$4+Ayarlar!$B$5)</f>
        <v/>
      </c>
      <c r="I732" s="10">
        <f>IF(G732="","",ROUNDUP(((G732*Ayarlar!$B$3+Ayarlar!$B$4+Ayarlar!$B$5)+Ayarlar!$B$8)/((1-Ayarlar!$B$6)*(1-Ayarlar!$B$7)),0))</f>
        <v/>
      </c>
      <c r="J732" s="10">
        <f>IF(G732="","",ROUNDUP(((G732*Ayarlar!$B$3+Ayarlar!$B$4+Ayarlar!$B$5)+Ayarlar!$B$8)/((1-Ayarlar!$B$6)*(1-Ayarlar!$B$7-Ayarlar!$B$9)),0))</f>
        <v/>
      </c>
      <c r="K732" s="12">
        <f>IF(OR(G732="",F732=""),"",(F732*(1-Ayarlar!$B$6)-(F732*(1-Ayarlar!$B$6)*Ayarlar!$B$7+Ayarlar!$B$8)-(G732*Ayarlar!$B$3+Ayarlar!$B$4+Ayarlar!$B$5))/(F732*(1-Ayarlar!$B$6)))</f>
        <v/>
      </c>
      <c r="L732" s="9">
        <f>IF(G732="","GRAM EKSİK",IF(F732&gt;30000,"FİYAT ŞÜPHELİ",IF(K732&lt;0,"ZARARDA",IF(F732&lt;I732,"RİSKLİ","ok"))))</f>
        <v/>
      </c>
      <c r="M732" s="13" t="inlineStr">
        <is>
          <t>https://www.etsy.com/listing/1768580839</t>
        </is>
      </c>
    </row>
    <row r="733">
      <c r="A733" s="3" t="inlineStr">
        <is>
          <t>faith</t>
        </is>
      </c>
      <c r="B733" s="3" t="inlineStr">
        <is>
          <t>10K Solid Gold Jesus Head Pendant / Two-Tone Men's Necklace</t>
        </is>
      </c>
      <c r="C733" s="3" t="n">
        <v>1753363056</v>
      </c>
      <c r="D733" s="3" t="inlineStr">
        <is>
          <t>C1753363056</t>
        </is>
      </c>
      <c r="E733" s="3" t="inlineStr">
        <is>
          <t>—</t>
        </is>
      </c>
      <c r="F733" s="14" t="n">
        <v>626.9400000000001</v>
      </c>
      <c r="G733" s="11" t="n"/>
      <c r="H733" s="14">
        <f>IF(G733="","",G733*Ayarlar!$B$3+Ayarlar!$B$4+Ayarlar!$B$5)</f>
        <v/>
      </c>
      <c r="I733" s="14">
        <f>IF(G733="","",ROUNDUP(((G733*Ayarlar!$B$3+Ayarlar!$B$4+Ayarlar!$B$5)+Ayarlar!$B$8)/((1-Ayarlar!$B$6)*(1-Ayarlar!$B$7)),0))</f>
        <v/>
      </c>
      <c r="J733" s="14">
        <f>IF(G733="","",ROUNDUP(((G733*Ayarlar!$B$3+Ayarlar!$B$4+Ayarlar!$B$5)+Ayarlar!$B$8)/((1-Ayarlar!$B$6)*(1-Ayarlar!$B$7-Ayarlar!$B$9)),0))</f>
        <v/>
      </c>
      <c r="K733" s="15">
        <f>IF(OR(G733="",F733=""),"",(F733*(1-Ayarlar!$B$6)-(F733*(1-Ayarlar!$B$6)*Ayarlar!$B$7+Ayarlar!$B$8)-(G733*Ayarlar!$B$3+Ayarlar!$B$4+Ayarlar!$B$5))/(F733*(1-Ayarlar!$B$6)))</f>
        <v/>
      </c>
      <c r="L733" s="3">
        <f>IF(G733="","GRAM EKSİK",IF(F733&gt;30000,"FİYAT ŞÜPHELİ",IF(K733&lt;0,"ZARARDA",IF(F733&lt;I733,"RİSKLİ","ok"))))</f>
        <v/>
      </c>
      <c r="M733" s="16" t="inlineStr">
        <is>
          <t>https://www.etsy.com/listing/1753363056</t>
        </is>
      </c>
    </row>
    <row r="734">
      <c r="A734" s="9" t="inlineStr">
        <is>
          <t>faith</t>
        </is>
      </c>
      <c r="B734" s="9" t="inlineStr">
        <is>
          <t>10K Solid Gold Jesus Head Ring with Cubic Zirconia Stones</t>
        </is>
      </c>
      <c r="C734" s="9" t="n">
        <v>1724930320</v>
      </c>
      <c r="D734" s="9" t="inlineStr">
        <is>
          <t>RJE19-10</t>
        </is>
      </c>
      <c r="E734" s="9" t="inlineStr">
        <is>
          <t>description</t>
        </is>
      </c>
      <c r="F734" s="10" t="n">
        <v>684</v>
      </c>
      <c r="G734" s="18" t="n">
        <v>3.8</v>
      </c>
      <c r="H734" s="10">
        <f>IF(G734="","",G734*Ayarlar!$B$3+Ayarlar!$B$4+Ayarlar!$B$5)</f>
        <v/>
      </c>
      <c r="I734" s="10">
        <f>IF(G734="","",ROUNDUP(((G734*Ayarlar!$B$3+Ayarlar!$B$4+Ayarlar!$B$5)+Ayarlar!$B$8)/((1-Ayarlar!$B$6)*(1-Ayarlar!$B$7)),0))</f>
        <v/>
      </c>
      <c r="J734" s="10">
        <f>IF(G734="","",ROUNDUP(((G734*Ayarlar!$B$3+Ayarlar!$B$4+Ayarlar!$B$5)+Ayarlar!$B$8)/((1-Ayarlar!$B$6)*(1-Ayarlar!$B$7-Ayarlar!$B$9)),0))</f>
        <v/>
      </c>
      <c r="K734" s="12">
        <f>IF(OR(G734="",F734=""),"",(F734*(1-Ayarlar!$B$6)-(F734*(1-Ayarlar!$B$6)*Ayarlar!$B$7+Ayarlar!$B$8)-(G734*Ayarlar!$B$3+Ayarlar!$B$4+Ayarlar!$B$5))/(F734*(1-Ayarlar!$B$6)))</f>
        <v/>
      </c>
      <c r="L734" s="9">
        <f>IF(G734="","GRAM EKSİK",IF(F734&gt;30000,"FİYAT ŞÜPHELİ",IF(K734&lt;0,"ZARARDA",IF(F734&lt;I734,"RİSKLİ","ok"))))</f>
        <v/>
      </c>
      <c r="M734" s="13" t="inlineStr">
        <is>
          <t>https://www.etsy.com/listing/1724930320</t>
        </is>
      </c>
    </row>
    <row r="735">
      <c r="A735" s="3" t="inlineStr">
        <is>
          <t>faith</t>
        </is>
      </c>
      <c r="B735" s="3" t="inlineStr">
        <is>
          <t>10K Solid Gold Jesus Head Ring with Cubic Zirconia Stones</t>
        </is>
      </c>
      <c r="C735" s="3" t="n">
        <v>1724930320</v>
      </c>
      <c r="D735" s="3" t="inlineStr">
        <is>
          <t>RJE19-10.5</t>
        </is>
      </c>
      <c r="E735" s="3" t="inlineStr">
        <is>
          <t>description</t>
        </is>
      </c>
      <c r="F735" s="14" t="n">
        <v>684</v>
      </c>
      <c r="G735" s="17" t="n">
        <v>3.8</v>
      </c>
      <c r="H735" s="14">
        <f>IF(G735="","",G735*Ayarlar!$B$3+Ayarlar!$B$4+Ayarlar!$B$5)</f>
        <v/>
      </c>
      <c r="I735" s="14">
        <f>IF(G735="","",ROUNDUP(((G735*Ayarlar!$B$3+Ayarlar!$B$4+Ayarlar!$B$5)+Ayarlar!$B$8)/((1-Ayarlar!$B$6)*(1-Ayarlar!$B$7)),0))</f>
        <v/>
      </c>
      <c r="J735" s="14">
        <f>IF(G735="","",ROUNDUP(((G735*Ayarlar!$B$3+Ayarlar!$B$4+Ayarlar!$B$5)+Ayarlar!$B$8)/((1-Ayarlar!$B$6)*(1-Ayarlar!$B$7-Ayarlar!$B$9)),0))</f>
        <v/>
      </c>
      <c r="K735" s="15">
        <f>IF(OR(G735="",F735=""),"",(F735*(1-Ayarlar!$B$6)-(F735*(1-Ayarlar!$B$6)*Ayarlar!$B$7+Ayarlar!$B$8)-(G735*Ayarlar!$B$3+Ayarlar!$B$4+Ayarlar!$B$5))/(F735*(1-Ayarlar!$B$6)))</f>
        <v/>
      </c>
      <c r="L735" s="3">
        <f>IF(G735="","GRAM EKSİK",IF(F735&gt;30000,"FİYAT ŞÜPHELİ",IF(K735&lt;0,"ZARARDA",IF(F735&lt;I735,"RİSKLİ","ok"))))</f>
        <v/>
      </c>
      <c r="M735" s="16" t="inlineStr">
        <is>
          <t>https://www.etsy.com/listing/1724930320</t>
        </is>
      </c>
    </row>
    <row r="736">
      <c r="A736" s="9" t="inlineStr">
        <is>
          <t>faith</t>
        </is>
      </c>
      <c r="B736" s="9" t="inlineStr">
        <is>
          <t>10K Solid Gold Jesus Head Ring with Cubic Zirconia Stones</t>
        </is>
      </c>
      <c r="C736" s="9" t="n">
        <v>1724930320</v>
      </c>
      <c r="D736" s="9" t="inlineStr">
        <is>
          <t>RJE19-11</t>
        </is>
      </c>
      <c r="E736" s="9" t="inlineStr">
        <is>
          <t>description</t>
        </is>
      </c>
      <c r="F736" s="10" t="n">
        <v>684</v>
      </c>
      <c r="G736" s="18" t="n">
        <v>3.8</v>
      </c>
      <c r="H736" s="10">
        <f>IF(G736="","",G736*Ayarlar!$B$3+Ayarlar!$B$4+Ayarlar!$B$5)</f>
        <v/>
      </c>
      <c r="I736" s="10">
        <f>IF(G736="","",ROUNDUP(((G736*Ayarlar!$B$3+Ayarlar!$B$4+Ayarlar!$B$5)+Ayarlar!$B$8)/((1-Ayarlar!$B$6)*(1-Ayarlar!$B$7)),0))</f>
        <v/>
      </c>
      <c r="J736" s="10">
        <f>IF(G736="","",ROUNDUP(((G736*Ayarlar!$B$3+Ayarlar!$B$4+Ayarlar!$B$5)+Ayarlar!$B$8)/((1-Ayarlar!$B$6)*(1-Ayarlar!$B$7-Ayarlar!$B$9)),0))</f>
        <v/>
      </c>
      <c r="K736" s="12">
        <f>IF(OR(G736="",F736=""),"",(F736*(1-Ayarlar!$B$6)-(F736*(1-Ayarlar!$B$6)*Ayarlar!$B$7+Ayarlar!$B$8)-(G736*Ayarlar!$B$3+Ayarlar!$B$4+Ayarlar!$B$5))/(F736*(1-Ayarlar!$B$6)))</f>
        <v/>
      </c>
      <c r="L736" s="9">
        <f>IF(G736="","GRAM EKSİK",IF(F736&gt;30000,"FİYAT ŞÜPHELİ",IF(K736&lt;0,"ZARARDA",IF(F736&lt;I736,"RİSKLİ","ok"))))</f>
        <v/>
      </c>
      <c r="M736" s="13" t="inlineStr">
        <is>
          <t>https://www.etsy.com/listing/1724930320</t>
        </is>
      </c>
    </row>
    <row r="737">
      <c r="A737" s="3" t="inlineStr">
        <is>
          <t>faith</t>
        </is>
      </c>
      <c r="B737" s="3" t="inlineStr">
        <is>
          <t>10K Solid Gold Jesus Head Ring with Cubic Zirconia Stones</t>
        </is>
      </c>
      <c r="C737" s="3" t="n">
        <v>1724930320</v>
      </c>
      <c r="D737" s="3" t="inlineStr">
        <is>
          <t>RJE19-11.5</t>
        </is>
      </c>
      <c r="E737" s="3" t="inlineStr">
        <is>
          <t>description</t>
        </is>
      </c>
      <c r="F737" s="14" t="n">
        <v>684</v>
      </c>
      <c r="G737" s="17" t="n">
        <v>3.8</v>
      </c>
      <c r="H737" s="14">
        <f>IF(G737="","",G737*Ayarlar!$B$3+Ayarlar!$B$4+Ayarlar!$B$5)</f>
        <v/>
      </c>
      <c r="I737" s="14">
        <f>IF(G737="","",ROUNDUP(((G737*Ayarlar!$B$3+Ayarlar!$B$4+Ayarlar!$B$5)+Ayarlar!$B$8)/((1-Ayarlar!$B$6)*(1-Ayarlar!$B$7)),0))</f>
        <v/>
      </c>
      <c r="J737" s="14">
        <f>IF(G737="","",ROUNDUP(((G737*Ayarlar!$B$3+Ayarlar!$B$4+Ayarlar!$B$5)+Ayarlar!$B$8)/((1-Ayarlar!$B$6)*(1-Ayarlar!$B$7-Ayarlar!$B$9)),0))</f>
        <v/>
      </c>
      <c r="K737" s="15">
        <f>IF(OR(G737="",F737=""),"",(F737*(1-Ayarlar!$B$6)-(F737*(1-Ayarlar!$B$6)*Ayarlar!$B$7+Ayarlar!$B$8)-(G737*Ayarlar!$B$3+Ayarlar!$B$4+Ayarlar!$B$5))/(F737*(1-Ayarlar!$B$6)))</f>
        <v/>
      </c>
      <c r="L737" s="3">
        <f>IF(G737="","GRAM EKSİK",IF(F737&gt;30000,"FİYAT ŞÜPHELİ",IF(K737&lt;0,"ZARARDA",IF(F737&lt;I737,"RİSKLİ","ok"))))</f>
        <v/>
      </c>
      <c r="M737" s="16" t="inlineStr">
        <is>
          <t>https://www.etsy.com/listing/1724930320</t>
        </is>
      </c>
    </row>
    <row r="738">
      <c r="A738" s="9" t="inlineStr">
        <is>
          <t>faith</t>
        </is>
      </c>
      <c r="B738" s="9" t="inlineStr">
        <is>
          <t>10K Solid Gold Jesus Head Ring with Cubic Zirconia Stones</t>
        </is>
      </c>
      <c r="C738" s="9" t="n">
        <v>1724930320</v>
      </c>
      <c r="D738" s="9" t="inlineStr">
        <is>
          <t>RJE19-12</t>
        </is>
      </c>
      <c r="E738" s="9" t="inlineStr">
        <is>
          <t>description</t>
        </is>
      </c>
      <c r="F738" s="10" t="n">
        <v>684</v>
      </c>
      <c r="G738" s="18" t="n">
        <v>3.8</v>
      </c>
      <c r="H738" s="10">
        <f>IF(G738="","",G738*Ayarlar!$B$3+Ayarlar!$B$4+Ayarlar!$B$5)</f>
        <v/>
      </c>
      <c r="I738" s="10">
        <f>IF(G738="","",ROUNDUP(((G738*Ayarlar!$B$3+Ayarlar!$B$4+Ayarlar!$B$5)+Ayarlar!$B$8)/((1-Ayarlar!$B$6)*(1-Ayarlar!$B$7)),0))</f>
        <v/>
      </c>
      <c r="J738" s="10">
        <f>IF(G738="","",ROUNDUP(((G738*Ayarlar!$B$3+Ayarlar!$B$4+Ayarlar!$B$5)+Ayarlar!$B$8)/((1-Ayarlar!$B$6)*(1-Ayarlar!$B$7-Ayarlar!$B$9)),0))</f>
        <v/>
      </c>
      <c r="K738" s="12">
        <f>IF(OR(G738="",F738=""),"",(F738*(1-Ayarlar!$B$6)-(F738*(1-Ayarlar!$B$6)*Ayarlar!$B$7+Ayarlar!$B$8)-(G738*Ayarlar!$B$3+Ayarlar!$B$4+Ayarlar!$B$5))/(F738*(1-Ayarlar!$B$6)))</f>
        <v/>
      </c>
      <c r="L738" s="9">
        <f>IF(G738="","GRAM EKSİK",IF(F738&gt;30000,"FİYAT ŞÜPHELİ",IF(K738&lt;0,"ZARARDA",IF(F738&lt;I738,"RİSKLİ","ok"))))</f>
        <v/>
      </c>
      <c r="M738" s="13" t="inlineStr">
        <is>
          <t>https://www.etsy.com/listing/1724930320</t>
        </is>
      </c>
    </row>
    <row r="739">
      <c r="A739" s="3" t="inlineStr">
        <is>
          <t>faith</t>
        </is>
      </c>
      <c r="B739" s="3" t="inlineStr">
        <is>
          <t>10K Solid Gold Jesus Head Ring with Cubic Zirconia Stones</t>
        </is>
      </c>
      <c r="C739" s="3" t="n">
        <v>1724930320</v>
      </c>
      <c r="D739" s="3" t="inlineStr">
        <is>
          <t>RJE19-12.5</t>
        </is>
      </c>
      <c r="E739" s="3" t="inlineStr">
        <is>
          <t>description</t>
        </is>
      </c>
      <c r="F739" s="14" t="n">
        <v>684</v>
      </c>
      <c r="G739" s="17" t="n">
        <v>3.8</v>
      </c>
      <c r="H739" s="14">
        <f>IF(G739="","",G739*Ayarlar!$B$3+Ayarlar!$B$4+Ayarlar!$B$5)</f>
        <v/>
      </c>
      <c r="I739" s="14">
        <f>IF(G739="","",ROUNDUP(((G739*Ayarlar!$B$3+Ayarlar!$B$4+Ayarlar!$B$5)+Ayarlar!$B$8)/((1-Ayarlar!$B$6)*(1-Ayarlar!$B$7)),0))</f>
        <v/>
      </c>
      <c r="J739" s="14">
        <f>IF(G739="","",ROUNDUP(((G739*Ayarlar!$B$3+Ayarlar!$B$4+Ayarlar!$B$5)+Ayarlar!$B$8)/((1-Ayarlar!$B$6)*(1-Ayarlar!$B$7-Ayarlar!$B$9)),0))</f>
        <v/>
      </c>
      <c r="K739" s="15">
        <f>IF(OR(G739="",F739=""),"",(F739*(1-Ayarlar!$B$6)-(F739*(1-Ayarlar!$B$6)*Ayarlar!$B$7+Ayarlar!$B$8)-(G739*Ayarlar!$B$3+Ayarlar!$B$4+Ayarlar!$B$5))/(F739*(1-Ayarlar!$B$6)))</f>
        <v/>
      </c>
      <c r="L739" s="3">
        <f>IF(G739="","GRAM EKSİK",IF(F739&gt;30000,"FİYAT ŞÜPHELİ",IF(K739&lt;0,"ZARARDA",IF(F739&lt;I739,"RİSKLİ","ok"))))</f>
        <v/>
      </c>
      <c r="M739" s="16" t="inlineStr">
        <is>
          <t>https://www.etsy.com/listing/1724930320</t>
        </is>
      </c>
    </row>
    <row r="740">
      <c r="A740" s="9" t="inlineStr">
        <is>
          <t>faith</t>
        </is>
      </c>
      <c r="B740" s="9" t="inlineStr">
        <is>
          <t>10K Solid Gold Jesus Head Ring with Cubic Zirconia Stones</t>
        </is>
      </c>
      <c r="C740" s="9" t="n">
        <v>1724930320</v>
      </c>
      <c r="D740" s="9" t="inlineStr">
        <is>
          <t>RJE19-8</t>
        </is>
      </c>
      <c r="E740" s="9" t="inlineStr">
        <is>
          <t>shipstation</t>
        </is>
      </c>
      <c r="F740" s="10" t="n">
        <v>684</v>
      </c>
      <c r="G740" s="18" t="n">
        <v>3.8</v>
      </c>
      <c r="H740" s="10">
        <f>IF(G740="","",G740*Ayarlar!$B$3+Ayarlar!$B$4+Ayarlar!$B$5)</f>
        <v/>
      </c>
      <c r="I740" s="10">
        <f>IF(G740="","",ROUNDUP(((G740*Ayarlar!$B$3+Ayarlar!$B$4+Ayarlar!$B$5)+Ayarlar!$B$8)/((1-Ayarlar!$B$6)*(1-Ayarlar!$B$7)),0))</f>
        <v/>
      </c>
      <c r="J740" s="10">
        <f>IF(G740="","",ROUNDUP(((G740*Ayarlar!$B$3+Ayarlar!$B$4+Ayarlar!$B$5)+Ayarlar!$B$8)/((1-Ayarlar!$B$6)*(1-Ayarlar!$B$7-Ayarlar!$B$9)),0))</f>
        <v/>
      </c>
      <c r="K740" s="12">
        <f>IF(OR(G740="",F740=""),"",(F740*(1-Ayarlar!$B$6)-(F740*(1-Ayarlar!$B$6)*Ayarlar!$B$7+Ayarlar!$B$8)-(G740*Ayarlar!$B$3+Ayarlar!$B$4+Ayarlar!$B$5))/(F740*(1-Ayarlar!$B$6)))</f>
        <v/>
      </c>
      <c r="L740" s="9">
        <f>IF(G740="","GRAM EKSİK",IF(F740&gt;30000,"FİYAT ŞÜPHELİ",IF(K740&lt;0,"ZARARDA",IF(F740&lt;I740,"RİSKLİ","ok"))))</f>
        <v/>
      </c>
      <c r="M740" s="13" t="inlineStr">
        <is>
          <t>https://www.etsy.com/listing/1724930320</t>
        </is>
      </c>
    </row>
    <row r="741">
      <c r="A741" s="3" t="inlineStr">
        <is>
          <t>faith</t>
        </is>
      </c>
      <c r="B741" s="3" t="inlineStr">
        <is>
          <t>10K Solid Gold Jesus Head Ring with Cubic Zirconia Stones</t>
        </is>
      </c>
      <c r="C741" s="3" t="n">
        <v>1724930320</v>
      </c>
      <c r="D741" s="3" t="inlineStr">
        <is>
          <t>RJE19-8.5</t>
        </is>
      </c>
      <c r="E741" s="3" t="inlineStr">
        <is>
          <t>description</t>
        </is>
      </c>
      <c r="F741" s="14" t="n">
        <v>684</v>
      </c>
      <c r="G741" s="17" t="n">
        <v>3.8</v>
      </c>
      <c r="H741" s="14">
        <f>IF(G741="","",G741*Ayarlar!$B$3+Ayarlar!$B$4+Ayarlar!$B$5)</f>
        <v/>
      </c>
      <c r="I741" s="14">
        <f>IF(G741="","",ROUNDUP(((G741*Ayarlar!$B$3+Ayarlar!$B$4+Ayarlar!$B$5)+Ayarlar!$B$8)/((1-Ayarlar!$B$6)*(1-Ayarlar!$B$7)),0))</f>
        <v/>
      </c>
      <c r="J741" s="14">
        <f>IF(G741="","",ROUNDUP(((G741*Ayarlar!$B$3+Ayarlar!$B$4+Ayarlar!$B$5)+Ayarlar!$B$8)/((1-Ayarlar!$B$6)*(1-Ayarlar!$B$7-Ayarlar!$B$9)),0))</f>
        <v/>
      </c>
      <c r="K741" s="15">
        <f>IF(OR(G741="",F741=""),"",(F741*(1-Ayarlar!$B$6)-(F741*(1-Ayarlar!$B$6)*Ayarlar!$B$7+Ayarlar!$B$8)-(G741*Ayarlar!$B$3+Ayarlar!$B$4+Ayarlar!$B$5))/(F741*(1-Ayarlar!$B$6)))</f>
        <v/>
      </c>
      <c r="L741" s="3">
        <f>IF(G741="","GRAM EKSİK",IF(F741&gt;30000,"FİYAT ŞÜPHELİ",IF(K741&lt;0,"ZARARDA",IF(F741&lt;I741,"RİSKLİ","ok"))))</f>
        <v/>
      </c>
      <c r="M741" s="16" t="inlineStr">
        <is>
          <t>https://www.etsy.com/listing/1724930320</t>
        </is>
      </c>
    </row>
    <row r="742">
      <c r="A742" s="9" t="inlineStr">
        <is>
          <t>faith</t>
        </is>
      </c>
      <c r="B742" s="9" t="inlineStr">
        <is>
          <t>10K Solid Gold Jesus Head Ring with Cubic Zirconia Stones</t>
        </is>
      </c>
      <c r="C742" s="9" t="n">
        <v>1724930320</v>
      </c>
      <c r="D742" s="9" t="inlineStr">
        <is>
          <t>RJE19-9</t>
        </is>
      </c>
      <c r="E742" s="9" t="inlineStr">
        <is>
          <t>description</t>
        </is>
      </c>
      <c r="F742" s="10" t="n">
        <v>684</v>
      </c>
      <c r="G742" s="18" t="n">
        <v>3.8</v>
      </c>
      <c r="H742" s="10">
        <f>IF(G742="","",G742*Ayarlar!$B$3+Ayarlar!$B$4+Ayarlar!$B$5)</f>
        <v/>
      </c>
      <c r="I742" s="10">
        <f>IF(G742="","",ROUNDUP(((G742*Ayarlar!$B$3+Ayarlar!$B$4+Ayarlar!$B$5)+Ayarlar!$B$8)/((1-Ayarlar!$B$6)*(1-Ayarlar!$B$7)),0))</f>
        <v/>
      </c>
      <c r="J742" s="10">
        <f>IF(G742="","",ROUNDUP(((G742*Ayarlar!$B$3+Ayarlar!$B$4+Ayarlar!$B$5)+Ayarlar!$B$8)/((1-Ayarlar!$B$6)*(1-Ayarlar!$B$7-Ayarlar!$B$9)),0))</f>
        <v/>
      </c>
      <c r="K742" s="12">
        <f>IF(OR(G742="",F742=""),"",(F742*(1-Ayarlar!$B$6)-(F742*(1-Ayarlar!$B$6)*Ayarlar!$B$7+Ayarlar!$B$8)-(G742*Ayarlar!$B$3+Ayarlar!$B$4+Ayarlar!$B$5))/(F742*(1-Ayarlar!$B$6)))</f>
        <v/>
      </c>
      <c r="L742" s="9">
        <f>IF(G742="","GRAM EKSİK",IF(F742&gt;30000,"FİYAT ŞÜPHELİ",IF(K742&lt;0,"ZARARDA",IF(F742&lt;I742,"RİSKLİ","ok"))))</f>
        <v/>
      </c>
      <c r="M742" s="13" t="inlineStr">
        <is>
          <t>https://www.etsy.com/listing/1724930320</t>
        </is>
      </c>
    </row>
    <row r="743">
      <c r="A743" s="3" t="inlineStr">
        <is>
          <t>faith</t>
        </is>
      </c>
      <c r="B743" s="3" t="inlineStr">
        <is>
          <t>10K Solid Gold Jesus Head Ring with Cubic Zirconia Stones</t>
        </is>
      </c>
      <c r="C743" s="3" t="n">
        <v>1724930320</v>
      </c>
      <c r="D743" s="3" t="inlineStr">
        <is>
          <t>RJE19-9.5</t>
        </is>
      </c>
      <c r="E743" s="3" t="inlineStr">
        <is>
          <t>shipstation</t>
        </is>
      </c>
      <c r="F743" s="14" t="n">
        <v>684</v>
      </c>
      <c r="G743" s="17" t="n">
        <v>3.8</v>
      </c>
      <c r="H743" s="14">
        <f>IF(G743="","",G743*Ayarlar!$B$3+Ayarlar!$B$4+Ayarlar!$B$5)</f>
        <v/>
      </c>
      <c r="I743" s="14">
        <f>IF(G743="","",ROUNDUP(((G743*Ayarlar!$B$3+Ayarlar!$B$4+Ayarlar!$B$5)+Ayarlar!$B$8)/((1-Ayarlar!$B$6)*(1-Ayarlar!$B$7)),0))</f>
        <v/>
      </c>
      <c r="J743" s="14">
        <f>IF(G743="","",ROUNDUP(((G743*Ayarlar!$B$3+Ayarlar!$B$4+Ayarlar!$B$5)+Ayarlar!$B$8)/((1-Ayarlar!$B$6)*(1-Ayarlar!$B$7-Ayarlar!$B$9)),0))</f>
        <v/>
      </c>
      <c r="K743" s="15">
        <f>IF(OR(G743="",F743=""),"",(F743*(1-Ayarlar!$B$6)-(F743*(1-Ayarlar!$B$6)*Ayarlar!$B$7+Ayarlar!$B$8)-(G743*Ayarlar!$B$3+Ayarlar!$B$4+Ayarlar!$B$5))/(F743*(1-Ayarlar!$B$6)))</f>
        <v/>
      </c>
      <c r="L743" s="3">
        <f>IF(G743="","GRAM EKSİK",IF(F743&gt;30000,"FİYAT ŞÜPHELİ",IF(K743&lt;0,"ZARARDA",IF(F743&lt;I743,"RİSKLİ","ok"))))</f>
        <v/>
      </c>
      <c r="M743" s="16" t="inlineStr">
        <is>
          <t>https://www.etsy.com/listing/1724930320</t>
        </is>
      </c>
    </row>
    <row r="744">
      <c r="A744" s="9" t="inlineStr">
        <is>
          <t>faith</t>
        </is>
      </c>
      <c r="B744" s="9" t="inlineStr">
        <is>
          <t>10K Solid Gold Jesus Head Ring with Cubic Zirconia Stones</t>
        </is>
      </c>
      <c r="C744" s="9" t="n">
        <v>1724930320</v>
      </c>
      <c r="D744" s="9" t="inlineStr">
        <is>
          <t>RJE22-10</t>
        </is>
      </c>
      <c r="E744" s="9" t="inlineStr">
        <is>
          <t>description</t>
        </is>
      </c>
      <c r="F744" s="10" t="n">
        <v>719</v>
      </c>
      <c r="G744" s="18" t="n">
        <v>4</v>
      </c>
      <c r="H744" s="10">
        <f>IF(G744="","",G744*Ayarlar!$B$3+Ayarlar!$B$4+Ayarlar!$B$5)</f>
        <v/>
      </c>
      <c r="I744" s="10">
        <f>IF(G744="","",ROUNDUP(((G744*Ayarlar!$B$3+Ayarlar!$B$4+Ayarlar!$B$5)+Ayarlar!$B$8)/((1-Ayarlar!$B$6)*(1-Ayarlar!$B$7)),0))</f>
        <v/>
      </c>
      <c r="J744" s="10">
        <f>IF(G744="","",ROUNDUP(((G744*Ayarlar!$B$3+Ayarlar!$B$4+Ayarlar!$B$5)+Ayarlar!$B$8)/((1-Ayarlar!$B$6)*(1-Ayarlar!$B$7-Ayarlar!$B$9)),0))</f>
        <v/>
      </c>
      <c r="K744" s="12">
        <f>IF(OR(G744="",F744=""),"",(F744*(1-Ayarlar!$B$6)-(F744*(1-Ayarlar!$B$6)*Ayarlar!$B$7+Ayarlar!$B$8)-(G744*Ayarlar!$B$3+Ayarlar!$B$4+Ayarlar!$B$5))/(F744*(1-Ayarlar!$B$6)))</f>
        <v/>
      </c>
      <c r="L744" s="9">
        <f>IF(G744="","GRAM EKSİK",IF(F744&gt;30000,"FİYAT ŞÜPHELİ",IF(K744&lt;0,"ZARARDA",IF(F744&lt;I744,"RİSKLİ","ok"))))</f>
        <v/>
      </c>
      <c r="M744" s="13" t="inlineStr">
        <is>
          <t>https://www.etsy.com/listing/1724930320</t>
        </is>
      </c>
    </row>
    <row r="745">
      <c r="A745" s="3" t="inlineStr">
        <is>
          <t>faith</t>
        </is>
      </c>
      <c r="B745" s="3" t="inlineStr">
        <is>
          <t>10K Solid Gold Jesus Head Ring with Cubic Zirconia Stones</t>
        </is>
      </c>
      <c r="C745" s="3" t="n">
        <v>1724930320</v>
      </c>
      <c r="D745" s="3" t="inlineStr">
        <is>
          <t>RJE22-10.5</t>
        </is>
      </c>
      <c r="E745" s="3" t="inlineStr">
        <is>
          <t>description</t>
        </is>
      </c>
      <c r="F745" s="14" t="n">
        <v>719</v>
      </c>
      <c r="G745" s="17" t="n">
        <v>4</v>
      </c>
      <c r="H745" s="14">
        <f>IF(G745="","",G745*Ayarlar!$B$3+Ayarlar!$B$4+Ayarlar!$B$5)</f>
        <v/>
      </c>
      <c r="I745" s="14">
        <f>IF(G745="","",ROUNDUP(((G745*Ayarlar!$B$3+Ayarlar!$B$4+Ayarlar!$B$5)+Ayarlar!$B$8)/((1-Ayarlar!$B$6)*(1-Ayarlar!$B$7)),0))</f>
        <v/>
      </c>
      <c r="J745" s="14">
        <f>IF(G745="","",ROUNDUP(((G745*Ayarlar!$B$3+Ayarlar!$B$4+Ayarlar!$B$5)+Ayarlar!$B$8)/((1-Ayarlar!$B$6)*(1-Ayarlar!$B$7-Ayarlar!$B$9)),0))</f>
        <v/>
      </c>
      <c r="K745" s="15">
        <f>IF(OR(G745="",F745=""),"",(F745*(1-Ayarlar!$B$6)-(F745*(1-Ayarlar!$B$6)*Ayarlar!$B$7+Ayarlar!$B$8)-(G745*Ayarlar!$B$3+Ayarlar!$B$4+Ayarlar!$B$5))/(F745*(1-Ayarlar!$B$6)))</f>
        <v/>
      </c>
      <c r="L745" s="3">
        <f>IF(G745="","GRAM EKSİK",IF(F745&gt;30000,"FİYAT ŞÜPHELİ",IF(K745&lt;0,"ZARARDA",IF(F745&lt;I745,"RİSKLİ","ok"))))</f>
        <v/>
      </c>
      <c r="M745" s="16" t="inlineStr">
        <is>
          <t>https://www.etsy.com/listing/1724930320</t>
        </is>
      </c>
    </row>
    <row r="746">
      <c r="A746" s="9" t="inlineStr">
        <is>
          <t>faith</t>
        </is>
      </c>
      <c r="B746" s="9" t="inlineStr">
        <is>
          <t>10K Solid Gold Jesus Head Ring with Cubic Zirconia Stones</t>
        </is>
      </c>
      <c r="C746" s="9" t="n">
        <v>1724930320</v>
      </c>
      <c r="D746" s="9" t="inlineStr">
        <is>
          <t>RJE22-11</t>
        </is>
      </c>
      <c r="E746" s="9" t="inlineStr">
        <is>
          <t>description</t>
        </is>
      </c>
      <c r="F746" s="10" t="n">
        <v>719</v>
      </c>
      <c r="G746" s="18" t="n">
        <v>4</v>
      </c>
      <c r="H746" s="10">
        <f>IF(G746="","",G746*Ayarlar!$B$3+Ayarlar!$B$4+Ayarlar!$B$5)</f>
        <v/>
      </c>
      <c r="I746" s="10">
        <f>IF(G746="","",ROUNDUP(((G746*Ayarlar!$B$3+Ayarlar!$B$4+Ayarlar!$B$5)+Ayarlar!$B$8)/((1-Ayarlar!$B$6)*(1-Ayarlar!$B$7)),0))</f>
        <v/>
      </c>
      <c r="J746" s="10">
        <f>IF(G746="","",ROUNDUP(((G746*Ayarlar!$B$3+Ayarlar!$B$4+Ayarlar!$B$5)+Ayarlar!$B$8)/((1-Ayarlar!$B$6)*(1-Ayarlar!$B$7-Ayarlar!$B$9)),0))</f>
        <v/>
      </c>
      <c r="K746" s="12">
        <f>IF(OR(G746="",F746=""),"",(F746*(1-Ayarlar!$B$6)-(F746*(1-Ayarlar!$B$6)*Ayarlar!$B$7+Ayarlar!$B$8)-(G746*Ayarlar!$B$3+Ayarlar!$B$4+Ayarlar!$B$5))/(F746*(1-Ayarlar!$B$6)))</f>
        <v/>
      </c>
      <c r="L746" s="9">
        <f>IF(G746="","GRAM EKSİK",IF(F746&gt;30000,"FİYAT ŞÜPHELİ",IF(K746&lt;0,"ZARARDA",IF(F746&lt;I746,"RİSKLİ","ok"))))</f>
        <v/>
      </c>
      <c r="M746" s="13" t="inlineStr">
        <is>
          <t>https://www.etsy.com/listing/1724930320</t>
        </is>
      </c>
    </row>
    <row r="747">
      <c r="A747" s="3" t="inlineStr">
        <is>
          <t>faith</t>
        </is>
      </c>
      <c r="B747" s="3" t="inlineStr">
        <is>
          <t>10K Solid Gold Jesus Head Ring with Cubic Zirconia Stones</t>
        </is>
      </c>
      <c r="C747" s="3" t="n">
        <v>1724930320</v>
      </c>
      <c r="D747" s="3" t="inlineStr">
        <is>
          <t>RJE22-11.5</t>
        </is>
      </c>
      <c r="E747" s="3" t="inlineStr">
        <is>
          <t>description</t>
        </is>
      </c>
      <c r="F747" s="14" t="n">
        <v>719</v>
      </c>
      <c r="G747" s="17" t="n">
        <v>4</v>
      </c>
      <c r="H747" s="14">
        <f>IF(G747="","",G747*Ayarlar!$B$3+Ayarlar!$B$4+Ayarlar!$B$5)</f>
        <v/>
      </c>
      <c r="I747" s="14">
        <f>IF(G747="","",ROUNDUP(((G747*Ayarlar!$B$3+Ayarlar!$B$4+Ayarlar!$B$5)+Ayarlar!$B$8)/((1-Ayarlar!$B$6)*(1-Ayarlar!$B$7)),0))</f>
        <v/>
      </c>
      <c r="J747" s="14">
        <f>IF(G747="","",ROUNDUP(((G747*Ayarlar!$B$3+Ayarlar!$B$4+Ayarlar!$B$5)+Ayarlar!$B$8)/((1-Ayarlar!$B$6)*(1-Ayarlar!$B$7-Ayarlar!$B$9)),0))</f>
        <v/>
      </c>
      <c r="K747" s="15">
        <f>IF(OR(G747="",F747=""),"",(F747*(1-Ayarlar!$B$6)-(F747*(1-Ayarlar!$B$6)*Ayarlar!$B$7+Ayarlar!$B$8)-(G747*Ayarlar!$B$3+Ayarlar!$B$4+Ayarlar!$B$5))/(F747*(1-Ayarlar!$B$6)))</f>
        <v/>
      </c>
      <c r="L747" s="3">
        <f>IF(G747="","GRAM EKSİK",IF(F747&gt;30000,"FİYAT ŞÜPHELİ",IF(K747&lt;0,"ZARARDA",IF(F747&lt;I747,"RİSKLİ","ok"))))</f>
        <v/>
      </c>
      <c r="M747" s="16" t="inlineStr">
        <is>
          <t>https://www.etsy.com/listing/1724930320</t>
        </is>
      </c>
    </row>
    <row r="748">
      <c r="A748" s="9" t="inlineStr">
        <is>
          <t>faith</t>
        </is>
      </c>
      <c r="B748" s="9" t="inlineStr">
        <is>
          <t>10K Solid Gold Jesus Head Ring with Cubic Zirconia Stones</t>
        </is>
      </c>
      <c r="C748" s="9" t="n">
        <v>1724930320</v>
      </c>
      <c r="D748" s="9" t="inlineStr">
        <is>
          <t>RJE22-12</t>
        </is>
      </c>
      <c r="E748" s="9" t="inlineStr">
        <is>
          <t>description</t>
        </is>
      </c>
      <c r="F748" s="10" t="n">
        <v>719</v>
      </c>
      <c r="G748" s="18" t="n">
        <v>4</v>
      </c>
      <c r="H748" s="10">
        <f>IF(G748="","",G748*Ayarlar!$B$3+Ayarlar!$B$4+Ayarlar!$B$5)</f>
        <v/>
      </c>
      <c r="I748" s="10">
        <f>IF(G748="","",ROUNDUP(((G748*Ayarlar!$B$3+Ayarlar!$B$4+Ayarlar!$B$5)+Ayarlar!$B$8)/((1-Ayarlar!$B$6)*(1-Ayarlar!$B$7)),0))</f>
        <v/>
      </c>
      <c r="J748" s="10">
        <f>IF(G748="","",ROUNDUP(((G748*Ayarlar!$B$3+Ayarlar!$B$4+Ayarlar!$B$5)+Ayarlar!$B$8)/((1-Ayarlar!$B$6)*(1-Ayarlar!$B$7-Ayarlar!$B$9)),0))</f>
        <v/>
      </c>
      <c r="K748" s="12">
        <f>IF(OR(G748="",F748=""),"",(F748*(1-Ayarlar!$B$6)-(F748*(1-Ayarlar!$B$6)*Ayarlar!$B$7+Ayarlar!$B$8)-(G748*Ayarlar!$B$3+Ayarlar!$B$4+Ayarlar!$B$5))/(F748*(1-Ayarlar!$B$6)))</f>
        <v/>
      </c>
      <c r="L748" s="9">
        <f>IF(G748="","GRAM EKSİK",IF(F748&gt;30000,"FİYAT ŞÜPHELİ",IF(K748&lt;0,"ZARARDA",IF(F748&lt;I748,"RİSKLİ","ok"))))</f>
        <v/>
      </c>
      <c r="M748" s="13" t="inlineStr">
        <is>
          <t>https://www.etsy.com/listing/1724930320</t>
        </is>
      </c>
    </row>
    <row r="749">
      <c r="A749" s="3" t="inlineStr">
        <is>
          <t>faith</t>
        </is>
      </c>
      <c r="B749" s="3" t="inlineStr">
        <is>
          <t>10K Solid Gold Jesus Head Ring with Cubic Zirconia Stones</t>
        </is>
      </c>
      <c r="C749" s="3" t="n">
        <v>1724930320</v>
      </c>
      <c r="D749" s="3" t="inlineStr">
        <is>
          <t>RJE22-12.5</t>
        </is>
      </c>
      <c r="E749" s="3" t="inlineStr">
        <is>
          <t>description</t>
        </is>
      </c>
      <c r="F749" s="14" t="n">
        <v>719</v>
      </c>
      <c r="G749" s="17" t="n">
        <v>4</v>
      </c>
      <c r="H749" s="14">
        <f>IF(G749="","",G749*Ayarlar!$B$3+Ayarlar!$B$4+Ayarlar!$B$5)</f>
        <v/>
      </c>
      <c r="I749" s="14">
        <f>IF(G749="","",ROUNDUP(((G749*Ayarlar!$B$3+Ayarlar!$B$4+Ayarlar!$B$5)+Ayarlar!$B$8)/((1-Ayarlar!$B$6)*(1-Ayarlar!$B$7)),0))</f>
        <v/>
      </c>
      <c r="J749" s="14">
        <f>IF(G749="","",ROUNDUP(((G749*Ayarlar!$B$3+Ayarlar!$B$4+Ayarlar!$B$5)+Ayarlar!$B$8)/((1-Ayarlar!$B$6)*(1-Ayarlar!$B$7-Ayarlar!$B$9)),0))</f>
        <v/>
      </c>
      <c r="K749" s="15">
        <f>IF(OR(G749="",F749=""),"",(F749*(1-Ayarlar!$B$6)-(F749*(1-Ayarlar!$B$6)*Ayarlar!$B$7+Ayarlar!$B$8)-(G749*Ayarlar!$B$3+Ayarlar!$B$4+Ayarlar!$B$5))/(F749*(1-Ayarlar!$B$6)))</f>
        <v/>
      </c>
      <c r="L749" s="3">
        <f>IF(G749="","GRAM EKSİK",IF(F749&gt;30000,"FİYAT ŞÜPHELİ",IF(K749&lt;0,"ZARARDA",IF(F749&lt;I749,"RİSKLİ","ok"))))</f>
        <v/>
      </c>
      <c r="M749" s="16" t="inlineStr">
        <is>
          <t>https://www.etsy.com/listing/1724930320</t>
        </is>
      </c>
    </row>
    <row r="750">
      <c r="A750" s="9" t="inlineStr">
        <is>
          <t>faith</t>
        </is>
      </c>
      <c r="B750" s="9" t="inlineStr">
        <is>
          <t>10K Solid Gold Jesus Head Ring with Cubic Zirconia Stones</t>
        </is>
      </c>
      <c r="C750" s="9" t="n">
        <v>1724930320</v>
      </c>
      <c r="D750" s="9" t="inlineStr">
        <is>
          <t>RJE22-8</t>
        </is>
      </c>
      <c r="E750" s="9" t="inlineStr">
        <is>
          <t>description</t>
        </is>
      </c>
      <c r="F750" s="10" t="n">
        <v>719</v>
      </c>
      <c r="G750" s="18" t="n">
        <v>4</v>
      </c>
      <c r="H750" s="10">
        <f>IF(G750="","",G750*Ayarlar!$B$3+Ayarlar!$B$4+Ayarlar!$B$5)</f>
        <v/>
      </c>
      <c r="I750" s="10">
        <f>IF(G750="","",ROUNDUP(((G750*Ayarlar!$B$3+Ayarlar!$B$4+Ayarlar!$B$5)+Ayarlar!$B$8)/((1-Ayarlar!$B$6)*(1-Ayarlar!$B$7)),0))</f>
        <v/>
      </c>
      <c r="J750" s="10">
        <f>IF(G750="","",ROUNDUP(((G750*Ayarlar!$B$3+Ayarlar!$B$4+Ayarlar!$B$5)+Ayarlar!$B$8)/((1-Ayarlar!$B$6)*(1-Ayarlar!$B$7-Ayarlar!$B$9)),0))</f>
        <v/>
      </c>
      <c r="K750" s="12">
        <f>IF(OR(G750="",F750=""),"",(F750*(1-Ayarlar!$B$6)-(F750*(1-Ayarlar!$B$6)*Ayarlar!$B$7+Ayarlar!$B$8)-(G750*Ayarlar!$B$3+Ayarlar!$B$4+Ayarlar!$B$5))/(F750*(1-Ayarlar!$B$6)))</f>
        <v/>
      </c>
      <c r="L750" s="9">
        <f>IF(G750="","GRAM EKSİK",IF(F750&gt;30000,"FİYAT ŞÜPHELİ",IF(K750&lt;0,"ZARARDA",IF(F750&lt;I750,"RİSKLİ","ok"))))</f>
        <v/>
      </c>
      <c r="M750" s="13" t="inlineStr">
        <is>
          <t>https://www.etsy.com/listing/1724930320</t>
        </is>
      </c>
    </row>
    <row r="751">
      <c r="A751" s="3" t="inlineStr">
        <is>
          <t>faith</t>
        </is>
      </c>
      <c r="B751" s="3" t="inlineStr">
        <is>
          <t>10K Solid Gold Jesus Head Ring with Cubic Zirconia Stones</t>
        </is>
      </c>
      <c r="C751" s="3" t="n">
        <v>1724930320</v>
      </c>
      <c r="D751" s="3" t="inlineStr">
        <is>
          <t>RJE22-8.5</t>
        </is>
      </c>
      <c r="E751" s="3" t="inlineStr">
        <is>
          <t>description</t>
        </is>
      </c>
      <c r="F751" s="14" t="n">
        <v>719</v>
      </c>
      <c r="G751" s="17" t="n">
        <v>4</v>
      </c>
      <c r="H751" s="14">
        <f>IF(G751="","",G751*Ayarlar!$B$3+Ayarlar!$B$4+Ayarlar!$B$5)</f>
        <v/>
      </c>
      <c r="I751" s="14">
        <f>IF(G751="","",ROUNDUP(((G751*Ayarlar!$B$3+Ayarlar!$B$4+Ayarlar!$B$5)+Ayarlar!$B$8)/((1-Ayarlar!$B$6)*(1-Ayarlar!$B$7)),0))</f>
        <v/>
      </c>
      <c r="J751" s="14">
        <f>IF(G751="","",ROUNDUP(((G751*Ayarlar!$B$3+Ayarlar!$B$4+Ayarlar!$B$5)+Ayarlar!$B$8)/((1-Ayarlar!$B$6)*(1-Ayarlar!$B$7-Ayarlar!$B$9)),0))</f>
        <v/>
      </c>
      <c r="K751" s="15">
        <f>IF(OR(G751="",F751=""),"",(F751*(1-Ayarlar!$B$6)-(F751*(1-Ayarlar!$B$6)*Ayarlar!$B$7+Ayarlar!$B$8)-(G751*Ayarlar!$B$3+Ayarlar!$B$4+Ayarlar!$B$5))/(F751*(1-Ayarlar!$B$6)))</f>
        <v/>
      </c>
      <c r="L751" s="3">
        <f>IF(G751="","GRAM EKSİK",IF(F751&gt;30000,"FİYAT ŞÜPHELİ",IF(K751&lt;0,"ZARARDA",IF(F751&lt;I751,"RİSKLİ","ok"))))</f>
        <v/>
      </c>
      <c r="M751" s="16" t="inlineStr">
        <is>
          <t>https://www.etsy.com/listing/1724930320</t>
        </is>
      </c>
    </row>
    <row r="752">
      <c r="A752" s="9" t="inlineStr">
        <is>
          <t>faith</t>
        </is>
      </c>
      <c r="B752" s="9" t="inlineStr">
        <is>
          <t>10K Solid Gold Jesus Head Ring with Cubic Zirconia Stones</t>
        </is>
      </c>
      <c r="C752" s="9" t="n">
        <v>1724930320</v>
      </c>
      <c r="D752" s="9" t="inlineStr">
        <is>
          <t>RJE22-9</t>
        </is>
      </c>
      <c r="E752" s="9" t="inlineStr">
        <is>
          <t>description</t>
        </is>
      </c>
      <c r="F752" s="10" t="n">
        <v>719</v>
      </c>
      <c r="G752" s="18" t="n">
        <v>4</v>
      </c>
      <c r="H752" s="10">
        <f>IF(G752="","",G752*Ayarlar!$B$3+Ayarlar!$B$4+Ayarlar!$B$5)</f>
        <v/>
      </c>
      <c r="I752" s="10">
        <f>IF(G752="","",ROUNDUP(((G752*Ayarlar!$B$3+Ayarlar!$B$4+Ayarlar!$B$5)+Ayarlar!$B$8)/((1-Ayarlar!$B$6)*(1-Ayarlar!$B$7)),0))</f>
        <v/>
      </c>
      <c r="J752" s="10">
        <f>IF(G752="","",ROUNDUP(((G752*Ayarlar!$B$3+Ayarlar!$B$4+Ayarlar!$B$5)+Ayarlar!$B$8)/((1-Ayarlar!$B$6)*(1-Ayarlar!$B$7-Ayarlar!$B$9)),0))</f>
        <v/>
      </c>
      <c r="K752" s="12">
        <f>IF(OR(G752="",F752=""),"",(F752*(1-Ayarlar!$B$6)-(F752*(1-Ayarlar!$B$6)*Ayarlar!$B$7+Ayarlar!$B$8)-(G752*Ayarlar!$B$3+Ayarlar!$B$4+Ayarlar!$B$5))/(F752*(1-Ayarlar!$B$6)))</f>
        <v/>
      </c>
      <c r="L752" s="9">
        <f>IF(G752="","GRAM EKSİK",IF(F752&gt;30000,"FİYAT ŞÜPHELİ",IF(K752&lt;0,"ZARARDA",IF(F752&lt;I752,"RİSKLİ","ok"))))</f>
        <v/>
      </c>
      <c r="M752" s="13" t="inlineStr">
        <is>
          <t>https://www.etsy.com/listing/1724930320</t>
        </is>
      </c>
    </row>
    <row r="753">
      <c r="A753" s="3" t="inlineStr">
        <is>
          <t>faith</t>
        </is>
      </c>
      <c r="B753" s="3" t="inlineStr">
        <is>
          <t>10K Solid Gold Jesus Head Ring with Cubic Zirconia Stones</t>
        </is>
      </c>
      <c r="C753" s="3" t="n">
        <v>1724930320</v>
      </c>
      <c r="D753" s="3" t="inlineStr">
        <is>
          <t>RJE22-9.5</t>
        </is>
      </c>
      <c r="E753" s="3" t="inlineStr">
        <is>
          <t>description</t>
        </is>
      </c>
      <c r="F753" s="14" t="n">
        <v>719</v>
      </c>
      <c r="G753" s="17" t="n">
        <v>4</v>
      </c>
      <c r="H753" s="14">
        <f>IF(G753="","",G753*Ayarlar!$B$3+Ayarlar!$B$4+Ayarlar!$B$5)</f>
        <v/>
      </c>
      <c r="I753" s="14">
        <f>IF(G753="","",ROUNDUP(((G753*Ayarlar!$B$3+Ayarlar!$B$4+Ayarlar!$B$5)+Ayarlar!$B$8)/((1-Ayarlar!$B$6)*(1-Ayarlar!$B$7)),0))</f>
        <v/>
      </c>
      <c r="J753" s="14">
        <f>IF(G753="","",ROUNDUP(((G753*Ayarlar!$B$3+Ayarlar!$B$4+Ayarlar!$B$5)+Ayarlar!$B$8)/((1-Ayarlar!$B$6)*(1-Ayarlar!$B$7-Ayarlar!$B$9)),0))</f>
        <v/>
      </c>
      <c r="K753" s="15">
        <f>IF(OR(G753="",F753=""),"",(F753*(1-Ayarlar!$B$6)-(F753*(1-Ayarlar!$B$6)*Ayarlar!$B$7+Ayarlar!$B$8)-(G753*Ayarlar!$B$3+Ayarlar!$B$4+Ayarlar!$B$5))/(F753*(1-Ayarlar!$B$6)))</f>
        <v/>
      </c>
      <c r="L753" s="3">
        <f>IF(G753="","GRAM EKSİK",IF(F753&gt;30000,"FİYAT ŞÜPHELİ",IF(K753&lt;0,"ZARARDA",IF(F753&lt;I753,"RİSKLİ","ok"))))</f>
        <v/>
      </c>
      <c r="M753" s="16" t="inlineStr">
        <is>
          <t>https://www.etsy.com/listing/1724930320</t>
        </is>
      </c>
    </row>
    <row r="754">
      <c r="A754" s="9" t="inlineStr">
        <is>
          <t>faith</t>
        </is>
      </c>
      <c r="B754" s="9" t="inlineStr">
        <is>
          <t>10K Solid Gold Jesus Head Ring with Cubic Zirconia Stones</t>
        </is>
      </c>
      <c r="C754" s="9" t="n">
        <v>1724930320</v>
      </c>
      <c r="D754" s="9" t="inlineStr">
        <is>
          <t>RJE27-10</t>
        </is>
      </c>
      <c r="E754" s="9" t="inlineStr">
        <is>
          <t>description</t>
        </is>
      </c>
      <c r="F754" s="10" t="n">
        <v>1038</v>
      </c>
      <c r="G754" s="18" t="n">
        <v>5.8</v>
      </c>
      <c r="H754" s="10">
        <f>IF(G754="","",G754*Ayarlar!$B$3+Ayarlar!$B$4+Ayarlar!$B$5)</f>
        <v/>
      </c>
      <c r="I754" s="10">
        <f>IF(G754="","",ROUNDUP(((G754*Ayarlar!$B$3+Ayarlar!$B$4+Ayarlar!$B$5)+Ayarlar!$B$8)/((1-Ayarlar!$B$6)*(1-Ayarlar!$B$7)),0))</f>
        <v/>
      </c>
      <c r="J754" s="10">
        <f>IF(G754="","",ROUNDUP(((G754*Ayarlar!$B$3+Ayarlar!$B$4+Ayarlar!$B$5)+Ayarlar!$B$8)/((1-Ayarlar!$B$6)*(1-Ayarlar!$B$7-Ayarlar!$B$9)),0))</f>
        <v/>
      </c>
      <c r="K754" s="12">
        <f>IF(OR(G754="",F754=""),"",(F754*(1-Ayarlar!$B$6)-(F754*(1-Ayarlar!$B$6)*Ayarlar!$B$7+Ayarlar!$B$8)-(G754*Ayarlar!$B$3+Ayarlar!$B$4+Ayarlar!$B$5))/(F754*(1-Ayarlar!$B$6)))</f>
        <v/>
      </c>
      <c r="L754" s="9">
        <f>IF(G754="","GRAM EKSİK",IF(F754&gt;30000,"FİYAT ŞÜPHELİ",IF(K754&lt;0,"ZARARDA",IF(F754&lt;I754,"RİSKLİ","ok"))))</f>
        <v/>
      </c>
      <c r="M754" s="13" t="inlineStr">
        <is>
          <t>https://www.etsy.com/listing/1724930320</t>
        </is>
      </c>
    </row>
    <row r="755">
      <c r="A755" s="3" t="inlineStr">
        <is>
          <t>faith</t>
        </is>
      </c>
      <c r="B755" s="3" t="inlineStr">
        <is>
          <t>10K Solid Gold Jesus Head Ring with Cubic Zirconia Stones</t>
        </is>
      </c>
      <c r="C755" s="3" t="n">
        <v>1724930320</v>
      </c>
      <c r="D755" s="3" t="inlineStr">
        <is>
          <t>RJE27-10.5</t>
        </is>
      </c>
      <c r="E755" s="3" t="inlineStr">
        <is>
          <t>description</t>
        </is>
      </c>
      <c r="F755" s="14" t="n">
        <v>1038</v>
      </c>
      <c r="G755" s="17" t="n">
        <v>5.8</v>
      </c>
      <c r="H755" s="14">
        <f>IF(G755="","",G755*Ayarlar!$B$3+Ayarlar!$B$4+Ayarlar!$B$5)</f>
        <v/>
      </c>
      <c r="I755" s="14">
        <f>IF(G755="","",ROUNDUP(((G755*Ayarlar!$B$3+Ayarlar!$B$4+Ayarlar!$B$5)+Ayarlar!$B$8)/((1-Ayarlar!$B$6)*(1-Ayarlar!$B$7)),0))</f>
        <v/>
      </c>
      <c r="J755" s="14">
        <f>IF(G755="","",ROUNDUP(((G755*Ayarlar!$B$3+Ayarlar!$B$4+Ayarlar!$B$5)+Ayarlar!$B$8)/((1-Ayarlar!$B$6)*(1-Ayarlar!$B$7-Ayarlar!$B$9)),0))</f>
        <v/>
      </c>
      <c r="K755" s="15">
        <f>IF(OR(G755="",F755=""),"",(F755*(1-Ayarlar!$B$6)-(F755*(1-Ayarlar!$B$6)*Ayarlar!$B$7+Ayarlar!$B$8)-(G755*Ayarlar!$B$3+Ayarlar!$B$4+Ayarlar!$B$5))/(F755*(1-Ayarlar!$B$6)))</f>
        <v/>
      </c>
      <c r="L755" s="3">
        <f>IF(G755="","GRAM EKSİK",IF(F755&gt;30000,"FİYAT ŞÜPHELİ",IF(K755&lt;0,"ZARARDA",IF(F755&lt;I755,"RİSKLİ","ok"))))</f>
        <v/>
      </c>
      <c r="M755" s="16" t="inlineStr">
        <is>
          <t>https://www.etsy.com/listing/1724930320</t>
        </is>
      </c>
    </row>
    <row r="756">
      <c r="A756" s="9" t="inlineStr">
        <is>
          <t>faith</t>
        </is>
      </c>
      <c r="B756" s="9" t="inlineStr">
        <is>
          <t>10K Solid Gold Jesus Head Ring with Cubic Zirconia Stones</t>
        </is>
      </c>
      <c r="C756" s="9" t="n">
        <v>1724930320</v>
      </c>
      <c r="D756" s="9" t="inlineStr">
        <is>
          <t>RJE27-11</t>
        </is>
      </c>
      <c r="E756" s="9" t="inlineStr">
        <is>
          <t>description</t>
        </is>
      </c>
      <c r="F756" s="10" t="n">
        <v>1038</v>
      </c>
      <c r="G756" s="18" t="n">
        <v>5.8</v>
      </c>
      <c r="H756" s="10">
        <f>IF(G756="","",G756*Ayarlar!$B$3+Ayarlar!$B$4+Ayarlar!$B$5)</f>
        <v/>
      </c>
      <c r="I756" s="10">
        <f>IF(G756="","",ROUNDUP(((G756*Ayarlar!$B$3+Ayarlar!$B$4+Ayarlar!$B$5)+Ayarlar!$B$8)/((1-Ayarlar!$B$6)*(1-Ayarlar!$B$7)),0))</f>
        <v/>
      </c>
      <c r="J756" s="10">
        <f>IF(G756="","",ROUNDUP(((G756*Ayarlar!$B$3+Ayarlar!$B$4+Ayarlar!$B$5)+Ayarlar!$B$8)/((1-Ayarlar!$B$6)*(1-Ayarlar!$B$7-Ayarlar!$B$9)),0))</f>
        <v/>
      </c>
      <c r="K756" s="12">
        <f>IF(OR(G756="",F756=""),"",(F756*(1-Ayarlar!$B$6)-(F756*(1-Ayarlar!$B$6)*Ayarlar!$B$7+Ayarlar!$B$8)-(G756*Ayarlar!$B$3+Ayarlar!$B$4+Ayarlar!$B$5))/(F756*(1-Ayarlar!$B$6)))</f>
        <v/>
      </c>
      <c r="L756" s="9">
        <f>IF(G756="","GRAM EKSİK",IF(F756&gt;30000,"FİYAT ŞÜPHELİ",IF(K756&lt;0,"ZARARDA",IF(F756&lt;I756,"RİSKLİ","ok"))))</f>
        <v/>
      </c>
      <c r="M756" s="13" t="inlineStr">
        <is>
          <t>https://www.etsy.com/listing/1724930320</t>
        </is>
      </c>
    </row>
    <row r="757">
      <c r="A757" s="3" t="inlineStr">
        <is>
          <t>faith</t>
        </is>
      </c>
      <c r="B757" s="3" t="inlineStr">
        <is>
          <t>10K Solid Gold Jesus Head Ring with Cubic Zirconia Stones</t>
        </is>
      </c>
      <c r="C757" s="3" t="n">
        <v>1724930320</v>
      </c>
      <c r="D757" s="3" t="inlineStr">
        <is>
          <t>RJE27-11.5</t>
        </is>
      </c>
      <c r="E757" s="3" t="inlineStr">
        <is>
          <t>description</t>
        </is>
      </c>
      <c r="F757" s="14" t="n">
        <v>1038</v>
      </c>
      <c r="G757" s="17" t="n">
        <v>5.8</v>
      </c>
      <c r="H757" s="14">
        <f>IF(G757="","",G757*Ayarlar!$B$3+Ayarlar!$B$4+Ayarlar!$B$5)</f>
        <v/>
      </c>
      <c r="I757" s="14">
        <f>IF(G757="","",ROUNDUP(((G757*Ayarlar!$B$3+Ayarlar!$B$4+Ayarlar!$B$5)+Ayarlar!$B$8)/((1-Ayarlar!$B$6)*(1-Ayarlar!$B$7)),0))</f>
        <v/>
      </c>
      <c r="J757" s="14">
        <f>IF(G757="","",ROUNDUP(((G757*Ayarlar!$B$3+Ayarlar!$B$4+Ayarlar!$B$5)+Ayarlar!$B$8)/((1-Ayarlar!$B$6)*(1-Ayarlar!$B$7-Ayarlar!$B$9)),0))</f>
        <v/>
      </c>
      <c r="K757" s="15">
        <f>IF(OR(G757="",F757=""),"",(F757*(1-Ayarlar!$B$6)-(F757*(1-Ayarlar!$B$6)*Ayarlar!$B$7+Ayarlar!$B$8)-(G757*Ayarlar!$B$3+Ayarlar!$B$4+Ayarlar!$B$5))/(F757*(1-Ayarlar!$B$6)))</f>
        <v/>
      </c>
      <c r="L757" s="3">
        <f>IF(G757="","GRAM EKSİK",IF(F757&gt;30000,"FİYAT ŞÜPHELİ",IF(K757&lt;0,"ZARARDA",IF(F757&lt;I757,"RİSKLİ","ok"))))</f>
        <v/>
      </c>
      <c r="M757" s="16" t="inlineStr">
        <is>
          <t>https://www.etsy.com/listing/1724930320</t>
        </is>
      </c>
    </row>
    <row r="758">
      <c r="A758" s="9" t="inlineStr">
        <is>
          <t>faith</t>
        </is>
      </c>
      <c r="B758" s="9" t="inlineStr">
        <is>
          <t>10K Solid Gold Jesus Head Ring with Cubic Zirconia Stones</t>
        </is>
      </c>
      <c r="C758" s="9" t="n">
        <v>1724930320</v>
      </c>
      <c r="D758" s="9" t="inlineStr">
        <is>
          <t>RJE27-12</t>
        </is>
      </c>
      <c r="E758" s="9" t="inlineStr">
        <is>
          <t>description</t>
        </is>
      </c>
      <c r="F758" s="10" t="n">
        <v>1038</v>
      </c>
      <c r="G758" s="18" t="n">
        <v>5.8</v>
      </c>
      <c r="H758" s="10">
        <f>IF(G758="","",G758*Ayarlar!$B$3+Ayarlar!$B$4+Ayarlar!$B$5)</f>
        <v/>
      </c>
      <c r="I758" s="10">
        <f>IF(G758="","",ROUNDUP(((G758*Ayarlar!$B$3+Ayarlar!$B$4+Ayarlar!$B$5)+Ayarlar!$B$8)/((1-Ayarlar!$B$6)*(1-Ayarlar!$B$7)),0))</f>
        <v/>
      </c>
      <c r="J758" s="10">
        <f>IF(G758="","",ROUNDUP(((G758*Ayarlar!$B$3+Ayarlar!$B$4+Ayarlar!$B$5)+Ayarlar!$B$8)/((1-Ayarlar!$B$6)*(1-Ayarlar!$B$7-Ayarlar!$B$9)),0))</f>
        <v/>
      </c>
      <c r="K758" s="12">
        <f>IF(OR(G758="",F758=""),"",(F758*(1-Ayarlar!$B$6)-(F758*(1-Ayarlar!$B$6)*Ayarlar!$B$7+Ayarlar!$B$8)-(G758*Ayarlar!$B$3+Ayarlar!$B$4+Ayarlar!$B$5))/(F758*(1-Ayarlar!$B$6)))</f>
        <v/>
      </c>
      <c r="L758" s="9">
        <f>IF(G758="","GRAM EKSİK",IF(F758&gt;30000,"FİYAT ŞÜPHELİ",IF(K758&lt;0,"ZARARDA",IF(F758&lt;I758,"RİSKLİ","ok"))))</f>
        <v/>
      </c>
      <c r="M758" s="13" t="inlineStr">
        <is>
          <t>https://www.etsy.com/listing/1724930320</t>
        </is>
      </c>
    </row>
    <row r="759">
      <c r="A759" s="3" t="inlineStr">
        <is>
          <t>faith</t>
        </is>
      </c>
      <c r="B759" s="3" t="inlineStr">
        <is>
          <t>10K Solid Gold Jesus Head Ring with Cubic Zirconia Stones</t>
        </is>
      </c>
      <c r="C759" s="3" t="n">
        <v>1724930320</v>
      </c>
      <c r="D759" s="3" t="inlineStr">
        <is>
          <t>RJE27-12.5</t>
        </is>
      </c>
      <c r="E759" s="3" t="inlineStr">
        <is>
          <t>description</t>
        </is>
      </c>
      <c r="F759" s="14" t="n">
        <v>1038</v>
      </c>
      <c r="G759" s="17" t="n">
        <v>5.8</v>
      </c>
      <c r="H759" s="14">
        <f>IF(G759="","",G759*Ayarlar!$B$3+Ayarlar!$B$4+Ayarlar!$B$5)</f>
        <v/>
      </c>
      <c r="I759" s="14">
        <f>IF(G759="","",ROUNDUP(((G759*Ayarlar!$B$3+Ayarlar!$B$4+Ayarlar!$B$5)+Ayarlar!$B$8)/((1-Ayarlar!$B$6)*(1-Ayarlar!$B$7)),0))</f>
        <v/>
      </c>
      <c r="J759" s="14">
        <f>IF(G759="","",ROUNDUP(((G759*Ayarlar!$B$3+Ayarlar!$B$4+Ayarlar!$B$5)+Ayarlar!$B$8)/((1-Ayarlar!$B$6)*(1-Ayarlar!$B$7-Ayarlar!$B$9)),0))</f>
        <v/>
      </c>
      <c r="K759" s="15">
        <f>IF(OR(G759="",F759=""),"",(F759*(1-Ayarlar!$B$6)-(F759*(1-Ayarlar!$B$6)*Ayarlar!$B$7+Ayarlar!$B$8)-(G759*Ayarlar!$B$3+Ayarlar!$B$4+Ayarlar!$B$5))/(F759*(1-Ayarlar!$B$6)))</f>
        <v/>
      </c>
      <c r="L759" s="3">
        <f>IF(G759="","GRAM EKSİK",IF(F759&gt;30000,"FİYAT ŞÜPHELİ",IF(K759&lt;0,"ZARARDA",IF(F759&lt;I759,"RİSKLİ","ok"))))</f>
        <v/>
      </c>
      <c r="M759" s="16" t="inlineStr">
        <is>
          <t>https://www.etsy.com/listing/1724930320</t>
        </is>
      </c>
    </row>
    <row r="760">
      <c r="A760" s="9" t="inlineStr">
        <is>
          <t>faith</t>
        </is>
      </c>
      <c r="B760" s="9" t="inlineStr">
        <is>
          <t>10K Solid Gold Jesus Head Ring with Cubic Zirconia Stones</t>
        </is>
      </c>
      <c r="C760" s="9" t="n">
        <v>1724930320</v>
      </c>
      <c r="D760" s="9" t="inlineStr">
        <is>
          <t>RJE27-8</t>
        </is>
      </c>
      <c r="E760" s="9" t="inlineStr">
        <is>
          <t>description</t>
        </is>
      </c>
      <c r="F760" s="10" t="n">
        <v>1038</v>
      </c>
      <c r="G760" s="18" t="n">
        <v>5.8</v>
      </c>
      <c r="H760" s="10">
        <f>IF(G760="","",G760*Ayarlar!$B$3+Ayarlar!$B$4+Ayarlar!$B$5)</f>
        <v/>
      </c>
      <c r="I760" s="10">
        <f>IF(G760="","",ROUNDUP(((G760*Ayarlar!$B$3+Ayarlar!$B$4+Ayarlar!$B$5)+Ayarlar!$B$8)/((1-Ayarlar!$B$6)*(1-Ayarlar!$B$7)),0))</f>
        <v/>
      </c>
      <c r="J760" s="10">
        <f>IF(G760="","",ROUNDUP(((G760*Ayarlar!$B$3+Ayarlar!$B$4+Ayarlar!$B$5)+Ayarlar!$B$8)/((1-Ayarlar!$B$6)*(1-Ayarlar!$B$7-Ayarlar!$B$9)),0))</f>
        <v/>
      </c>
      <c r="K760" s="12">
        <f>IF(OR(G760="",F760=""),"",(F760*(1-Ayarlar!$B$6)-(F760*(1-Ayarlar!$B$6)*Ayarlar!$B$7+Ayarlar!$B$8)-(G760*Ayarlar!$B$3+Ayarlar!$B$4+Ayarlar!$B$5))/(F760*(1-Ayarlar!$B$6)))</f>
        <v/>
      </c>
      <c r="L760" s="9">
        <f>IF(G760="","GRAM EKSİK",IF(F760&gt;30000,"FİYAT ŞÜPHELİ",IF(K760&lt;0,"ZARARDA",IF(F760&lt;I760,"RİSKLİ","ok"))))</f>
        <v/>
      </c>
      <c r="M760" s="13" t="inlineStr">
        <is>
          <t>https://www.etsy.com/listing/1724930320</t>
        </is>
      </c>
    </row>
    <row r="761">
      <c r="A761" s="3" t="inlineStr">
        <is>
          <t>faith</t>
        </is>
      </c>
      <c r="B761" s="3" t="inlineStr">
        <is>
          <t>10K Solid Gold Jesus Head Ring with Cubic Zirconia Stones</t>
        </is>
      </c>
      <c r="C761" s="3" t="n">
        <v>1724930320</v>
      </c>
      <c r="D761" s="3" t="inlineStr">
        <is>
          <t>RJE27-8.5</t>
        </is>
      </c>
      <c r="E761" s="3" t="inlineStr">
        <is>
          <t>description</t>
        </is>
      </c>
      <c r="F761" s="14" t="n">
        <v>1038</v>
      </c>
      <c r="G761" s="17" t="n">
        <v>5.8</v>
      </c>
      <c r="H761" s="14">
        <f>IF(G761="","",G761*Ayarlar!$B$3+Ayarlar!$B$4+Ayarlar!$B$5)</f>
        <v/>
      </c>
      <c r="I761" s="14">
        <f>IF(G761="","",ROUNDUP(((G761*Ayarlar!$B$3+Ayarlar!$B$4+Ayarlar!$B$5)+Ayarlar!$B$8)/((1-Ayarlar!$B$6)*(1-Ayarlar!$B$7)),0))</f>
        <v/>
      </c>
      <c r="J761" s="14">
        <f>IF(G761="","",ROUNDUP(((G761*Ayarlar!$B$3+Ayarlar!$B$4+Ayarlar!$B$5)+Ayarlar!$B$8)/((1-Ayarlar!$B$6)*(1-Ayarlar!$B$7-Ayarlar!$B$9)),0))</f>
        <v/>
      </c>
      <c r="K761" s="15">
        <f>IF(OR(G761="",F761=""),"",(F761*(1-Ayarlar!$B$6)-(F761*(1-Ayarlar!$B$6)*Ayarlar!$B$7+Ayarlar!$B$8)-(G761*Ayarlar!$B$3+Ayarlar!$B$4+Ayarlar!$B$5))/(F761*(1-Ayarlar!$B$6)))</f>
        <v/>
      </c>
      <c r="L761" s="3">
        <f>IF(G761="","GRAM EKSİK",IF(F761&gt;30000,"FİYAT ŞÜPHELİ",IF(K761&lt;0,"ZARARDA",IF(F761&lt;I761,"RİSKLİ","ok"))))</f>
        <v/>
      </c>
      <c r="M761" s="16" t="inlineStr">
        <is>
          <t>https://www.etsy.com/listing/1724930320</t>
        </is>
      </c>
    </row>
    <row r="762">
      <c r="A762" s="9" t="inlineStr">
        <is>
          <t>faith</t>
        </is>
      </c>
      <c r="B762" s="9" t="inlineStr">
        <is>
          <t>10K Solid Gold Jesus Head Ring with Cubic Zirconia Stones</t>
        </is>
      </c>
      <c r="C762" s="9" t="n">
        <v>1724930320</v>
      </c>
      <c r="D762" s="9" t="inlineStr">
        <is>
          <t>RJE27-9</t>
        </is>
      </c>
      <c r="E762" s="9" t="inlineStr">
        <is>
          <t>description</t>
        </is>
      </c>
      <c r="F762" s="10" t="n">
        <v>1038</v>
      </c>
      <c r="G762" s="18" t="n">
        <v>5.8</v>
      </c>
      <c r="H762" s="10">
        <f>IF(G762="","",G762*Ayarlar!$B$3+Ayarlar!$B$4+Ayarlar!$B$5)</f>
        <v/>
      </c>
      <c r="I762" s="10">
        <f>IF(G762="","",ROUNDUP(((G762*Ayarlar!$B$3+Ayarlar!$B$4+Ayarlar!$B$5)+Ayarlar!$B$8)/((1-Ayarlar!$B$6)*(1-Ayarlar!$B$7)),0))</f>
        <v/>
      </c>
      <c r="J762" s="10">
        <f>IF(G762="","",ROUNDUP(((G762*Ayarlar!$B$3+Ayarlar!$B$4+Ayarlar!$B$5)+Ayarlar!$B$8)/((1-Ayarlar!$B$6)*(1-Ayarlar!$B$7-Ayarlar!$B$9)),0))</f>
        <v/>
      </c>
      <c r="K762" s="12">
        <f>IF(OR(G762="",F762=""),"",(F762*(1-Ayarlar!$B$6)-(F762*(1-Ayarlar!$B$6)*Ayarlar!$B$7+Ayarlar!$B$8)-(G762*Ayarlar!$B$3+Ayarlar!$B$4+Ayarlar!$B$5))/(F762*(1-Ayarlar!$B$6)))</f>
        <v/>
      </c>
      <c r="L762" s="9">
        <f>IF(G762="","GRAM EKSİK",IF(F762&gt;30000,"FİYAT ŞÜPHELİ",IF(K762&lt;0,"ZARARDA",IF(F762&lt;I762,"RİSKLİ","ok"))))</f>
        <v/>
      </c>
      <c r="M762" s="13" t="inlineStr">
        <is>
          <t>https://www.etsy.com/listing/1724930320</t>
        </is>
      </c>
    </row>
    <row r="763">
      <c r="A763" s="3" t="inlineStr">
        <is>
          <t>faith</t>
        </is>
      </c>
      <c r="B763" s="3" t="inlineStr">
        <is>
          <t>10K Solid Gold Jesus Head Ring with Cubic Zirconia Stones</t>
        </is>
      </c>
      <c r="C763" s="3" t="n">
        <v>1724930320</v>
      </c>
      <c r="D763" s="3" t="inlineStr">
        <is>
          <t>RJE27-9.5</t>
        </is>
      </c>
      <c r="E763" s="3" t="inlineStr">
        <is>
          <t>description</t>
        </is>
      </c>
      <c r="F763" s="14" t="n">
        <v>1038</v>
      </c>
      <c r="G763" s="17" t="n">
        <v>5.8</v>
      </c>
      <c r="H763" s="14">
        <f>IF(G763="","",G763*Ayarlar!$B$3+Ayarlar!$B$4+Ayarlar!$B$5)</f>
        <v/>
      </c>
      <c r="I763" s="14">
        <f>IF(G763="","",ROUNDUP(((G763*Ayarlar!$B$3+Ayarlar!$B$4+Ayarlar!$B$5)+Ayarlar!$B$8)/((1-Ayarlar!$B$6)*(1-Ayarlar!$B$7)),0))</f>
        <v/>
      </c>
      <c r="J763" s="14">
        <f>IF(G763="","",ROUNDUP(((G763*Ayarlar!$B$3+Ayarlar!$B$4+Ayarlar!$B$5)+Ayarlar!$B$8)/((1-Ayarlar!$B$6)*(1-Ayarlar!$B$7-Ayarlar!$B$9)),0))</f>
        <v/>
      </c>
      <c r="K763" s="15">
        <f>IF(OR(G763="",F763=""),"",(F763*(1-Ayarlar!$B$6)-(F763*(1-Ayarlar!$B$6)*Ayarlar!$B$7+Ayarlar!$B$8)-(G763*Ayarlar!$B$3+Ayarlar!$B$4+Ayarlar!$B$5))/(F763*(1-Ayarlar!$B$6)))</f>
        <v/>
      </c>
      <c r="L763" s="3">
        <f>IF(G763="","GRAM EKSİK",IF(F763&gt;30000,"FİYAT ŞÜPHELİ",IF(K763&lt;0,"ZARARDA",IF(F763&lt;I763,"RİSKLİ","ok"))))</f>
        <v/>
      </c>
      <c r="M763" s="16" t="inlineStr">
        <is>
          <t>https://www.etsy.com/listing/1724930320</t>
        </is>
      </c>
    </row>
    <row r="764">
      <c r="A764" s="9" t="inlineStr">
        <is>
          <t>faith</t>
        </is>
      </c>
      <c r="B764" s="9" t="inlineStr">
        <is>
          <t>10K Solid Gold Jesus Pendant / Two-Tone Religious Necklace</t>
        </is>
      </c>
      <c r="C764" s="9" t="n">
        <v>1767404547</v>
      </c>
      <c r="D764" s="9" t="inlineStr">
        <is>
          <t>PRJ1-3-16</t>
        </is>
      </c>
      <c r="E764" s="9" t="inlineStr">
        <is>
          <t>description</t>
        </is>
      </c>
      <c r="F764" s="10" t="n">
        <v>1878</v>
      </c>
      <c r="G764" s="18" t="n">
        <v>10.55</v>
      </c>
      <c r="H764" s="10">
        <f>IF(G764="","",G764*Ayarlar!$B$3+Ayarlar!$B$4+Ayarlar!$B$5)</f>
        <v/>
      </c>
      <c r="I764" s="10">
        <f>IF(G764="","",ROUNDUP(((G764*Ayarlar!$B$3+Ayarlar!$B$4+Ayarlar!$B$5)+Ayarlar!$B$8)/((1-Ayarlar!$B$6)*(1-Ayarlar!$B$7)),0))</f>
        <v/>
      </c>
      <c r="J764" s="10">
        <f>IF(G764="","",ROUNDUP(((G764*Ayarlar!$B$3+Ayarlar!$B$4+Ayarlar!$B$5)+Ayarlar!$B$8)/((1-Ayarlar!$B$6)*(1-Ayarlar!$B$7-Ayarlar!$B$9)),0))</f>
        <v/>
      </c>
      <c r="K764" s="12">
        <f>IF(OR(G764="",F764=""),"",(F764*(1-Ayarlar!$B$6)-(F764*(1-Ayarlar!$B$6)*Ayarlar!$B$7+Ayarlar!$B$8)-(G764*Ayarlar!$B$3+Ayarlar!$B$4+Ayarlar!$B$5))/(F764*(1-Ayarlar!$B$6)))</f>
        <v/>
      </c>
      <c r="L764" s="9">
        <f>IF(G764="","GRAM EKSİK",IF(F764&gt;30000,"FİYAT ŞÜPHELİ",IF(K764&lt;0,"ZARARDA",IF(F764&lt;I764,"RİSKLİ","ok"))))</f>
        <v/>
      </c>
      <c r="M764" s="13" t="inlineStr">
        <is>
          <t>https://www.etsy.com/listing/1767404547</t>
        </is>
      </c>
    </row>
    <row r="765">
      <c r="A765" s="3" t="inlineStr">
        <is>
          <t>faith</t>
        </is>
      </c>
      <c r="B765" s="3" t="inlineStr">
        <is>
          <t>10K Solid Gold Jesus Pendant / Two-Tone Religious Necklace</t>
        </is>
      </c>
      <c r="C765" s="3" t="n">
        <v>1767404547</v>
      </c>
      <c r="D765" s="3" t="inlineStr">
        <is>
          <t>PRJ1-3-18</t>
        </is>
      </c>
      <c r="E765" s="3" t="inlineStr">
        <is>
          <t>description</t>
        </is>
      </c>
      <c r="F765" s="14" t="n">
        <v>1968</v>
      </c>
      <c r="G765" s="17" t="n">
        <v>11.06</v>
      </c>
      <c r="H765" s="14">
        <f>IF(G765="","",G765*Ayarlar!$B$3+Ayarlar!$B$4+Ayarlar!$B$5)</f>
        <v/>
      </c>
      <c r="I765" s="14">
        <f>IF(G765="","",ROUNDUP(((G765*Ayarlar!$B$3+Ayarlar!$B$4+Ayarlar!$B$5)+Ayarlar!$B$8)/((1-Ayarlar!$B$6)*(1-Ayarlar!$B$7)),0))</f>
        <v/>
      </c>
      <c r="J765" s="14">
        <f>IF(G765="","",ROUNDUP(((G765*Ayarlar!$B$3+Ayarlar!$B$4+Ayarlar!$B$5)+Ayarlar!$B$8)/((1-Ayarlar!$B$6)*(1-Ayarlar!$B$7-Ayarlar!$B$9)),0))</f>
        <v/>
      </c>
      <c r="K765" s="15">
        <f>IF(OR(G765="",F765=""),"",(F765*(1-Ayarlar!$B$6)-(F765*(1-Ayarlar!$B$6)*Ayarlar!$B$7+Ayarlar!$B$8)-(G765*Ayarlar!$B$3+Ayarlar!$B$4+Ayarlar!$B$5))/(F765*(1-Ayarlar!$B$6)))</f>
        <v/>
      </c>
      <c r="L765" s="3">
        <f>IF(G765="","GRAM EKSİK",IF(F765&gt;30000,"FİYAT ŞÜPHELİ",IF(K765&lt;0,"ZARARDA",IF(F765&lt;I765,"RİSKLİ","ok"))))</f>
        <v/>
      </c>
      <c r="M765" s="16" t="inlineStr">
        <is>
          <t>https://www.etsy.com/listing/1767404547</t>
        </is>
      </c>
    </row>
    <row r="766">
      <c r="A766" s="9" t="inlineStr">
        <is>
          <t>faith</t>
        </is>
      </c>
      <c r="B766" s="9" t="inlineStr">
        <is>
          <t>10K Solid Gold Jesus Pendant / Two-Tone Religious Necklace</t>
        </is>
      </c>
      <c r="C766" s="9" t="n">
        <v>1767404547</v>
      </c>
      <c r="D766" s="9" t="inlineStr">
        <is>
          <t>PRJ1-3-20</t>
        </is>
      </c>
      <c r="E766" s="9" t="inlineStr">
        <is>
          <t>description</t>
        </is>
      </c>
      <c r="F766" s="10" t="n">
        <v>2060</v>
      </c>
      <c r="G766" s="18" t="n">
        <v>11.58</v>
      </c>
      <c r="H766" s="10">
        <f>IF(G766="","",G766*Ayarlar!$B$3+Ayarlar!$B$4+Ayarlar!$B$5)</f>
        <v/>
      </c>
      <c r="I766" s="10">
        <f>IF(G766="","",ROUNDUP(((G766*Ayarlar!$B$3+Ayarlar!$B$4+Ayarlar!$B$5)+Ayarlar!$B$8)/((1-Ayarlar!$B$6)*(1-Ayarlar!$B$7)),0))</f>
        <v/>
      </c>
      <c r="J766" s="10">
        <f>IF(G766="","",ROUNDUP(((G766*Ayarlar!$B$3+Ayarlar!$B$4+Ayarlar!$B$5)+Ayarlar!$B$8)/((1-Ayarlar!$B$6)*(1-Ayarlar!$B$7-Ayarlar!$B$9)),0))</f>
        <v/>
      </c>
      <c r="K766" s="12">
        <f>IF(OR(G766="",F766=""),"",(F766*(1-Ayarlar!$B$6)-(F766*(1-Ayarlar!$B$6)*Ayarlar!$B$7+Ayarlar!$B$8)-(G766*Ayarlar!$B$3+Ayarlar!$B$4+Ayarlar!$B$5))/(F766*(1-Ayarlar!$B$6)))</f>
        <v/>
      </c>
      <c r="L766" s="9">
        <f>IF(G766="","GRAM EKSİK",IF(F766&gt;30000,"FİYAT ŞÜPHELİ",IF(K766&lt;0,"ZARARDA",IF(F766&lt;I766,"RİSKLİ","ok"))))</f>
        <v/>
      </c>
      <c r="M766" s="13" t="inlineStr">
        <is>
          <t>https://www.etsy.com/listing/1767404547</t>
        </is>
      </c>
    </row>
    <row r="767">
      <c r="A767" s="3" t="inlineStr">
        <is>
          <t>faith</t>
        </is>
      </c>
      <c r="B767" s="3" t="inlineStr">
        <is>
          <t>10K Solid Gold Jesus Pendant / Two-Tone Religious Necklace</t>
        </is>
      </c>
      <c r="C767" s="3" t="n">
        <v>1767404547</v>
      </c>
      <c r="D767" s="3" t="inlineStr">
        <is>
          <t>PRJ1-3-22</t>
        </is>
      </c>
      <c r="E767" s="3" t="inlineStr">
        <is>
          <t>description</t>
        </is>
      </c>
      <c r="F767" s="14" t="n">
        <v>2152</v>
      </c>
      <c r="G767" s="17" t="n">
        <v>12.1</v>
      </c>
      <c r="H767" s="14">
        <f>IF(G767="","",G767*Ayarlar!$B$3+Ayarlar!$B$4+Ayarlar!$B$5)</f>
        <v/>
      </c>
      <c r="I767" s="14">
        <f>IF(G767="","",ROUNDUP(((G767*Ayarlar!$B$3+Ayarlar!$B$4+Ayarlar!$B$5)+Ayarlar!$B$8)/((1-Ayarlar!$B$6)*(1-Ayarlar!$B$7)),0))</f>
        <v/>
      </c>
      <c r="J767" s="14">
        <f>IF(G767="","",ROUNDUP(((G767*Ayarlar!$B$3+Ayarlar!$B$4+Ayarlar!$B$5)+Ayarlar!$B$8)/((1-Ayarlar!$B$6)*(1-Ayarlar!$B$7-Ayarlar!$B$9)),0))</f>
        <v/>
      </c>
      <c r="K767" s="15">
        <f>IF(OR(G767="",F767=""),"",(F767*(1-Ayarlar!$B$6)-(F767*(1-Ayarlar!$B$6)*Ayarlar!$B$7+Ayarlar!$B$8)-(G767*Ayarlar!$B$3+Ayarlar!$B$4+Ayarlar!$B$5))/(F767*(1-Ayarlar!$B$6)))</f>
        <v/>
      </c>
      <c r="L767" s="3">
        <f>IF(G767="","GRAM EKSİK",IF(F767&gt;30000,"FİYAT ŞÜPHELİ",IF(K767&lt;0,"ZARARDA",IF(F767&lt;I767,"RİSKLİ","ok"))))</f>
        <v/>
      </c>
      <c r="M767" s="16" t="inlineStr">
        <is>
          <t>https://www.etsy.com/listing/1767404547</t>
        </is>
      </c>
    </row>
    <row r="768">
      <c r="A768" s="9" t="inlineStr">
        <is>
          <t>faith</t>
        </is>
      </c>
      <c r="B768" s="9" t="inlineStr">
        <is>
          <t>10K Solid Gold Jesus Pendant / Two-Tone Religious Necklace</t>
        </is>
      </c>
      <c r="C768" s="9" t="n">
        <v>1767404547</v>
      </c>
      <c r="D768" s="9" t="inlineStr">
        <is>
          <t>PRJ1-3-24</t>
        </is>
      </c>
      <c r="E768" s="9" t="inlineStr">
        <is>
          <t>description</t>
        </is>
      </c>
      <c r="F768" s="10" t="n">
        <v>2242</v>
      </c>
      <c r="G768" s="18" t="n">
        <v>12.61</v>
      </c>
      <c r="H768" s="10">
        <f>IF(G768="","",G768*Ayarlar!$B$3+Ayarlar!$B$4+Ayarlar!$B$5)</f>
        <v/>
      </c>
      <c r="I768" s="10">
        <f>IF(G768="","",ROUNDUP(((G768*Ayarlar!$B$3+Ayarlar!$B$4+Ayarlar!$B$5)+Ayarlar!$B$8)/((1-Ayarlar!$B$6)*(1-Ayarlar!$B$7)),0))</f>
        <v/>
      </c>
      <c r="J768" s="10">
        <f>IF(G768="","",ROUNDUP(((G768*Ayarlar!$B$3+Ayarlar!$B$4+Ayarlar!$B$5)+Ayarlar!$B$8)/((1-Ayarlar!$B$6)*(1-Ayarlar!$B$7-Ayarlar!$B$9)),0))</f>
        <v/>
      </c>
      <c r="K768" s="12">
        <f>IF(OR(G768="",F768=""),"",(F768*(1-Ayarlar!$B$6)-(F768*(1-Ayarlar!$B$6)*Ayarlar!$B$7+Ayarlar!$B$8)-(G768*Ayarlar!$B$3+Ayarlar!$B$4+Ayarlar!$B$5))/(F768*(1-Ayarlar!$B$6)))</f>
        <v/>
      </c>
      <c r="L768" s="9">
        <f>IF(G768="","GRAM EKSİK",IF(F768&gt;30000,"FİYAT ŞÜPHELİ",IF(K768&lt;0,"ZARARDA",IF(F768&lt;I768,"RİSKLİ","ok"))))</f>
        <v/>
      </c>
      <c r="M768" s="13" t="inlineStr">
        <is>
          <t>https://www.etsy.com/listing/1767404547</t>
        </is>
      </c>
    </row>
    <row r="769">
      <c r="A769" s="3" t="inlineStr">
        <is>
          <t>faith</t>
        </is>
      </c>
      <c r="B769" s="3" t="inlineStr">
        <is>
          <t>10K Solid Gold Jesus Pendant / Two-Tone Religious Necklace</t>
        </is>
      </c>
      <c r="C769" s="3" t="n">
        <v>1767404547</v>
      </c>
      <c r="D769" s="3" t="inlineStr">
        <is>
          <t>PRJ1-38-16</t>
        </is>
      </c>
      <c r="E769" s="3" t="inlineStr">
        <is>
          <t>description</t>
        </is>
      </c>
      <c r="F769" s="14" t="n">
        <v>2126</v>
      </c>
      <c r="G769" s="17" t="n">
        <v>11.95</v>
      </c>
      <c r="H769" s="14">
        <f>IF(G769="","",G769*Ayarlar!$B$3+Ayarlar!$B$4+Ayarlar!$B$5)</f>
        <v/>
      </c>
      <c r="I769" s="14">
        <f>IF(G769="","",ROUNDUP(((G769*Ayarlar!$B$3+Ayarlar!$B$4+Ayarlar!$B$5)+Ayarlar!$B$8)/((1-Ayarlar!$B$6)*(1-Ayarlar!$B$7)),0))</f>
        <v/>
      </c>
      <c r="J769" s="14">
        <f>IF(G769="","",ROUNDUP(((G769*Ayarlar!$B$3+Ayarlar!$B$4+Ayarlar!$B$5)+Ayarlar!$B$8)/((1-Ayarlar!$B$6)*(1-Ayarlar!$B$7-Ayarlar!$B$9)),0))</f>
        <v/>
      </c>
      <c r="K769" s="15">
        <f>IF(OR(G769="",F769=""),"",(F769*(1-Ayarlar!$B$6)-(F769*(1-Ayarlar!$B$6)*Ayarlar!$B$7+Ayarlar!$B$8)-(G769*Ayarlar!$B$3+Ayarlar!$B$4+Ayarlar!$B$5))/(F769*(1-Ayarlar!$B$6)))</f>
        <v/>
      </c>
      <c r="L769" s="3">
        <f>IF(G769="","GRAM EKSİK",IF(F769&gt;30000,"FİYAT ŞÜPHELİ",IF(K769&lt;0,"ZARARDA",IF(F769&lt;I769,"RİSKLİ","ok"))))</f>
        <v/>
      </c>
      <c r="M769" s="16" t="inlineStr">
        <is>
          <t>https://www.etsy.com/listing/1767404547</t>
        </is>
      </c>
    </row>
    <row r="770">
      <c r="A770" s="9" t="inlineStr">
        <is>
          <t>faith</t>
        </is>
      </c>
      <c r="B770" s="9" t="inlineStr">
        <is>
          <t>10K Solid Gold Jesus Pendant / Two-Tone Religious Necklace</t>
        </is>
      </c>
      <c r="C770" s="9" t="n">
        <v>1767404547</v>
      </c>
      <c r="D770" s="9" t="inlineStr">
        <is>
          <t>PRJ1-38-18</t>
        </is>
      </c>
      <c r="E770" s="9" t="inlineStr">
        <is>
          <t>description</t>
        </is>
      </c>
      <c r="F770" s="10" t="n">
        <v>2248</v>
      </c>
      <c r="G770" s="18" t="n">
        <v>12.64</v>
      </c>
      <c r="H770" s="10">
        <f>IF(G770="","",G770*Ayarlar!$B$3+Ayarlar!$B$4+Ayarlar!$B$5)</f>
        <v/>
      </c>
      <c r="I770" s="10">
        <f>IF(G770="","",ROUNDUP(((G770*Ayarlar!$B$3+Ayarlar!$B$4+Ayarlar!$B$5)+Ayarlar!$B$8)/((1-Ayarlar!$B$6)*(1-Ayarlar!$B$7)),0))</f>
        <v/>
      </c>
      <c r="J770" s="10">
        <f>IF(G770="","",ROUNDUP(((G770*Ayarlar!$B$3+Ayarlar!$B$4+Ayarlar!$B$5)+Ayarlar!$B$8)/((1-Ayarlar!$B$6)*(1-Ayarlar!$B$7-Ayarlar!$B$9)),0))</f>
        <v/>
      </c>
      <c r="K770" s="12">
        <f>IF(OR(G770="",F770=""),"",(F770*(1-Ayarlar!$B$6)-(F770*(1-Ayarlar!$B$6)*Ayarlar!$B$7+Ayarlar!$B$8)-(G770*Ayarlar!$B$3+Ayarlar!$B$4+Ayarlar!$B$5))/(F770*(1-Ayarlar!$B$6)))</f>
        <v/>
      </c>
      <c r="L770" s="9">
        <f>IF(G770="","GRAM EKSİK",IF(F770&gt;30000,"FİYAT ŞÜPHELİ",IF(K770&lt;0,"ZARARDA",IF(F770&lt;I770,"RİSKLİ","ok"))))</f>
        <v/>
      </c>
      <c r="M770" s="13" t="inlineStr">
        <is>
          <t>https://www.etsy.com/listing/1767404547</t>
        </is>
      </c>
    </row>
    <row r="771">
      <c r="A771" s="3" t="inlineStr">
        <is>
          <t>faith</t>
        </is>
      </c>
      <c r="B771" s="3" t="inlineStr">
        <is>
          <t>10K Solid Gold Jesus Pendant / Two-Tone Religious Necklace</t>
        </is>
      </c>
      <c r="C771" s="3" t="n">
        <v>1767404547</v>
      </c>
      <c r="D771" s="3" t="inlineStr">
        <is>
          <t>PRJ1-38-20</t>
        </is>
      </c>
      <c r="E771" s="3" t="inlineStr">
        <is>
          <t>description</t>
        </is>
      </c>
      <c r="F771" s="14" t="n">
        <v>2370</v>
      </c>
      <c r="G771" s="17" t="n">
        <v>13.33</v>
      </c>
      <c r="H771" s="14">
        <f>IF(G771="","",G771*Ayarlar!$B$3+Ayarlar!$B$4+Ayarlar!$B$5)</f>
        <v/>
      </c>
      <c r="I771" s="14">
        <f>IF(G771="","",ROUNDUP(((G771*Ayarlar!$B$3+Ayarlar!$B$4+Ayarlar!$B$5)+Ayarlar!$B$8)/((1-Ayarlar!$B$6)*(1-Ayarlar!$B$7)),0))</f>
        <v/>
      </c>
      <c r="J771" s="14">
        <f>IF(G771="","",ROUNDUP(((G771*Ayarlar!$B$3+Ayarlar!$B$4+Ayarlar!$B$5)+Ayarlar!$B$8)/((1-Ayarlar!$B$6)*(1-Ayarlar!$B$7-Ayarlar!$B$9)),0))</f>
        <v/>
      </c>
      <c r="K771" s="15">
        <f>IF(OR(G771="",F771=""),"",(F771*(1-Ayarlar!$B$6)-(F771*(1-Ayarlar!$B$6)*Ayarlar!$B$7+Ayarlar!$B$8)-(G771*Ayarlar!$B$3+Ayarlar!$B$4+Ayarlar!$B$5))/(F771*(1-Ayarlar!$B$6)))</f>
        <v/>
      </c>
      <c r="L771" s="3">
        <f>IF(G771="","GRAM EKSİK",IF(F771&gt;30000,"FİYAT ŞÜPHELİ",IF(K771&lt;0,"ZARARDA",IF(F771&lt;I771,"RİSKLİ","ok"))))</f>
        <v/>
      </c>
      <c r="M771" s="16" t="inlineStr">
        <is>
          <t>https://www.etsy.com/listing/1767404547</t>
        </is>
      </c>
    </row>
    <row r="772">
      <c r="A772" s="9" t="inlineStr">
        <is>
          <t>faith</t>
        </is>
      </c>
      <c r="B772" s="9" t="inlineStr">
        <is>
          <t>10K Solid Gold Jesus Pendant / Two-Tone Religious Necklace</t>
        </is>
      </c>
      <c r="C772" s="9" t="n">
        <v>1767404547</v>
      </c>
      <c r="D772" s="9" t="inlineStr">
        <is>
          <t>PRJ1-38-22</t>
        </is>
      </c>
      <c r="E772" s="9" t="inlineStr">
        <is>
          <t>description</t>
        </is>
      </c>
      <c r="F772" s="10" t="n">
        <v>2492</v>
      </c>
      <c r="G772" s="18" t="n">
        <v>14.02</v>
      </c>
      <c r="H772" s="10">
        <f>IF(G772="","",G772*Ayarlar!$B$3+Ayarlar!$B$4+Ayarlar!$B$5)</f>
        <v/>
      </c>
      <c r="I772" s="10">
        <f>IF(G772="","",ROUNDUP(((G772*Ayarlar!$B$3+Ayarlar!$B$4+Ayarlar!$B$5)+Ayarlar!$B$8)/((1-Ayarlar!$B$6)*(1-Ayarlar!$B$7)),0))</f>
        <v/>
      </c>
      <c r="J772" s="10">
        <f>IF(G772="","",ROUNDUP(((G772*Ayarlar!$B$3+Ayarlar!$B$4+Ayarlar!$B$5)+Ayarlar!$B$8)/((1-Ayarlar!$B$6)*(1-Ayarlar!$B$7-Ayarlar!$B$9)),0))</f>
        <v/>
      </c>
      <c r="K772" s="12">
        <f>IF(OR(G772="",F772=""),"",(F772*(1-Ayarlar!$B$6)-(F772*(1-Ayarlar!$B$6)*Ayarlar!$B$7+Ayarlar!$B$8)-(G772*Ayarlar!$B$3+Ayarlar!$B$4+Ayarlar!$B$5))/(F772*(1-Ayarlar!$B$6)))</f>
        <v/>
      </c>
      <c r="L772" s="9">
        <f>IF(G772="","GRAM EKSİK",IF(F772&gt;30000,"FİYAT ŞÜPHELİ",IF(K772&lt;0,"ZARARDA",IF(F772&lt;I772,"RİSKLİ","ok"))))</f>
        <v/>
      </c>
      <c r="M772" s="13" t="inlineStr">
        <is>
          <t>https://www.etsy.com/listing/1767404547</t>
        </is>
      </c>
    </row>
    <row r="773">
      <c r="A773" s="3" t="inlineStr">
        <is>
          <t>faith</t>
        </is>
      </c>
      <c r="B773" s="3" t="inlineStr">
        <is>
          <t>10K Solid Gold Jesus Pendant / Two-Tone Religious Necklace</t>
        </is>
      </c>
      <c r="C773" s="3" t="n">
        <v>1767404547</v>
      </c>
      <c r="D773" s="3" t="inlineStr">
        <is>
          <t>PRJ1-38-24</t>
        </is>
      </c>
      <c r="E773" s="3" t="inlineStr">
        <is>
          <t>description</t>
        </is>
      </c>
      <c r="F773" s="14" t="n">
        <v>2614</v>
      </c>
      <c r="G773" s="17" t="n">
        <v>14.71</v>
      </c>
      <c r="H773" s="14">
        <f>IF(G773="","",G773*Ayarlar!$B$3+Ayarlar!$B$4+Ayarlar!$B$5)</f>
        <v/>
      </c>
      <c r="I773" s="14">
        <f>IF(G773="","",ROUNDUP(((G773*Ayarlar!$B$3+Ayarlar!$B$4+Ayarlar!$B$5)+Ayarlar!$B$8)/((1-Ayarlar!$B$6)*(1-Ayarlar!$B$7)),0))</f>
        <v/>
      </c>
      <c r="J773" s="14">
        <f>IF(G773="","",ROUNDUP(((G773*Ayarlar!$B$3+Ayarlar!$B$4+Ayarlar!$B$5)+Ayarlar!$B$8)/((1-Ayarlar!$B$6)*(1-Ayarlar!$B$7-Ayarlar!$B$9)),0))</f>
        <v/>
      </c>
      <c r="K773" s="15">
        <f>IF(OR(G773="",F773=""),"",(F773*(1-Ayarlar!$B$6)-(F773*(1-Ayarlar!$B$6)*Ayarlar!$B$7+Ayarlar!$B$8)-(G773*Ayarlar!$B$3+Ayarlar!$B$4+Ayarlar!$B$5))/(F773*(1-Ayarlar!$B$6)))</f>
        <v/>
      </c>
      <c r="L773" s="3">
        <f>IF(G773="","GRAM EKSİK",IF(F773&gt;30000,"FİYAT ŞÜPHELİ",IF(K773&lt;0,"ZARARDA",IF(F773&lt;I773,"RİSKLİ","ok"))))</f>
        <v/>
      </c>
      <c r="M773" s="16" t="inlineStr">
        <is>
          <t>https://www.etsy.com/listing/1767404547</t>
        </is>
      </c>
    </row>
    <row r="774">
      <c r="A774" s="9" t="inlineStr">
        <is>
          <t>faith</t>
        </is>
      </c>
      <c r="B774" s="9" t="inlineStr">
        <is>
          <t>10K Solid Gold Jesus Pendant / Two-Tone Religious Necklace</t>
        </is>
      </c>
      <c r="C774" s="9" t="n">
        <v>1767404547</v>
      </c>
      <c r="D774" s="9" t="inlineStr">
        <is>
          <t>PRJ1-45</t>
        </is>
      </c>
      <c r="E774" s="9" t="inlineStr">
        <is>
          <t>description</t>
        </is>
      </c>
      <c r="F774" s="10" t="n">
        <v>1147</v>
      </c>
      <c r="G774" s="18" t="n">
        <v>6.42</v>
      </c>
      <c r="H774" s="10">
        <f>IF(G774="","",G774*Ayarlar!$B$3+Ayarlar!$B$4+Ayarlar!$B$5)</f>
        <v/>
      </c>
      <c r="I774" s="10">
        <f>IF(G774="","",ROUNDUP(((G774*Ayarlar!$B$3+Ayarlar!$B$4+Ayarlar!$B$5)+Ayarlar!$B$8)/((1-Ayarlar!$B$6)*(1-Ayarlar!$B$7)),0))</f>
        <v/>
      </c>
      <c r="J774" s="10">
        <f>IF(G774="","",ROUNDUP(((G774*Ayarlar!$B$3+Ayarlar!$B$4+Ayarlar!$B$5)+Ayarlar!$B$8)/((1-Ayarlar!$B$6)*(1-Ayarlar!$B$7-Ayarlar!$B$9)),0))</f>
        <v/>
      </c>
      <c r="K774" s="12">
        <f>IF(OR(G774="",F774=""),"",(F774*(1-Ayarlar!$B$6)-(F774*(1-Ayarlar!$B$6)*Ayarlar!$B$7+Ayarlar!$B$8)-(G774*Ayarlar!$B$3+Ayarlar!$B$4+Ayarlar!$B$5))/(F774*(1-Ayarlar!$B$6)))</f>
        <v/>
      </c>
      <c r="L774" s="9">
        <f>IF(G774="","GRAM EKSİK",IF(F774&gt;30000,"FİYAT ŞÜPHELİ",IF(K774&lt;0,"ZARARDA",IF(F774&lt;I774,"RİSKLİ","ok"))))</f>
        <v/>
      </c>
      <c r="M774" s="13" t="inlineStr">
        <is>
          <t>https://www.etsy.com/listing/1767404547</t>
        </is>
      </c>
    </row>
    <row r="775">
      <c r="A775" s="3" t="inlineStr">
        <is>
          <t>faith</t>
        </is>
      </c>
      <c r="B775" s="3" t="inlineStr">
        <is>
          <t>10K Solid Gold Jesus Pendant / Two-Tone Religious Necklace</t>
        </is>
      </c>
      <c r="C775" s="3" t="n">
        <v>1767404547</v>
      </c>
      <c r="D775" s="3" t="inlineStr">
        <is>
          <t>PRJ1-60</t>
        </is>
      </c>
      <c r="E775" s="3" t="inlineStr">
        <is>
          <t>description</t>
        </is>
      </c>
      <c r="F775" s="14" t="n">
        <v>2172</v>
      </c>
      <c r="G775" s="17" t="n">
        <v>12.21</v>
      </c>
      <c r="H775" s="14">
        <f>IF(G775="","",G775*Ayarlar!$B$3+Ayarlar!$B$4+Ayarlar!$B$5)</f>
        <v/>
      </c>
      <c r="I775" s="14">
        <f>IF(G775="","",ROUNDUP(((G775*Ayarlar!$B$3+Ayarlar!$B$4+Ayarlar!$B$5)+Ayarlar!$B$8)/((1-Ayarlar!$B$6)*(1-Ayarlar!$B$7)),0))</f>
        <v/>
      </c>
      <c r="J775" s="14">
        <f>IF(G775="","",ROUNDUP(((G775*Ayarlar!$B$3+Ayarlar!$B$4+Ayarlar!$B$5)+Ayarlar!$B$8)/((1-Ayarlar!$B$6)*(1-Ayarlar!$B$7-Ayarlar!$B$9)),0))</f>
        <v/>
      </c>
      <c r="K775" s="15">
        <f>IF(OR(G775="",F775=""),"",(F775*(1-Ayarlar!$B$6)-(F775*(1-Ayarlar!$B$6)*Ayarlar!$B$7+Ayarlar!$B$8)-(G775*Ayarlar!$B$3+Ayarlar!$B$4+Ayarlar!$B$5))/(F775*(1-Ayarlar!$B$6)))</f>
        <v/>
      </c>
      <c r="L775" s="3">
        <f>IF(G775="","GRAM EKSİK",IF(F775&gt;30000,"FİYAT ŞÜPHELİ",IF(K775&lt;0,"ZARARDA",IF(F775&lt;I775,"RİSKLİ","ok"))))</f>
        <v/>
      </c>
      <c r="M775" s="16" t="inlineStr">
        <is>
          <t>https://www.etsy.com/listing/1767404547</t>
        </is>
      </c>
    </row>
    <row r="776">
      <c r="A776" s="9" t="inlineStr">
        <is>
          <t>faith</t>
        </is>
      </c>
      <c r="B776" s="9" t="inlineStr">
        <is>
          <t>10K Solid Gold Jesus Pendant / Two-Tone Religious Necklace</t>
        </is>
      </c>
      <c r="C776" s="9" t="n">
        <v>1767404547</v>
      </c>
      <c r="D776" s="9" t="inlineStr">
        <is>
          <t>PRJ2-3-18</t>
        </is>
      </c>
      <c r="E776" s="9" t="inlineStr">
        <is>
          <t>description</t>
        </is>
      </c>
      <c r="F776" s="10" t="n">
        <v>2992</v>
      </c>
      <c r="G776" s="18" t="n">
        <v>16.85</v>
      </c>
      <c r="H776" s="10">
        <f>IF(G776="","",G776*Ayarlar!$B$3+Ayarlar!$B$4+Ayarlar!$B$5)</f>
        <v/>
      </c>
      <c r="I776" s="10">
        <f>IF(G776="","",ROUNDUP(((G776*Ayarlar!$B$3+Ayarlar!$B$4+Ayarlar!$B$5)+Ayarlar!$B$8)/((1-Ayarlar!$B$6)*(1-Ayarlar!$B$7)),0))</f>
        <v/>
      </c>
      <c r="J776" s="10">
        <f>IF(G776="","",ROUNDUP(((G776*Ayarlar!$B$3+Ayarlar!$B$4+Ayarlar!$B$5)+Ayarlar!$B$8)/((1-Ayarlar!$B$6)*(1-Ayarlar!$B$7-Ayarlar!$B$9)),0))</f>
        <v/>
      </c>
      <c r="K776" s="12">
        <f>IF(OR(G776="",F776=""),"",(F776*(1-Ayarlar!$B$6)-(F776*(1-Ayarlar!$B$6)*Ayarlar!$B$7+Ayarlar!$B$8)-(G776*Ayarlar!$B$3+Ayarlar!$B$4+Ayarlar!$B$5))/(F776*(1-Ayarlar!$B$6)))</f>
        <v/>
      </c>
      <c r="L776" s="9">
        <f>IF(G776="","GRAM EKSİK",IF(F776&gt;30000,"FİYAT ŞÜPHELİ",IF(K776&lt;0,"ZARARDA",IF(F776&lt;I776,"RİSKLİ","ok"))))</f>
        <v/>
      </c>
      <c r="M776" s="13" t="inlineStr">
        <is>
          <t>https://www.etsy.com/listing/1767404547</t>
        </is>
      </c>
    </row>
    <row r="777">
      <c r="A777" s="3" t="inlineStr">
        <is>
          <t>faith</t>
        </is>
      </c>
      <c r="B777" s="3" t="inlineStr">
        <is>
          <t>10K Solid Gold Jesus Pendant / Two-Tone Religious Necklace</t>
        </is>
      </c>
      <c r="C777" s="3" t="n">
        <v>1767404547</v>
      </c>
      <c r="D777" s="3" t="inlineStr">
        <is>
          <t>PRJ2-3-20</t>
        </is>
      </c>
      <c r="E777" s="3" t="inlineStr">
        <is>
          <t>description</t>
        </is>
      </c>
      <c r="F777" s="14" t="n">
        <v>3084</v>
      </c>
      <c r="G777" s="17" t="n">
        <v>17.37</v>
      </c>
      <c r="H777" s="14">
        <f>IF(G777="","",G777*Ayarlar!$B$3+Ayarlar!$B$4+Ayarlar!$B$5)</f>
        <v/>
      </c>
      <c r="I777" s="14">
        <f>IF(G777="","",ROUNDUP(((G777*Ayarlar!$B$3+Ayarlar!$B$4+Ayarlar!$B$5)+Ayarlar!$B$8)/((1-Ayarlar!$B$6)*(1-Ayarlar!$B$7)),0))</f>
        <v/>
      </c>
      <c r="J777" s="14">
        <f>IF(G777="","",ROUNDUP(((G777*Ayarlar!$B$3+Ayarlar!$B$4+Ayarlar!$B$5)+Ayarlar!$B$8)/((1-Ayarlar!$B$6)*(1-Ayarlar!$B$7-Ayarlar!$B$9)),0))</f>
        <v/>
      </c>
      <c r="K777" s="15">
        <f>IF(OR(G777="",F777=""),"",(F777*(1-Ayarlar!$B$6)-(F777*(1-Ayarlar!$B$6)*Ayarlar!$B$7+Ayarlar!$B$8)-(G777*Ayarlar!$B$3+Ayarlar!$B$4+Ayarlar!$B$5))/(F777*(1-Ayarlar!$B$6)))</f>
        <v/>
      </c>
      <c r="L777" s="3">
        <f>IF(G777="","GRAM EKSİK",IF(F777&gt;30000,"FİYAT ŞÜPHELİ",IF(K777&lt;0,"ZARARDA",IF(F777&lt;I777,"RİSKLİ","ok"))))</f>
        <v/>
      </c>
      <c r="M777" s="16" t="inlineStr">
        <is>
          <t>https://www.etsy.com/listing/1767404547</t>
        </is>
      </c>
    </row>
    <row r="778">
      <c r="A778" s="9" t="inlineStr">
        <is>
          <t>faith</t>
        </is>
      </c>
      <c r="B778" s="9" t="inlineStr">
        <is>
          <t>10K Solid Gold Jesus Pendant / Two-Tone Religious Necklace</t>
        </is>
      </c>
      <c r="C778" s="9" t="n">
        <v>1767404547</v>
      </c>
      <c r="D778" s="9" t="inlineStr">
        <is>
          <t>PRJ2-3-22</t>
        </is>
      </c>
      <c r="E778" s="9" t="inlineStr">
        <is>
          <t>description</t>
        </is>
      </c>
      <c r="F778" s="10" t="n">
        <v>3176</v>
      </c>
      <c r="G778" s="18" t="n">
        <v>17.89</v>
      </c>
      <c r="H778" s="10">
        <f>IF(G778="","",G778*Ayarlar!$B$3+Ayarlar!$B$4+Ayarlar!$B$5)</f>
        <v/>
      </c>
      <c r="I778" s="10">
        <f>IF(G778="","",ROUNDUP(((G778*Ayarlar!$B$3+Ayarlar!$B$4+Ayarlar!$B$5)+Ayarlar!$B$8)/((1-Ayarlar!$B$6)*(1-Ayarlar!$B$7)),0))</f>
        <v/>
      </c>
      <c r="J778" s="10">
        <f>IF(G778="","",ROUNDUP(((G778*Ayarlar!$B$3+Ayarlar!$B$4+Ayarlar!$B$5)+Ayarlar!$B$8)/((1-Ayarlar!$B$6)*(1-Ayarlar!$B$7-Ayarlar!$B$9)),0))</f>
        <v/>
      </c>
      <c r="K778" s="12">
        <f>IF(OR(G778="",F778=""),"",(F778*(1-Ayarlar!$B$6)-(F778*(1-Ayarlar!$B$6)*Ayarlar!$B$7+Ayarlar!$B$8)-(G778*Ayarlar!$B$3+Ayarlar!$B$4+Ayarlar!$B$5))/(F778*(1-Ayarlar!$B$6)))</f>
        <v/>
      </c>
      <c r="L778" s="9">
        <f>IF(G778="","GRAM EKSİK",IF(F778&gt;30000,"FİYAT ŞÜPHELİ",IF(K778&lt;0,"ZARARDA",IF(F778&lt;I778,"RİSKLİ","ok"))))</f>
        <v/>
      </c>
      <c r="M778" s="13" t="inlineStr">
        <is>
          <t>https://www.etsy.com/listing/1767404547</t>
        </is>
      </c>
    </row>
    <row r="779">
      <c r="A779" s="3" t="inlineStr">
        <is>
          <t>faith</t>
        </is>
      </c>
      <c r="B779" s="3" t="inlineStr">
        <is>
          <t>10K Solid Gold Jesus Pendant / Two-Tone Religious Necklace</t>
        </is>
      </c>
      <c r="C779" s="3" t="n">
        <v>1767404547</v>
      </c>
      <c r="D779" s="3" t="inlineStr">
        <is>
          <t>PRJ2-3-24</t>
        </is>
      </c>
      <c r="E779" s="3" t="inlineStr">
        <is>
          <t>description</t>
        </is>
      </c>
      <c r="F779" s="14" t="n">
        <v>3266</v>
      </c>
      <c r="G779" s="17" t="n">
        <v>18.4</v>
      </c>
      <c r="H779" s="14">
        <f>IF(G779="","",G779*Ayarlar!$B$3+Ayarlar!$B$4+Ayarlar!$B$5)</f>
        <v/>
      </c>
      <c r="I779" s="14">
        <f>IF(G779="","",ROUNDUP(((G779*Ayarlar!$B$3+Ayarlar!$B$4+Ayarlar!$B$5)+Ayarlar!$B$8)/((1-Ayarlar!$B$6)*(1-Ayarlar!$B$7)),0))</f>
        <v/>
      </c>
      <c r="J779" s="14">
        <f>IF(G779="","",ROUNDUP(((G779*Ayarlar!$B$3+Ayarlar!$B$4+Ayarlar!$B$5)+Ayarlar!$B$8)/((1-Ayarlar!$B$6)*(1-Ayarlar!$B$7-Ayarlar!$B$9)),0))</f>
        <v/>
      </c>
      <c r="K779" s="15">
        <f>IF(OR(G779="",F779=""),"",(F779*(1-Ayarlar!$B$6)-(F779*(1-Ayarlar!$B$6)*Ayarlar!$B$7+Ayarlar!$B$8)-(G779*Ayarlar!$B$3+Ayarlar!$B$4+Ayarlar!$B$5))/(F779*(1-Ayarlar!$B$6)))</f>
        <v/>
      </c>
      <c r="L779" s="3">
        <f>IF(G779="","GRAM EKSİK",IF(F779&gt;30000,"FİYAT ŞÜPHELİ",IF(K779&lt;0,"ZARARDA",IF(F779&lt;I779,"RİSKLİ","ok"))))</f>
        <v/>
      </c>
      <c r="M779" s="16" t="inlineStr">
        <is>
          <t>https://www.etsy.com/listing/1767404547</t>
        </is>
      </c>
    </row>
    <row r="780">
      <c r="A780" s="9" t="inlineStr">
        <is>
          <t>faith</t>
        </is>
      </c>
      <c r="B780" s="9" t="inlineStr">
        <is>
          <t>10K Solid Gold Jesus Pendant / Two-Tone Religious Necklace</t>
        </is>
      </c>
      <c r="C780" s="9" t="n">
        <v>1767404547</v>
      </c>
      <c r="D780" s="9" t="inlineStr">
        <is>
          <t>PRJ2-38-16</t>
        </is>
      </c>
      <c r="E780" s="9" t="inlineStr">
        <is>
          <t>description</t>
        </is>
      </c>
      <c r="F780" s="10" t="n">
        <v>3150</v>
      </c>
      <c r="G780" s="18" t="n">
        <v>17.74</v>
      </c>
      <c r="H780" s="10">
        <f>IF(G780="","",G780*Ayarlar!$B$3+Ayarlar!$B$4+Ayarlar!$B$5)</f>
        <v/>
      </c>
      <c r="I780" s="10">
        <f>IF(G780="","",ROUNDUP(((G780*Ayarlar!$B$3+Ayarlar!$B$4+Ayarlar!$B$5)+Ayarlar!$B$8)/((1-Ayarlar!$B$6)*(1-Ayarlar!$B$7)),0))</f>
        <v/>
      </c>
      <c r="J780" s="10">
        <f>IF(G780="","",ROUNDUP(((G780*Ayarlar!$B$3+Ayarlar!$B$4+Ayarlar!$B$5)+Ayarlar!$B$8)/((1-Ayarlar!$B$6)*(1-Ayarlar!$B$7-Ayarlar!$B$9)),0))</f>
        <v/>
      </c>
      <c r="K780" s="12">
        <f>IF(OR(G780="",F780=""),"",(F780*(1-Ayarlar!$B$6)-(F780*(1-Ayarlar!$B$6)*Ayarlar!$B$7+Ayarlar!$B$8)-(G780*Ayarlar!$B$3+Ayarlar!$B$4+Ayarlar!$B$5))/(F780*(1-Ayarlar!$B$6)))</f>
        <v/>
      </c>
      <c r="L780" s="9">
        <f>IF(G780="","GRAM EKSİK",IF(F780&gt;30000,"FİYAT ŞÜPHELİ",IF(K780&lt;0,"ZARARDA",IF(F780&lt;I780,"RİSKLİ","ok"))))</f>
        <v/>
      </c>
      <c r="M780" s="13" t="inlineStr">
        <is>
          <t>https://www.etsy.com/listing/1767404547</t>
        </is>
      </c>
    </row>
    <row r="781">
      <c r="A781" s="3" t="inlineStr">
        <is>
          <t>faith</t>
        </is>
      </c>
      <c r="B781" s="3" t="inlineStr">
        <is>
          <t>10K Solid Gold Jesus Pendant / Two-Tone Religious Necklace</t>
        </is>
      </c>
      <c r="C781" s="3" t="n">
        <v>1767404547</v>
      </c>
      <c r="D781" s="3" t="inlineStr">
        <is>
          <t>PRJ2-38-18</t>
        </is>
      </c>
      <c r="E781" s="3" t="inlineStr">
        <is>
          <t>description</t>
        </is>
      </c>
      <c r="F781" s="14" t="n">
        <v>3272</v>
      </c>
      <c r="G781" s="17" t="n">
        <v>18.43</v>
      </c>
      <c r="H781" s="14">
        <f>IF(G781="","",G781*Ayarlar!$B$3+Ayarlar!$B$4+Ayarlar!$B$5)</f>
        <v/>
      </c>
      <c r="I781" s="14">
        <f>IF(G781="","",ROUNDUP(((G781*Ayarlar!$B$3+Ayarlar!$B$4+Ayarlar!$B$5)+Ayarlar!$B$8)/((1-Ayarlar!$B$6)*(1-Ayarlar!$B$7)),0))</f>
        <v/>
      </c>
      <c r="J781" s="14">
        <f>IF(G781="","",ROUNDUP(((G781*Ayarlar!$B$3+Ayarlar!$B$4+Ayarlar!$B$5)+Ayarlar!$B$8)/((1-Ayarlar!$B$6)*(1-Ayarlar!$B$7-Ayarlar!$B$9)),0))</f>
        <v/>
      </c>
      <c r="K781" s="15">
        <f>IF(OR(G781="",F781=""),"",(F781*(1-Ayarlar!$B$6)-(F781*(1-Ayarlar!$B$6)*Ayarlar!$B$7+Ayarlar!$B$8)-(G781*Ayarlar!$B$3+Ayarlar!$B$4+Ayarlar!$B$5))/(F781*(1-Ayarlar!$B$6)))</f>
        <v/>
      </c>
      <c r="L781" s="3">
        <f>IF(G781="","GRAM EKSİK",IF(F781&gt;30000,"FİYAT ŞÜPHELİ",IF(K781&lt;0,"ZARARDA",IF(F781&lt;I781,"RİSKLİ","ok"))))</f>
        <v/>
      </c>
      <c r="M781" s="16" t="inlineStr">
        <is>
          <t>https://www.etsy.com/listing/1767404547</t>
        </is>
      </c>
    </row>
    <row r="782">
      <c r="A782" s="9" t="inlineStr">
        <is>
          <t>faith</t>
        </is>
      </c>
      <c r="B782" s="9" t="inlineStr">
        <is>
          <t>10K Solid Gold Jesus Pendant / Two-Tone Religious Necklace</t>
        </is>
      </c>
      <c r="C782" s="9" t="n">
        <v>1767404547</v>
      </c>
      <c r="D782" s="9" t="inlineStr">
        <is>
          <t>PRJ2-38-20</t>
        </is>
      </c>
      <c r="E782" s="9" t="inlineStr">
        <is>
          <t>description</t>
        </is>
      </c>
      <c r="F782" s="10" t="n">
        <v>3394</v>
      </c>
      <c r="G782" s="18" t="n">
        <v>19.12</v>
      </c>
      <c r="H782" s="10">
        <f>IF(G782="","",G782*Ayarlar!$B$3+Ayarlar!$B$4+Ayarlar!$B$5)</f>
        <v/>
      </c>
      <c r="I782" s="10">
        <f>IF(G782="","",ROUNDUP(((G782*Ayarlar!$B$3+Ayarlar!$B$4+Ayarlar!$B$5)+Ayarlar!$B$8)/((1-Ayarlar!$B$6)*(1-Ayarlar!$B$7)),0))</f>
        <v/>
      </c>
      <c r="J782" s="10">
        <f>IF(G782="","",ROUNDUP(((G782*Ayarlar!$B$3+Ayarlar!$B$4+Ayarlar!$B$5)+Ayarlar!$B$8)/((1-Ayarlar!$B$6)*(1-Ayarlar!$B$7-Ayarlar!$B$9)),0))</f>
        <v/>
      </c>
      <c r="K782" s="12">
        <f>IF(OR(G782="",F782=""),"",(F782*(1-Ayarlar!$B$6)-(F782*(1-Ayarlar!$B$6)*Ayarlar!$B$7+Ayarlar!$B$8)-(G782*Ayarlar!$B$3+Ayarlar!$B$4+Ayarlar!$B$5))/(F782*(1-Ayarlar!$B$6)))</f>
        <v/>
      </c>
      <c r="L782" s="9">
        <f>IF(G782="","GRAM EKSİK",IF(F782&gt;30000,"FİYAT ŞÜPHELİ",IF(K782&lt;0,"ZARARDA",IF(F782&lt;I782,"RİSKLİ","ok"))))</f>
        <v/>
      </c>
      <c r="M782" s="13" t="inlineStr">
        <is>
          <t>https://www.etsy.com/listing/1767404547</t>
        </is>
      </c>
    </row>
    <row r="783">
      <c r="A783" s="3" t="inlineStr">
        <is>
          <t>faith</t>
        </is>
      </c>
      <c r="B783" s="3" t="inlineStr">
        <is>
          <t>10K Solid Gold Jesus Pendant / Two-Tone Religious Necklace</t>
        </is>
      </c>
      <c r="C783" s="3" t="n">
        <v>1767404547</v>
      </c>
      <c r="D783" s="3" t="inlineStr">
        <is>
          <t>PRJ2-38-22</t>
        </is>
      </c>
      <c r="E783" s="3" t="inlineStr">
        <is>
          <t>description</t>
        </is>
      </c>
      <c r="F783" s="14" t="n">
        <v>3516</v>
      </c>
      <c r="G783" s="17" t="n">
        <v>19.81</v>
      </c>
      <c r="H783" s="14">
        <f>IF(G783="","",G783*Ayarlar!$B$3+Ayarlar!$B$4+Ayarlar!$B$5)</f>
        <v/>
      </c>
      <c r="I783" s="14">
        <f>IF(G783="","",ROUNDUP(((G783*Ayarlar!$B$3+Ayarlar!$B$4+Ayarlar!$B$5)+Ayarlar!$B$8)/((1-Ayarlar!$B$6)*(1-Ayarlar!$B$7)),0))</f>
        <v/>
      </c>
      <c r="J783" s="14">
        <f>IF(G783="","",ROUNDUP(((G783*Ayarlar!$B$3+Ayarlar!$B$4+Ayarlar!$B$5)+Ayarlar!$B$8)/((1-Ayarlar!$B$6)*(1-Ayarlar!$B$7-Ayarlar!$B$9)),0))</f>
        <v/>
      </c>
      <c r="K783" s="15">
        <f>IF(OR(G783="",F783=""),"",(F783*(1-Ayarlar!$B$6)-(F783*(1-Ayarlar!$B$6)*Ayarlar!$B$7+Ayarlar!$B$8)-(G783*Ayarlar!$B$3+Ayarlar!$B$4+Ayarlar!$B$5))/(F783*(1-Ayarlar!$B$6)))</f>
        <v/>
      </c>
      <c r="L783" s="3">
        <f>IF(G783="","GRAM EKSİK",IF(F783&gt;30000,"FİYAT ŞÜPHELİ",IF(K783&lt;0,"ZARARDA",IF(F783&lt;I783,"RİSKLİ","ok"))))</f>
        <v/>
      </c>
      <c r="M783" s="16" t="inlineStr">
        <is>
          <t>https://www.etsy.com/listing/1767404547</t>
        </is>
      </c>
    </row>
    <row r="784">
      <c r="A784" s="9" t="inlineStr">
        <is>
          <t>faith</t>
        </is>
      </c>
      <c r="B784" s="9" t="inlineStr">
        <is>
          <t>10K Solid Gold Jesus Pendant / Two-Tone Religious Necklace</t>
        </is>
      </c>
      <c r="C784" s="9" t="n">
        <v>1767404547</v>
      </c>
      <c r="D784" s="9" t="inlineStr">
        <is>
          <t>PRJ2-38-24</t>
        </is>
      </c>
      <c r="E784" s="9" t="inlineStr">
        <is>
          <t>description</t>
        </is>
      </c>
      <c r="F784" s="10" t="n">
        <v>3638</v>
      </c>
      <c r="G784" s="18" t="n">
        <v>20.5</v>
      </c>
      <c r="H784" s="10">
        <f>IF(G784="","",G784*Ayarlar!$B$3+Ayarlar!$B$4+Ayarlar!$B$5)</f>
        <v/>
      </c>
      <c r="I784" s="10">
        <f>IF(G784="","",ROUNDUP(((G784*Ayarlar!$B$3+Ayarlar!$B$4+Ayarlar!$B$5)+Ayarlar!$B$8)/((1-Ayarlar!$B$6)*(1-Ayarlar!$B$7)),0))</f>
        <v/>
      </c>
      <c r="J784" s="10">
        <f>IF(G784="","",ROUNDUP(((G784*Ayarlar!$B$3+Ayarlar!$B$4+Ayarlar!$B$5)+Ayarlar!$B$8)/((1-Ayarlar!$B$6)*(1-Ayarlar!$B$7-Ayarlar!$B$9)),0))</f>
        <v/>
      </c>
      <c r="K784" s="12">
        <f>IF(OR(G784="",F784=""),"",(F784*(1-Ayarlar!$B$6)-(F784*(1-Ayarlar!$B$6)*Ayarlar!$B$7+Ayarlar!$B$8)-(G784*Ayarlar!$B$3+Ayarlar!$B$4+Ayarlar!$B$5))/(F784*(1-Ayarlar!$B$6)))</f>
        <v/>
      </c>
      <c r="L784" s="9">
        <f>IF(G784="","GRAM EKSİK",IF(F784&gt;30000,"FİYAT ŞÜPHELİ",IF(K784&lt;0,"ZARARDA",IF(F784&lt;I784,"RİSKLİ","ok"))))</f>
        <v/>
      </c>
      <c r="M784" s="13" t="inlineStr">
        <is>
          <t>https://www.etsy.com/listing/1767404547</t>
        </is>
      </c>
    </row>
    <row r="785">
      <c r="A785" s="3" t="inlineStr">
        <is>
          <t>faith</t>
        </is>
      </c>
      <c r="B785" s="3" t="inlineStr">
        <is>
          <t>10K Solid Gold Jesus Pendant / Two-Tone Religious Necklace</t>
        </is>
      </c>
      <c r="C785" s="3" t="n">
        <v>1767404547</v>
      </c>
      <c r="D785" s="3" t="inlineStr">
        <is>
          <t>PRJ2-60</t>
        </is>
      </c>
      <c r="E785" s="3" t="inlineStr">
        <is>
          <t>description</t>
        </is>
      </c>
      <c r="F785" s="14" t="n">
        <v>2902</v>
      </c>
      <c r="G785" s="17" t="n">
        <v>16.34</v>
      </c>
      <c r="H785" s="14">
        <f>IF(G785="","",G785*Ayarlar!$B$3+Ayarlar!$B$4+Ayarlar!$B$5)</f>
        <v/>
      </c>
      <c r="I785" s="14">
        <f>IF(G785="","",ROUNDUP(((G785*Ayarlar!$B$3+Ayarlar!$B$4+Ayarlar!$B$5)+Ayarlar!$B$8)/((1-Ayarlar!$B$6)*(1-Ayarlar!$B$7)),0))</f>
        <v/>
      </c>
      <c r="J785" s="14">
        <f>IF(G785="","",ROUNDUP(((G785*Ayarlar!$B$3+Ayarlar!$B$4+Ayarlar!$B$5)+Ayarlar!$B$8)/((1-Ayarlar!$B$6)*(1-Ayarlar!$B$7-Ayarlar!$B$9)),0))</f>
        <v/>
      </c>
      <c r="K785" s="15">
        <f>IF(OR(G785="",F785=""),"",(F785*(1-Ayarlar!$B$6)-(F785*(1-Ayarlar!$B$6)*Ayarlar!$B$7+Ayarlar!$B$8)-(G785*Ayarlar!$B$3+Ayarlar!$B$4+Ayarlar!$B$5))/(F785*(1-Ayarlar!$B$6)))</f>
        <v/>
      </c>
      <c r="L785" s="3">
        <f>IF(G785="","GRAM EKSİK",IF(F785&gt;30000,"FİYAT ŞÜPHELİ",IF(K785&lt;0,"ZARARDA",IF(F785&lt;I785,"RİSKLİ","ok"))))</f>
        <v/>
      </c>
      <c r="M785" s="16" t="inlineStr">
        <is>
          <t>https://www.etsy.com/listing/1767404547</t>
        </is>
      </c>
    </row>
    <row r="786">
      <c r="A786" s="9" t="inlineStr">
        <is>
          <t>faith</t>
        </is>
      </c>
      <c r="B786" s="9" t="inlineStr">
        <is>
          <t>10K Solid Gold Last Supper Ring / Diamond Cut Religious Jewe</t>
        </is>
      </c>
      <c r="C786" s="9" t="n">
        <v>1740336135</v>
      </c>
      <c r="D786" s="9" t="inlineStr">
        <is>
          <t>RLS2-10</t>
        </is>
      </c>
      <c r="E786" s="9" t="inlineStr">
        <is>
          <t>description</t>
        </is>
      </c>
      <c r="F786" s="10" t="n">
        <v>1073</v>
      </c>
      <c r="G786" s="18" t="n">
        <v>6</v>
      </c>
      <c r="H786" s="10">
        <f>IF(G786="","",G786*Ayarlar!$B$3+Ayarlar!$B$4+Ayarlar!$B$5)</f>
        <v/>
      </c>
      <c r="I786" s="10">
        <f>IF(G786="","",ROUNDUP(((G786*Ayarlar!$B$3+Ayarlar!$B$4+Ayarlar!$B$5)+Ayarlar!$B$8)/((1-Ayarlar!$B$6)*(1-Ayarlar!$B$7)),0))</f>
        <v/>
      </c>
      <c r="J786" s="10">
        <f>IF(G786="","",ROUNDUP(((G786*Ayarlar!$B$3+Ayarlar!$B$4+Ayarlar!$B$5)+Ayarlar!$B$8)/((1-Ayarlar!$B$6)*(1-Ayarlar!$B$7-Ayarlar!$B$9)),0))</f>
        <v/>
      </c>
      <c r="K786" s="12">
        <f>IF(OR(G786="",F786=""),"",(F786*(1-Ayarlar!$B$6)-(F786*(1-Ayarlar!$B$6)*Ayarlar!$B$7+Ayarlar!$B$8)-(G786*Ayarlar!$B$3+Ayarlar!$B$4+Ayarlar!$B$5))/(F786*(1-Ayarlar!$B$6)))</f>
        <v/>
      </c>
      <c r="L786" s="9">
        <f>IF(G786="","GRAM EKSİK",IF(F786&gt;30000,"FİYAT ŞÜPHELİ",IF(K786&lt;0,"ZARARDA",IF(F786&lt;I786,"RİSKLİ","ok"))))</f>
        <v/>
      </c>
      <c r="M786" s="13" t="inlineStr">
        <is>
          <t>https://www.etsy.com/listing/1740336135</t>
        </is>
      </c>
    </row>
    <row r="787">
      <c r="A787" s="3" t="inlineStr">
        <is>
          <t>faith</t>
        </is>
      </c>
      <c r="B787" s="3" t="inlineStr">
        <is>
          <t>10K Solid Gold Last Supper Ring / Diamond Cut Religious Jewe</t>
        </is>
      </c>
      <c r="C787" s="3" t="n">
        <v>1740336135</v>
      </c>
      <c r="D787" s="3" t="inlineStr">
        <is>
          <t>RLS2-10.5</t>
        </is>
      </c>
      <c r="E787" s="3" t="inlineStr">
        <is>
          <t>description</t>
        </is>
      </c>
      <c r="F787" s="14" t="n">
        <v>1073</v>
      </c>
      <c r="G787" s="17" t="n">
        <v>6</v>
      </c>
      <c r="H787" s="14">
        <f>IF(G787="","",G787*Ayarlar!$B$3+Ayarlar!$B$4+Ayarlar!$B$5)</f>
        <v/>
      </c>
      <c r="I787" s="14">
        <f>IF(G787="","",ROUNDUP(((G787*Ayarlar!$B$3+Ayarlar!$B$4+Ayarlar!$B$5)+Ayarlar!$B$8)/((1-Ayarlar!$B$6)*(1-Ayarlar!$B$7)),0))</f>
        <v/>
      </c>
      <c r="J787" s="14">
        <f>IF(G787="","",ROUNDUP(((G787*Ayarlar!$B$3+Ayarlar!$B$4+Ayarlar!$B$5)+Ayarlar!$B$8)/((1-Ayarlar!$B$6)*(1-Ayarlar!$B$7-Ayarlar!$B$9)),0))</f>
        <v/>
      </c>
      <c r="K787" s="15">
        <f>IF(OR(G787="",F787=""),"",(F787*(1-Ayarlar!$B$6)-(F787*(1-Ayarlar!$B$6)*Ayarlar!$B$7+Ayarlar!$B$8)-(G787*Ayarlar!$B$3+Ayarlar!$B$4+Ayarlar!$B$5))/(F787*(1-Ayarlar!$B$6)))</f>
        <v/>
      </c>
      <c r="L787" s="3">
        <f>IF(G787="","GRAM EKSİK",IF(F787&gt;30000,"FİYAT ŞÜPHELİ",IF(K787&lt;0,"ZARARDA",IF(F787&lt;I787,"RİSKLİ","ok"))))</f>
        <v/>
      </c>
      <c r="M787" s="16" t="inlineStr">
        <is>
          <t>https://www.etsy.com/listing/1740336135</t>
        </is>
      </c>
    </row>
    <row r="788">
      <c r="A788" s="9" t="inlineStr">
        <is>
          <t>faith</t>
        </is>
      </c>
      <c r="B788" s="9" t="inlineStr">
        <is>
          <t>10K Solid Gold Last Supper Ring / Diamond Cut Religious Jewe</t>
        </is>
      </c>
      <c r="C788" s="9" t="n">
        <v>1740336135</v>
      </c>
      <c r="D788" s="9" t="inlineStr">
        <is>
          <t>RLS2-11</t>
        </is>
      </c>
      <c r="E788" s="9" t="inlineStr">
        <is>
          <t>description</t>
        </is>
      </c>
      <c r="F788" s="10" t="n">
        <v>1073</v>
      </c>
      <c r="G788" s="18" t="n">
        <v>6</v>
      </c>
      <c r="H788" s="10">
        <f>IF(G788="","",G788*Ayarlar!$B$3+Ayarlar!$B$4+Ayarlar!$B$5)</f>
        <v/>
      </c>
      <c r="I788" s="10">
        <f>IF(G788="","",ROUNDUP(((G788*Ayarlar!$B$3+Ayarlar!$B$4+Ayarlar!$B$5)+Ayarlar!$B$8)/((1-Ayarlar!$B$6)*(1-Ayarlar!$B$7)),0))</f>
        <v/>
      </c>
      <c r="J788" s="10">
        <f>IF(G788="","",ROUNDUP(((G788*Ayarlar!$B$3+Ayarlar!$B$4+Ayarlar!$B$5)+Ayarlar!$B$8)/((1-Ayarlar!$B$6)*(1-Ayarlar!$B$7-Ayarlar!$B$9)),0))</f>
        <v/>
      </c>
      <c r="K788" s="12">
        <f>IF(OR(G788="",F788=""),"",(F788*(1-Ayarlar!$B$6)-(F788*(1-Ayarlar!$B$6)*Ayarlar!$B$7+Ayarlar!$B$8)-(G788*Ayarlar!$B$3+Ayarlar!$B$4+Ayarlar!$B$5))/(F788*(1-Ayarlar!$B$6)))</f>
        <v/>
      </c>
      <c r="L788" s="9">
        <f>IF(G788="","GRAM EKSİK",IF(F788&gt;30000,"FİYAT ŞÜPHELİ",IF(K788&lt;0,"ZARARDA",IF(F788&lt;I788,"RİSKLİ","ok"))))</f>
        <v/>
      </c>
      <c r="M788" s="13" t="inlineStr">
        <is>
          <t>https://www.etsy.com/listing/1740336135</t>
        </is>
      </c>
    </row>
    <row r="789">
      <c r="A789" s="3" t="inlineStr">
        <is>
          <t>faith</t>
        </is>
      </c>
      <c r="B789" s="3" t="inlineStr">
        <is>
          <t>10K Solid Gold Last Supper Ring / Diamond Cut Religious Jewe</t>
        </is>
      </c>
      <c r="C789" s="3" t="n">
        <v>1740336135</v>
      </c>
      <c r="D789" s="3" t="inlineStr">
        <is>
          <t>RLS2-11.5</t>
        </is>
      </c>
      <c r="E789" s="3" t="inlineStr">
        <is>
          <t>description</t>
        </is>
      </c>
      <c r="F789" s="14" t="n">
        <v>1073</v>
      </c>
      <c r="G789" s="17" t="n">
        <v>6</v>
      </c>
      <c r="H789" s="14">
        <f>IF(G789="","",G789*Ayarlar!$B$3+Ayarlar!$B$4+Ayarlar!$B$5)</f>
        <v/>
      </c>
      <c r="I789" s="14">
        <f>IF(G789="","",ROUNDUP(((G789*Ayarlar!$B$3+Ayarlar!$B$4+Ayarlar!$B$5)+Ayarlar!$B$8)/((1-Ayarlar!$B$6)*(1-Ayarlar!$B$7)),0))</f>
        <v/>
      </c>
      <c r="J789" s="14">
        <f>IF(G789="","",ROUNDUP(((G789*Ayarlar!$B$3+Ayarlar!$B$4+Ayarlar!$B$5)+Ayarlar!$B$8)/((1-Ayarlar!$B$6)*(1-Ayarlar!$B$7-Ayarlar!$B$9)),0))</f>
        <v/>
      </c>
      <c r="K789" s="15">
        <f>IF(OR(G789="",F789=""),"",(F789*(1-Ayarlar!$B$6)-(F789*(1-Ayarlar!$B$6)*Ayarlar!$B$7+Ayarlar!$B$8)-(G789*Ayarlar!$B$3+Ayarlar!$B$4+Ayarlar!$B$5))/(F789*(1-Ayarlar!$B$6)))</f>
        <v/>
      </c>
      <c r="L789" s="3">
        <f>IF(G789="","GRAM EKSİK",IF(F789&gt;30000,"FİYAT ŞÜPHELİ",IF(K789&lt;0,"ZARARDA",IF(F789&lt;I789,"RİSKLİ","ok"))))</f>
        <v/>
      </c>
      <c r="M789" s="16" t="inlineStr">
        <is>
          <t>https://www.etsy.com/listing/1740336135</t>
        </is>
      </c>
    </row>
    <row r="790">
      <c r="A790" s="9" t="inlineStr">
        <is>
          <t>faith</t>
        </is>
      </c>
      <c r="B790" s="9" t="inlineStr">
        <is>
          <t>10K Solid Gold Last Supper Ring / Diamond Cut Religious Jewe</t>
        </is>
      </c>
      <c r="C790" s="9" t="n">
        <v>1740336135</v>
      </c>
      <c r="D790" s="9" t="inlineStr">
        <is>
          <t>RLS2-12</t>
        </is>
      </c>
      <c r="E790" s="9" t="inlineStr">
        <is>
          <t>description</t>
        </is>
      </c>
      <c r="F790" s="10" t="n">
        <v>1073</v>
      </c>
      <c r="G790" s="18" t="n">
        <v>6</v>
      </c>
      <c r="H790" s="10">
        <f>IF(G790="","",G790*Ayarlar!$B$3+Ayarlar!$B$4+Ayarlar!$B$5)</f>
        <v/>
      </c>
      <c r="I790" s="10">
        <f>IF(G790="","",ROUNDUP(((G790*Ayarlar!$B$3+Ayarlar!$B$4+Ayarlar!$B$5)+Ayarlar!$B$8)/((1-Ayarlar!$B$6)*(1-Ayarlar!$B$7)),0))</f>
        <v/>
      </c>
      <c r="J790" s="10">
        <f>IF(G790="","",ROUNDUP(((G790*Ayarlar!$B$3+Ayarlar!$B$4+Ayarlar!$B$5)+Ayarlar!$B$8)/((1-Ayarlar!$B$6)*(1-Ayarlar!$B$7-Ayarlar!$B$9)),0))</f>
        <v/>
      </c>
      <c r="K790" s="12">
        <f>IF(OR(G790="",F790=""),"",(F790*(1-Ayarlar!$B$6)-(F790*(1-Ayarlar!$B$6)*Ayarlar!$B$7+Ayarlar!$B$8)-(G790*Ayarlar!$B$3+Ayarlar!$B$4+Ayarlar!$B$5))/(F790*(1-Ayarlar!$B$6)))</f>
        <v/>
      </c>
      <c r="L790" s="9">
        <f>IF(G790="","GRAM EKSİK",IF(F790&gt;30000,"FİYAT ŞÜPHELİ",IF(K790&lt;0,"ZARARDA",IF(F790&lt;I790,"RİSKLİ","ok"))))</f>
        <v/>
      </c>
      <c r="M790" s="13" t="inlineStr">
        <is>
          <t>https://www.etsy.com/listing/1740336135</t>
        </is>
      </c>
    </row>
    <row r="791">
      <c r="A791" s="3" t="inlineStr">
        <is>
          <t>faith</t>
        </is>
      </c>
      <c r="B791" s="3" t="inlineStr">
        <is>
          <t>10K Solid Gold Last Supper Ring / Diamond Cut Religious Jewe</t>
        </is>
      </c>
      <c r="C791" s="3" t="n">
        <v>1740336135</v>
      </c>
      <c r="D791" s="3" t="inlineStr">
        <is>
          <t>RLS2-12.5</t>
        </is>
      </c>
      <c r="E791" s="3" t="inlineStr">
        <is>
          <t>description</t>
        </is>
      </c>
      <c r="F791" s="14" t="n">
        <v>1073</v>
      </c>
      <c r="G791" s="17" t="n">
        <v>6</v>
      </c>
      <c r="H791" s="14">
        <f>IF(G791="","",G791*Ayarlar!$B$3+Ayarlar!$B$4+Ayarlar!$B$5)</f>
        <v/>
      </c>
      <c r="I791" s="14">
        <f>IF(G791="","",ROUNDUP(((G791*Ayarlar!$B$3+Ayarlar!$B$4+Ayarlar!$B$5)+Ayarlar!$B$8)/((1-Ayarlar!$B$6)*(1-Ayarlar!$B$7)),0))</f>
        <v/>
      </c>
      <c r="J791" s="14">
        <f>IF(G791="","",ROUNDUP(((G791*Ayarlar!$B$3+Ayarlar!$B$4+Ayarlar!$B$5)+Ayarlar!$B$8)/((1-Ayarlar!$B$6)*(1-Ayarlar!$B$7-Ayarlar!$B$9)),0))</f>
        <v/>
      </c>
      <c r="K791" s="15">
        <f>IF(OR(G791="",F791=""),"",(F791*(1-Ayarlar!$B$6)-(F791*(1-Ayarlar!$B$6)*Ayarlar!$B$7+Ayarlar!$B$8)-(G791*Ayarlar!$B$3+Ayarlar!$B$4+Ayarlar!$B$5))/(F791*(1-Ayarlar!$B$6)))</f>
        <v/>
      </c>
      <c r="L791" s="3">
        <f>IF(G791="","GRAM EKSİK",IF(F791&gt;30000,"FİYAT ŞÜPHELİ",IF(K791&lt;0,"ZARARDA",IF(F791&lt;I791,"RİSKLİ","ok"))))</f>
        <v/>
      </c>
      <c r="M791" s="16" t="inlineStr">
        <is>
          <t>https://www.etsy.com/listing/1740336135</t>
        </is>
      </c>
    </row>
    <row r="792">
      <c r="A792" s="9" t="inlineStr">
        <is>
          <t>faith</t>
        </is>
      </c>
      <c r="B792" s="9" t="inlineStr">
        <is>
          <t>10K Solid Gold Last Supper Ring / Diamond Cut Religious Jewe</t>
        </is>
      </c>
      <c r="C792" s="9" t="n">
        <v>1740336135</v>
      </c>
      <c r="D792" s="9" t="inlineStr">
        <is>
          <t>RLS2-7</t>
        </is>
      </c>
      <c r="E792" s="9" t="inlineStr">
        <is>
          <t>description</t>
        </is>
      </c>
      <c r="F792" s="10" t="n">
        <v>1073</v>
      </c>
      <c r="G792" s="18" t="n">
        <v>6</v>
      </c>
      <c r="H792" s="10">
        <f>IF(G792="","",G792*Ayarlar!$B$3+Ayarlar!$B$4+Ayarlar!$B$5)</f>
        <v/>
      </c>
      <c r="I792" s="10">
        <f>IF(G792="","",ROUNDUP(((G792*Ayarlar!$B$3+Ayarlar!$B$4+Ayarlar!$B$5)+Ayarlar!$B$8)/((1-Ayarlar!$B$6)*(1-Ayarlar!$B$7)),0))</f>
        <v/>
      </c>
      <c r="J792" s="10">
        <f>IF(G792="","",ROUNDUP(((G792*Ayarlar!$B$3+Ayarlar!$B$4+Ayarlar!$B$5)+Ayarlar!$B$8)/((1-Ayarlar!$B$6)*(1-Ayarlar!$B$7-Ayarlar!$B$9)),0))</f>
        <v/>
      </c>
      <c r="K792" s="12">
        <f>IF(OR(G792="",F792=""),"",(F792*(1-Ayarlar!$B$6)-(F792*(1-Ayarlar!$B$6)*Ayarlar!$B$7+Ayarlar!$B$8)-(G792*Ayarlar!$B$3+Ayarlar!$B$4+Ayarlar!$B$5))/(F792*(1-Ayarlar!$B$6)))</f>
        <v/>
      </c>
      <c r="L792" s="9">
        <f>IF(G792="","GRAM EKSİK",IF(F792&gt;30000,"FİYAT ŞÜPHELİ",IF(K792&lt;0,"ZARARDA",IF(F792&lt;I792,"RİSKLİ","ok"))))</f>
        <v/>
      </c>
      <c r="M792" s="13" t="inlineStr">
        <is>
          <t>https://www.etsy.com/listing/1740336135</t>
        </is>
      </c>
    </row>
    <row r="793">
      <c r="A793" s="3" t="inlineStr">
        <is>
          <t>faith</t>
        </is>
      </c>
      <c r="B793" s="3" t="inlineStr">
        <is>
          <t>10K Solid Gold Last Supper Ring / Diamond Cut Religious Jewe</t>
        </is>
      </c>
      <c r="C793" s="3" t="n">
        <v>1740336135</v>
      </c>
      <c r="D793" s="3" t="inlineStr">
        <is>
          <t>RLS2-7.5</t>
        </is>
      </c>
      <c r="E793" s="3" t="inlineStr">
        <is>
          <t>description</t>
        </is>
      </c>
      <c r="F793" s="14" t="n">
        <v>1073</v>
      </c>
      <c r="G793" s="17" t="n">
        <v>6</v>
      </c>
      <c r="H793" s="14">
        <f>IF(G793="","",G793*Ayarlar!$B$3+Ayarlar!$B$4+Ayarlar!$B$5)</f>
        <v/>
      </c>
      <c r="I793" s="14">
        <f>IF(G793="","",ROUNDUP(((G793*Ayarlar!$B$3+Ayarlar!$B$4+Ayarlar!$B$5)+Ayarlar!$B$8)/((1-Ayarlar!$B$6)*(1-Ayarlar!$B$7)),0))</f>
        <v/>
      </c>
      <c r="J793" s="14">
        <f>IF(G793="","",ROUNDUP(((G793*Ayarlar!$B$3+Ayarlar!$B$4+Ayarlar!$B$5)+Ayarlar!$B$8)/((1-Ayarlar!$B$6)*(1-Ayarlar!$B$7-Ayarlar!$B$9)),0))</f>
        <v/>
      </c>
      <c r="K793" s="15">
        <f>IF(OR(G793="",F793=""),"",(F793*(1-Ayarlar!$B$6)-(F793*(1-Ayarlar!$B$6)*Ayarlar!$B$7+Ayarlar!$B$8)-(G793*Ayarlar!$B$3+Ayarlar!$B$4+Ayarlar!$B$5))/(F793*(1-Ayarlar!$B$6)))</f>
        <v/>
      </c>
      <c r="L793" s="3">
        <f>IF(G793="","GRAM EKSİK",IF(F793&gt;30000,"FİYAT ŞÜPHELİ",IF(K793&lt;0,"ZARARDA",IF(F793&lt;I793,"RİSKLİ","ok"))))</f>
        <v/>
      </c>
      <c r="M793" s="16" t="inlineStr">
        <is>
          <t>https://www.etsy.com/listing/1740336135</t>
        </is>
      </c>
    </row>
    <row r="794">
      <c r="A794" s="9" t="inlineStr">
        <is>
          <t>faith</t>
        </is>
      </c>
      <c r="B794" s="9" t="inlineStr">
        <is>
          <t>10K Solid Gold Last Supper Ring / Diamond Cut Religious Jewe</t>
        </is>
      </c>
      <c r="C794" s="9" t="n">
        <v>1740336135</v>
      </c>
      <c r="D794" s="9" t="inlineStr">
        <is>
          <t>RLS2-8</t>
        </is>
      </c>
      <c r="E794" s="9" t="inlineStr">
        <is>
          <t>description</t>
        </is>
      </c>
      <c r="F794" s="10" t="n">
        <v>1073</v>
      </c>
      <c r="G794" s="18" t="n">
        <v>6</v>
      </c>
      <c r="H794" s="10">
        <f>IF(G794="","",G794*Ayarlar!$B$3+Ayarlar!$B$4+Ayarlar!$B$5)</f>
        <v/>
      </c>
      <c r="I794" s="10">
        <f>IF(G794="","",ROUNDUP(((G794*Ayarlar!$B$3+Ayarlar!$B$4+Ayarlar!$B$5)+Ayarlar!$B$8)/((1-Ayarlar!$B$6)*(1-Ayarlar!$B$7)),0))</f>
        <v/>
      </c>
      <c r="J794" s="10">
        <f>IF(G794="","",ROUNDUP(((G794*Ayarlar!$B$3+Ayarlar!$B$4+Ayarlar!$B$5)+Ayarlar!$B$8)/((1-Ayarlar!$B$6)*(1-Ayarlar!$B$7-Ayarlar!$B$9)),0))</f>
        <v/>
      </c>
      <c r="K794" s="12">
        <f>IF(OR(G794="",F794=""),"",(F794*(1-Ayarlar!$B$6)-(F794*(1-Ayarlar!$B$6)*Ayarlar!$B$7+Ayarlar!$B$8)-(G794*Ayarlar!$B$3+Ayarlar!$B$4+Ayarlar!$B$5))/(F794*(1-Ayarlar!$B$6)))</f>
        <v/>
      </c>
      <c r="L794" s="9">
        <f>IF(G794="","GRAM EKSİK",IF(F794&gt;30000,"FİYAT ŞÜPHELİ",IF(K794&lt;0,"ZARARDA",IF(F794&lt;I794,"RİSKLİ","ok"))))</f>
        <v/>
      </c>
      <c r="M794" s="13" t="inlineStr">
        <is>
          <t>https://www.etsy.com/listing/1740336135</t>
        </is>
      </c>
    </row>
    <row r="795">
      <c r="A795" s="3" t="inlineStr">
        <is>
          <t>faith</t>
        </is>
      </c>
      <c r="B795" s="3" t="inlineStr">
        <is>
          <t>10K Solid Gold Last Supper Ring / Diamond Cut Religious Jewe</t>
        </is>
      </c>
      <c r="C795" s="3" t="n">
        <v>1740336135</v>
      </c>
      <c r="D795" s="3" t="inlineStr">
        <is>
          <t>RLS2-8.5</t>
        </is>
      </c>
      <c r="E795" s="3" t="inlineStr">
        <is>
          <t>description</t>
        </is>
      </c>
      <c r="F795" s="14" t="n">
        <v>1073</v>
      </c>
      <c r="G795" s="17" t="n">
        <v>6</v>
      </c>
      <c r="H795" s="14">
        <f>IF(G795="","",G795*Ayarlar!$B$3+Ayarlar!$B$4+Ayarlar!$B$5)</f>
        <v/>
      </c>
      <c r="I795" s="14">
        <f>IF(G795="","",ROUNDUP(((G795*Ayarlar!$B$3+Ayarlar!$B$4+Ayarlar!$B$5)+Ayarlar!$B$8)/((1-Ayarlar!$B$6)*(1-Ayarlar!$B$7)),0))</f>
        <v/>
      </c>
      <c r="J795" s="14">
        <f>IF(G795="","",ROUNDUP(((G795*Ayarlar!$B$3+Ayarlar!$B$4+Ayarlar!$B$5)+Ayarlar!$B$8)/((1-Ayarlar!$B$6)*(1-Ayarlar!$B$7-Ayarlar!$B$9)),0))</f>
        <v/>
      </c>
      <c r="K795" s="15">
        <f>IF(OR(G795="",F795=""),"",(F795*(1-Ayarlar!$B$6)-(F795*(1-Ayarlar!$B$6)*Ayarlar!$B$7+Ayarlar!$B$8)-(G795*Ayarlar!$B$3+Ayarlar!$B$4+Ayarlar!$B$5))/(F795*(1-Ayarlar!$B$6)))</f>
        <v/>
      </c>
      <c r="L795" s="3">
        <f>IF(G795="","GRAM EKSİK",IF(F795&gt;30000,"FİYAT ŞÜPHELİ",IF(K795&lt;0,"ZARARDA",IF(F795&lt;I795,"RİSKLİ","ok"))))</f>
        <v/>
      </c>
      <c r="M795" s="16" t="inlineStr">
        <is>
          <t>https://www.etsy.com/listing/1740336135</t>
        </is>
      </c>
    </row>
    <row r="796">
      <c r="A796" s="9" t="inlineStr">
        <is>
          <t>faith</t>
        </is>
      </c>
      <c r="B796" s="9" t="inlineStr">
        <is>
          <t>10K Solid Gold Last Supper Ring / Diamond Cut Religious Jewe</t>
        </is>
      </c>
      <c r="C796" s="9" t="n">
        <v>1740336135</v>
      </c>
      <c r="D796" s="9" t="inlineStr">
        <is>
          <t>RLS2-9</t>
        </is>
      </c>
      <c r="E796" s="9" t="inlineStr">
        <is>
          <t>description</t>
        </is>
      </c>
      <c r="F796" s="10" t="n">
        <v>1073</v>
      </c>
      <c r="G796" s="18" t="n">
        <v>6</v>
      </c>
      <c r="H796" s="10">
        <f>IF(G796="","",G796*Ayarlar!$B$3+Ayarlar!$B$4+Ayarlar!$B$5)</f>
        <v/>
      </c>
      <c r="I796" s="10">
        <f>IF(G796="","",ROUNDUP(((G796*Ayarlar!$B$3+Ayarlar!$B$4+Ayarlar!$B$5)+Ayarlar!$B$8)/((1-Ayarlar!$B$6)*(1-Ayarlar!$B$7)),0))</f>
        <v/>
      </c>
      <c r="J796" s="10">
        <f>IF(G796="","",ROUNDUP(((G796*Ayarlar!$B$3+Ayarlar!$B$4+Ayarlar!$B$5)+Ayarlar!$B$8)/((1-Ayarlar!$B$6)*(1-Ayarlar!$B$7-Ayarlar!$B$9)),0))</f>
        <v/>
      </c>
      <c r="K796" s="12">
        <f>IF(OR(G796="",F796=""),"",(F796*(1-Ayarlar!$B$6)-(F796*(1-Ayarlar!$B$6)*Ayarlar!$B$7+Ayarlar!$B$8)-(G796*Ayarlar!$B$3+Ayarlar!$B$4+Ayarlar!$B$5))/(F796*(1-Ayarlar!$B$6)))</f>
        <v/>
      </c>
      <c r="L796" s="9">
        <f>IF(G796="","GRAM EKSİK",IF(F796&gt;30000,"FİYAT ŞÜPHELİ",IF(K796&lt;0,"ZARARDA",IF(F796&lt;I796,"RİSKLİ","ok"))))</f>
        <v/>
      </c>
      <c r="M796" s="13" t="inlineStr">
        <is>
          <t>https://www.etsy.com/listing/1740336135</t>
        </is>
      </c>
    </row>
    <row r="797">
      <c r="A797" s="3" t="inlineStr">
        <is>
          <t>faith</t>
        </is>
      </c>
      <c r="B797" s="3" t="inlineStr">
        <is>
          <t>10K Solid Gold Last Supper Ring / Diamond Cut Religious Jewe</t>
        </is>
      </c>
      <c r="C797" s="3" t="n">
        <v>1740336135</v>
      </c>
      <c r="D797" s="3" t="inlineStr">
        <is>
          <t>RLS2-9.5</t>
        </is>
      </c>
      <c r="E797" s="3" t="inlineStr">
        <is>
          <t>description</t>
        </is>
      </c>
      <c r="F797" s="14" t="n">
        <v>1073</v>
      </c>
      <c r="G797" s="17" t="n">
        <v>6</v>
      </c>
      <c r="H797" s="14">
        <f>IF(G797="","",G797*Ayarlar!$B$3+Ayarlar!$B$4+Ayarlar!$B$5)</f>
        <v/>
      </c>
      <c r="I797" s="14">
        <f>IF(G797="","",ROUNDUP(((G797*Ayarlar!$B$3+Ayarlar!$B$4+Ayarlar!$B$5)+Ayarlar!$B$8)/((1-Ayarlar!$B$6)*(1-Ayarlar!$B$7)),0))</f>
        <v/>
      </c>
      <c r="J797" s="14">
        <f>IF(G797="","",ROUNDUP(((G797*Ayarlar!$B$3+Ayarlar!$B$4+Ayarlar!$B$5)+Ayarlar!$B$8)/((1-Ayarlar!$B$6)*(1-Ayarlar!$B$7-Ayarlar!$B$9)),0))</f>
        <v/>
      </c>
      <c r="K797" s="15">
        <f>IF(OR(G797="",F797=""),"",(F797*(1-Ayarlar!$B$6)-(F797*(1-Ayarlar!$B$6)*Ayarlar!$B$7+Ayarlar!$B$8)-(G797*Ayarlar!$B$3+Ayarlar!$B$4+Ayarlar!$B$5))/(F797*(1-Ayarlar!$B$6)))</f>
        <v/>
      </c>
      <c r="L797" s="3">
        <f>IF(G797="","GRAM EKSİK",IF(F797&gt;30000,"FİYAT ŞÜPHELİ",IF(K797&lt;0,"ZARARDA",IF(F797&lt;I797,"RİSKLİ","ok"))))</f>
        <v/>
      </c>
      <c r="M797" s="16" t="inlineStr">
        <is>
          <t>https://www.etsy.com/listing/1740336135</t>
        </is>
      </c>
    </row>
    <row r="798">
      <c r="A798" s="9" t="inlineStr">
        <is>
          <t>faith</t>
        </is>
      </c>
      <c r="B798" s="9" t="inlineStr">
        <is>
          <t>10K Solid Gold Last Supper Ring / Diamond Cut Religious Jewe</t>
        </is>
      </c>
      <c r="C798" s="9" t="n">
        <v>1740336135</v>
      </c>
      <c r="D798" s="9" t="inlineStr">
        <is>
          <t>RLS3-10</t>
        </is>
      </c>
      <c r="E798" s="9" t="inlineStr">
        <is>
          <t>description</t>
        </is>
      </c>
      <c r="F798" s="10" t="n">
        <v>1144</v>
      </c>
      <c r="G798" s="18" t="n">
        <v>6.4</v>
      </c>
      <c r="H798" s="10">
        <f>IF(G798="","",G798*Ayarlar!$B$3+Ayarlar!$B$4+Ayarlar!$B$5)</f>
        <v/>
      </c>
      <c r="I798" s="10">
        <f>IF(G798="","",ROUNDUP(((G798*Ayarlar!$B$3+Ayarlar!$B$4+Ayarlar!$B$5)+Ayarlar!$B$8)/((1-Ayarlar!$B$6)*(1-Ayarlar!$B$7)),0))</f>
        <v/>
      </c>
      <c r="J798" s="10">
        <f>IF(G798="","",ROUNDUP(((G798*Ayarlar!$B$3+Ayarlar!$B$4+Ayarlar!$B$5)+Ayarlar!$B$8)/((1-Ayarlar!$B$6)*(1-Ayarlar!$B$7-Ayarlar!$B$9)),0))</f>
        <v/>
      </c>
      <c r="K798" s="12">
        <f>IF(OR(G798="",F798=""),"",(F798*(1-Ayarlar!$B$6)-(F798*(1-Ayarlar!$B$6)*Ayarlar!$B$7+Ayarlar!$B$8)-(G798*Ayarlar!$B$3+Ayarlar!$B$4+Ayarlar!$B$5))/(F798*(1-Ayarlar!$B$6)))</f>
        <v/>
      </c>
      <c r="L798" s="9">
        <f>IF(G798="","GRAM EKSİK",IF(F798&gt;30000,"FİYAT ŞÜPHELİ",IF(K798&lt;0,"ZARARDA",IF(F798&lt;I798,"RİSKLİ","ok"))))</f>
        <v/>
      </c>
      <c r="M798" s="13" t="inlineStr">
        <is>
          <t>https://www.etsy.com/listing/1740336135</t>
        </is>
      </c>
    </row>
    <row r="799">
      <c r="A799" s="3" t="inlineStr">
        <is>
          <t>faith</t>
        </is>
      </c>
      <c r="B799" s="3" t="inlineStr">
        <is>
          <t>10K Solid Gold Last Supper Ring / Diamond Cut Religious Jewe</t>
        </is>
      </c>
      <c r="C799" s="3" t="n">
        <v>1740336135</v>
      </c>
      <c r="D799" s="3" t="inlineStr">
        <is>
          <t>RLS3-10.5</t>
        </is>
      </c>
      <c r="E799" s="3" t="inlineStr">
        <is>
          <t>description</t>
        </is>
      </c>
      <c r="F799" s="14" t="n">
        <v>1144</v>
      </c>
      <c r="G799" s="17" t="n">
        <v>6.4</v>
      </c>
      <c r="H799" s="14">
        <f>IF(G799="","",G799*Ayarlar!$B$3+Ayarlar!$B$4+Ayarlar!$B$5)</f>
        <v/>
      </c>
      <c r="I799" s="14">
        <f>IF(G799="","",ROUNDUP(((G799*Ayarlar!$B$3+Ayarlar!$B$4+Ayarlar!$B$5)+Ayarlar!$B$8)/((1-Ayarlar!$B$6)*(1-Ayarlar!$B$7)),0))</f>
        <v/>
      </c>
      <c r="J799" s="14">
        <f>IF(G799="","",ROUNDUP(((G799*Ayarlar!$B$3+Ayarlar!$B$4+Ayarlar!$B$5)+Ayarlar!$B$8)/((1-Ayarlar!$B$6)*(1-Ayarlar!$B$7-Ayarlar!$B$9)),0))</f>
        <v/>
      </c>
      <c r="K799" s="15">
        <f>IF(OR(G799="",F799=""),"",(F799*(1-Ayarlar!$B$6)-(F799*(1-Ayarlar!$B$6)*Ayarlar!$B$7+Ayarlar!$B$8)-(G799*Ayarlar!$B$3+Ayarlar!$B$4+Ayarlar!$B$5))/(F799*(1-Ayarlar!$B$6)))</f>
        <v/>
      </c>
      <c r="L799" s="3">
        <f>IF(G799="","GRAM EKSİK",IF(F799&gt;30000,"FİYAT ŞÜPHELİ",IF(K799&lt;0,"ZARARDA",IF(F799&lt;I799,"RİSKLİ","ok"))))</f>
        <v/>
      </c>
      <c r="M799" s="16" t="inlineStr">
        <is>
          <t>https://www.etsy.com/listing/1740336135</t>
        </is>
      </c>
    </row>
    <row r="800">
      <c r="A800" s="9" t="inlineStr">
        <is>
          <t>faith</t>
        </is>
      </c>
      <c r="B800" s="9" t="inlineStr">
        <is>
          <t>10K Solid Gold Last Supper Ring / Diamond Cut Religious Jewe</t>
        </is>
      </c>
      <c r="C800" s="9" t="n">
        <v>1740336135</v>
      </c>
      <c r="D800" s="9" t="inlineStr">
        <is>
          <t>RLS3-11</t>
        </is>
      </c>
      <c r="E800" s="9" t="inlineStr">
        <is>
          <t>shipstation</t>
        </is>
      </c>
      <c r="F800" s="10" t="n">
        <v>1146</v>
      </c>
      <c r="G800" s="18" t="n">
        <v>6.41</v>
      </c>
      <c r="H800" s="10">
        <f>IF(G800="","",G800*Ayarlar!$B$3+Ayarlar!$B$4+Ayarlar!$B$5)</f>
        <v/>
      </c>
      <c r="I800" s="10">
        <f>IF(G800="","",ROUNDUP(((G800*Ayarlar!$B$3+Ayarlar!$B$4+Ayarlar!$B$5)+Ayarlar!$B$8)/((1-Ayarlar!$B$6)*(1-Ayarlar!$B$7)),0))</f>
        <v/>
      </c>
      <c r="J800" s="10">
        <f>IF(G800="","",ROUNDUP(((G800*Ayarlar!$B$3+Ayarlar!$B$4+Ayarlar!$B$5)+Ayarlar!$B$8)/((1-Ayarlar!$B$6)*(1-Ayarlar!$B$7-Ayarlar!$B$9)),0))</f>
        <v/>
      </c>
      <c r="K800" s="12">
        <f>IF(OR(G800="",F800=""),"",(F800*(1-Ayarlar!$B$6)-(F800*(1-Ayarlar!$B$6)*Ayarlar!$B$7+Ayarlar!$B$8)-(G800*Ayarlar!$B$3+Ayarlar!$B$4+Ayarlar!$B$5))/(F800*(1-Ayarlar!$B$6)))</f>
        <v/>
      </c>
      <c r="L800" s="9">
        <f>IF(G800="","GRAM EKSİK",IF(F800&gt;30000,"FİYAT ŞÜPHELİ",IF(K800&lt;0,"ZARARDA",IF(F800&lt;I800,"RİSKLİ","ok"))))</f>
        <v/>
      </c>
      <c r="M800" s="13" t="inlineStr">
        <is>
          <t>https://www.etsy.com/listing/1740336135</t>
        </is>
      </c>
    </row>
    <row r="801">
      <c r="A801" s="3" t="inlineStr">
        <is>
          <t>faith</t>
        </is>
      </c>
      <c r="B801" s="3" t="inlineStr">
        <is>
          <t>10K Solid Gold Last Supper Ring / Diamond Cut Religious Jewe</t>
        </is>
      </c>
      <c r="C801" s="3" t="n">
        <v>1740336135</v>
      </c>
      <c r="D801" s="3" t="inlineStr">
        <is>
          <t>RLS3-11.5</t>
        </is>
      </c>
      <c r="E801" s="3" t="inlineStr">
        <is>
          <t>description</t>
        </is>
      </c>
      <c r="F801" s="14" t="n">
        <v>1144</v>
      </c>
      <c r="G801" s="17" t="n">
        <v>6.4</v>
      </c>
      <c r="H801" s="14">
        <f>IF(G801="","",G801*Ayarlar!$B$3+Ayarlar!$B$4+Ayarlar!$B$5)</f>
        <v/>
      </c>
      <c r="I801" s="14">
        <f>IF(G801="","",ROUNDUP(((G801*Ayarlar!$B$3+Ayarlar!$B$4+Ayarlar!$B$5)+Ayarlar!$B$8)/((1-Ayarlar!$B$6)*(1-Ayarlar!$B$7)),0))</f>
        <v/>
      </c>
      <c r="J801" s="14">
        <f>IF(G801="","",ROUNDUP(((G801*Ayarlar!$B$3+Ayarlar!$B$4+Ayarlar!$B$5)+Ayarlar!$B$8)/((1-Ayarlar!$B$6)*(1-Ayarlar!$B$7-Ayarlar!$B$9)),0))</f>
        <v/>
      </c>
      <c r="K801" s="15">
        <f>IF(OR(G801="",F801=""),"",(F801*(1-Ayarlar!$B$6)-(F801*(1-Ayarlar!$B$6)*Ayarlar!$B$7+Ayarlar!$B$8)-(G801*Ayarlar!$B$3+Ayarlar!$B$4+Ayarlar!$B$5))/(F801*(1-Ayarlar!$B$6)))</f>
        <v/>
      </c>
      <c r="L801" s="3">
        <f>IF(G801="","GRAM EKSİK",IF(F801&gt;30000,"FİYAT ŞÜPHELİ",IF(K801&lt;0,"ZARARDA",IF(F801&lt;I801,"RİSKLİ","ok"))))</f>
        <v/>
      </c>
      <c r="M801" s="16" t="inlineStr">
        <is>
          <t>https://www.etsy.com/listing/1740336135</t>
        </is>
      </c>
    </row>
    <row r="802">
      <c r="A802" s="9" t="inlineStr">
        <is>
          <t>faith</t>
        </is>
      </c>
      <c r="B802" s="9" t="inlineStr">
        <is>
          <t>10K Solid Gold Last Supper Ring / Diamond Cut Religious Jewe</t>
        </is>
      </c>
      <c r="C802" s="9" t="n">
        <v>1740336135</v>
      </c>
      <c r="D802" s="9" t="inlineStr">
        <is>
          <t>RLS3-12</t>
        </is>
      </c>
      <c r="E802" s="9" t="inlineStr">
        <is>
          <t>description</t>
        </is>
      </c>
      <c r="F802" s="10" t="n">
        <v>1144</v>
      </c>
      <c r="G802" s="18" t="n">
        <v>6.4</v>
      </c>
      <c r="H802" s="10">
        <f>IF(G802="","",G802*Ayarlar!$B$3+Ayarlar!$B$4+Ayarlar!$B$5)</f>
        <v/>
      </c>
      <c r="I802" s="10">
        <f>IF(G802="","",ROUNDUP(((G802*Ayarlar!$B$3+Ayarlar!$B$4+Ayarlar!$B$5)+Ayarlar!$B$8)/((1-Ayarlar!$B$6)*(1-Ayarlar!$B$7)),0))</f>
        <v/>
      </c>
      <c r="J802" s="10">
        <f>IF(G802="","",ROUNDUP(((G802*Ayarlar!$B$3+Ayarlar!$B$4+Ayarlar!$B$5)+Ayarlar!$B$8)/((1-Ayarlar!$B$6)*(1-Ayarlar!$B$7-Ayarlar!$B$9)),0))</f>
        <v/>
      </c>
      <c r="K802" s="12">
        <f>IF(OR(G802="",F802=""),"",(F802*(1-Ayarlar!$B$6)-(F802*(1-Ayarlar!$B$6)*Ayarlar!$B$7+Ayarlar!$B$8)-(G802*Ayarlar!$B$3+Ayarlar!$B$4+Ayarlar!$B$5))/(F802*(1-Ayarlar!$B$6)))</f>
        <v/>
      </c>
      <c r="L802" s="9">
        <f>IF(G802="","GRAM EKSİK",IF(F802&gt;30000,"FİYAT ŞÜPHELİ",IF(K802&lt;0,"ZARARDA",IF(F802&lt;I802,"RİSKLİ","ok"))))</f>
        <v/>
      </c>
      <c r="M802" s="13" t="inlineStr">
        <is>
          <t>https://www.etsy.com/listing/1740336135</t>
        </is>
      </c>
    </row>
    <row r="803">
      <c r="A803" s="3" t="inlineStr">
        <is>
          <t>faith</t>
        </is>
      </c>
      <c r="B803" s="3" t="inlineStr">
        <is>
          <t>10K Solid Gold Last Supper Ring / Diamond Cut Religious Jewe</t>
        </is>
      </c>
      <c r="C803" s="3" t="n">
        <v>1740336135</v>
      </c>
      <c r="D803" s="3" t="inlineStr">
        <is>
          <t>RLS3-12.5</t>
        </is>
      </c>
      <c r="E803" s="3" t="inlineStr">
        <is>
          <t>description</t>
        </is>
      </c>
      <c r="F803" s="14" t="n">
        <v>1144</v>
      </c>
      <c r="G803" s="17" t="n">
        <v>6.4</v>
      </c>
      <c r="H803" s="14">
        <f>IF(G803="","",G803*Ayarlar!$B$3+Ayarlar!$B$4+Ayarlar!$B$5)</f>
        <v/>
      </c>
      <c r="I803" s="14">
        <f>IF(G803="","",ROUNDUP(((G803*Ayarlar!$B$3+Ayarlar!$B$4+Ayarlar!$B$5)+Ayarlar!$B$8)/((1-Ayarlar!$B$6)*(1-Ayarlar!$B$7)),0))</f>
        <v/>
      </c>
      <c r="J803" s="14">
        <f>IF(G803="","",ROUNDUP(((G803*Ayarlar!$B$3+Ayarlar!$B$4+Ayarlar!$B$5)+Ayarlar!$B$8)/((1-Ayarlar!$B$6)*(1-Ayarlar!$B$7-Ayarlar!$B$9)),0))</f>
        <v/>
      </c>
      <c r="K803" s="15">
        <f>IF(OR(G803="",F803=""),"",(F803*(1-Ayarlar!$B$6)-(F803*(1-Ayarlar!$B$6)*Ayarlar!$B$7+Ayarlar!$B$8)-(G803*Ayarlar!$B$3+Ayarlar!$B$4+Ayarlar!$B$5))/(F803*(1-Ayarlar!$B$6)))</f>
        <v/>
      </c>
      <c r="L803" s="3">
        <f>IF(G803="","GRAM EKSİK",IF(F803&gt;30000,"FİYAT ŞÜPHELİ",IF(K803&lt;0,"ZARARDA",IF(F803&lt;I803,"RİSKLİ","ok"))))</f>
        <v/>
      </c>
      <c r="M803" s="16" t="inlineStr">
        <is>
          <t>https://www.etsy.com/listing/1740336135</t>
        </is>
      </c>
    </row>
    <row r="804">
      <c r="A804" s="9" t="inlineStr">
        <is>
          <t>faith</t>
        </is>
      </c>
      <c r="B804" s="9" t="inlineStr">
        <is>
          <t>10K Solid Gold Last Supper Ring / Diamond Cut Religious Jewe</t>
        </is>
      </c>
      <c r="C804" s="9" t="n">
        <v>1740336135</v>
      </c>
      <c r="D804" s="9" t="inlineStr">
        <is>
          <t>RLS3-7</t>
        </is>
      </c>
      <c r="E804" s="9" t="inlineStr">
        <is>
          <t>description</t>
        </is>
      </c>
      <c r="F804" s="10" t="n">
        <v>1144</v>
      </c>
      <c r="G804" s="18" t="n">
        <v>6.4</v>
      </c>
      <c r="H804" s="10">
        <f>IF(G804="","",G804*Ayarlar!$B$3+Ayarlar!$B$4+Ayarlar!$B$5)</f>
        <v/>
      </c>
      <c r="I804" s="10">
        <f>IF(G804="","",ROUNDUP(((G804*Ayarlar!$B$3+Ayarlar!$B$4+Ayarlar!$B$5)+Ayarlar!$B$8)/((1-Ayarlar!$B$6)*(1-Ayarlar!$B$7)),0))</f>
        <v/>
      </c>
      <c r="J804" s="10">
        <f>IF(G804="","",ROUNDUP(((G804*Ayarlar!$B$3+Ayarlar!$B$4+Ayarlar!$B$5)+Ayarlar!$B$8)/((1-Ayarlar!$B$6)*(1-Ayarlar!$B$7-Ayarlar!$B$9)),0))</f>
        <v/>
      </c>
      <c r="K804" s="12">
        <f>IF(OR(G804="",F804=""),"",(F804*(1-Ayarlar!$B$6)-(F804*(1-Ayarlar!$B$6)*Ayarlar!$B$7+Ayarlar!$B$8)-(G804*Ayarlar!$B$3+Ayarlar!$B$4+Ayarlar!$B$5))/(F804*(1-Ayarlar!$B$6)))</f>
        <v/>
      </c>
      <c r="L804" s="9">
        <f>IF(G804="","GRAM EKSİK",IF(F804&gt;30000,"FİYAT ŞÜPHELİ",IF(K804&lt;0,"ZARARDA",IF(F804&lt;I804,"RİSKLİ","ok"))))</f>
        <v/>
      </c>
      <c r="M804" s="13" t="inlineStr">
        <is>
          <t>https://www.etsy.com/listing/1740336135</t>
        </is>
      </c>
    </row>
    <row r="805">
      <c r="A805" s="3" t="inlineStr">
        <is>
          <t>faith</t>
        </is>
      </c>
      <c r="B805" s="3" t="inlineStr">
        <is>
          <t>10K Solid Gold Last Supper Ring / Diamond Cut Religious Jewe</t>
        </is>
      </c>
      <c r="C805" s="3" t="n">
        <v>1740336135</v>
      </c>
      <c r="D805" s="3" t="inlineStr">
        <is>
          <t>RLS3-7.5</t>
        </is>
      </c>
      <c r="E805" s="3" t="inlineStr">
        <is>
          <t>description</t>
        </is>
      </c>
      <c r="F805" s="14" t="n">
        <v>1144</v>
      </c>
      <c r="G805" s="17" t="n">
        <v>6.4</v>
      </c>
      <c r="H805" s="14">
        <f>IF(G805="","",G805*Ayarlar!$B$3+Ayarlar!$B$4+Ayarlar!$B$5)</f>
        <v/>
      </c>
      <c r="I805" s="14">
        <f>IF(G805="","",ROUNDUP(((G805*Ayarlar!$B$3+Ayarlar!$B$4+Ayarlar!$B$5)+Ayarlar!$B$8)/((1-Ayarlar!$B$6)*(1-Ayarlar!$B$7)),0))</f>
        <v/>
      </c>
      <c r="J805" s="14">
        <f>IF(G805="","",ROUNDUP(((G805*Ayarlar!$B$3+Ayarlar!$B$4+Ayarlar!$B$5)+Ayarlar!$B$8)/((1-Ayarlar!$B$6)*(1-Ayarlar!$B$7-Ayarlar!$B$9)),0))</f>
        <v/>
      </c>
      <c r="K805" s="15">
        <f>IF(OR(G805="",F805=""),"",(F805*(1-Ayarlar!$B$6)-(F805*(1-Ayarlar!$B$6)*Ayarlar!$B$7+Ayarlar!$B$8)-(G805*Ayarlar!$B$3+Ayarlar!$B$4+Ayarlar!$B$5))/(F805*(1-Ayarlar!$B$6)))</f>
        <v/>
      </c>
      <c r="L805" s="3">
        <f>IF(G805="","GRAM EKSİK",IF(F805&gt;30000,"FİYAT ŞÜPHELİ",IF(K805&lt;0,"ZARARDA",IF(F805&lt;I805,"RİSKLİ","ok"))))</f>
        <v/>
      </c>
      <c r="M805" s="16" t="inlineStr">
        <is>
          <t>https://www.etsy.com/listing/1740336135</t>
        </is>
      </c>
    </row>
    <row r="806">
      <c r="A806" s="9" t="inlineStr">
        <is>
          <t>faith</t>
        </is>
      </c>
      <c r="B806" s="9" t="inlineStr">
        <is>
          <t>10K Solid Gold Last Supper Ring / Diamond Cut Religious Jewe</t>
        </is>
      </c>
      <c r="C806" s="9" t="n">
        <v>1740336135</v>
      </c>
      <c r="D806" s="9" t="inlineStr">
        <is>
          <t>RLS3-8</t>
        </is>
      </c>
      <c r="E806" s="9" t="inlineStr">
        <is>
          <t>description</t>
        </is>
      </c>
      <c r="F806" s="10" t="n">
        <v>1144</v>
      </c>
      <c r="G806" s="18" t="n">
        <v>6.4</v>
      </c>
      <c r="H806" s="10">
        <f>IF(G806="","",G806*Ayarlar!$B$3+Ayarlar!$B$4+Ayarlar!$B$5)</f>
        <v/>
      </c>
      <c r="I806" s="10">
        <f>IF(G806="","",ROUNDUP(((G806*Ayarlar!$B$3+Ayarlar!$B$4+Ayarlar!$B$5)+Ayarlar!$B$8)/((1-Ayarlar!$B$6)*(1-Ayarlar!$B$7)),0))</f>
        <v/>
      </c>
      <c r="J806" s="10">
        <f>IF(G806="","",ROUNDUP(((G806*Ayarlar!$B$3+Ayarlar!$B$4+Ayarlar!$B$5)+Ayarlar!$B$8)/((1-Ayarlar!$B$6)*(1-Ayarlar!$B$7-Ayarlar!$B$9)),0))</f>
        <v/>
      </c>
      <c r="K806" s="12">
        <f>IF(OR(G806="",F806=""),"",(F806*(1-Ayarlar!$B$6)-(F806*(1-Ayarlar!$B$6)*Ayarlar!$B$7+Ayarlar!$B$8)-(G806*Ayarlar!$B$3+Ayarlar!$B$4+Ayarlar!$B$5))/(F806*(1-Ayarlar!$B$6)))</f>
        <v/>
      </c>
      <c r="L806" s="9">
        <f>IF(G806="","GRAM EKSİK",IF(F806&gt;30000,"FİYAT ŞÜPHELİ",IF(K806&lt;0,"ZARARDA",IF(F806&lt;I806,"RİSKLİ","ok"))))</f>
        <v/>
      </c>
      <c r="M806" s="13" t="inlineStr">
        <is>
          <t>https://www.etsy.com/listing/1740336135</t>
        </is>
      </c>
    </row>
    <row r="807">
      <c r="A807" s="3" t="inlineStr">
        <is>
          <t>faith</t>
        </is>
      </c>
      <c r="B807" s="3" t="inlineStr">
        <is>
          <t>10K Solid Gold Last Supper Ring / Diamond Cut Religious Jewe</t>
        </is>
      </c>
      <c r="C807" s="3" t="n">
        <v>1740336135</v>
      </c>
      <c r="D807" s="3" t="inlineStr">
        <is>
          <t>RLS3-8.5</t>
        </is>
      </c>
      <c r="E807" s="3" t="inlineStr">
        <is>
          <t>description</t>
        </is>
      </c>
      <c r="F807" s="14" t="n">
        <v>1144</v>
      </c>
      <c r="G807" s="17" t="n">
        <v>6.4</v>
      </c>
      <c r="H807" s="14">
        <f>IF(G807="","",G807*Ayarlar!$B$3+Ayarlar!$B$4+Ayarlar!$B$5)</f>
        <v/>
      </c>
      <c r="I807" s="14">
        <f>IF(G807="","",ROUNDUP(((G807*Ayarlar!$B$3+Ayarlar!$B$4+Ayarlar!$B$5)+Ayarlar!$B$8)/((1-Ayarlar!$B$6)*(1-Ayarlar!$B$7)),0))</f>
        <v/>
      </c>
      <c r="J807" s="14">
        <f>IF(G807="","",ROUNDUP(((G807*Ayarlar!$B$3+Ayarlar!$B$4+Ayarlar!$B$5)+Ayarlar!$B$8)/((1-Ayarlar!$B$6)*(1-Ayarlar!$B$7-Ayarlar!$B$9)),0))</f>
        <v/>
      </c>
      <c r="K807" s="15">
        <f>IF(OR(G807="",F807=""),"",(F807*(1-Ayarlar!$B$6)-(F807*(1-Ayarlar!$B$6)*Ayarlar!$B$7+Ayarlar!$B$8)-(G807*Ayarlar!$B$3+Ayarlar!$B$4+Ayarlar!$B$5))/(F807*(1-Ayarlar!$B$6)))</f>
        <v/>
      </c>
      <c r="L807" s="3">
        <f>IF(G807="","GRAM EKSİK",IF(F807&gt;30000,"FİYAT ŞÜPHELİ",IF(K807&lt;0,"ZARARDA",IF(F807&lt;I807,"RİSKLİ","ok"))))</f>
        <v/>
      </c>
      <c r="M807" s="16" t="inlineStr">
        <is>
          <t>https://www.etsy.com/listing/1740336135</t>
        </is>
      </c>
    </row>
    <row r="808">
      <c r="A808" s="9" t="inlineStr">
        <is>
          <t>faith</t>
        </is>
      </c>
      <c r="B808" s="9" t="inlineStr">
        <is>
          <t>10K Solid Gold Last Supper Ring / Diamond Cut Religious Jewe</t>
        </is>
      </c>
      <c r="C808" s="9" t="n">
        <v>1740336135</v>
      </c>
      <c r="D808" s="9" t="inlineStr">
        <is>
          <t>RLS3-9</t>
        </is>
      </c>
      <c r="E808" s="9" t="inlineStr">
        <is>
          <t>description</t>
        </is>
      </c>
      <c r="F808" s="10" t="n">
        <v>1144</v>
      </c>
      <c r="G808" s="18" t="n">
        <v>6.4</v>
      </c>
      <c r="H808" s="10">
        <f>IF(G808="","",G808*Ayarlar!$B$3+Ayarlar!$B$4+Ayarlar!$B$5)</f>
        <v/>
      </c>
      <c r="I808" s="10">
        <f>IF(G808="","",ROUNDUP(((G808*Ayarlar!$B$3+Ayarlar!$B$4+Ayarlar!$B$5)+Ayarlar!$B$8)/((1-Ayarlar!$B$6)*(1-Ayarlar!$B$7)),0))</f>
        <v/>
      </c>
      <c r="J808" s="10">
        <f>IF(G808="","",ROUNDUP(((G808*Ayarlar!$B$3+Ayarlar!$B$4+Ayarlar!$B$5)+Ayarlar!$B$8)/((1-Ayarlar!$B$6)*(1-Ayarlar!$B$7-Ayarlar!$B$9)),0))</f>
        <v/>
      </c>
      <c r="K808" s="12">
        <f>IF(OR(G808="",F808=""),"",(F808*(1-Ayarlar!$B$6)-(F808*(1-Ayarlar!$B$6)*Ayarlar!$B$7+Ayarlar!$B$8)-(G808*Ayarlar!$B$3+Ayarlar!$B$4+Ayarlar!$B$5))/(F808*(1-Ayarlar!$B$6)))</f>
        <v/>
      </c>
      <c r="L808" s="9">
        <f>IF(G808="","GRAM EKSİK",IF(F808&gt;30000,"FİYAT ŞÜPHELİ",IF(K808&lt;0,"ZARARDA",IF(F808&lt;I808,"RİSKLİ","ok"))))</f>
        <v/>
      </c>
      <c r="M808" s="13" t="inlineStr">
        <is>
          <t>https://www.etsy.com/listing/1740336135</t>
        </is>
      </c>
    </row>
    <row r="809">
      <c r="A809" s="3" t="inlineStr">
        <is>
          <t>faith</t>
        </is>
      </c>
      <c r="B809" s="3" t="inlineStr">
        <is>
          <t>10K Solid Gold Last Supper Ring / Diamond Cut Religious Jewe</t>
        </is>
      </c>
      <c r="C809" s="3" t="n">
        <v>1740336135</v>
      </c>
      <c r="D809" s="3" t="inlineStr">
        <is>
          <t>RLS3-9.5</t>
        </is>
      </c>
      <c r="E809" s="3" t="inlineStr">
        <is>
          <t>description</t>
        </is>
      </c>
      <c r="F809" s="14" t="n">
        <v>1144</v>
      </c>
      <c r="G809" s="17" t="n">
        <v>6.4</v>
      </c>
      <c r="H809" s="14">
        <f>IF(G809="","",G809*Ayarlar!$B$3+Ayarlar!$B$4+Ayarlar!$B$5)</f>
        <v/>
      </c>
      <c r="I809" s="14">
        <f>IF(G809="","",ROUNDUP(((G809*Ayarlar!$B$3+Ayarlar!$B$4+Ayarlar!$B$5)+Ayarlar!$B$8)/((1-Ayarlar!$B$6)*(1-Ayarlar!$B$7)),0))</f>
        <v/>
      </c>
      <c r="J809" s="14">
        <f>IF(G809="","",ROUNDUP(((G809*Ayarlar!$B$3+Ayarlar!$B$4+Ayarlar!$B$5)+Ayarlar!$B$8)/((1-Ayarlar!$B$6)*(1-Ayarlar!$B$7-Ayarlar!$B$9)),0))</f>
        <v/>
      </c>
      <c r="K809" s="15">
        <f>IF(OR(G809="",F809=""),"",(F809*(1-Ayarlar!$B$6)-(F809*(1-Ayarlar!$B$6)*Ayarlar!$B$7+Ayarlar!$B$8)-(G809*Ayarlar!$B$3+Ayarlar!$B$4+Ayarlar!$B$5))/(F809*(1-Ayarlar!$B$6)))</f>
        <v/>
      </c>
      <c r="L809" s="3">
        <f>IF(G809="","GRAM EKSİK",IF(F809&gt;30000,"FİYAT ŞÜPHELİ",IF(K809&lt;0,"ZARARDA",IF(F809&lt;I809,"RİSKLİ","ok"))))</f>
        <v/>
      </c>
      <c r="M809" s="16" t="inlineStr">
        <is>
          <t>https://www.etsy.com/listing/1740336135</t>
        </is>
      </c>
    </row>
    <row r="810">
      <c r="A810" s="9" t="inlineStr">
        <is>
          <t>faith</t>
        </is>
      </c>
      <c r="B810" s="9" t="inlineStr">
        <is>
          <t>10K Solid Gold Last Supper Ring / Diamond Cut Religious Jewe</t>
        </is>
      </c>
      <c r="C810" s="9" t="n">
        <v>1740336135</v>
      </c>
      <c r="D810" s="9" t="inlineStr">
        <is>
          <t>RLSR1-10</t>
        </is>
      </c>
      <c r="E810" s="9" t="inlineStr">
        <is>
          <t>description</t>
        </is>
      </c>
      <c r="F810" s="10" t="n">
        <v>896</v>
      </c>
      <c r="G810" s="18" t="n">
        <v>5</v>
      </c>
      <c r="H810" s="10">
        <f>IF(G810="","",G810*Ayarlar!$B$3+Ayarlar!$B$4+Ayarlar!$B$5)</f>
        <v/>
      </c>
      <c r="I810" s="10">
        <f>IF(G810="","",ROUNDUP(((G810*Ayarlar!$B$3+Ayarlar!$B$4+Ayarlar!$B$5)+Ayarlar!$B$8)/((1-Ayarlar!$B$6)*(1-Ayarlar!$B$7)),0))</f>
        <v/>
      </c>
      <c r="J810" s="10">
        <f>IF(G810="","",ROUNDUP(((G810*Ayarlar!$B$3+Ayarlar!$B$4+Ayarlar!$B$5)+Ayarlar!$B$8)/((1-Ayarlar!$B$6)*(1-Ayarlar!$B$7-Ayarlar!$B$9)),0))</f>
        <v/>
      </c>
      <c r="K810" s="12">
        <f>IF(OR(G810="",F810=""),"",(F810*(1-Ayarlar!$B$6)-(F810*(1-Ayarlar!$B$6)*Ayarlar!$B$7+Ayarlar!$B$8)-(G810*Ayarlar!$B$3+Ayarlar!$B$4+Ayarlar!$B$5))/(F810*(1-Ayarlar!$B$6)))</f>
        <v/>
      </c>
      <c r="L810" s="9">
        <f>IF(G810="","GRAM EKSİK",IF(F810&gt;30000,"FİYAT ŞÜPHELİ",IF(K810&lt;0,"ZARARDA",IF(F810&lt;I810,"RİSKLİ","ok"))))</f>
        <v/>
      </c>
      <c r="M810" s="13" t="inlineStr">
        <is>
          <t>https://www.etsy.com/listing/1740336135</t>
        </is>
      </c>
    </row>
    <row r="811">
      <c r="A811" s="3" t="inlineStr">
        <is>
          <t>faith</t>
        </is>
      </c>
      <c r="B811" s="3" t="inlineStr">
        <is>
          <t>10K Solid Gold Last Supper Ring / Diamond Cut Religious Jewe</t>
        </is>
      </c>
      <c r="C811" s="3" t="n">
        <v>1740336135</v>
      </c>
      <c r="D811" s="3" t="inlineStr">
        <is>
          <t>RLSR1-10.5</t>
        </is>
      </c>
      <c r="E811" s="3" t="inlineStr">
        <is>
          <t>description</t>
        </is>
      </c>
      <c r="F811" s="14" t="n">
        <v>896</v>
      </c>
      <c r="G811" s="17" t="n">
        <v>5</v>
      </c>
      <c r="H811" s="14">
        <f>IF(G811="","",G811*Ayarlar!$B$3+Ayarlar!$B$4+Ayarlar!$B$5)</f>
        <v/>
      </c>
      <c r="I811" s="14">
        <f>IF(G811="","",ROUNDUP(((G811*Ayarlar!$B$3+Ayarlar!$B$4+Ayarlar!$B$5)+Ayarlar!$B$8)/((1-Ayarlar!$B$6)*(1-Ayarlar!$B$7)),0))</f>
        <v/>
      </c>
      <c r="J811" s="14">
        <f>IF(G811="","",ROUNDUP(((G811*Ayarlar!$B$3+Ayarlar!$B$4+Ayarlar!$B$5)+Ayarlar!$B$8)/((1-Ayarlar!$B$6)*(1-Ayarlar!$B$7-Ayarlar!$B$9)),0))</f>
        <v/>
      </c>
      <c r="K811" s="15">
        <f>IF(OR(G811="",F811=""),"",(F811*(1-Ayarlar!$B$6)-(F811*(1-Ayarlar!$B$6)*Ayarlar!$B$7+Ayarlar!$B$8)-(G811*Ayarlar!$B$3+Ayarlar!$B$4+Ayarlar!$B$5))/(F811*(1-Ayarlar!$B$6)))</f>
        <v/>
      </c>
      <c r="L811" s="3">
        <f>IF(G811="","GRAM EKSİK",IF(F811&gt;30000,"FİYAT ŞÜPHELİ",IF(K811&lt;0,"ZARARDA",IF(F811&lt;I811,"RİSKLİ","ok"))))</f>
        <v/>
      </c>
      <c r="M811" s="16" t="inlineStr">
        <is>
          <t>https://www.etsy.com/listing/1740336135</t>
        </is>
      </c>
    </row>
    <row r="812">
      <c r="A812" s="9" t="inlineStr">
        <is>
          <t>faith</t>
        </is>
      </c>
      <c r="B812" s="9" t="inlineStr">
        <is>
          <t>10K Solid Gold Last Supper Ring / Diamond Cut Religious Jewe</t>
        </is>
      </c>
      <c r="C812" s="9" t="n">
        <v>1740336135</v>
      </c>
      <c r="D812" s="9" t="inlineStr">
        <is>
          <t>RLSR1-11</t>
        </is>
      </c>
      <c r="E812" s="9" t="inlineStr">
        <is>
          <t>description</t>
        </is>
      </c>
      <c r="F812" s="10" t="n">
        <v>896</v>
      </c>
      <c r="G812" s="18" t="n">
        <v>5</v>
      </c>
      <c r="H812" s="10">
        <f>IF(G812="","",G812*Ayarlar!$B$3+Ayarlar!$B$4+Ayarlar!$B$5)</f>
        <v/>
      </c>
      <c r="I812" s="10">
        <f>IF(G812="","",ROUNDUP(((G812*Ayarlar!$B$3+Ayarlar!$B$4+Ayarlar!$B$5)+Ayarlar!$B$8)/((1-Ayarlar!$B$6)*(1-Ayarlar!$B$7)),0))</f>
        <v/>
      </c>
      <c r="J812" s="10">
        <f>IF(G812="","",ROUNDUP(((G812*Ayarlar!$B$3+Ayarlar!$B$4+Ayarlar!$B$5)+Ayarlar!$B$8)/((1-Ayarlar!$B$6)*(1-Ayarlar!$B$7-Ayarlar!$B$9)),0))</f>
        <v/>
      </c>
      <c r="K812" s="12">
        <f>IF(OR(G812="",F812=""),"",(F812*(1-Ayarlar!$B$6)-(F812*(1-Ayarlar!$B$6)*Ayarlar!$B$7+Ayarlar!$B$8)-(G812*Ayarlar!$B$3+Ayarlar!$B$4+Ayarlar!$B$5))/(F812*(1-Ayarlar!$B$6)))</f>
        <v/>
      </c>
      <c r="L812" s="9">
        <f>IF(G812="","GRAM EKSİK",IF(F812&gt;30000,"FİYAT ŞÜPHELİ",IF(K812&lt;0,"ZARARDA",IF(F812&lt;I812,"RİSKLİ","ok"))))</f>
        <v/>
      </c>
      <c r="M812" s="13" t="inlineStr">
        <is>
          <t>https://www.etsy.com/listing/1740336135</t>
        </is>
      </c>
    </row>
    <row r="813">
      <c r="A813" s="3" t="inlineStr">
        <is>
          <t>faith</t>
        </is>
      </c>
      <c r="B813" s="3" t="inlineStr">
        <is>
          <t>10K Solid Gold Last Supper Ring / Diamond Cut Religious Jewe</t>
        </is>
      </c>
      <c r="C813" s="3" t="n">
        <v>1740336135</v>
      </c>
      <c r="D813" s="3" t="inlineStr">
        <is>
          <t>RLSR1-11.5</t>
        </is>
      </c>
      <c r="E813" s="3" t="inlineStr">
        <is>
          <t>description</t>
        </is>
      </c>
      <c r="F813" s="14" t="n">
        <v>896</v>
      </c>
      <c r="G813" s="17" t="n">
        <v>5</v>
      </c>
      <c r="H813" s="14">
        <f>IF(G813="","",G813*Ayarlar!$B$3+Ayarlar!$B$4+Ayarlar!$B$5)</f>
        <v/>
      </c>
      <c r="I813" s="14">
        <f>IF(G813="","",ROUNDUP(((G813*Ayarlar!$B$3+Ayarlar!$B$4+Ayarlar!$B$5)+Ayarlar!$B$8)/((1-Ayarlar!$B$6)*(1-Ayarlar!$B$7)),0))</f>
        <v/>
      </c>
      <c r="J813" s="14">
        <f>IF(G813="","",ROUNDUP(((G813*Ayarlar!$B$3+Ayarlar!$B$4+Ayarlar!$B$5)+Ayarlar!$B$8)/((1-Ayarlar!$B$6)*(1-Ayarlar!$B$7-Ayarlar!$B$9)),0))</f>
        <v/>
      </c>
      <c r="K813" s="15">
        <f>IF(OR(G813="",F813=""),"",(F813*(1-Ayarlar!$B$6)-(F813*(1-Ayarlar!$B$6)*Ayarlar!$B$7+Ayarlar!$B$8)-(G813*Ayarlar!$B$3+Ayarlar!$B$4+Ayarlar!$B$5))/(F813*(1-Ayarlar!$B$6)))</f>
        <v/>
      </c>
      <c r="L813" s="3">
        <f>IF(G813="","GRAM EKSİK",IF(F813&gt;30000,"FİYAT ŞÜPHELİ",IF(K813&lt;0,"ZARARDA",IF(F813&lt;I813,"RİSKLİ","ok"))))</f>
        <v/>
      </c>
      <c r="M813" s="16" t="inlineStr">
        <is>
          <t>https://www.etsy.com/listing/1740336135</t>
        </is>
      </c>
    </row>
    <row r="814">
      <c r="A814" s="9" t="inlineStr">
        <is>
          <t>faith</t>
        </is>
      </c>
      <c r="B814" s="9" t="inlineStr">
        <is>
          <t>10K Solid Gold Last Supper Ring / Diamond Cut Religious Jewe</t>
        </is>
      </c>
      <c r="C814" s="9" t="n">
        <v>1740336135</v>
      </c>
      <c r="D814" s="9" t="inlineStr">
        <is>
          <t>RLSR1-12</t>
        </is>
      </c>
      <c r="E814" s="9" t="inlineStr">
        <is>
          <t>description</t>
        </is>
      </c>
      <c r="F814" s="10" t="n">
        <v>896</v>
      </c>
      <c r="G814" s="18" t="n">
        <v>5</v>
      </c>
      <c r="H814" s="10">
        <f>IF(G814="","",G814*Ayarlar!$B$3+Ayarlar!$B$4+Ayarlar!$B$5)</f>
        <v/>
      </c>
      <c r="I814" s="10">
        <f>IF(G814="","",ROUNDUP(((G814*Ayarlar!$B$3+Ayarlar!$B$4+Ayarlar!$B$5)+Ayarlar!$B$8)/((1-Ayarlar!$B$6)*(1-Ayarlar!$B$7)),0))</f>
        <v/>
      </c>
      <c r="J814" s="10">
        <f>IF(G814="","",ROUNDUP(((G814*Ayarlar!$B$3+Ayarlar!$B$4+Ayarlar!$B$5)+Ayarlar!$B$8)/((1-Ayarlar!$B$6)*(1-Ayarlar!$B$7-Ayarlar!$B$9)),0))</f>
        <v/>
      </c>
      <c r="K814" s="12">
        <f>IF(OR(G814="",F814=""),"",(F814*(1-Ayarlar!$B$6)-(F814*(1-Ayarlar!$B$6)*Ayarlar!$B$7+Ayarlar!$B$8)-(G814*Ayarlar!$B$3+Ayarlar!$B$4+Ayarlar!$B$5))/(F814*(1-Ayarlar!$B$6)))</f>
        <v/>
      </c>
      <c r="L814" s="9">
        <f>IF(G814="","GRAM EKSİK",IF(F814&gt;30000,"FİYAT ŞÜPHELİ",IF(K814&lt;0,"ZARARDA",IF(F814&lt;I814,"RİSKLİ","ok"))))</f>
        <v/>
      </c>
      <c r="M814" s="13" t="inlineStr">
        <is>
          <t>https://www.etsy.com/listing/1740336135</t>
        </is>
      </c>
    </row>
    <row r="815">
      <c r="A815" s="3" t="inlineStr">
        <is>
          <t>faith</t>
        </is>
      </c>
      <c r="B815" s="3" t="inlineStr">
        <is>
          <t>10K Solid Gold Last Supper Ring / Diamond Cut Religious Jewe</t>
        </is>
      </c>
      <c r="C815" s="3" t="n">
        <v>1740336135</v>
      </c>
      <c r="D815" s="3" t="inlineStr">
        <is>
          <t>RLSR1-12.5</t>
        </is>
      </c>
      <c r="E815" s="3" t="inlineStr">
        <is>
          <t>description</t>
        </is>
      </c>
      <c r="F815" s="14" t="n">
        <v>896</v>
      </c>
      <c r="G815" s="17" t="n">
        <v>5</v>
      </c>
      <c r="H815" s="14">
        <f>IF(G815="","",G815*Ayarlar!$B$3+Ayarlar!$B$4+Ayarlar!$B$5)</f>
        <v/>
      </c>
      <c r="I815" s="14">
        <f>IF(G815="","",ROUNDUP(((G815*Ayarlar!$B$3+Ayarlar!$B$4+Ayarlar!$B$5)+Ayarlar!$B$8)/((1-Ayarlar!$B$6)*(1-Ayarlar!$B$7)),0))</f>
        <v/>
      </c>
      <c r="J815" s="14">
        <f>IF(G815="","",ROUNDUP(((G815*Ayarlar!$B$3+Ayarlar!$B$4+Ayarlar!$B$5)+Ayarlar!$B$8)/((1-Ayarlar!$B$6)*(1-Ayarlar!$B$7-Ayarlar!$B$9)),0))</f>
        <v/>
      </c>
      <c r="K815" s="15">
        <f>IF(OR(G815="",F815=""),"",(F815*(1-Ayarlar!$B$6)-(F815*(1-Ayarlar!$B$6)*Ayarlar!$B$7+Ayarlar!$B$8)-(G815*Ayarlar!$B$3+Ayarlar!$B$4+Ayarlar!$B$5))/(F815*(1-Ayarlar!$B$6)))</f>
        <v/>
      </c>
      <c r="L815" s="3">
        <f>IF(G815="","GRAM EKSİK",IF(F815&gt;30000,"FİYAT ŞÜPHELİ",IF(K815&lt;0,"ZARARDA",IF(F815&lt;I815,"RİSKLİ","ok"))))</f>
        <v/>
      </c>
      <c r="M815" s="16" t="inlineStr">
        <is>
          <t>https://www.etsy.com/listing/1740336135</t>
        </is>
      </c>
    </row>
    <row r="816">
      <c r="A816" s="9" t="inlineStr">
        <is>
          <t>faith</t>
        </is>
      </c>
      <c r="B816" s="9" t="inlineStr">
        <is>
          <t>10K Solid Gold Last Supper Ring / Diamond Cut Religious Jewe</t>
        </is>
      </c>
      <c r="C816" s="9" t="n">
        <v>1740336135</v>
      </c>
      <c r="D816" s="9" t="inlineStr">
        <is>
          <t>RLSR1-7</t>
        </is>
      </c>
      <c r="E816" s="9" t="inlineStr">
        <is>
          <t>description</t>
        </is>
      </c>
      <c r="F816" s="10" t="n">
        <v>896</v>
      </c>
      <c r="G816" s="18" t="n">
        <v>5</v>
      </c>
      <c r="H816" s="10">
        <f>IF(G816="","",G816*Ayarlar!$B$3+Ayarlar!$B$4+Ayarlar!$B$5)</f>
        <v/>
      </c>
      <c r="I816" s="10">
        <f>IF(G816="","",ROUNDUP(((G816*Ayarlar!$B$3+Ayarlar!$B$4+Ayarlar!$B$5)+Ayarlar!$B$8)/((1-Ayarlar!$B$6)*(1-Ayarlar!$B$7)),0))</f>
        <v/>
      </c>
      <c r="J816" s="10">
        <f>IF(G816="","",ROUNDUP(((G816*Ayarlar!$B$3+Ayarlar!$B$4+Ayarlar!$B$5)+Ayarlar!$B$8)/((1-Ayarlar!$B$6)*(1-Ayarlar!$B$7-Ayarlar!$B$9)),0))</f>
        <v/>
      </c>
      <c r="K816" s="12">
        <f>IF(OR(G816="",F816=""),"",(F816*(1-Ayarlar!$B$6)-(F816*(1-Ayarlar!$B$6)*Ayarlar!$B$7+Ayarlar!$B$8)-(G816*Ayarlar!$B$3+Ayarlar!$B$4+Ayarlar!$B$5))/(F816*(1-Ayarlar!$B$6)))</f>
        <v/>
      </c>
      <c r="L816" s="9">
        <f>IF(G816="","GRAM EKSİK",IF(F816&gt;30000,"FİYAT ŞÜPHELİ",IF(K816&lt;0,"ZARARDA",IF(F816&lt;I816,"RİSKLİ","ok"))))</f>
        <v/>
      </c>
      <c r="M816" s="13" t="inlineStr">
        <is>
          <t>https://www.etsy.com/listing/1740336135</t>
        </is>
      </c>
    </row>
    <row r="817">
      <c r="A817" s="3" t="inlineStr">
        <is>
          <t>faith</t>
        </is>
      </c>
      <c r="B817" s="3" t="inlineStr">
        <is>
          <t>10K Solid Gold Last Supper Ring / Diamond Cut Religious Jewe</t>
        </is>
      </c>
      <c r="C817" s="3" t="n">
        <v>1740336135</v>
      </c>
      <c r="D817" s="3" t="inlineStr">
        <is>
          <t>RLSR1-7.5</t>
        </is>
      </c>
      <c r="E817" s="3" t="inlineStr">
        <is>
          <t>description</t>
        </is>
      </c>
      <c r="F817" s="14" t="n">
        <v>896</v>
      </c>
      <c r="G817" s="17" t="n">
        <v>5</v>
      </c>
      <c r="H817" s="14">
        <f>IF(G817="","",G817*Ayarlar!$B$3+Ayarlar!$B$4+Ayarlar!$B$5)</f>
        <v/>
      </c>
      <c r="I817" s="14">
        <f>IF(G817="","",ROUNDUP(((G817*Ayarlar!$B$3+Ayarlar!$B$4+Ayarlar!$B$5)+Ayarlar!$B$8)/((1-Ayarlar!$B$6)*(1-Ayarlar!$B$7)),0))</f>
        <v/>
      </c>
      <c r="J817" s="14">
        <f>IF(G817="","",ROUNDUP(((G817*Ayarlar!$B$3+Ayarlar!$B$4+Ayarlar!$B$5)+Ayarlar!$B$8)/((1-Ayarlar!$B$6)*(1-Ayarlar!$B$7-Ayarlar!$B$9)),0))</f>
        <v/>
      </c>
      <c r="K817" s="15">
        <f>IF(OR(G817="",F817=""),"",(F817*(1-Ayarlar!$B$6)-(F817*(1-Ayarlar!$B$6)*Ayarlar!$B$7+Ayarlar!$B$8)-(G817*Ayarlar!$B$3+Ayarlar!$B$4+Ayarlar!$B$5))/(F817*(1-Ayarlar!$B$6)))</f>
        <v/>
      </c>
      <c r="L817" s="3">
        <f>IF(G817="","GRAM EKSİK",IF(F817&gt;30000,"FİYAT ŞÜPHELİ",IF(K817&lt;0,"ZARARDA",IF(F817&lt;I817,"RİSKLİ","ok"))))</f>
        <v/>
      </c>
      <c r="M817" s="16" t="inlineStr">
        <is>
          <t>https://www.etsy.com/listing/1740336135</t>
        </is>
      </c>
    </row>
    <row r="818">
      <c r="A818" s="9" t="inlineStr">
        <is>
          <t>faith</t>
        </is>
      </c>
      <c r="B818" s="9" t="inlineStr">
        <is>
          <t>10K Solid Gold Last Supper Ring / Diamond Cut Religious Jewe</t>
        </is>
      </c>
      <c r="C818" s="9" t="n">
        <v>1740336135</v>
      </c>
      <c r="D818" s="9" t="inlineStr">
        <is>
          <t>RLSR1-8</t>
        </is>
      </c>
      <c r="E818" s="9" t="inlineStr">
        <is>
          <t>description</t>
        </is>
      </c>
      <c r="F818" s="10" t="n">
        <v>896</v>
      </c>
      <c r="G818" s="18" t="n">
        <v>5</v>
      </c>
      <c r="H818" s="10">
        <f>IF(G818="","",G818*Ayarlar!$B$3+Ayarlar!$B$4+Ayarlar!$B$5)</f>
        <v/>
      </c>
      <c r="I818" s="10">
        <f>IF(G818="","",ROUNDUP(((G818*Ayarlar!$B$3+Ayarlar!$B$4+Ayarlar!$B$5)+Ayarlar!$B$8)/((1-Ayarlar!$B$6)*(1-Ayarlar!$B$7)),0))</f>
        <v/>
      </c>
      <c r="J818" s="10">
        <f>IF(G818="","",ROUNDUP(((G818*Ayarlar!$B$3+Ayarlar!$B$4+Ayarlar!$B$5)+Ayarlar!$B$8)/((1-Ayarlar!$B$6)*(1-Ayarlar!$B$7-Ayarlar!$B$9)),0))</f>
        <v/>
      </c>
      <c r="K818" s="12">
        <f>IF(OR(G818="",F818=""),"",(F818*(1-Ayarlar!$B$6)-(F818*(1-Ayarlar!$B$6)*Ayarlar!$B$7+Ayarlar!$B$8)-(G818*Ayarlar!$B$3+Ayarlar!$B$4+Ayarlar!$B$5))/(F818*(1-Ayarlar!$B$6)))</f>
        <v/>
      </c>
      <c r="L818" s="9">
        <f>IF(G818="","GRAM EKSİK",IF(F818&gt;30000,"FİYAT ŞÜPHELİ",IF(K818&lt;0,"ZARARDA",IF(F818&lt;I818,"RİSKLİ","ok"))))</f>
        <v/>
      </c>
      <c r="M818" s="13" t="inlineStr">
        <is>
          <t>https://www.etsy.com/listing/1740336135</t>
        </is>
      </c>
    </row>
    <row r="819">
      <c r="A819" s="3" t="inlineStr">
        <is>
          <t>faith</t>
        </is>
      </c>
      <c r="B819" s="3" t="inlineStr">
        <is>
          <t>10K Solid Gold Last Supper Ring / Diamond Cut Religious Jewe</t>
        </is>
      </c>
      <c r="C819" s="3" t="n">
        <v>1740336135</v>
      </c>
      <c r="D819" s="3" t="inlineStr">
        <is>
          <t>RLSR1-8.5</t>
        </is>
      </c>
      <c r="E819" s="3" t="inlineStr">
        <is>
          <t>description</t>
        </is>
      </c>
      <c r="F819" s="14" t="n">
        <v>896</v>
      </c>
      <c r="G819" s="17" t="n">
        <v>5</v>
      </c>
      <c r="H819" s="14">
        <f>IF(G819="","",G819*Ayarlar!$B$3+Ayarlar!$B$4+Ayarlar!$B$5)</f>
        <v/>
      </c>
      <c r="I819" s="14">
        <f>IF(G819="","",ROUNDUP(((G819*Ayarlar!$B$3+Ayarlar!$B$4+Ayarlar!$B$5)+Ayarlar!$B$8)/((1-Ayarlar!$B$6)*(1-Ayarlar!$B$7)),0))</f>
        <v/>
      </c>
      <c r="J819" s="14">
        <f>IF(G819="","",ROUNDUP(((G819*Ayarlar!$B$3+Ayarlar!$B$4+Ayarlar!$B$5)+Ayarlar!$B$8)/((1-Ayarlar!$B$6)*(1-Ayarlar!$B$7-Ayarlar!$B$9)),0))</f>
        <v/>
      </c>
      <c r="K819" s="15">
        <f>IF(OR(G819="",F819=""),"",(F819*(1-Ayarlar!$B$6)-(F819*(1-Ayarlar!$B$6)*Ayarlar!$B$7+Ayarlar!$B$8)-(G819*Ayarlar!$B$3+Ayarlar!$B$4+Ayarlar!$B$5))/(F819*(1-Ayarlar!$B$6)))</f>
        <v/>
      </c>
      <c r="L819" s="3">
        <f>IF(G819="","GRAM EKSİK",IF(F819&gt;30000,"FİYAT ŞÜPHELİ",IF(K819&lt;0,"ZARARDA",IF(F819&lt;I819,"RİSKLİ","ok"))))</f>
        <v/>
      </c>
      <c r="M819" s="16" t="inlineStr">
        <is>
          <t>https://www.etsy.com/listing/1740336135</t>
        </is>
      </c>
    </row>
    <row r="820">
      <c r="A820" s="9" t="inlineStr">
        <is>
          <t>faith</t>
        </is>
      </c>
      <c r="B820" s="9" t="inlineStr">
        <is>
          <t>10K Solid Gold Last Supper Ring / Diamond Cut Religious Jewe</t>
        </is>
      </c>
      <c r="C820" s="9" t="n">
        <v>1740336135</v>
      </c>
      <c r="D820" s="9" t="inlineStr">
        <is>
          <t>RLSR1-9</t>
        </is>
      </c>
      <c r="E820" s="9" t="inlineStr">
        <is>
          <t>shipstation</t>
        </is>
      </c>
      <c r="F820" s="10" t="n">
        <v>896</v>
      </c>
      <c r="G820" s="18" t="n">
        <v>5</v>
      </c>
      <c r="H820" s="10">
        <f>IF(G820="","",G820*Ayarlar!$B$3+Ayarlar!$B$4+Ayarlar!$B$5)</f>
        <v/>
      </c>
      <c r="I820" s="10">
        <f>IF(G820="","",ROUNDUP(((G820*Ayarlar!$B$3+Ayarlar!$B$4+Ayarlar!$B$5)+Ayarlar!$B$8)/((1-Ayarlar!$B$6)*(1-Ayarlar!$B$7)),0))</f>
        <v/>
      </c>
      <c r="J820" s="10">
        <f>IF(G820="","",ROUNDUP(((G820*Ayarlar!$B$3+Ayarlar!$B$4+Ayarlar!$B$5)+Ayarlar!$B$8)/((1-Ayarlar!$B$6)*(1-Ayarlar!$B$7-Ayarlar!$B$9)),0))</f>
        <v/>
      </c>
      <c r="K820" s="12">
        <f>IF(OR(G820="",F820=""),"",(F820*(1-Ayarlar!$B$6)-(F820*(1-Ayarlar!$B$6)*Ayarlar!$B$7+Ayarlar!$B$8)-(G820*Ayarlar!$B$3+Ayarlar!$B$4+Ayarlar!$B$5))/(F820*(1-Ayarlar!$B$6)))</f>
        <v/>
      </c>
      <c r="L820" s="9">
        <f>IF(G820="","GRAM EKSİK",IF(F820&gt;30000,"FİYAT ŞÜPHELİ",IF(K820&lt;0,"ZARARDA",IF(F820&lt;I820,"RİSKLİ","ok"))))</f>
        <v/>
      </c>
      <c r="M820" s="13" t="inlineStr">
        <is>
          <t>https://www.etsy.com/listing/1740336135</t>
        </is>
      </c>
    </row>
    <row r="821">
      <c r="A821" s="3" t="inlineStr">
        <is>
          <t>faith</t>
        </is>
      </c>
      <c r="B821" s="3" t="inlineStr">
        <is>
          <t>10K Solid Gold Last Supper Ring / Diamond Cut Religious Jewe</t>
        </is>
      </c>
      <c r="C821" s="3" t="n">
        <v>1740336135</v>
      </c>
      <c r="D821" s="3" t="inlineStr">
        <is>
          <t>RLSR1-9.5</t>
        </is>
      </c>
      <c r="E821" s="3" t="inlineStr">
        <is>
          <t>description</t>
        </is>
      </c>
      <c r="F821" s="14" t="n">
        <v>896</v>
      </c>
      <c r="G821" s="17" t="n">
        <v>5</v>
      </c>
      <c r="H821" s="14">
        <f>IF(G821="","",G821*Ayarlar!$B$3+Ayarlar!$B$4+Ayarlar!$B$5)</f>
        <v/>
      </c>
      <c r="I821" s="14">
        <f>IF(G821="","",ROUNDUP(((G821*Ayarlar!$B$3+Ayarlar!$B$4+Ayarlar!$B$5)+Ayarlar!$B$8)/((1-Ayarlar!$B$6)*(1-Ayarlar!$B$7)),0))</f>
        <v/>
      </c>
      <c r="J821" s="14">
        <f>IF(G821="","",ROUNDUP(((G821*Ayarlar!$B$3+Ayarlar!$B$4+Ayarlar!$B$5)+Ayarlar!$B$8)/((1-Ayarlar!$B$6)*(1-Ayarlar!$B$7-Ayarlar!$B$9)),0))</f>
        <v/>
      </c>
      <c r="K821" s="15">
        <f>IF(OR(G821="",F821=""),"",(F821*(1-Ayarlar!$B$6)-(F821*(1-Ayarlar!$B$6)*Ayarlar!$B$7+Ayarlar!$B$8)-(G821*Ayarlar!$B$3+Ayarlar!$B$4+Ayarlar!$B$5))/(F821*(1-Ayarlar!$B$6)))</f>
        <v/>
      </c>
      <c r="L821" s="3">
        <f>IF(G821="","GRAM EKSİK",IF(F821&gt;30000,"FİYAT ŞÜPHELİ",IF(K821&lt;0,"ZARARDA",IF(F821&lt;I821,"RİSKLİ","ok"))))</f>
        <v/>
      </c>
      <c r="M821" s="16" t="inlineStr">
        <is>
          <t>https://www.etsy.com/listing/1740336135</t>
        </is>
      </c>
    </row>
    <row r="822">
      <c r="A822" s="9" t="inlineStr">
        <is>
          <t>faith</t>
        </is>
      </c>
      <c r="B822" s="9" t="inlineStr">
        <is>
          <t>10K Solid Gold Men's Jesus Ring / Nugget CZ Religious Ring</t>
        </is>
      </c>
      <c r="C822" s="9" t="n">
        <v>1729232602</v>
      </c>
      <c r="D822" s="9" t="inlineStr">
        <is>
          <t>R1729232602</t>
        </is>
      </c>
      <c r="E822" s="9" t="inlineStr">
        <is>
          <t>description</t>
        </is>
      </c>
      <c r="F822" s="10" t="n">
        <v>896</v>
      </c>
      <c r="G822" s="18" t="n">
        <v>5</v>
      </c>
      <c r="H822" s="10">
        <f>IF(G822="","",G822*Ayarlar!$B$3+Ayarlar!$B$4+Ayarlar!$B$5)</f>
        <v/>
      </c>
      <c r="I822" s="10">
        <f>IF(G822="","",ROUNDUP(((G822*Ayarlar!$B$3+Ayarlar!$B$4+Ayarlar!$B$5)+Ayarlar!$B$8)/((1-Ayarlar!$B$6)*(1-Ayarlar!$B$7)),0))</f>
        <v/>
      </c>
      <c r="J822" s="10">
        <f>IF(G822="","",ROUNDUP(((G822*Ayarlar!$B$3+Ayarlar!$B$4+Ayarlar!$B$5)+Ayarlar!$B$8)/((1-Ayarlar!$B$6)*(1-Ayarlar!$B$7-Ayarlar!$B$9)),0))</f>
        <v/>
      </c>
      <c r="K822" s="12">
        <f>IF(OR(G822="",F822=""),"",(F822*(1-Ayarlar!$B$6)-(F822*(1-Ayarlar!$B$6)*Ayarlar!$B$7+Ayarlar!$B$8)-(G822*Ayarlar!$B$3+Ayarlar!$B$4+Ayarlar!$B$5))/(F822*(1-Ayarlar!$B$6)))</f>
        <v/>
      </c>
      <c r="L822" s="9">
        <f>IF(G822="","GRAM EKSİK",IF(F822&gt;30000,"FİYAT ŞÜPHELİ",IF(K822&lt;0,"ZARARDA",IF(F822&lt;I822,"RİSKLİ","ok"))))</f>
        <v/>
      </c>
      <c r="M822" s="13" t="inlineStr">
        <is>
          <t>https://www.etsy.com/listing/1729232602</t>
        </is>
      </c>
    </row>
    <row r="823">
      <c r="A823" s="3" t="inlineStr">
        <is>
          <t>faith</t>
        </is>
      </c>
      <c r="B823" s="3" t="inlineStr">
        <is>
          <t>14K Gold Jesus Crucifix Pendant / Two-Tone Religious Jewelry</t>
        </is>
      </c>
      <c r="C823" s="3" t="n">
        <v>1848404088</v>
      </c>
      <c r="D823" s="3" t="inlineStr">
        <is>
          <t>PCF1</t>
        </is>
      </c>
      <c r="E823" s="3" t="inlineStr">
        <is>
          <t>shipstation</t>
        </is>
      </c>
      <c r="F823" s="14" t="n">
        <v>177</v>
      </c>
      <c r="G823" s="17" t="n">
        <v>0.9</v>
      </c>
      <c r="H823" s="14">
        <f>IF(G823="","",G823*Ayarlar!$B$3+Ayarlar!$B$4+Ayarlar!$B$5)</f>
        <v/>
      </c>
      <c r="I823" s="14">
        <f>IF(G823="","",ROUNDUP(((G823*Ayarlar!$B$3+Ayarlar!$B$4+Ayarlar!$B$5)+Ayarlar!$B$8)/((1-Ayarlar!$B$6)*(1-Ayarlar!$B$7)),0))</f>
        <v/>
      </c>
      <c r="J823" s="14">
        <f>IF(G823="","",ROUNDUP(((G823*Ayarlar!$B$3+Ayarlar!$B$4+Ayarlar!$B$5)+Ayarlar!$B$8)/((1-Ayarlar!$B$6)*(1-Ayarlar!$B$7-Ayarlar!$B$9)),0))</f>
        <v/>
      </c>
      <c r="K823" s="15">
        <f>IF(OR(G823="",F823=""),"",(F823*(1-Ayarlar!$B$6)-(F823*(1-Ayarlar!$B$6)*Ayarlar!$B$7+Ayarlar!$B$8)-(G823*Ayarlar!$B$3+Ayarlar!$B$4+Ayarlar!$B$5))/(F823*(1-Ayarlar!$B$6)))</f>
        <v/>
      </c>
      <c r="L823" s="3">
        <f>IF(G823="","GRAM EKSİK",IF(F823&gt;30000,"FİYAT ŞÜPHELİ",IF(K823&lt;0,"ZARARDA",IF(F823&lt;I823,"RİSKLİ","ok"))))</f>
        <v/>
      </c>
      <c r="M823" s="16" t="inlineStr">
        <is>
          <t>https://www.etsy.com/listing/1848404088</t>
        </is>
      </c>
    </row>
    <row r="824">
      <c r="A824" s="9" t="inlineStr">
        <is>
          <t>faith</t>
        </is>
      </c>
      <c r="B824" s="9" t="inlineStr">
        <is>
          <t>14K Gold Jesus Crucifix Pendant / Two-Tone Religious Jewelry</t>
        </is>
      </c>
      <c r="C824" s="9" t="n">
        <v>1848404088</v>
      </c>
      <c r="D824" s="9" t="inlineStr">
        <is>
          <t>PCF2</t>
        </is>
      </c>
      <c r="E824" s="9" t="inlineStr">
        <is>
          <t>shipstation</t>
        </is>
      </c>
      <c r="F824" s="10" t="n">
        <v>353</v>
      </c>
      <c r="G824" s="18" t="n">
        <v>1.93</v>
      </c>
      <c r="H824" s="10">
        <f>IF(G824="","",G824*Ayarlar!$B$3+Ayarlar!$B$4+Ayarlar!$B$5)</f>
        <v/>
      </c>
      <c r="I824" s="10">
        <f>IF(G824="","",ROUNDUP(((G824*Ayarlar!$B$3+Ayarlar!$B$4+Ayarlar!$B$5)+Ayarlar!$B$8)/((1-Ayarlar!$B$6)*(1-Ayarlar!$B$7)),0))</f>
        <v/>
      </c>
      <c r="J824" s="10">
        <f>IF(G824="","",ROUNDUP(((G824*Ayarlar!$B$3+Ayarlar!$B$4+Ayarlar!$B$5)+Ayarlar!$B$8)/((1-Ayarlar!$B$6)*(1-Ayarlar!$B$7-Ayarlar!$B$9)),0))</f>
        <v/>
      </c>
      <c r="K824" s="12">
        <f>IF(OR(G824="",F824=""),"",(F824*(1-Ayarlar!$B$6)-(F824*(1-Ayarlar!$B$6)*Ayarlar!$B$7+Ayarlar!$B$8)-(G824*Ayarlar!$B$3+Ayarlar!$B$4+Ayarlar!$B$5))/(F824*(1-Ayarlar!$B$6)))</f>
        <v/>
      </c>
      <c r="L824" s="9">
        <f>IF(G824="","GRAM EKSİK",IF(F824&gt;30000,"FİYAT ŞÜPHELİ",IF(K824&lt;0,"ZARARDA",IF(F824&lt;I824,"RİSKLİ","ok"))))</f>
        <v/>
      </c>
      <c r="M824" s="13" t="inlineStr">
        <is>
          <t>https://www.etsy.com/listing/1848404088</t>
        </is>
      </c>
    </row>
    <row r="825">
      <c r="A825" s="3" t="inlineStr">
        <is>
          <t>faith</t>
        </is>
      </c>
      <c r="B825" s="3" t="inlineStr">
        <is>
          <t>14K Solid Gold Rosary Necklace – Diamond Cut Cross Crucifix,</t>
        </is>
      </c>
      <c r="C825" s="3" t="n">
        <v>1329785553</v>
      </c>
      <c r="D825" s="3" t="inlineStr">
        <is>
          <t>NROS1F-18</t>
        </is>
      </c>
      <c r="E825" s="3" t="inlineStr">
        <is>
          <t>description</t>
        </is>
      </c>
      <c r="F825" s="14" t="n">
        <v>1330</v>
      </c>
      <c r="G825" s="17" t="n">
        <v>7.45</v>
      </c>
      <c r="H825" s="14">
        <f>IF(G825="","",G825*Ayarlar!$B$3+Ayarlar!$B$4+Ayarlar!$B$5)</f>
        <v/>
      </c>
      <c r="I825" s="14">
        <f>IF(G825="","",ROUNDUP(((G825*Ayarlar!$B$3+Ayarlar!$B$4+Ayarlar!$B$5)+Ayarlar!$B$8)/((1-Ayarlar!$B$6)*(1-Ayarlar!$B$7)),0))</f>
        <v/>
      </c>
      <c r="J825" s="14">
        <f>IF(G825="","",ROUNDUP(((G825*Ayarlar!$B$3+Ayarlar!$B$4+Ayarlar!$B$5)+Ayarlar!$B$8)/((1-Ayarlar!$B$6)*(1-Ayarlar!$B$7-Ayarlar!$B$9)),0))</f>
        <v/>
      </c>
      <c r="K825" s="15">
        <f>IF(OR(G825="",F825=""),"",(F825*(1-Ayarlar!$B$6)-(F825*(1-Ayarlar!$B$6)*Ayarlar!$B$7+Ayarlar!$B$8)-(G825*Ayarlar!$B$3+Ayarlar!$B$4+Ayarlar!$B$5))/(F825*(1-Ayarlar!$B$6)))</f>
        <v/>
      </c>
      <c r="L825" s="3">
        <f>IF(G825="","GRAM EKSİK",IF(F825&gt;30000,"FİYAT ŞÜPHELİ",IF(K825&lt;0,"ZARARDA",IF(F825&lt;I825,"RİSKLİ","ok"))))</f>
        <v/>
      </c>
      <c r="M825" s="16" t="inlineStr">
        <is>
          <t>https://www.etsy.com/listing/1329785553</t>
        </is>
      </c>
    </row>
    <row r="826">
      <c r="A826" s="9" t="inlineStr">
        <is>
          <t>faith</t>
        </is>
      </c>
      <c r="B826" s="9" t="inlineStr">
        <is>
          <t>14K Solid Gold Rosary Necklace – Diamond Cut Cross Crucifix,</t>
        </is>
      </c>
      <c r="C826" s="9" t="n">
        <v>1329785553</v>
      </c>
      <c r="D826" s="9" t="inlineStr">
        <is>
          <t>NROS2F-18</t>
        </is>
      </c>
      <c r="E826" s="9" t="inlineStr">
        <is>
          <t>description</t>
        </is>
      </c>
      <c r="F826" s="10" t="n">
        <v>1330</v>
      </c>
      <c r="G826" s="18" t="n">
        <v>7.45</v>
      </c>
      <c r="H826" s="10">
        <f>IF(G826="","",G826*Ayarlar!$B$3+Ayarlar!$B$4+Ayarlar!$B$5)</f>
        <v/>
      </c>
      <c r="I826" s="10">
        <f>IF(G826="","",ROUNDUP(((G826*Ayarlar!$B$3+Ayarlar!$B$4+Ayarlar!$B$5)+Ayarlar!$B$8)/((1-Ayarlar!$B$6)*(1-Ayarlar!$B$7)),0))</f>
        <v/>
      </c>
      <c r="J826" s="10">
        <f>IF(G826="","",ROUNDUP(((G826*Ayarlar!$B$3+Ayarlar!$B$4+Ayarlar!$B$5)+Ayarlar!$B$8)/((1-Ayarlar!$B$6)*(1-Ayarlar!$B$7-Ayarlar!$B$9)),0))</f>
        <v/>
      </c>
      <c r="K826" s="12">
        <f>IF(OR(G826="",F826=""),"",(F826*(1-Ayarlar!$B$6)-(F826*(1-Ayarlar!$B$6)*Ayarlar!$B$7+Ayarlar!$B$8)-(G826*Ayarlar!$B$3+Ayarlar!$B$4+Ayarlar!$B$5))/(F826*(1-Ayarlar!$B$6)))</f>
        <v/>
      </c>
      <c r="L826" s="9">
        <f>IF(G826="","GRAM EKSİK",IF(F826&gt;30000,"FİYAT ŞÜPHELİ",IF(K826&lt;0,"ZARARDA",IF(F826&lt;I826,"RİSKLİ","ok"))))</f>
        <v/>
      </c>
      <c r="M826" s="13" t="inlineStr">
        <is>
          <t>https://www.etsy.com/listing/1329785553</t>
        </is>
      </c>
    </row>
    <row r="827">
      <c r="A827" s="3" t="inlineStr">
        <is>
          <t>faith</t>
        </is>
      </c>
      <c r="B827" s="3" t="inlineStr">
        <is>
          <t>14K Solid Gold Rosary Necklace – Diamond Cut Cross Crucifix,</t>
        </is>
      </c>
      <c r="C827" s="3" t="n">
        <v>1329785553</v>
      </c>
      <c r="D827" s="3" t="inlineStr">
        <is>
          <t>NROS3F-18</t>
        </is>
      </c>
      <c r="E827" s="3" t="inlineStr">
        <is>
          <t>description</t>
        </is>
      </c>
      <c r="F827" s="14" t="n">
        <v>2241</v>
      </c>
      <c r="G827" s="17" t="n">
        <v>12.6</v>
      </c>
      <c r="H827" s="14">
        <f>IF(G827="","",G827*Ayarlar!$B$3+Ayarlar!$B$4+Ayarlar!$B$5)</f>
        <v/>
      </c>
      <c r="I827" s="14">
        <f>IF(G827="","",ROUNDUP(((G827*Ayarlar!$B$3+Ayarlar!$B$4+Ayarlar!$B$5)+Ayarlar!$B$8)/((1-Ayarlar!$B$6)*(1-Ayarlar!$B$7)),0))</f>
        <v/>
      </c>
      <c r="J827" s="14">
        <f>IF(G827="","",ROUNDUP(((G827*Ayarlar!$B$3+Ayarlar!$B$4+Ayarlar!$B$5)+Ayarlar!$B$8)/((1-Ayarlar!$B$6)*(1-Ayarlar!$B$7-Ayarlar!$B$9)),0))</f>
        <v/>
      </c>
      <c r="K827" s="15">
        <f>IF(OR(G827="",F827=""),"",(F827*(1-Ayarlar!$B$6)-(F827*(1-Ayarlar!$B$6)*Ayarlar!$B$7+Ayarlar!$B$8)-(G827*Ayarlar!$B$3+Ayarlar!$B$4+Ayarlar!$B$5))/(F827*(1-Ayarlar!$B$6)))</f>
        <v/>
      </c>
      <c r="L827" s="3">
        <f>IF(G827="","GRAM EKSİK",IF(F827&gt;30000,"FİYAT ŞÜPHELİ",IF(K827&lt;0,"ZARARDA",IF(F827&lt;I827,"RİSKLİ","ok"))))</f>
        <v/>
      </c>
      <c r="M827" s="16" t="inlineStr">
        <is>
          <t>https://www.etsy.com/listing/1329785553</t>
        </is>
      </c>
    </row>
    <row r="828">
      <c r="A828" s="9" t="inlineStr">
        <is>
          <t>faith</t>
        </is>
      </c>
      <c r="B828" s="9" t="inlineStr">
        <is>
          <t>14K Solid Gold Rosary Necklace – Diamond Cut Cross Crucifix,</t>
        </is>
      </c>
      <c r="C828" s="9" t="n">
        <v>1329785553</v>
      </c>
      <c r="D828" s="9" t="inlineStr">
        <is>
          <t>NROS4F-18</t>
        </is>
      </c>
      <c r="E828" s="9" t="inlineStr">
        <is>
          <t>description</t>
        </is>
      </c>
      <c r="F828" s="10" t="n">
        <v>2241</v>
      </c>
      <c r="G828" s="18" t="n">
        <v>12.6</v>
      </c>
      <c r="H828" s="10">
        <f>IF(G828="","",G828*Ayarlar!$B$3+Ayarlar!$B$4+Ayarlar!$B$5)</f>
        <v/>
      </c>
      <c r="I828" s="10">
        <f>IF(G828="","",ROUNDUP(((G828*Ayarlar!$B$3+Ayarlar!$B$4+Ayarlar!$B$5)+Ayarlar!$B$8)/((1-Ayarlar!$B$6)*(1-Ayarlar!$B$7)),0))</f>
        <v/>
      </c>
      <c r="J828" s="10">
        <f>IF(G828="","",ROUNDUP(((G828*Ayarlar!$B$3+Ayarlar!$B$4+Ayarlar!$B$5)+Ayarlar!$B$8)/((1-Ayarlar!$B$6)*(1-Ayarlar!$B$7-Ayarlar!$B$9)),0))</f>
        <v/>
      </c>
      <c r="K828" s="12">
        <f>IF(OR(G828="",F828=""),"",(F828*(1-Ayarlar!$B$6)-(F828*(1-Ayarlar!$B$6)*Ayarlar!$B$7+Ayarlar!$B$8)-(G828*Ayarlar!$B$3+Ayarlar!$B$4+Ayarlar!$B$5))/(F828*(1-Ayarlar!$B$6)))</f>
        <v/>
      </c>
      <c r="L828" s="9">
        <f>IF(G828="","GRAM EKSİK",IF(F828&gt;30000,"FİYAT ŞÜPHELİ",IF(K828&lt;0,"ZARARDA",IF(F828&lt;I828,"RİSKLİ","ok"))))</f>
        <v/>
      </c>
      <c r="M828" s="13" t="inlineStr">
        <is>
          <t>https://www.etsy.com/listing/1329785553</t>
        </is>
      </c>
    </row>
    <row r="829">
      <c r="A829" s="3" t="inlineStr">
        <is>
          <t>faith</t>
        </is>
      </c>
      <c r="B829" s="3" t="inlineStr">
        <is>
          <t>14K Yellow Gold Baby Angel Pendant – CZ Stone Religious Char</t>
        </is>
      </c>
      <c r="C829" s="3" t="n">
        <v>1448825748</v>
      </c>
      <c r="D829" s="3" t="inlineStr">
        <is>
          <t>P12F-1</t>
        </is>
      </c>
      <c r="E829" s="3" t="inlineStr">
        <is>
          <t>description</t>
        </is>
      </c>
      <c r="F829" s="14" t="n">
        <v>312</v>
      </c>
      <c r="G829" s="17" t="n">
        <v>1.7</v>
      </c>
      <c r="H829" s="14">
        <f>IF(G829="","",G829*Ayarlar!$B$3+Ayarlar!$B$4+Ayarlar!$B$5)</f>
        <v/>
      </c>
      <c r="I829" s="14">
        <f>IF(G829="","",ROUNDUP(((G829*Ayarlar!$B$3+Ayarlar!$B$4+Ayarlar!$B$5)+Ayarlar!$B$8)/((1-Ayarlar!$B$6)*(1-Ayarlar!$B$7)),0))</f>
        <v/>
      </c>
      <c r="J829" s="14">
        <f>IF(G829="","",ROUNDUP(((G829*Ayarlar!$B$3+Ayarlar!$B$4+Ayarlar!$B$5)+Ayarlar!$B$8)/((1-Ayarlar!$B$6)*(1-Ayarlar!$B$7-Ayarlar!$B$9)),0))</f>
        <v/>
      </c>
      <c r="K829" s="15">
        <f>IF(OR(G829="",F829=""),"",(F829*(1-Ayarlar!$B$6)-(F829*(1-Ayarlar!$B$6)*Ayarlar!$B$7+Ayarlar!$B$8)-(G829*Ayarlar!$B$3+Ayarlar!$B$4+Ayarlar!$B$5))/(F829*(1-Ayarlar!$B$6)))</f>
        <v/>
      </c>
      <c r="L829" s="3">
        <f>IF(G829="","GRAM EKSİK",IF(F829&gt;30000,"FİYAT ŞÜPHELİ",IF(K829&lt;0,"ZARARDA",IF(F829&lt;I829,"RİSKLİ","ok"))))</f>
        <v/>
      </c>
      <c r="M829" s="16" t="inlineStr">
        <is>
          <t>https://www.etsy.com/listing/1448825748</t>
        </is>
      </c>
    </row>
    <row r="830">
      <c r="A830" s="9" t="inlineStr">
        <is>
          <t>faith</t>
        </is>
      </c>
      <c r="B830" s="9" t="inlineStr">
        <is>
          <t>14K Yellow Gold Baby Angel Pendant – CZ Stone Religious Char</t>
        </is>
      </c>
      <c r="C830" s="9" t="n">
        <v>1448825748</v>
      </c>
      <c r="D830" s="9" t="inlineStr">
        <is>
          <t>P12F-2</t>
        </is>
      </c>
      <c r="E830" s="9" t="inlineStr">
        <is>
          <t>description</t>
        </is>
      </c>
      <c r="F830" s="10" t="n">
        <v>661</v>
      </c>
      <c r="G830" s="18" t="n">
        <v>3.61</v>
      </c>
      <c r="H830" s="10">
        <f>IF(G830="","",G830*Ayarlar!$B$3+Ayarlar!$B$4+Ayarlar!$B$5)</f>
        <v/>
      </c>
      <c r="I830" s="10">
        <f>IF(G830="","",ROUNDUP(((G830*Ayarlar!$B$3+Ayarlar!$B$4+Ayarlar!$B$5)+Ayarlar!$B$8)/((1-Ayarlar!$B$6)*(1-Ayarlar!$B$7)),0))</f>
        <v/>
      </c>
      <c r="J830" s="10">
        <f>IF(G830="","",ROUNDUP(((G830*Ayarlar!$B$3+Ayarlar!$B$4+Ayarlar!$B$5)+Ayarlar!$B$8)/((1-Ayarlar!$B$6)*(1-Ayarlar!$B$7-Ayarlar!$B$9)),0))</f>
        <v/>
      </c>
      <c r="K830" s="12">
        <f>IF(OR(G830="",F830=""),"",(F830*(1-Ayarlar!$B$6)-(F830*(1-Ayarlar!$B$6)*Ayarlar!$B$7+Ayarlar!$B$8)-(G830*Ayarlar!$B$3+Ayarlar!$B$4+Ayarlar!$B$5))/(F830*(1-Ayarlar!$B$6)))</f>
        <v/>
      </c>
      <c r="L830" s="9">
        <f>IF(G830="","GRAM EKSİK",IF(F830&gt;30000,"FİYAT ŞÜPHELİ",IF(K830&lt;0,"ZARARDA",IF(F830&lt;I830,"RİSKLİ","ok"))))</f>
        <v/>
      </c>
      <c r="M830" s="13" t="inlineStr">
        <is>
          <t>https://www.etsy.com/listing/1448825748</t>
        </is>
      </c>
    </row>
    <row r="831">
      <c r="A831" s="3" t="inlineStr">
        <is>
          <t>faith</t>
        </is>
      </c>
      <c r="B831" s="3" t="inlineStr">
        <is>
          <t>Gold Jesus Pendant in 14K Tri-Color with Rope Chain</t>
        </is>
      </c>
      <c r="C831" s="3" t="n">
        <v>1864218405</v>
      </c>
      <c r="D831" s="3" t="inlineStr">
        <is>
          <t>PJTC1-40</t>
        </is>
      </c>
      <c r="E831" s="3" t="inlineStr">
        <is>
          <t>description</t>
        </is>
      </c>
      <c r="F831" s="14" t="n">
        <v>583</v>
      </c>
      <c r="G831" s="17" t="n">
        <v>3.23</v>
      </c>
      <c r="H831" s="14">
        <f>IF(G831="","",G831*Ayarlar!$B$3+Ayarlar!$B$4+Ayarlar!$B$5)</f>
        <v/>
      </c>
      <c r="I831" s="14">
        <f>IF(G831="","",ROUNDUP(((G831*Ayarlar!$B$3+Ayarlar!$B$4+Ayarlar!$B$5)+Ayarlar!$B$8)/((1-Ayarlar!$B$6)*(1-Ayarlar!$B$7)),0))</f>
        <v/>
      </c>
      <c r="J831" s="14">
        <f>IF(G831="","",ROUNDUP(((G831*Ayarlar!$B$3+Ayarlar!$B$4+Ayarlar!$B$5)+Ayarlar!$B$8)/((1-Ayarlar!$B$6)*(1-Ayarlar!$B$7-Ayarlar!$B$9)),0))</f>
        <v/>
      </c>
      <c r="K831" s="15">
        <f>IF(OR(G831="",F831=""),"",(F831*(1-Ayarlar!$B$6)-(F831*(1-Ayarlar!$B$6)*Ayarlar!$B$7+Ayarlar!$B$8)-(G831*Ayarlar!$B$3+Ayarlar!$B$4+Ayarlar!$B$5))/(F831*(1-Ayarlar!$B$6)))</f>
        <v/>
      </c>
      <c r="L831" s="3">
        <f>IF(G831="","GRAM EKSİK",IF(F831&gt;30000,"FİYAT ŞÜPHELİ",IF(K831&lt;0,"ZARARDA",IF(F831&lt;I831,"RİSKLİ","ok"))))</f>
        <v/>
      </c>
      <c r="M831" s="16" t="inlineStr">
        <is>
          <t>https://www.etsy.com/listing/1864218405</t>
        </is>
      </c>
    </row>
    <row r="832">
      <c r="A832" s="9" t="inlineStr">
        <is>
          <t>faith</t>
        </is>
      </c>
      <c r="B832" s="9" t="inlineStr">
        <is>
          <t>Gold Jesus Pendant in 14K Tri-Color with Rope Chain</t>
        </is>
      </c>
      <c r="C832" s="9" t="n">
        <v>1864218405</v>
      </c>
      <c r="D832" s="9" t="inlineStr">
        <is>
          <t>PJTC140-16</t>
        </is>
      </c>
      <c r="E832" s="9" t="inlineStr">
        <is>
          <t>description</t>
        </is>
      </c>
      <c r="F832" s="10" t="n">
        <v>980</v>
      </c>
      <c r="G832" s="18" t="n">
        <v>2.2</v>
      </c>
      <c r="H832" s="10">
        <f>IF(G832="","",G832*Ayarlar!$B$3+Ayarlar!$B$4+Ayarlar!$B$5)</f>
        <v/>
      </c>
      <c r="I832" s="10">
        <f>IF(G832="","",ROUNDUP(((G832*Ayarlar!$B$3+Ayarlar!$B$4+Ayarlar!$B$5)+Ayarlar!$B$8)/((1-Ayarlar!$B$6)*(1-Ayarlar!$B$7)),0))</f>
        <v/>
      </c>
      <c r="J832" s="10">
        <f>IF(G832="","",ROUNDUP(((G832*Ayarlar!$B$3+Ayarlar!$B$4+Ayarlar!$B$5)+Ayarlar!$B$8)/((1-Ayarlar!$B$6)*(1-Ayarlar!$B$7-Ayarlar!$B$9)),0))</f>
        <v/>
      </c>
      <c r="K832" s="12">
        <f>IF(OR(G832="",F832=""),"",(F832*(1-Ayarlar!$B$6)-(F832*(1-Ayarlar!$B$6)*Ayarlar!$B$7+Ayarlar!$B$8)-(G832*Ayarlar!$B$3+Ayarlar!$B$4+Ayarlar!$B$5))/(F832*(1-Ayarlar!$B$6)))</f>
        <v/>
      </c>
      <c r="L832" s="9">
        <f>IF(G832="","GRAM EKSİK",IF(F832&gt;30000,"FİYAT ŞÜPHELİ",IF(K832&lt;0,"ZARARDA",IF(F832&lt;I832,"RİSKLİ","ok"))))</f>
        <v/>
      </c>
      <c r="M832" s="13" t="inlineStr">
        <is>
          <t>https://www.etsy.com/listing/1864218405</t>
        </is>
      </c>
    </row>
    <row r="833">
      <c r="A833" s="3" t="inlineStr">
        <is>
          <t>faith</t>
        </is>
      </c>
      <c r="B833" s="3" t="inlineStr">
        <is>
          <t>Gold Jesus Pendant in 14K Tri-Color with Rope Chain</t>
        </is>
      </c>
      <c r="C833" s="3" t="n">
        <v>1864218405</v>
      </c>
      <c r="D833" s="3" t="inlineStr">
        <is>
          <t>PJTC140-18</t>
        </is>
      </c>
      <c r="E833" s="3" t="inlineStr">
        <is>
          <t>description</t>
        </is>
      </c>
      <c r="F833" s="14" t="n">
        <v>1034</v>
      </c>
      <c r="G833" s="17" t="n">
        <v>2.48</v>
      </c>
      <c r="H833" s="14">
        <f>IF(G833="","",G833*Ayarlar!$B$3+Ayarlar!$B$4+Ayarlar!$B$5)</f>
        <v/>
      </c>
      <c r="I833" s="14">
        <f>IF(G833="","",ROUNDUP(((G833*Ayarlar!$B$3+Ayarlar!$B$4+Ayarlar!$B$5)+Ayarlar!$B$8)/((1-Ayarlar!$B$6)*(1-Ayarlar!$B$7)),0))</f>
        <v/>
      </c>
      <c r="J833" s="14">
        <f>IF(G833="","",ROUNDUP(((G833*Ayarlar!$B$3+Ayarlar!$B$4+Ayarlar!$B$5)+Ayarlar!$B$8)/((1-Ayarlar!$B$6)*(1-Ayarlar!$B$7-Ayarlar!$B$9)),0))</f>
        <v/>
      </c>
      <c r="K833" s="15">
        <f>IF(OR(G833="",F833=""),"",(F833*(1-Ayarlar!$B$6)-(F833*(1-Ayarlar!$B$6)*Ayarlar!$B$7+Ayarlar!$B$8)-(G833*Ayarlar!$B$3+Ayarlar!$B$4+Ayarlar!$B$5))/(F833*(1-Ayarlar!$B$6)))</f>
        <v/>
      </c>
      <c r="L833" s="3">
        <f>IF(G833="","GRAM EKSİK",IF(F833&gt;30000,"FİYAT ŞÜPHELİ",IF(K833&lt;0,"ZARARDA",IF(F833&lt;I833,"RİSKLİ","ok"))))</f>
        <v/>
      </c>
      <c r="M833" s="16" t="inlineStr">
        <is>
          <t>https://www.etsy.com/listing/1864218405</t>
        </is>
      </c>
    </row>
    <row r="834">
      <c r="A834" s="9" t="inlineStr">
        <is>
          <t>faith</t>
        </is>
      </c>
      <c r="B834" s="9" t="inlineStr">
        <is>
          <t>Gold Jesus Pendant in 14K Tri-Color with Rope Chain</t>
        </is>
      </c>
      <c r="C834" s="9" t="n">
        <v>1864218405</v>
      </c>
      <c r="D834" s="9" t="inlineStr">
        <is>
          <t>PJTC140-20</t>
        </is>
      </c>
      <c r="E834" s="9" t="inlineStr">
        <is>
          <t>description</t>
        </is>
      </c>
      <c r="F834" s="10" t="n">
        <v>1089</v>
      </c>
      <c r="G834" s="18" t="n">
        <v>2.75</v>
      </c>
      <c r="H834" s="10">
        <f>IF(G834="","",G834*Ayarlar!$B$3+Ayarlar!$B$4+Ayarlar!$B$5)</f>
        <v/>
      </c>
      <c r="I834" s="10">
        <f>IF(G834="","",ROUNDUP(((G834*Ayarlar!$B$3+Ayarlar!$B$4+Ayarlar!$B$5)+Ayarlar!$B$8)/((1-Ayarlar!$B$6)*(1-Ayarlar!$B$7)),0))</f>
        <v/>
      </c>
      <c r="J834" s="10">
        <f>IF(G834="","",ROUNDUP(((G834*Ayarlar!$B$3+Ayarlar!$B$4+Ayarlar!$B$5)+Ayarlar!$B$8)/((1-Ayarlar!$B$6)*(1-Ayarlar!$B$7-Ayarlar!$B$9)),0))</f>
        <v/>
      </c>
      <c r="K834" s="12">
        <f>IF(OR(G834="",F834=""),"",(F834*(1-Ayarlar!$B$6)-(F834*(1-Ayarlar!$B$6)*Ayarlar!$B$7+Ayarlar!$B$8)-(G834*Ayarlar!$B$3+Ayarlar!$B$4+Ayarlar!$B$5))/(F834*(1-Ayarlar!$B$6)))</f>
        <v/>
      </c>
      <c r="L834" s="9">
        <f>IF(G834="","GRAM EKSİK",IF(F834&gt;30000,"FİYAT ŞÜPHELİ",IF(K834&lt;0,"ZARARDA",IF(F834&lt;I834,"RİSKLİ","ok"))))</f>
        <v/>
      </c>
      <c r="M834" s="13" t="inlineStr">
        <is>
          <t>https://www.etsy.com/listing/1864218405</t>
        </is>
      </c>
    </row>
    <row r="835">
      <c r="A835" s="3" t="inlineStr">
        <is>
          <t>faith</t>
        </is>
      </c>
      <c r="B835" s="3" t="inlineStr">
        <is>
          <t>Gold Jesus Pendant in 14K Tri-Color with Rope Chain</t>
        </is>
      </c>
      <c r="C835" s="3" t="n">
        <v>1864218405</v>
      </c>
      <c r="D835" s="3" t="inlineStr">
        <is>
          <t>PJTC140-22</t>
        </is>
      </c>
      <c r="E835" s="3" t="inlineStr">
        <is>
          <t>description</t>
        </is>
      </c>
      <c r="F835" s="14" t="n">
        <v>1218</v>
      </c>
      <c r="G835" s="17" t="n">
        <v>3.03</v>
      </c>
      <c r="H835" s="14">
        <f>IF(G835="","",G835*Ayarlar!$B$3+Ayarlar!$B$4+Ayarlar!$B$5)</f>
        <v/>
      </c>
      <c r="I835" s="14">
        <f>IF(G835="","",ROUNDUP(((G835*Ayarlar!$B$3+Ayarlar!$B$4+Ayarlar!$B$5)+Ayarlar!$B$8)/((1-Ayarlar!$B$6)*(1-Ayarlar!$B$7)),0))</f>
        <v/>
      </c>
      <c r="J835" s="14">
        <f>IF(G835="","",ROUNDUP(((G835*Ayarlar!$B$3+Ayarlar!$B$4+Ayarlar!$B$5)+Ayarlar!$B$8)/((1-Ayarlar!$B$6)*(1-Ayarlar!$B$7-Ayarlar!$B$9)),0))</f>
        <v/>
      </c>
      <c r="K835" s="15">
        <f>IF(OR(G835="",F835=""),"",(F835*(1-Ayarlar!$B$6)-(F835*(1-Ayarlar!$B$6)*Ayarlar!$B$7+Ayarlar!$B$8)-(G835*Ayarlar!$B$3+Ayarlar!$B$4+Ayarlar!$B$5))/(F835*(1-Ayarlar!$B$6)))</f>
        <v/>
      </c>
      <c r="L835" s="3">
        <f>IF(G835="","GRAM EKSİK",IF(F835&gt;30000,"FİYAT ŞÜPHELİ",IF(K835&lt;0,"ZARARDA",IF(F835&lt;I835,"RİSKLİ","ok"))))</f>
        <v/>
      </c>
      <c r="M835" s="16" t="inlineStr">
        <is>
          <t>https://www.etsy.com/listing/1864218405</t>
        </is>
      </c>
    </row>
    <row r="836">
      <c r="A836" s="9" t="inlineStr">
        <is>
          <t>faith</t>
        </is>
      </c>
      <c r="B836" s="9" t="inlineStr">
        <is>
          <t>Gold Jesus Pendant in 14K Tri-Color with Rope Chain</t>
        </is>
      </c>
      <c r="C836" s="9" t="n">
        <v>1864218405</v>
      </c>
      <c r="D836" s="9" t="inlineStr">
        <is>
          <t>PJTC140-24</t>
        </is>
      </c>
      <c r="E836" s="9" t="inlineStr">
        <is>
          <t>description</t>
        </is>
      </c>
      <c r="F836" s="10" t="n">
        <v>1198</v>
      </c>
      <c r="G836" s="18" t="n">
        <v>3.3</v>
      </c>
      <c r="H836" s="10">
        <f>IF(G836="","",G836*Ayarlar!$B$3+Ayarlar!$B$4+Ayarlar!$B$5)</f>
        <v/>
      </c>
      <c r="I836" s="10">
        <f>IF(G836="","",ROUNDUP(((G836*Ayarlar!$B$3+Ayarlar!$B$4+Ayarlar!$B$5)+Ayarlar!$B$8)/((1-Ayarlar!$B$6)*(1-Ayarlar!$B$7)),0))</f>
        <v/>
      </c>
      <c r="J836" s="10">
        <f>IF(G836="","",ROUNDUP(((G836*Ayarlar!$B$3+Ayarlar!$B$4+Ayarlar!$B$5)+Ayarlar!$B$8)/((1-Ayarlar!$B$6)*(1-Ayarlar!$B$7-Ayarlar!$B$9)),0))</f>
        <v/>
      </c>
      <c r="K836" s="12">
        <f>IF(OR(G836="",F836=""),"",(F836*(1-Ayarlar!$B$6)-(F836*(1-Ayarlar!$B$6)*Ayarlar!$B$7+Ayarlar!$B$8)-(G836*Ayarlar!$B$3+Ayarlar!$B$4+Ayarlar!$B$5))/(F836*(1-Ayarlar!$B$6)))</f>
        <v/>
      </c>
      <c r="L836" s="9">
        <f>IF(G836="","GRAM EKSİK",IF(F836&gt;30000,"FİYAT ŞÜPHELİ",IF(K836&lt;0,"ZARARDA",IF(F836&lt;I836,"RİSKLİ","ok"))))</f>
        <v/>
      </c>
      <c r="M836" s="13" t="inlineStr">
        <is>
          <t>https://www.etsy.com/listing/1864218405</t>
        </is>
      </c>
    </row>
    <row r="837">
      <c r="A837" s="3" t="inlineStr">
        <is>
          <t>legacy</t>
        </is>
      </c>
      <c r="B837" s="3" t="inlineStr">
        <is>
          <t>10K Gold Cuban Curb Link Bracelet - Yellow Gold Chain</t>
        </is>
      </c>
      <c r="C837" s="3" t="n">
        <v>1820404194</v>
      </c>
      <c r="D837" s="3" t="inlineStr">
        <is>
          <t>B1820404194</t>
        </is>
      </c>
      <c r="E837" s="3" t="inlineStr">
        <is>
          <t>—</t>
        </is>
      </c>
      <c r="F837" s="14" t="n">
        <v>174.15</v>
      </c>
      <c r="G837" s="11" t="n"/>
      <c r="H837" s="14">
        <f>IF(G837="","",G837*Ayarlar!$B$3+Ayarlar!$B$4+Ayarlar!$B$5)</f>
        <v/>
      </c>
      <c r="I837" s="14">
        <f>IF(G837="","",ROUNDUP(((G837*Ayarlar!$B$3+Ayarlar!$B$4+Ayarlar!$B$5)+Ayarlar!$B$8)/((1-Ayarlar!$B$6)*(1-Ayarlar!$B$7)),0))</f>
        <v/>
      </c>
      <c r="J837" s="14">
        <f>IF(G837="","",ROUNDUP(((G837*Ayarlar!$B$3+Ayarlar!$B$4+Ayarlar!$B$5)+Ayarlar!$B$8)/((1-Ayarlar!$B$6)*(1-Ayarlar!$B$7-Ayarlar!$B$9)),0))</f>
        <v/>
      </c>
      <c r="K837" s="15">
        <f>IF(OR(G837="",F837=""),"",(F837*(1-Ayarlar!$B$6)-(F837*(1-Ayarlar!$B$6)*Ayarlar!$B$7+Ayarlar!$B$8)-(G837*Ayarlar!$B$3+Ayarlar!$B$4+Ayarlar!$B$5))/(F837*(1-Ayarlar!$B$6)))</f>
        <v/>
      </c>
      <c r="L837" s="3">
        <f>IF(G837="","GRAM EKSİK",IF(F837&gt;30000,"FİYAT ŞÜPHELİ",IF(K837&lt;0,"ZARARDA",IF(F837&lt;I837,"RİSKLİ","ok"))))</f>
        <v/>
      </c>
      <c r="M837" s="16" t="inlineStr">
        <is>
          <t>https://www.etsy.com/listing/1820404194</t>
        </is>
      </c>
    </row>
    <row r="838">
      <c r="A838" s="9" t="inlineStr">
        <is>
          <t>legacy</t>
        </is>
      </c>
      <c r="B838" s="9" t="inlineStr">
        <is>
          <t>10K Gold Miami Cuban Bracelet with CZ Box Lock</t>
        </is>
      </c>
      <c r="C838" s="9" t="n">
        <v>1763961937</v>
      </c>
      <c r="D838" s="9" t="inlineStr">
        <is>
          <t>BMON1-7</t>
        </is>
      </c>
      <c r="E838" s="9" t="inlineStr">
        <is>
          <t>description</t>
        </is>
      </c>
      <c r="F838" s="10" t="n">
        <v>1501</v>
      </c>
      <c r="G838" s="18" t="n">
        <v>11.13</v>
      </c>
      <c r="H838" s="10">
        <f>IF(G838="","",G838*Ayarlar!$B$3+Ayarlar!$B$4+Ayarlar!$B$5)</f>
        <v/>
      </c>
      <c r="I838" s="10">
        <f>IF(G838="","",ROUNDUP(((G838*Ayarlar!$B$3+Ayarlar!$B$4+Ayarlar!$B$5)+Ayarlar!$B$8)/((1-Ayarlar!$B$6)*(1-Ayarlar!$B$7)),0))</f>
        <v/>
      </c>
      <c r="J838" s="10">
        <f>IF(G838="","",ROUNDUP(((G838*Ayarlar!$B$3+Ayarlar!$B$4+Ayarlar!$B$5)+Ayarlar!$B$8)/((1-Ayarlar!$B$6)*(1-Ayarlar!$B$7-Ayarlar!$B$9)),0))</f>
        <v/>
      </c>
      <c r="K838" s="12">
        <f>IF(OR(G838="",F838=""),"",(F838*(1-Ayarlar!$B$6)-(F838*(1-Ayarlar!$B$6)*Ayarlar!$B$7+Ayarlar!$B$8)-(G838*Ayarlar!$B$3+Ayarlar!$B$4+Ayarlar!$B$5))/(F838*(1-Ayarlar!$B$6)))</f>
        <v/>
      </c>
      <c r="L838" s="9">
        <f>IF(G838="","GRAM EKSİK",IF(F838&gt;30000,"FİYAT ŞÜPHELİ",IF(K838&lt;0,"ZARARDA",IF(F838&lt;I838,"RİSKLİ","ok"))))</f>
        <v/>
      </c>
      <c r="M838" s="13" t="inlineStr">
        <is>
          <t>https://www.etsy.com/listing/1763961937</t>
        </is>
      </c>
    </row>
    <row r="839">
      <c r="A839" s="3" t="inlineStr">
        <is>
          <t>legacy</t>
        </is>
      </c>
      <c r="B839" s="3" t="inlineStr">
        <is>
          <t>10K Gold Miami Cuban Bracelet with CZ Box Lock</t>
        </is>
      </c>
      <c r="C839" s="3" t="n">
        <v>1763961937</v>
      </c>
      <c r="D839" s="3" t="inlineStr">
        <is>
          <t>BMON1-7.5</t>
        </is>
      </c>
      <c r="E839" s="3" t="inlineStr">
        <is>
          <t>description</t>
        </is>
      </c>
      <c r="F839" s="14" t="n">
        <v>1563</v>
      </c>
      <c r="G839" s="17" t="n">
        <v>11.92</v>
      </c>
      <c r="H839" s="14">
        <f>IF(G839="","",G839*Ayarlar!$B$3+Ayarlar!$B$4+Ayarlar!$B$5)</f>
        <v/>
      </c>
      <c r="I839" s="14">
        <f>IF(G839="","",ROUNDUP(((G839*Ayarlar!$B$3+Ayarlar!$B$4+Ayarlar!$B$5)+Ayarlar!$B$8)/((1-Ayarlar!$B$6)*(1-Ayarlar!$B$7)),0))</f>
        <v/>
      </c>
      <c r="J839" s="14">
        <f>IF(G839="","",ROUNDUP(((G839*Ayarlar!$B$3+Ayarlar!$B$4+Ayarlar!$B$5)+Ayarlar!$B$8)/((1-Ayarlar!$B$6)*(1-Ayarlar!$B$7-Ayarlar!$B$9)),0))</f>
        <v/>
      </c>
      <c r="K839" s="15">
        <f>IF(OR(G839="",F839=""),"",(F839*(1-Ayarlar!$B$6)-(F839*(1-Ayarlar!$B$6)*Ayarlar!$B$7+Ayarlar!$B$8)-(G839*Ayarlar!$B$3+Ayarlar!$B$4+Ayarlar!$B$5))/(F839*(1-Ayarlar!$B$6)))</f>
        <v/>
      </c>
      <c r="L839" s="3">
        <f>IF(G839="","GRAM EKSİK",IF(F839&gt;30000,"FİYAT ŞÜPHELİ",IF(K839&lt;0,"ZARARDA",IF(F839&lt;I839,"RİSKLİ","ok"))))</f>
        <v/>
      </c>
      <c r="M839" s="16" t="inlineStr">
        <is>
          <t>https://www.etsy.com/listing/1763961937</t>
        </is>
      </c>
    </row>
    <row r="840">
      <c r="A840" s="9" t="inlineStr">
        <is>
          <t>legacy</t>
        </is>
      </c>
      <c r="B840" s="9" t="inlineStr">
        <is>
          <t>10K Gold Miami Cuban Bracelet with CZ Box Lock</t>
        </is>
      </c>
      <c r="C840" s="9" t="n">
        <v>1763961937</v>
      </c>
      <c r="D840" s="9" t="inlineStr">
        <is>
          <t>BMON1-8</t>
        </is>
      </c>
      <c r="E840" s="9" t="inlineStr">
        <is>
          <t>description</t>
        </is>
      </c>
      <c r="F840" s="10" t="n">
        <v>1682</v>
      </c>
      <c r="G840" s="18" t="n">
        <v>12.71</v>
      </c>
      <c r="H840" s="10">
        <f>IF(G840="","",G840*Ayarlar!$B$3+Ayarlar!$B$4+Ayarlar!$B$5)</f>
        <v/>
      </c>
      <c r="I840" s="10">
        <f>IF(G840="","",ROUNDUP(((G840*Ayarlar!$B$3+Ayarlar!$B$4+Ayarlar!$B$5)+Ayarlar!$B$8)/((1-Ayarlar!$B$6)*(1-Ayarlar!$B$7)),0))</f>
        <v/>
      </c>
      <c r="J840" s="10">
        <f>IF(G840="","",ROUNDUP(((G840*Ayarlar!$B$3+Ayarlar!$B$4+Ayarlar!$B$5)+Ayarlar!$B$8)/((1-Ayarlar!$B$6)*(1-Ayarlar!$B$7-Ayarlar!$B$9)),0))</f>
        <v/>
      </c>
      <c r="K840" s="12">
        <f>IF(OR(G840="",F840=""),"",(F840*(1-Ayarlar!$B$6)-(F840*(1-Ayarlar!$B$6)*Ayarlar!$B$7+Ayarlar!$B$8)-(G840*Ayarlar!$B$3+Ayarlar!$B$4+Ayarlar!$B$5))/(F840*(1-Ayarlar!$B$6)))</f>
        <v/>
      </c>
      <c r="L840" s="9">
        <f>IF(G840="","GRAM EKSİK",IF(F840&gt;30000,"FİYAT ŞÜPHELİ",IF(K840&lt;0,"ZARARDA",IF(F840&lt;I840,"RİSKLİ","ok"))))</f>
        <v/>
      </c>
      <c r="M840" s="13" t="inlineStr">
        <is>
          <t>https://www.etsy.com/listing/1763961937</t>
        </is>
      </c>
    </row>
    <row r="841">
      <c r="A841" s="3" t="inlineStr">
        <is>
          <t>legacy</t>
        </is>
      </c>
      <c r="B841" s="3" t="inlineStr">
        <is>
          <t>10K Gold Miami Cuban Bracelet with CZ Box Lock</t>
        </is>
      </c>
      <c r="C841" s="3" t="n">
        <v>1763961937</v>
      </c>
      <c r="D841" s="3" t="inlineStr">
        <is>
          <t>BMON2-7</t>
        </is>
      </c>
      <c r="E841" s="3" t="inlineStr">
        <is>
          <t>description</t>
        </is>
      </c>
      <c r="F841" s="14" t="n">
        <v>2254</v>
      </c>
      <c r="G841" s="17" t="n">
        <v>14.85</v>
      </c>
      <c r="H841" s="14">
        <f>IF(G841="","",G841*Ayarlar!$B$3+Ayarlar!$B$4+Ayarlar!$B$5)</f>
        <v/>
      </c>
      <c r="I841" s="14">
        <f>IF(G841="","",ROUNDUP(((G841*Ayarlar!$B$3+Ayarlar!$B$4+Ayarlar!$B$5)+Ayarlar!$B$8)/((1-Ayarlar!$B$6)*(1-Ayarlar!$B$7)),0))</f>
        <v/>
      </c>
      <c r="J841" s="14">
        <f>IF(G841="","",ROUNDUP(((G841*Ayarlar!$B$3+Ayarlar!$B$4+Ayarlar!$B$5)+Ayarlar!$B$8)/((1-Ayarlar!$B$6)*(1-Ayarlar!$B$7-Ayarlar!$B$9)),0))</f>
        <v/>
      </c>
      <c r="K841" s="15">
        <f>IF(OR(G841="",F841=""),"",(F841*(1-Ayarlar!$B$6)-(F841*(1-Ayarlar!$B$6)*Ayarlar!$B$7+Ayarlar!$B$8)-(G841*Ayarlar!$B$3+Ayarlar!$B$4+Ayarlar!$B$5))/(F841*(1-Ayarlar!$B$6)))</f>
        <v/>
      </c>
      <c r="L841" s="3">
        <f>IF(G841="","GRAM EKSİK",IF(F841&gt;30000,"FİYAT ŞÜPHELİ",IF(K841&lt;0,"ZARARDA",IF(F841&lt;I841,"RİSKLİ","ok"))))</f>
        <v/>
      </c>
      <c r="M841" s="16" t="inlineStr">
        <is>
          <t>https://www.etsy.com/listing/1763961937</t>
        </is>
      </c>
    </row>
    <row r="842">
      <c r="A842" s="9" t="inlineStr">
        <is>
          <t>legacy</t>
        </is>
      </c>
      <c r="B842" s="9" t="inlineStr">
        <is>
          <t>10K Gold Miami Cuban Bracelet with CZ Box Lock</t>
        </is>
      </c>
      <c r="C842" s="9" t="n">
        <v>1763961937</v>
      </c>
      <c r="D842" s="9" t="inlineStr">
        <is>
          <t>BMON2-7.5</t>
        </is>
      </c>
      <c r="E842" s="9" t="inlineStr">
        <is>
          <t>description</t>
        </is>
      </c>
      <c r="F842" s="10" t="n">
        <v>2347</v>
      </c>
      <c r="G842" s="18" t="n">
        <v>15.91</v>
      </c>
      <c r="H842" s="10">
        <f>IF(G842="","",G842*Ayarlar!$B$3+Ayarlar!$B$4+Ayarlar!$B$5)</f>
        <v/>
      </c>
      <c r="I842" s="10">
        <f>IF(G842="","",ROUNDUP(((G842*Ayarlar!$B$3+Ayarlar!$B$4+Ayarlar!$B$5)+Ayarlar!$B$8)/((1-Ayarlar!$B$6)*(1-Ayarlar!$B$7)),0))</f>
        <v/>
      </c>
      <c r="J842" s="10">
        <f>IF(G842="","",ROUNDUP(((G842*Ayarlar!$B$3+Ayarlar!$B$4+Ayarlar!$B$5)+Ayarlar!$B$8)/((1-Ayarlar!$B$6)*(1-Ayarlar!$B$7-Ayarlar!$B$9)),0))</f>
        <v/>
      </c>
      <c r="K842" s="12">
        <f>IF(OR(G842="",F842=""),"",(F842*(1-Ayarlar!$B$6)-(F842*(1-Ayarlar!$B$6)*Ayarlar!$B$7+Ayarlar!$B$8)-(G842*Ayarlar!$B$3+Ayarlar!$B$4+Ayarlar!$B$5))/(F842*(1-Ayarlar!$B$6)))</f>
        <v/>
      </c>
      <c r="L842" s="9">
        <f>IF(G842="","GRAM EKSİK",IF(F842&gt;30000,"FİYAT ŞÜPHELİ",IF(K842&lt;0,"ZARARDA",IF(F842&lt;I842,"RİSKLİ","ok"))))</f>
        <v/>
      </c>
      <c r="M842" s="13" t="inlineStr">
        <is>
          <t>https://www.etsy.com/listing/1763961937</t>
        </is>
      </c>
    </row>
    <row r="843">
      <c r="A843" s="3" t="inlineStr">
        <is>
          <t>legacy</t>
        </is>
      </c>
      <c r="B843" s="3" t="inlineStr">
        <is>
          <t>10K Gold Miami Cuban Bracelet with CZ Box Lock</t>
        </is>
      </c>
      <c r="C843" s="3" t="n">
        <v>1763961937</v>
      </c>
      <c r="D843" s="3" t="inlineStr">
        <is>
          <t>BMON2-8</t>
        </is>
      </c>
      <c r="E843" s="3" t="inlineStr">
        <is>
          <t>description</t>
        </is>
      </c>
      <c r="F843" s="14" t="n">
        <v>2688</v>
      </c>
      <c r="G843" s="17" t="n">
        <v>16.97</v>
      </c>
      <c r="H843" s="14">
        <f>IF(G843="","",G843*Ayarlar!$B$3+Ayarlar!$B$4+Ayarlar!$B$5)</f>
        <v/>
      </c>
      <c r="I843" s="14">
        <f>IF(G843="","",ROUNDUP(((G843*Ayarlar!$B$3+Ayarlar!$B$4+Ayarlar!$B$5)+Ayarlar!$B$8)/((1-Ayarlar!$B$6)*(1-Ayarlar!$B$7)),0))</f>
        <v/>
      </c>
      <c r="J843" s="14">
        <f>IF(G843="","",ROUNDUP(((G843*Ayarlar!$B$3+Ayarlar!$B$4+Ayarlar!$B$5)+Ayarlar!$B$8)/((1-Ayarlar!$B$6)*(1-Ayarlar!$B$7-Ayarlar!$B$9)),0))</f>
        <v/>
      </c>
      <c r="K843" s="15">
        <f>IF(OR(G843="",F843=""),"",(F843*(1-Ayarlar!$B$6)-(F843*(1-Ayarlar!$B$6)*Ayarlar!$B$7+Ayarlar!$B$8)-(G843*Ayarlar!$B$3+Ayarlar!$B$4+Ayarlar!$B$5))/(F843*(1-Ayarlar!$B$6)))</f>
        <v/>
      </c>
      <c r="L843" s="3">
        <f>IF(G843="","GRAM EKSİK",IF(F843&gt;30000,"FİYAT ŞÜPHELİ",IF(K843&lt;0,"ZARARDA",IF(F843&lt;I843,"RİSKLİ","ok"))))</f>
        <v/>
      </c>
      <c r="M843" s="16" t="inlineStr">
        <is>
          <t>https://www.etsy.com/listing/1763961937</t>
        </is>
      </c>
    </row>
    <row r="844">
      <c r="A844" s="9" t="inlineStr">
        <is>
          <t>legacy</t>
        </is>
      </c>
      <c r="B844" s="9" t="inlineStr">
        <is>
          <t>10K Gold Miami Cuban Bracelet with CZ Box Lock</t>
        </is>
      </c>
      <c r="C844" s="9" t="n">
        <v>1763961937</v>
      </c>
      <c r="D844" s="9" t="inlineStr">
        <is>
          <t>BMON3-7</t>
        </is>
      </c>
      <c r="E844" s="9" t="inlineStr">
        <is>
          <t>shipstation</t>
        </is>
      </c>
      <c r="F844" s="10" t="n">
        <v>2989</v>
      </c>
      <c r="G844" s="18" t="n">
        <v>19.38</v>
      </c>
      <c r="H844" s="10">
        <f>IF(G844="","",G844*Ayarlar!$B$3+Ayarlar!$B$4+Ayarlar!$B$5)</f>
        <v/>
      </c>
      <c r="I844" s="10">
        <f>IF(G844="","",ROUNDUP(((G844*Ayarlar!$B$3+Ayarlar!$B$4+Ayarlar!$B$5)+Ayarlar!$B$8)/((1-Ayarlar!$B$6)*(1-Ayarlar!$B$7)),0))</f>
        <v/>
      </c>
      <c r="J844" s="10">
        <f>IF(G844="","",ROUNDUP(((G844*Ayarlar!$B$3+Ayarlar!$B$4+Ayarlar!$B$5)+Ayarlar!$B$8)/((1-Ayarlar!$B$6)*(1-Ayarlar!$B$7-Ayarlar!$B$9)),0))</f>
        <v/>
      </c>
      <c r="K844" s="12">
        <f>IF(OR(G844="",F844=""),"",(F844*(1-Ayarlar!$B$6)-(F844*(1-Ayarlar!$B$6)*Ayarlar!$B$7+Ayarlar!$B$8)-(G844*Ayarlar!$B$3+Ayarlar!$B$4+Ayarlar!$B$5))/(F844*(1-Ayarlar!$B$6)))</f>
        <v/>
      </c>
      <c r="L844" s="9">
        <f>IF(G844="","GRAM EKSİK",IF(F844&gt;30000,"FİYAT ŞÜPHELİ",IF(K844&lt;0,"ZARARDA",IF(F844&lt;I844,"RİSKLİ","ok"))))</f>
        <v/>
      </c>
      <c r="M844" s="13" t="inlineStr">
        <is>
          <t>https://www.etsy.com/listing/1763961937</t>
        </is>
      </c>
    </row>
    <row r="845">
      <c r="A845" s="3" t="inlineStr">
        <is>
          <t>legacy</t>
        </is>
      </c>
      <c r="B845" s="3" t="inlineStr">
        <is>
          <t>10K Gold Miami Cuban Bracelet with CZ Box Lock</t>
        </is>
      </c>
      <c r="C845" s="3" t="n">
        <v>1763961937</v>
      </c>
      <c r="D845" s="3" t="inlineStr">
        <is>
          <t>BMON3-7.5</t>
        </is>
      </c>
      <c r="E845" s="3" t="inlineStr">
        <is>
          <t>description</t>
        </is>
      </c>
      <c r="F845" s="14" t="n">
        <v>3233</v>
      </c>
      <c r="G845" s="17" t="n">
        <v>22.1</v>
      </c>
      <c r="H845" s="14">
        <f>IF(G845="","",G845*Ayarlar!$B$3+Ayarlar!$B$4+Ayarlar!$B$5)</f>
        <v/>
      </c>
      <c r="I845" s="14">
        <f>IF(G845="","",ROUNDUP(((G845*Ayarlar!$B$3+Ayarlar!$B$4+Ayarlar!$B$5)+Ayarlar!$B$8)/((1-Ayarlar!$B$6)*(1-Ayarlar!$B$7)),0))</f>
        <v/>
      </c>
      <c r="J845" s="14">
        <f>IF(G845="","",ROUNDUP(((G845*Ayarlar!$B$3+Ayarlar!$B$4+Ayarlar!$B$5)+Ayarlar!$B$8)/((1-Ayarlar!$B$6)*(1-Ayarlar!$B$7-Ayarlar!$B$9)),0))</f>
        <v/>
      </c>
      <c r="K845" s="15">
        <f>IF(OR(G845="",F845=""),"",(F845*(1-Ayarlar!$B$6)-(F845*(1-Ayarlar!$B$6)*Ayarlar!$B$7+Ayarlar!$B$8)-(G845*Ayarlar!$B$3+Ayarlar!$B$4+Ayarlar!$B$5))/(F845*(1-Ayarlar!$B$6)))</f>
        <v/>
      </c>
      <c r="L845" s="3">
        <f>IF(G845="","GRAM EKSİK",IF(F845&gt;30000,"FİYAT ŞÜPHELİ",IF(K845&lt;0,"ZARARDA",IF(F845&lt;I845,"RİSKLİ","ok"))))</f>
        <v/>
      </c>
      <c r="M845" s="16" t="inlineStr">
        <is>
          <t>https://www.etsy.com/listing/1763961937</t>
        </is>
      </c>
    </row>
    <row r="846">
      <c r="A846" s="9" t="inlineStr">
        <is>
          <t>legacy</t>
        </is>
      </c>
      <c r="B846" s="9" t="inlineStr">
        <is>
          <t>10K Gold Miami Cuban Bracelet with CZ Box Lock</t>
        </is>
      </c>
      <c r="C846" s="9" t="n">
        <v>1763961937</v>
      </c>
      <c r="D846" s="9" t="inlineStr">
        <is>
          <t>BMON3-8</t>
        </is>
      </c>
      <c r="E846" s="9" t="inlineStr">
        <is>
          <t>description</t>
        </is>
      </c>
      <c r="F846" s="10" t="n">
        <v>3356</v>
      </c>
      <c r="G846" s="18" t="n">
        <v>23.57</v>
      </c>
      <c r="H846" s="10">
        <f>IF(G846="","",G846*Ayarlar!$B$3+Ayarlar!$B$4+Ayarlar!$B$5)</f>
        <v/>
      </c>
      <c r="I846" s="10">
        <f>IF(G846="","",ROUNDUP(((G846*Ayarlar!$B$3+Ayarlar!$B$4+Ayarlar!$B$5)+Ayarlar!$B$8)/((1-Ayarlar!$B$6)*(1-Ayarlar!$B$7)),0))</f>
        <v/>
      </c>
      <c r="J846" s="10">
        <f>IF(G846="","",ROUNDUP(((G846*Ayarlar!$B$3+Ayarlar!$B$4+Ayarlar!$B$5)+Ayarlar!$B$8)/((1-Ayarlar!$B$6)*(1-Ayarlar!$B$7-Ayarlar!$B$9)),0))</f>
        <v/>
      </c>
      <c r="K846" s="12">
        <f>IF(OR(G846="",F846=""),"",(F846*(1-Ayarlar!$B$6)-(F846*(1-Ayarlar!$B$6)*Ayarlar!$B$7+Ayarlar!$B$8)-(G846*Ayarlar!$B$3+Ayarlar!$B$4+Ayarlar!$B$5))/(F846*(1-Ayarlar!$B$6)))</f>
        <v/>
      </c>
      <c r="L846" s="9">
        <f>IF(G846="","GRAM EKSİK",IF(F846&gt;30000,"FİYAT ŞÜPHELİ",IF(K846&lt;0,"ZARARDA",IF(F846&lt;I846,"RİSKLİ","ok"))))</f>
        <v/>
      </c>
      <c r="M846" s="13" t="inlineStr">
        <is>
          <t>https://www.etsy.com/listing/1763961937</t>
        </is>
      </c>
    </row>
    <row r="847">
      <c r="A847" s="3" t="inlineStr">
        <is>
          <t>legacy</t>
        </is>
      </c>
      <c r="B847" s="3" t="inlineStr">
        <is>
          <t>10K Gold Miami Cuban Link Chain Necklace</t>
        </is>
      </c>
      <c r="C847" s="3" t="n">
        <v>1283581532</v>
      </c>
      <c r="D847" s="3" t="inlineStr">
        <is>
          <t>CMC1-16</t>
        </is>
      </c>
      <c r="E847" s="3" t="inlineStr">
        <is>
          <t>description</t>
        </is>
      </c>
      <c r="F847" s="14" t="n">
        <v>304</v>
      </c>
      <c r="G847" s="17" t="n">
        <v>4.13</v>
      </c>
      <c r="H847" s="14">
        <f>IF(G847="","",G847*Ayarlar!$B$3+Ayarlar!$B$4+Ayarlar!$B$5)</f>
        <v/>
      </c>
      <c r="I847" s="14">
        <f>IF(G847="","",ROUNDUP(((G847*Ayarlar!$B$3+Ayarlar!$B$4+Ayarlar!$B$5)+Ayarlar!$B$8)/((1-Ayarlar!$B$6)*(1-Ayarlar!$B$7)),0))</f>
        <v/>
      </c>
      <c r="J847" s="14">
        <f>IF(G847="","",ROUNDUP(((G847*Ayarlar!$B$3+Ayarlar!$B$4+Ayarlar!$B$5)+Ayarlar!$B$8)/((1-Ayarlar!$B$6)*(1-Ayarlar!$B$7-Ayarlar!$B$9)),0))</f>
        <v/>
      </c>
      <c r="K847" s="15">
        <f>IF(OR(G847="",F847=""),"",(F847*(1-Ayarlar!$B$6)-(F847*(1-Ayarlar!$B$6)*Ayarlar!$B$7+Ayarlar!$B$8)-(G847*Ayarlar!$B$3+Ayarlar!$B$4+Ayarlar!$B$5))/(F847*(1-Ayarlar!$B$6)))</f>
        <v/>
      </c>
      <c r="L847" s="3">
        <f>IF(G847="","GRAM EKSİK",IF(F847&gt;30000,"FİYAT ŞÜPHELİ",IF(K847&lt;0,"ZARARDA",IF(F847&lt;I847,"RİSKLİ","ok"))))</f>
        <v/>
      </c>
      <c r="M847" s="16" t="inlineStr">
        <is>
          <t>https://www.etsy.com/listing/1283581532</t>
        </is>
      </c>
    </row>
    <row r="848">
      <c r="A848" s="9" t="inlineStr">
        <is>
          <t>legacy</t>
        </is>
      </c>
      <c r="B848" s="9" t="inlineStr">
        <is>
          <t>10K Gold Miami Cuban Link Chain Necklace</t>
        </is>
      </c>
      <c r="C848" s="9" t="n">
        <v>1283581532</v>
      </c>
      <c r="D848" s="9" t="inlineStr">
        <is>
          <t>CMC1-18</t>
        </is>
      </c>
      <c r="E848" s="9" t="inlineStr">
        <is>
          <t>description</t>
        </is>
      </c>
      <c r="F848" s="10" t="n">
        <v>335</v>
      </c>
      <c r="G848" s="18" t="n">
        <v>4.64</v>
      </c>
      <c r="H848" s="10">
        <f>IF(G848="","",G848*Ayarlar!$B$3+Ayarlar!$B$4+Ayarlar!$B$5)</f>
        <v/>
      </c>
      <c r="I848" s="10">
        <f>IF(G848="","",ROUNDUP(((G848*Ayarlar!$B$3+Ayarlar!$B$4+Ayarlar!$B$5)+Ayarlar!$B$8)/((1-Ayarlar!$B$6)*(1-Ayarlar!$B$7)),0))</f>
        <v/>
      </c>
      <c r="J848" s="10">
        <f>IF(G848="","",ROUNDUP(((G848*Ayarlar!$B$3+Ayarlar!$B$4+Ayarlar!$B$5)+Ayarlar!$B$8)/((1-Ayarlar!$B$6)*(1-Ayarlar!$B$7-Ayarlar!$B$9)),0))</f>
        <v/>
      </c>
      <c r="K848" s="12">
        <f>IF(OR(G848="",F848=""),"",(F848*(1-Ayarlar!$B$6)-(F848*(1-Ayarlar!$B$6)*Ayarlar!$B$7+Ayarlar!$B$8)-(G848*Ayarlar!$B$3+Ayarlar!$B$4+Ayarlar!$B$5))/(F848*(1-Ayarlar!$B$6)))</f>
        <v/>
      </c>
      <c r="L848" s="9">
        <f>IF(G848="","GRAM EKSİK",IF(F848&gt;30000,"FİYAT ŞÜPHELİ",IF(K848&lt;0,"ZARARDA",IF(F848&lt;I848,"RİSKLİ","ok"))))</f>
        <v/>
      </c>
      <c r="M848" s="13" t="inlineStr">
        <is>
          <t>https://www.etsy.com/listing/1283581532</t>
        </is>
      </c>
    </row>
    <row r="849">
      <c r="A849" s="3" t="inlineStr">
        <is>
          <t>legacy</t>
        </is>
      </c>
      <c r="B849" s="3" t="inlineStr">
        <is>
          <t>10K Gold Miami Cuban Link Chain Necklace</t>
        </is>
      </c>
      <c r="C849" s="3" t="n">
        <v>1283581532</v>
      </c>
      <c r="D849" s="3" t="inlineStr">
        <is>
          <t>CMC1-20</t>
        </is>
      </c>
      <c r="E849" s="3" t="inlineStr">
        <is>
          <t>description</t>
        </is>
      </c>
      <c r="F849" s="14" t="n">
        <v>366</v>
      </c>
      <c r="G849" s="17" t="n">
        <v>5.16</v>
      </c>
      <c r="H849" s="14">
        <f>IF(G849="","",G849*Ayarlar!$B$3+Ayarlar!$B$4+Ayarlar!$B$5)</f>
        <v/>
      </c>
      <c r="I849" s="14">
        <f>IF(G849="","",ROUNDUP(((G849*Ayarlar!$B$3+Ayarlar!$B$4+Ayarlar!$B$5)+Ayarlar!$B$8)/((1-Ayarlar!$B$6)*(1-Ayarlar!$B$7)),0))</f>
        <v/>
      </c>
      <c r="J849" s="14">
        <f>IF(G849="","",ROUNDUP(((G849*Ayarlar!$B$3+Ayarlar!$B$4+Ayarlar!$B$5)+Ayarlar!$B$8)/((1-Ayarlar!$B$6)*(1-Ayarlar!$B$7-Ayarlar!$B$9)),0))</f>
        <v/>
      </c>
      <c r="K849" s="15">
        <f>IF(OR(G849="",F849=""),"",(F849*(1-Ayarlar!$B$6)-(F849*(1-Ayarlar!$B$6)*Ayarlar!$B$7+Ayarlar!$B$8)-(G849*Ayarlar!$B$3+Ayarlar!$B$4+Ayarlar!$B$5))/(F849*(1-Ayarlar!$B$6)))</f>
        <v/>
      </c>
      <c r="L849" s="3">
        <f>IF(G849="","GRAM EKSİK",IF(F849&gt;30000,"FİYAT ŞÜPHELİ",IF(K849&lt;0,"ZARARDA",IF(F849&lt;I849,"RİSKLİ","ok"))))</f>
        <v/>
      </c>
      <c r="M849" s="16" t="inlineStr">
        <is>
          <t>https://www.etsy.com/listing/1283581532</t>
        </is>
      </c>
    </row>
    <row r="850">
      <c r="A850" s="9" t="inlineStr">
        <is>
          <t>legacy</t>
        </is>
      </c>
      <c r="B850" s="9" t="inlineStr">
        <is>
          <t>10K Gold Miami Cuban Link Chain Necklace</t>
        </is>
      </c>
      <c r="C850" s="9" t="n">
        <v>1283581532</v>
      </c>
      <c r="D850" s="9" t="inlineStr">
        <is>
          <t>CMC1-22</t>
        </is>
      </c>
      <c r="E850" s="9" t="inlineStr">
        <is>
          <t>shipstation</t>
        </is>
      </c>
      <c r="F850" s="10" t="n">
        <v>472</v>
      </c>
      <c r="G850" s="18" t="n">
        <v>4.94</v>
      </c>
      <c r="H850" s="10">
        <f>IF(G850="","",G850*Ayarlar!$B$3+Ayarlar!$B$4+Ayarlar!$B$5)</f>
        <v/>
      </c>
      <c r="I850" s="10">
        <f>IF(G850="","",ROUNDUP(((G850*Ayarlar!$B$3+Ayarlar!$B$4+Ayarlar!$B$5)+Ayarlar!$B$8)/((1-Ayarlar!$B$6)*(1-Ayarlar!$B$7)),0))</f>
        <v/>
      </c>
      <c r="J850" s="10">
        <f>IF(G850="","",ROUNDUP(((G850*Ayarlar!$B$3+Ayarlar!$B$4+Ayarlar!$B$5)+Ayarlar!$B$8)/((1-Ayarlar!$B$6)*(1-Ayarlar!$B$7-Ayarlar!$B$9)),0))</f>
        <v/>
      </c>
      <c r="K850" s="12">
        <f>IF(OR(G850="",F850=""),"",(F850*(1-Ayarlar!$B$6)-(F850*(1-Ayarlar!$B$6)*Ayarlar!$B$7+Ayarlar!$B$8)-(G850*Ayarlar!$B$3+Ayarlar!$B$4+Ayarlar!$B$5))/(F850*(1-Ayarlar!$B$6)))</f>
        <v/>
      </c>
      <c r="L850" s="9">
        <f>IF(G850="","GRAM EKSİK",IF(F850&gt;30000,"FİYAT ŞÜPHELİ",IF(K850&lt;0,"ZARARDA",IF(F850&lt;I850,"RİSKLİ","ok"))))</f>
        <v/>
      </c>
      <c r="M850" s="13" t="inlineStr">
        <is>
          <t>https://www.etsy.com/listing/1283581532</t>
        </is>
      </c>
    </row>
    <row r="851">
      <c r="A851" s="3" t="inlineStr">
        <is>
          <t>legacy</t>
        </is>
      </c>
      <c r="B851" s="3" t="inlineStr">
        <is>
          <t>10K Gold Miami Cuban Link Chain Necklace</t>
        </is>
      </c>
      <c r="C851" s="3" t="n">
        <v>1283581532</v>
      </c>
      <c r="D851" s="3" t="inlineStr">
        <is>
          <t>CMC1-24</t>
        </is>
      </c>
      <c r="E851" s="3" t="inlineStr">
        <is>
          <t>description</t>
        </is>
      </c>
      <c r="F851" s="14" t="n">
        <v>520</v>
      </c>
      <c r="G851" s="17" t="n">
        <v>6.19</v>
      </c>
      <c r="H851" s="14">
        <f>IF(G851="","",G851*Ayarlar!$B$3+Ayarlar!$B$4+Ayarlar!$B$5)</f>
        <v/>
      </c>
      <c r="I851" s="14">
        <f>IF(G851="","",ROUNDUP(((G851*Ayarlar!$B$3+Ayarlar!$B$4+Ayarlar!$B$5)+Ayarlar!$B$8)/((1-Ayarlar!$B$6)*(1-Ayarlar!$B$7)),0))</f>
        <v/>
      </c>
      <c r="J851" s="14">
        <f>IF(G851="","",ROUNDUP(((G851*Ayarlar!$B$3+Ayarlar!$B$4+Ayarlar!$B$5)+Ayarlar!$B$8)/((1-Ayarlar!$B$6)*(1-Ayarlar!$B$7-Ayarlar!$B$9)),0))</f>
        <v/>
      </c>
      <c r="K851" s="15">
        <f>IF(OR(G851="",F851=""),"",(F851*(1-Ayarlar!$B$6)-(F851*(1-Ayarlar!$B$6)*Ayarlar!$B$7+Ayarlar!$B$8)-(G851*Ayarlar!$B$3+Ayarlar!$B$4+Ayarlar!$B$5))/(F851*(1-Ayarlar!$B$6)))</f>
        <v/>
      </c>
      <c r="L851" s="3">
        <f>IF(G851="","GRAM EKSİK",IF(F851&gt;30000,"FİYAT ŞÜPHELİ",IF(K851&lt;0,"ZARARDA",IF(F851&lt;I851,"RİSKLİ","ok"))))</f>
        <v/>
      </c>
      <c r="M851" s="16" t="inlineStr">
        <is>
          <t>https://www.etsy.com/listing/1283581532</t>
        </is>
      </c>
    </row>
    <row r="852">
      <c r="A852" s="9" t="inlineStr">
        <is>
          <t>legacy</t>
        </is>
      </c>
      <c r="B852" s="9" t="inlineStr">
        <is>
          <t>10K Gold Miami Cuban Link Chain Necklace</t>
        </is>
      </c>
      <c r="C852" s="9" t="n">
        <v>1283581532</v>
      </c>
      <c r="D852" s="9" t="inlineStr">
        <is>
          <t>CMC2-16</t>
        </is>
      </c>
      <c r="E852" s="9" t="inlineStr">
        <is>
          <t>description</t>
        </is>
      </c>
      <c r="F852" s="10" t="n">
        <v>939</v>
      </c>
      <c r="G852" s="18" t="n">
        <v>5.53</v>
      </c>
      <c r="H852" s="10">
        <f>IF(G852="","",G852*Ayarlar!$B$3+Ayarlar!$B$4+Ayarlar!$B$5)</f>
        <v/>
      </c>
      <c r="I852" s="10">
        <f>IF(G852="","",ROUNDUP(((G852*Ayarlar!$B$3+Ayarlar!$B$4+Ayarlar!$B$5)+Ayarlar!$B$8)/((1-Ayarlar!$B$6)*(1-Ayarlar!$B$7)),0))</f>
        <v/>
      </c>
      <c r="J852" s="10">
        <f>IF(G852="","",ROUNDUP(((G852*Ayarlar!$B$3+Ayarlar!$B$4+Ayarlar!$B$5)+Ayarlar!$B$8)/((1-Ayarlar!$B$6)*(1-Ayarlar!$B$7-Ayarlar!$B$9)),0))</f>
        <v/>
      </c>
      <c r="K852" s="12">
        <f>IF(OR(G852="",F852=""),"",(F852*(1-Ayarlar!$B$6)-(F852*(1-Ayarlar!$B$6)*Ayarlar!$B$7+Ayarlar!$B$8)-(G852*Ayarlar!$B$3+Ayarlar!$B$4+Ayarlar!$B$5))/(F852*(1-Ayarlar!$B$6)))</f>
        <v/>
      </c>
      <c r="L852" s="9">
        <f>IF(G852="","GRAM EKSİK",IF(F852&gt;30000,"FİYAT ŞÜPHELİ",IF(K852&lt;0,"ZARARDA",IF(F852&lt;I852,"RİSKLİ","ok"))))</f>
        <v/>
      </c>
      <c r="M852" s="13" t="inlineStr">
        <is>
          <t>https://www.etsy.com/listing/1283581532</t>
        </is>
      </c>
    </row>
    <row r="853">
      <c r="A853" s="3" t="inlineStr">
        <is>
          <t>legacy</t>
        </is>
      </c>
      <c r="B853" s="3" t="inlineStr">
        <is>
          <t>10K Gold Miami Cuban Link Chain Necklace</t>
        </is>
      </c>
      <c r="C853" s="3" t="n">
        <v>1283581532</v>
      </c>
      <c r="D853" s="3" t="inlineStr">
        <is>
          <t>CMC2-18</t>
        </is>
      </c>
      <c r="E853" s="3" t="inlineStr">
        <is>
          <t>description</t>
        </is>
      </c>
      <c r="F853" s="14" t="n">
        <v>992</v>
      </c>
      <c r="G853" s="17" t="n">
        <v>6.22</v>
      </c>
      <c r="H853" s="14">
        <f>IF(G853="","",G853*Ayarlar!$B$3+Ayarlar!$B$4+Ayarlar!$B$5)</f>
        <v/>
      </c>
      <c r="I853" s="14">
        <f>IF(G853="","",ROUNDUP(((G853*Ayarlar!$B$3+Ayarlar!$B$4+Ayarlar!$B$5)+Ayarlar!$B$8)/((1-Ayarlar!$B$6)*(1-Ayarlar!$B$7)),0))</f>
        <v/>
      </c>
      <c r="J853" s="14">
        <f>IF(G853="","",ROUNDUP(((G853*Ayarlar!$B$3+Ayarlar!$B$4+Ayarlar!$B$5)+Ayarlar!$B$8)/((1-Ayarlar!$B$6)*(1-Ayarlar!$B$7-Ayarlar!$B$9)),0))</f>
        <v/>
      </c>
      <c r="K853" s="15">
        <f>IF(OR(G853="",F853=""),"",(F853*(1-Ayarlar!$B$6)-(F853*(1-Ayarlar!$B$6)*Ayarlar!$B$7+Ayarlar!$B$8)-(G853*Ayarlar!$B$3+Ayarlar!$B$4+Ayarlar!$B$5))/(F853*(1-Ayarlar!$B$6)))</f>
        <v/>
      </c>
      <c r="L853" s="3">
        <f>IF(G853="","GRAM EKSİK",IF(F853&gt;30000,"FİYAT ŞÜPHELİ",IF(K853&lt;0,"ZARARDA",IF(F853&lt;I853,"RİSKLİ","ok"))))</f>
        <v/>
      </c>
      <c r="M853" s="16" t="inlineStr">
        <is>
          <t>https://www.etsy.com/listing/1283581532</t>
        </is>
      </c>
    </row>
    <row r="854">
      <c r="A854" s="9" t="inlineStr">
        <is>
          <t>legacy</t>
        </is>
      </c>
      <c r="B854" s="9" t="inlineStr">
        <is>
          <t>10K Gold Miami Cuban Link Chain Necklace</t>
        </is>
      </c>
      <c r="C854" s="9" t="n">
        <v>1283581532</v>
      </c>
      <c r="D854" s="9" t="inlineStr">
        <is>
          <t>CMC2-20</t>
        </is>
      </c>
      <c r="E854" s="9" t="inlineStr">
        <is>
          <t>description</t>
        </is>
      </c>
      <c r="F854" s="10" t="n">
        <v>1174</v>
      </c>
      <c r="G854" s="18" t="n">
        <v>6.91</v>
      </c>
      <c r="H854" s="10">
        <f>IF(G854="","",G854*Ayarlar!$B$3+Ayarlar!$B$4+Ayarlar!$B$5)</f>
        <v/>
      </c>
      <c r="I854" s="10">
        <f>IF(G854="","",ROUNDUP(((G854*Ayarlar!$B$3+Ayarlar!$B$4+Ayarlar!$B$5)+Ayarlar!$B$8)/((1-Ayarlar!$B$6)*(1-Ayarlar!$B$7)),0))</f>
        <v/>
      </c>
      <c r="J854" s="10">
        <f>IF(G854="","",ROUNDUP(((G854*Ayarlar!$B$3+Ayarlar!$B$4+Ayarlar!$B$5)+Ayarlar!$B$8)/((1-Ayarlar!$B$6)*(1-Ayarlar!$B$7-Ayarlar!$B$9)),0))</f>
        <v/>
      </c>
      <c r="K854" s="12">
        <f>IF(OR(G854="",F854=""),"",(F854*(1-Ayarlar!$B$6)-(F854*(1-Ayarlar!$B$6)*Ayarlar!$B$7+Ayarlar!$B$8)-(G854*Ayarlar!$B$3+Ayarlar!$B$4+Ayarlar!$B$5))/(F854*(1-Ayarlar!$B$6)))</f>
        <v/>
      </c>
      <c r="L854" s="9">
        <f>IF(G854="","GRAM EKSİK",IF(F854&gt;30000,"FİYAT ŞÜPHELİ",IF(K854&lt;0,"ZARARDA",IF(F854&lt;I854,"RİSKLİ","ok"))))</f>
        <v/>
      </c>
      <c r="M854" s="13" t="inlineStr">
        <is>
          <t>https://www.etsy.com/listing/1283581532</t>
        </is>
      </c>
    </row>
    <row r="855">
      <c r="A855" s="3" t="inlineStr">
        <is>
          <t>legacy</t>
        </is>
      </c>
      <c r="B855" s="3" t="inlineStr">
        <is>
          <t>10K Gold Miami Cuban Link Chain Necklace</t>
        </is>
      </c>
      <c r="C855" s="3" t="n">
        <v>1283581532</v>
      </c>
      <c r="D855" s="3" t="inlineStr">
        <is>
          <t>CMC2-22</t>
        </is>
      </c>
      <c r="E855" s="3" t="inlineStr">
        <is>
          <t>description</t>
        </is>
      </c>
      <c r="F855" s="14" t="n">
        <v>1298</v>
      </c>
      <c r="G855" s="17" t="n">
        <v>7.6</v>
      </c>
      <c r="H855" s="14">
        <f>IF(G855="","",G855*Ayarlar!$B$3+Ayarlar!$B$4+Ayarlar!$B$5)</f>
        <v/>
      </c>
      <c r="I855" s="14">
        <f>IF(G855="","",ROUNDUP(((G855*Ayarlar!$B$3+Ayarlar!$B$4+Ayarlar!$B$5)+Ayarlar!$B$8)/((1-Ayarlar!$B$6)*(1-Ayarlar!$B$7)),0))</f>
        <v/>
      </c>
      <c r="J855" s="14">
        <f>IF(G855="","",ROUNDUP(((G855*Ayarlar!$B$3+Ayarlar!$B$4+Ayarlar!$B$5)+Ayarlar!$B$8)/((1-Ayarlar!$B$6)*(1-Ayarlar!$B$7-Ayarlar!$B$9)),0))</f>
        <v/>
      </c>
      <c r="K855" s="15">
        <f>IF(OR(G855="",F855=""),"",(F855*(1-Ayarlar!$B$6)-(F855*(1-Ayarlar!$B$6)*Ayarlar!$B$7+Ayarlar!$B$8)-(G855*Ayarlar!$B$3+Ayarlar!$B$4+Ayarlar!$B$5))/(F855*(1-Ayarlar!$B$6)))</f>
        <v/>
      </c>
      <c r="L855" s="3">
        <f>IF(G855="","GRAM EKSİK",IF(F855&gt;30000,"FİYAT ŞÜPHELİ",IF(K855&lt;0,"ZARARDA",IF(F855&lt;I855,"RİSKLİ","ok"))))</f>
        <v/>
      </c>
      <c r="M855" s="16" t="inlineStr">
        <is>
          <t>https://www.etsy.com/listing/1283581532</t>
        </is>
      </c>
    </row>
    <row r="856">
      <c r="A856" s="9" t="inlineStr">
        <is>
          <t>legacy</t>
        </is>
      </c>
      <c r="B856" s="9" t="inlineStr">
        <is>
          <t>10K Gold Miami Cuban Link Chain Necklace</t>
        </is>
      </c>
      <c r="C856" s="9" t="n">
        <v>1283581532</v>
      </c>
      <c r="D856" s="9" t="inlineStr">
        <is>
          <t>CMC2-24</t>
        </is>
      </c>
      <c r="E856" s="9" t="inlineStr">
        <is>
          <t>description</t>
        </is>
      </c>
      <c r="F856" s="10" t="n">
        <v>1402</v>
      </c>
      <c r="G856" s="18" t="n">
        <v>8.289999999999999</v>
      </c>
      <c r="H856" s="10">
        <f>IF(G856="","",G856*Ayarlar!$B$3+Ayarlar!$B$4+Ayarlar!$B$5)</f>
        <v/>
      </c>
      <c r="I856" s="10">
        <f>IF(G856="","",ROUNDUP(((G856*Ayarlar!$B$3+Ayarlar!$B$4+Ayarlar!$B$5)+Ayarlar!$B$8)/((1-Ayarlar!$B$6)*(1-Ayarlar!$B$7)),0))</f>
        <v/>
      </c>
      <c r="J856" s="10">
        <f>IF(G856="","",ROUNDUP(((G856*Ayarlar!$B$3+Ayarlar!$B$4+Ayarlar!$B$5)+Ayarlar!$B$8)/((1-Ayarlar!$B$6)*(1-Ayarlar!$B$7-Ayarlar!$B$9)),0))</f>
        <v/>
      </c>
      <c r="K856" s="12">
        <f>IF(OR(G856="",F856=""),"",(F856*(1-Ayarlar!$B$6)-(F856*(1-Ayarlar!$B$6)*Ayarlar!$B$7+Ayarlar!$B$8)-(G856*Ayarlar!$B$3+Ayarlar!$B$4+Ayarlar!$B$5))/(F856*(1-Ayarlar!$B$6)))</f>
        <v/>
      </c>
      <c r="L856" s="9">
        <f>IF(G856="","GRAM EKSİK",IF(F856&gt;30000,"FİYAT ŞÜPHELİ",IF(K856&lt;0,"ZARARDA",IF(F856&lt;I856,"RİSKLİ","ok"))))</f>
        <v/>
      </c>
      <c r="M856" s="13" t="inlineStr">
        <is>
          <t>https://www.etsy.com/listing/1283581532</t>
        </is>
      </c>
    </row>
    <row r="857">
      <c r="A857" s="3" t="inlineStr">
        <is>
          <t>legacy</t>
        </is>
      </c>
      <c r="B857" s="3" t="inlineStr">
        <is>
          <t>10K Gold Miami Cuban Link Chain Necklace</t>
        </is>
      </c>
      <c r="C857" s="3" t="n">
        <v>1283581532</v>
      </c>
      <c r="D857" s="3" t="inlineStr">
        <is>
          <t>CMC3-16</t>
        </is>
      </c>
      <c r="E857" s="3" t="inlineStr">
        <is>
          <t>description</t>
        </is>
      </c>
      <c r="F857" s="14" t="n">
        <v>1250</v>
      </c>
      <c r="G857" s="17" t="n">
        <v>8.02</v>
      </c>
      <c r="H857" s="14">
        <f>IF(G857="","",G857*Ayarlar!$B$3+Ayarlar!$B$4+Ayarlar!$B$5)</f>
        <v/>
      </c>
      <c r="I857" s="14">
        <f>IF(G857="","",ROUNDUP(((G857*Ayarlar!$B$3+Ayarlar!$B$4+Ayarlar!$B$5)+Ayarlar!$B$8)/((1-Ayarlar!$B$6)*(1-Ayarlar!$B$7)),0))</f>
        <v/>
      </c>
      <c r="J857" s="14">
        <f>IF(G857="","",ROUNDUP(((G857*Ayarlar!$B$3+Ayarlar!$B$4+Ayarlar!$B$5)+Ayarlar!$B$8)/((1-Ayarlar!$B$6)*(1-Ayarlar!$B$7-Ayarlar!$B$9)),0))</f>
        <v/>
      </c>
      <c r="K857" s="15">
        <f>IF(OR(G857="",F857=""),"",(F857*(1-Ayarlar!$B$6)-(F857*(1-Ayarlar!$B$6)*Ayarlar!$B$7+Ayarlar!$B$8)-(G857*Ayarlar!$B$3+Ayarlar!$B$4+Ayarlar!$B$5))/(F857*(1-Ayarlar!$B$6)))</f>
        <v/>
      </c>
      <c r="L857" s="3">
        <f>IF(G857="","GRAM EKSİK",IF(F857&gt;30000,"FİYAT ŞÜPHELİ",IF(K857&lt;0,"ZARARDA",IF(F857&lt;I857,"RİSKLİ","ok"))))</f>
        <v/>
      </c>
      <c r="M857" s="16" t="inlineStr">
        <is>
          <t>https://www.etsy.com/listing/1283581532</t>
        </is>
      </c>
    </row>
    <row r="858">
      <c r="A858" s="9" t="inlineStr">
        <is>
          <t>legacy</t>
        </is>
      </c>
      <c r="B858" s="9" t="inlineStr">
        <is>
          <t>10K Gold Miami Cuban Link Chain Necklace</t>
        </is>
      </c>
      <c r="C858" s="9" t="n">
        <v>1283581532</v>
      </c>
      <c r="D858" s="9" t="inlineStr">
        <is>
          <t>CMC3-18</t>
        </is>
      </c>
      <c r="E858" s="9" t="inlineStr">
        <is>
          <t>description</t>
        </is>
      </c>
      <c r="F858" s="10" t="n">
        <v>1369</v>
      </c>
      <c r="G858" s="18" t="n">
        <v>9.029999999999999</v>
      </c>
      <c r="H858" s="10">
        <f>IF(G858="","",G858*Ayarlar!$B$3+Ayarlar!$B$4+Ayarlar!$B$5)</f>
        <v/>
      </c>
      <c r="I858" s="10">
        <f>IF(G858="","",ROUNDUP(((G858*Ayarlar!$B$3+Ayarlar!$B$4+Ayarlar!$B$5)+Ayarlar!$B$8)/((1-Ayarlar!$B$6)*(1-Ayarlar!$B$7)),0))</f>
        <v/>
      </c>
      <c r="J858" s="10">
        <f>IF(G858="","",ROUNDUP(((G858*Ayarlar!$B$3+Ayarlar!$B$4+Ayarlar!$B$5)+Ayarlar!$B$8)/((1-Ayarlar!$B$6)*(1-Ayarlar!$B$7-Ayarlar!$B$9)),0))</f>
        <v/>
      </c>
      <c r="K858" s="12">
        <f>IF(OR(G858="",F858=""),"",(F858*(1-Ayarlar!$B$6)-(F858*(1-Ayarlar!$B$6)*Ayarlar!$B$7+Ayarlar!$B$8)-(G858*Ayarlar!$B$3+Ayarlar!$B$4+Ayarlar!$B$5))/(F858*(1-Ayarlar!$B$6)))</f>
        <v/>
      </c>
      <c r="L858" s="9">
        <f>IF(G858="","GRAM EKSİK",IF(F858&gt;30000,"FİYAT ŞÜPHELİ",IF(K858&lt;0,"ZARARDA",IF(F858&lt;I858,"RİSKLİ","ok"))))</f>
        <v/>
      </c>
      <c r="M858" s="13" t="inlineStr">
        <is>
          <t>https://www.etsy.com/listing/1283581532</t>
        </is>
      </c>
    </row>
    <row r="859">
      <c r="A859" s="3" t="inlineStr">
        <is>
          <t>legacy</t>
        </is>
      </c>
      <c r="B859" s="3" t="inlineStr">
        <is>
          <t>10K Gold Miami Cuban Link Chain Necklace</t>
        </is>
      </c>
      <c r="C859" s="3" t="n">
        <v>1283581532</v>
      </c>
      <c r="D859" s="3" t="inlineStr">
        <is>
          <t>CMC3-20</t>
        </is>
      </c>
      <c r="E859" s="3" t="inlineStr">
        <is>
          <t>shipstation</t>
        </is>
      </c>
      <c r="F859" s="14" t="n">
        <v>1516</v>
      </c>
      <c r="G859" s="17" t="n">
        <v>10.05</v>
      </c>
      <c r="H859" s="14">
        <f>IF(G859="","",G859*Ayarlar!$B$3+Ayarlar!$B$4+Ayarlar!$B$5)</f>
        <v/>
      </c>
      <c r="I859" s="14">
        <f>IF(G859="","",ROUNDUP(((G859*Ayarlar!$B$3+Ayarlar!$B$4+Ayarlar!$B$5)+Ayarlar!$B$8)/((1-Ayarlar!$B$6)*(1-Ayarlar!$B$7)),0))</f>
        <v/>
      </c>
      <c r="J859" s="14">
        <f>IF(G859="","",ROUNDUP(((G859*Ayarlar!$B$3+Ayarlar!$B$4+Ayarlar!$B$5)+Ayarlar!$B$8)/((1-Ayarlar!$B$6)*(1-Ayarlar!$B$7-Ayarlar!$B$9)),0))</f>
        <v/>
      </c>
      <c r="K859" s="15">
        <f>IF(OR(G859="",F859=""),"",(F859*(1-Ayarlar!$B$6)-(F859*(1-Ayarlar!$B$6)*Ayarlar!$B$7+Ayarlar!$B$8)-(G859*Ayarlar!$B$3+Ayarlar!$B$4+Ayarlar!$B$5))/(F859*(1-Ayarlar!$B$6)))</f>
        <v/>
      </c>
      <c r="L859" s="3">
        <f>IF(G859="","GRAM EKSİK",IF(F859&gt;30000,"FİYAT ŞÜPHELİ",IF(K859&lt;0,"ZARARDA",IF(F859&lt;I859,"RİSKLİ","ok"))))</f>
        <v/>
      </c>
      <c r="M859" s="16" t="inlineStr">
        <is>
          <t>https://www.etsy.com/listing/1283581532</t>
        </is>
      </c>
    </row>
    <row r="860">
      <c r="A860" s="9" t="inlineStr">
        <is>
          <t>legacy</t>
        </is>
      </c>
      <c r="B860" s="9" t="inlineStr">
        <is>
          <t>10K Gold Miami Cuban Link Chain Necklace</t>
        </is>
      </c>
      <c r="C860" s="9" t="n">
        <v>1283581532</v>
      </c>
      <c r="D860" s="9" t="inlineStr">
        <is>
          <t>CMC3-22</t>
        </is>
      </c>
      <c r="E860" s="9" t="inlineStr">
        <is>
          <t>description</t>
        </is>
      </c>
      <c r="F860" s="10" t="n">
        <v>1592</v>
      </c>
      <c r="G860" s="18" t="n">
        <v>11.03</v>
      </c>
      <c r="H860" s="10">
        <f>IF(G860="","",G860*Ayarlar!$B$3+Ayarlar!$B$4+Ayarlar!$B$5)</f>
        <v/>
      </c>
      <c r="I860" s="10">
        <f>IF(G860="","",ROUNDUP(((G860*Ayarlar!$B$3+Ayarlar!$B$4+Ayarlar!$B$5)+Ayarlar!$B$8)/((1-Ayarlar!$B$6)*(1-Ayarlar!$B$7)),0))</f>
        <v/>
      </c>
      <c r="J860" s="10">
        <f>IF(G860="","",ROUNDUP(((G860*Ayarlar!$B$3+Ayarlar!$B$4+Ayarlar!$B$5)+Ayarlar!$B$8)/((1-Ayarlar!$B$6)*(1-Ayarlar!$B$7-Ayarlar!$B$9)),0))</f>
        <v/>
      </c>
      <c r="K860" s="12">
        <f>IF(OR(G860="",F860=""),"",(F860*(1-Ayarlar!$B$6)-(F860*(1-Ayarlar!$B$6)*Ayarlar!$B$7+Ayarlar!$B$8)-(G860*Ayarlar!$B$3+Ayarlar!$B$4+Ayarlar!$B$5))/(F860*(1-Ayarlar!$B$6)))</f>
        <v/>
      </c>
      <c r="L860" s="9">
        <f>IF(G860="","GRAM EKSİK",IF(F860&gt;30000,"FİYAT ŞÜPHELİ",IF(K860&lt;0,"ZARARDA",IF(F860&lt;I860,"RİSKLİ","ok"))))</f>
        <v/>
      </c>
      <c r="M860" s="13" t="inlineStr">
        <is>
          <t>https://www.etsy.com/listing/1283581532</t>
        </is>
      </c>
    </row>
    <row r="861">
      <c r="A861" s="3" t="inlineStr">
        <is>
          <t>legacy</t>
        </is>
      </c>
      <c r="B861" s="3" t="inlineStr">
        <is>
          <t>10K Gold Miami Cuban Link Chain Necklace</t>
        </is>
      </c>
      <c r="C861" s="3" t="n">
        <v>1283581532</v>
      </c>
      <c r="D861" s="3" t="inlineStr">
        <is>
          <t>CMC3-24</t>
        </is>
      </c>
      <c r="E861" s="3" t="inlineStr">
        <is>
          <t>description</t>
        </is>
      </c>
      <c r="F861" s="14" t="n">
        <v>1768</v>
      </c>
      <c r="G861" s="17" t="n">
        <v>12.04</v>
      </c>
      <c r="H861" s="14">
        <f>IF(G861="","",G861*Ayarlar!$B$3+Ayarlar!$B$4+Ayarlar!$B$5)</f>
        <v/>
      </c>
      <c r="I861" s="14">
        <f>IF(G861="","",ROUNDUP(((G861*Ayarlar!$B$3+Ayarlar!$B$4+Ayarlar!$B$5)+Ayarlar!$B$8)/((1-Ayarlar!$B$6)*(1-Ayarlar!$B$7)),0))</f>
        <v/>
      </c>
      <c r="J861" s="14">
        <f>IF(G861="","",ROUNDUP(((G861*Ayarlar!$B$3+Ayarlar!$B$4+Ayarlar!$B$5)+Ayarlar!$B$8)/((1-Ayarlar!$B$6)*(1-Ayarlar!$B$7-Ayarlar!$B$9)),0))</f>
        <v/>
      </c>
      <c r="K861" s="15">
        <f>IF(OR(G861="",F861=""),"",(F861*(1-Ayarlar!$B$6)-(F861*(1-Ayarlar!$B$6)*Ayarlar!$B$7+Ayarlar!$B$8)-(G861*Ayarlar!$B$3+Ayarlar!$B$4+Ayarlar!$B$5))/(F861*(1-Ayarlar!$B$6)))</f>
        <v/>
      </c>
      <c r="L861" s="3">
        <f>IF(G861="","GRAM EKSİK",IF(F861&gt;30000,"FİYAT ŞÜPHELİ",IF(K861&lt;0,"ZARARDA",IF(F861&lt;I861,"RİSKLİ","ok"))))</f>
        <v/>
      </c>
      <c r="M861" s="16" t="inlineStr">
        <is>
          <t>https://www.etsy.com/listing/1283581532</t>
        </is>
      </c>
    </row>
    <row r="862">
      <c r="A862" s="9" t="inlineStr">
        <is>
          <t>legacy</t>
        </is>
      </c>
      <c r="B862" s="9" t="inlineStr">
        <is>
          <t>10K Gold Miami Cuban Link Chain Necklace</t>
        </is>
      </c>
      <c r="C862" s="9" t="n">
        <v>1283581532</v>
      </c>
      <c r="D862" s="9" t="inlineStr">
        <is>
          <t>CMC4-16</t>
        </is>
      </c>
      <c r="E862" s="9" t="inlineStr">
        <is>
          <t>description</t>
        </is>
      </c>
      <c r="F862" s="10" t="n">
        <v>1571</v>
      </c>
      <c r="G862" s="18" t="n">
        <v>12.86</v>
      </c>
      <c r="H862" s="10">
        <f>IF(G862="","",G862*Ayarlar!$B$3+Ayarlar!$B$4+Ayarlar!$B$5)</f>
        <v/>
      </c>
      <c r="I862" s="10">
        <f>IF(G862="","",ROUNDUP(((G862*Ayarlar!$B$3+Ayarlar!$B$4+Ayarlar!$B$5)+Ayarlar!$B$8)/((1-Ayarlar!$B$6)*(1-Ayarlar!$B$7)),0))</f>
        <v/>
      </c>
      <c r="J862" s="10">
        <f>IF(G862="","",ROUNDUP(((G862*Ayarlar!$B$3+Ayarlar!$B$4+Ayarlar!$B$5)+Ayarlar!$B$8)/((1-Ayarlar!$B$6)*(1-Ayarlar!$B$7-Ayarlar!$B$9)),0))</f>
        <v/>
      </c>
      <c r="K862" s="12">
        <f>IF(OR(G862="",F862=""),"",(F862*(1-Ayarlar!$B$6)-(F862*(1-Ayarlar!$B$6)*Ayarlar!$B$7+Ayarlar!$B$8)-(G862*Ayarlar!$B$3+Ayarlar!$B$4+Ayarlar!$B$5))/(F862*(1-Ayarlar!$B$6)))</f>
        <v/>
      </c>
      <c r="L862" s="9">
        <f>IF(G862="","GRAM EKSİK",IF(F862&gt;30000,"FİYAT ŞÜPHELİ",IF(K862&lt;0,"ZARARDA",IF(F862&lt;I862,"RİSKLİ","ok"))))</f>
        <v/>
      </c>
      <c r="M862" s="13" t="inlineStr">
        <is>
          <t>https://www.etsy.com/listing/1283581532</t>
        </is>
      </c>
    </row>
    <row r="863">
      <c r="A863" s="3" t="inlineStr">
        <is>
          <t>legacy</t>
        </is>
      </c>
      <c r="B863" s="3" t="inlineStr">
        <is>
          <t>10K Gold Miami Cuban Link Chain Necklace</t>
        </is>
      </c>
      <c r="C863" s="3" t="n">
        <v>1283581532</v>
      </c>
      <c r="D863" s="3" t="inlineStr">
        <is>
          <t>CMC4-18</t>
        </is>
      </c>
      <c r="E863" s="3" t="inlineStr">
        <is>
          <t>description</t>
        </is>
      </c>
      <c r="F863" s="14" t="n">
        <v>1665</v>
      </c>
      <c r="G863" s="17" t="n">
        <v>14.46</v>
      </c>
      <c r="H863" s="14">
        <f>IF(G863="","",G863*Ayarlar!$B$3+Ayarlar!$B$4+Ayarlar!$B$5)</f>
        <v/>
      </c>
      <c r="I863" s="14">
        <f>IF(G863="","",ROUNDUP(((G863*Ayarlar!$B$3+Ayarlar!$B$4+Ayarlar!$B$5)+Ayarlar!$B$8)/((1-Ayarlar!$B$6)*(1-Ayarlar!$B$7)),0))</f>
        <v/>
      </c>
      <c r="J863" s="14">
        <f>IF(G863="","",ROUNDUP(((G863*Ayarlar!$B$3+Ayarlar!$B$4+Ayarlar!$B$5)+Ayarlar!$B$8)/((1-Ayarlar!$B$6)*(1-Ayarlar!$B$7-Ayarlar!$B$9)),0))</f>
        <v/>
      </c>
      <c r="K863" s="15">
        <f>IF(OR(G863="",F863=""),"",(F863*(1-Ayarlar!$B$6)-(F863*(1-Ayarlar!$B$6)*Ayarlar!$B$7+Ayarlar!$B$8)-(G863*Ayarlar!$B$3+Ayarlar!$B$4+Ayarlar!$B$5))/(F863*(1-Ayarlar!$B$6)))</f>
        <v/>
      </c>
      <c r="L863" s="3">
        <f>IF(G863="","GRAM EKSİK",IF(F863&gt;30000,"FİYAT ŞÜPHELİ",IF(K863&lt;0,"ZARARDA",IF(F863&lt;I863,"RİSKLİ","ok"))))</f>
        <v/>
      </c>
      <c r="M863" s="16" t="inlineStr">
        <is>
          <t>https://www.etsy.com/listing/1283581532</t>
        </is>
      </c>
    </row>
    <row r="864">
      <c r="A864" s="9" t="inlineStr">
        <is>
          <t>legacy</t>
        </is>
      </c>
      <c r="B864" s="9" t="inlineStr">
        <is>
          <t>10K Gold Miami Cuban Link Chain Necklace</t>
        </is>
      </c>
      <c r="C864" s="9" t="n">
        <v>1283581532</v>
      </c>
      <c r="D864" s="9" t="inlineStr">
        <is>
          <t>CMC4-20</t>
        </is>
      </c>
      <c r="E864" s="9" t="inlineStr">
        <is>
          <t>description</t>
        </is>
      </c>
      <c r="F864" s="10" t="n">
        <v>2000</v>
      </c>
      <c r="G864" s="18" t="n">
        <v>16.07</v>
      </c>
      <c r="H864" s="10">
        <f>IF(G864="","",G864*Ayarlar!$B$3+Ayarlar!$B$4+Ayarlar!$B$5)</f>
        <v/>
      </c>
      <c r="I864" s="10">
        <f>IF(G864="","",ROUNDUP(((G864*Ayarlar!$B$3+Ayarlar!$B$4+Ayarlar!$B$5)+Ayarlar!$B$8)/((1-Ayarlar!$B$6)*(1-Ayarlar!$B$7)),0))</f>
        <v/>
      </c>
      <c r="J864" s="10">
        <f>IF(G864="","",ROUNDUP(((G864*Ayarlar!$B$3+Ayarlar!$B$4+Ayarlar!$B$5)+Ayarlar!$B$8)/((1-Ayarlar!$B$6)*(1-Ayarlar!$B$7-Ayarlar!$B$9)),0))</f>
        <v/>
      </c>
      <c r="K864" s="12">
        <f>IF(OR(G864="",F864=""),"",(F864*(1-Ayarlar!$B$6)-(F864*(1-Ayarlar!$B$6)*Ayarlar!$B$7+Ayarlar!$B$8)-(G864*Ayarlar!$B$3+Ayarlar!$B$4+Ayarlar!$B$5))/(F864*(1-Ayarlar!$B$6)))</f>
        <v/>
      </c>
      <c r="L864" s="9">
        <f>IF(G864="","GRAM EKSİK",IF(F864&gt;30000,"FİYAT ŞÜPHELİ",IF(K864&lt;0,"ZARARDA",IF(F864&lt;I864,"RİSKLİ","ok"))))</f>
        <v/>
      </c>
      <c r="M864" s="13" t="inlineStr">
        <is>
          <t>https://www.etsy.com/listing/1283581532</t>
        </is>
      </c>
    </row>
    <row r="865">
      <c r="A865" s="3" t="inlineStr">
        <is>
          <t>legacy</t>
        </is>
      </c>
      <c r="B865" s="3" t="inlineStr">
        <is>
          <t>10K Gold Miami Cuban Link Chain Necklace</t>
        </is>
      </c>
      <c r="C865" s="3" t="n">
        <v>1283581532</v>
      </c>
      <c r="D865" s="3" t="inlineStr">
        <is>
          <t>CMC4-22</t>
        </is>
      </c>
      <c r="E865" s="3" t="inlineStr">
        <is>
          <t>description</t>
        </is>
      </c>
      <c r="F865" s="14" t="n">
        <v>2178</v>
      </c>
      <c r="G865" s="17" t="n">
        <v>17.68</v>
      </c>
      <c r="H865" s="14">
        <f>IF(G865="","",G865*Ayarlar!$B$3+Ayarlar!$B$4+Ayarlar!$B$5)</f>
        <v/>
      </c>
      <c r="I865" s="14">
        <f>IF(G865="","",ROUNDUP(((G865*Ayarlar!$B$3+Ayarlar!$B$4+Ayarlar!$B$5)+Ayarlar!$B$8)/((1-Ayarlar!$B$6)*(1-Ayarlar!$B$7)),0))</f>
        <v/>
      </c>
      <c r="J865" s="14">
        <f>IF(G865="","",ROUNDUP(((G865*Ayarlar!$B$3+Ayarlar!$B$4+Ayarlar!$B$5)+Ayarlar!$B$8)/((1-Ayarlar!$B$6)*(1-Ayarlar!$B$7-Ayarlar!$B$9)),0))</f>
        <v/>
      </c>
      <c r="K865" s="15">
        <f>IF(OR(G865="",F865=""),"",(F865*(1-Ayarlar!$B$6)-(F865*(1-Ayarlar!$B$6)*Ayarlar!$B$7+Ayarlar!$B$8)-(G865*Ayarlar!$B$3+Ayarlar!$B$4+Ayarlar!$B$5))/(F865*(1-Ayarlar!$B$6)))</f>
        <v/>
      </c>
      <c r="L865" s="3">
        <f>IF(G865="","GRAM EKSİK",IF(F865&gt;30000,"FİYAT ŞÜPHELİ",IF(K865&lt;0,"ZARARDA",IF(F865&lt;I865,"RİSKLİ","ok"))))</f>
        <v/>
      </c>
      <c r="M865" s="16" t="inlineStr">
        <is>
          <t>https://www.etsy.com/listing/1283581532</t>
        </is>
      </c>
    </row>
    <row r="866">
      <c r="A866" s="9" t="inlineStr">
        <is>
          <t>legacy</t>
        </is>
      </c>
      <c r="B866" s="9" t="inlineStr">
        <is>
          <t>10K Gold Miami Cuban Link Chain Necklace</t>
        </is>
      </c>
      <c r="C866" s="9" t="n">
        <v>1283581532</v>
      </c>
      <c r="D866" s="9" t="inlineStr">
        <is>
          <t>CMC4-24</t>
        </is>
      </c>
      <c r="E866" s="9" t="inlineStr">
        <is>
          <t>description</t>
        </is>
      </c>
      <c r="F866" s="10" t="n">
        <v>2401</v>
      </c>
      <c r="G866" s="18" t="n">
        <v>19.28</v>
      </c>
      <c r="H866" s="10">
        <f>IF(G866="","",G866*Ayarlar!$B$3+Ayarlar!$B$4+Ayarlar!$B$5)</f>
        <v/>
      </c>
      <c r="I866" s="10">
        <f>IF(G866="","",ROUNDUP(((G866*Ayarlar!$B$3+Ayarlar!$B$4+Ayarlar!$B$5)+Ayarlar!$B$8)/((1-Ayarlar!$B$6)*(1-Ayarlar!$B$7)),0))</f>
        <v/>
      </c>
      <c r="J866" s="10">
        <f>IF(G866="","",ROUNDUP(((G866*Ayarlar!$B$3+Ayarlar!$B$4+Ayarlar!$B$5)+Ayarlar!$B$8)/((1-Ayarlar!$B$6)*(1-Ayarlar!$B$7-Ayarlar!$B$9)),0))</f>
        <v/>
      </c>
      <c r="K866" s="12">
        <f>IF(OR(G866="",F866=""),"",(F866*(1-Ayarlar!$B$6)-(F866*(1-Ayarlar!$B$6)*Ayarlar!$B$7+Ayarlar!$B$8)-(G866*Ayarlar!$B$3+Ayarlar!$B$4+Ayarlar!$B$5))/(F866*(1-Ayarlar!$B$6)))</f>
        <v/>
      </c>
      <c r="L866" s="9">
        <f>IF(G866="","GRAM EKSİK",IF(F866&gt;30000,"FİYAT ŞÜPHELİ",IF(K866&lt;0,"ZARARDA",IF(F866&lt;I866,"RİSKLİ","ok"))))</f>
        <v/>
      </c>
      <c r="M866" s="13" t="inlineStr">
        <is>
          <t>https://www.etsy.com/listing/1283581532</t>
        </is>
      </c>
    </row>
    <row r="867">
      <c r="A867" s="3" t="inlineStr">
        <is>
          <t>legacy</t>
        </is>
      </c>
      <c r="B867" s="3" t="inlineStr">
        <is>
          <t>10K Gold Miami Cuban Link Chain Necklace</t>
        </is>
      </c>
      <c r="C867" s="3" t="n">
        <v>1283581532</v>
      </c>
      <c r="D867" s="3" t="inlineStr">
        <is>
          <t>CMC5-16</t>
        </is>
      </c>
      <c r="E867" s="3" t="inlineStr">
        <is>
          <t>description</t>
        </is>
      </c>
      <c r="F867" s="14" t="n">
        <v>1607</v>
      </c>
      <c r="G867" s="17" t="n">
        <v>14.4</v>
      </c>
      <c r="H867" s="14">
        <f>IF(G867="","",G867*Ayarlar!$B$3+Ayarlar!$B$4+Ayarlar!$B$5)</f>
        <v/>
      </c>
      <c r="I867" s="14">
        <f>IF(G867="","",ROUNDUP(((G867*Ayarlar!$B$3+Ayarlar!$B$4+Ayarlar!$B$5)+Ayarlar!$B$8)/((1-Ayarlar!$B$6)*(1-Ayarlar!$B$7)),0))</f>
        <v/>
      </c>
      <c r="J867" s="14">
        <f>IF(G867="","",ROUNDUP(((G867*Ayarlar!$B$3+Ayarlar!$B$4+Ayarlar!$B$5)+Ayarlar!$B$8)/((1-Ayarlar!$B$6)*(1-Ayarlar!$B$7-Ayarlar!$B$9)),0))</f>
        <v/>
      </c>
      <c r="K867" s="15">
        <f>IF(OR(G867="",F867=""),"",(F867*(1-Ayarlar!$B$6)-(F867*(1-Ayarlar!$B$6)*Ayarlar!$B$7+Ayarlar!$B$8)-(G867*Ayarlar!$B$3+Ayarlar!$B$4+Ayarlar!$B$5))/(F867*(1-Ayarlar!$B$6)))</f>
        <v/>
      </c>
      <c r="L867" s="3">
        <f>IF(G867="","GRAM EKSİK",IF(F867&gt;30000,"FİYAT ŞÜPHELİ",IF(K867&lt;0,"ZARARDA",IF(F867&lt;I867,"RİSKLİ","ok"))))</f>
        <v/>
      </c>
      <c r="M867" s="16" t="inlineStr">
        <is>
          <t>https://www.etsy.com/listing/1283581532</t>
        </is>
      </c>
    </row>
    <row r="868">
      <c r="A868" s="9" t="inlineStr">
        <is>
          <t>legacy</t>
        </is>
      </c>
      <c r="B868" s="9" t="inlineStr">
        <is>
          <t>10K Gold Miami Cuban Link Chain Necklace</t>
        </is>
      </c>
      <c r="C868" s="9" t="n">
        <v>1283581532</v>
      </c>
      <c r="D868" s="9" t="inlineStr">
        <is>
          <t>CMC5-18</t>
        </is>
      </c>
      <c r="E868" s="9" t="inlineStr">
        <is>
          <t>description</t>
        </is>
      </c>
      <c r="F868" s="10" t="n">
        <v>2358</v>
      </c>
      <c r="G868" s="18" t="n">
        <v>16.2</v>
      </c>
      <c r="H868" s="10">
        <f>IF(G868="","",G868*Ayarlar!$B$3+Ayarlar!$B$4+Ayarlar!$B$5)</f>
        <v/>
      </c>
      <c r="I868" s="10">
        <f>IF(G868="","",ROUNDUP(((G868*Ayarlar!$B$3+Ayarlar!$B$4+Ayarlar!$B$5)+Ayarlar!$B$8)/((1-Ayarlar!$B$6)*(1-Ayarlar!$B$7)),0))</f>
        <v/>
      </c>
      <c r="J868" s="10">
        <f>IF(G868="","",ROUNDUP(((G868*Ayarlar!$B$3+Ayarlar!$B$4+Ayarlar!$B$5)+Ayarlar!$B$8)/((1-Ayarlar!$B$6)*(1-Ayarlar!$B$7-Ayarlar!$B$9)),0))</f>
        <v/>
      </c>
      <c r="K868" s="12">
        <f>IF(OR(G868="",F868=""),"",(F868*(1-Ayarlar!$B$6)-(F868*(1-Ayarlar!$B$6)*Ayarlar!$B$7+Ayarlar!$B$8)-(G868*Ayarlar!$B$3+Ayarlar!$B$4+Ayarlar!$B$5))/(F868*(1-Ayarlar!$B$6)))</f>
        <v/>
      </c>
      <c r="L868" s="9">
        <f>IF(G868="","GRAM EKSİK",IF(F868&gt;30000,"FİYAT ŞÜPHELİ",IF(K868&lt;0,"ZARARDA",IF(F868&lt;I868,"RİSKLİ","ok"))))</f>
        <v/>
      </c>
      <c r="M868" s="13" t="inlineStr">
        <is>
          <t>https://www.etsy.com/listing/1283581532</t>
        </is>
      </c>
    </row>
    <row r="869">
      <c r="A869" s="3" t="inlineStr">
        <is>
          <t>legacy</t>
        </is>
      </c>
      <c r="B869" s="3" t="inlineStr">
        <is>
          <t>10K Gold Miami Cuban Link Chain Necklace</t>
        </is>
      </c>
      <c r="C869" s="3" t="n">
        <v>1283581532</v>
      </c>
      <c r="D869" s="3" t="inlineStr">
        <is>
          <t>CMC5-20</t>
        </is>
      </c>
      <c r="E869" s="3" t="inlineStr">
        <is>
          <t>description</t>
        </is>
      </c>
      <c r="F869" s="14" t="n">
        <v>2652</v>
      </c>
      <c r="G869" s="17" t="n">
        <v>18</v>
      </c>
      <c r="H869" s="14">
        <f>IF(G869="","",G869*Ayarlar!$B$3+Ayarlar!$B$4+Ayarlar!$B$5)</f>
        <v/>
      </c>
      <c r="I869" s="14">
        <f>IF(G869="","",ROUNDUP(((G869*Ayarlar!$B$3+Ayarlar!$B$4+Ayarlar!$B$5)+Ayarlar!$B$8)/((1-Ayarlar!$B$6)*(1-Ayarlar!$B$7)),0))</f>
        <v/>
      </c>
      <c r="J869" s="14">
        <f>IF(G869="","",ROUNDUP(((G869*Ayarlar!$B$3+Ayarlar!$B$4+Ayarlar!$B$5)+Ayarlar!$B$8)/((1-Ayarlar!$B$6)*(1-Ayarlar!$B$7-Ayarlar!$B$9)),0))</f>
        <v/>
      </c>
      <c r="K869" s="15">
        <f>IF(OR(G869="",F869=""),"",(F869*(1-Ayarlar!$B$6)-(F869*(1-Ayarlar!$B$6)*Ayarlar!$B$7+Ayarlar!$B$8)-(G869*Ayarlar!$B$3+Ayarlar!$B$4+Ayarlar!$B$5))/(F869*(1-Ayarlar!$B$6)))</f>
        <v/>
      </c>
      <c r="L869" s="3">
        <f>IF(G869="","GRAM EKSİK",IF(F869&gt;30000,"FİYAT ŞÜPHELİ",IF(K869&lt;0,"ZARARDA",IF(F869&lt;I869,"RİSKLİ","ok"))))</f>
        <v/>
      </c>
      <c r="M869" s="16" t="inlineStr">
        <is>
          <t>https://www.etsy.com/listing/1283581532</t>
        </is>
      </c>
    </row>
    <row r="870">
      <c r="A870" s="9" t="inlineStr">
        <is>
          <t>legacy</t>
        </is>
      </c>
      <c r="B870" s="9" t="inlineStr">
        <is>
          <t>10K Gold Miami Cuban Link Chain Necklace</t>
        </is>
      </c>
      <c r="C870" s="9" t="n">
        <v>1283581532</v>
      </c>
      <c r="D870" s="9" t="inlineStr">
        <is>
          <t>CMC5-22</t>
        </is>
      </c>
      <c r="E870" s="9" t="inlineStr">
        <is>
          <t>description</t>
        </is>
      </c>
      <c r="F870" s="10" t="n">
        <v>2945</v>
      </c>
      <c r="G870" s="18" t="n">
        <v>19.8</v>
      </c>
      <c r="H870" s="10">
        <f>IF(G870="","",G870*Ayarlar!$B$3+Ayarlar!$B$4+Ayarlar!$B$5)</f>
        <v/>
      </c>
      <c r="I870" s="10">
        <f>IF(G870="","",ROUNDUP(((G870*Ayarlar!$B$3+Ayarlar!$B$4+Ayarlar!$B$5)+Ayarlar!$B$8)/((1-Ayarlar!$B$6)*(1-Ayarlar!$B$7)),0))</f>
        <v/>
      </c>
      <c r="J870" s="10">
        <f>IF(G870="","",ROUNDUP(((G870*Ayarlar!$B$3+Ayarlar!$B$4+Ayarlar!$B$5)+Ayarlar!$B$8)/((1-Ayarlar!$B$6)*(1-Ayarlar!$B$7-Ayarlar!$B$9)),0))</f>
        <v/>
      </c>
      <c r="K870" s="12">
        <f>IF(OR(G870="",F870=""),"",(F870*(1-Ayarlar!$B$6)-(F870*(1-Ayarlar!$B$6)*Ayarlar!$B$7+Ayarlar!$B$8)-(G870*Ayarlar!$B$3+Ayarlar!$B$4+Ayarlar!$B$5))/(F870*(1-Ayarlar!$B$6)))</f>
        <v/>
      </c>
      <c r="L870" s="9">
        <f>IF(G870="","GRAM EKSİK",IF(F870&gt;30000,"FİYAT ŞÜPHELİ",IF(K870&lt;0,"ZARARDA",IF(F870&lt;I870,"RİSKLİ","ok"))))</f>
        <v/>
      </c>
      <c r="M870" s="13" t="inlineStr">
        <is>
          <t>https://www.etsy.com/listing/1283581532</t>
        </is>
      </c>
    </row>
    <row r="871">
      <c r="A871" s="3" t="inlineStr">
        <is>
          <t>legacy</t>
        </is>
      </c>
      <c r="B871" s="3" t="inlineStr">
        <is>
          <t>10K Gold Miami Cuban Link Chain Necklace</t>
        </is>
      </c>
      <c r="C871" s="3" t="n">
        <v>1283581532</v>
      </c>
      <c r="D871" s="3" t="inlineStr">
        <is>
          <t>CMC5-24</t>
        </is>
      </c>
      <c r="E871" s="3" t="inlineStr">
        <is>
          <t>description</t>
        </is>
      </c>
      <c r="F871" s="14" t="n">
        <v>3239</v>
      </c>
      <c r="G871" s="17" t="n">
        <v>21.6</v>
      </c>
      <c r="H871" s="14">
        <f>IF(G871="","",G871*Ayarlar!$B$3+Ayarlar!$B$4+Ayarlar!$B$5)</f>
        <v/>
      </c>
      <c r="I871" s="14">
        <f>IF(G871="","",ROUNDUP(((G871*Ayarlar!$B$3+Ayarlar!$B$4+Ayarlar!$B$5)+Ayarlar!$B$8)/((1-Ayarlar!$B$6)*(1-Ayarlar!$B$7)),0))</f>
        <v/>
      </c>
      <c r="J871" s="14">
        <f>IF(G871="","",ROUNDUP(((G871*Ayarlar!$B$3+Ayarlar!$B$4+Ayarlar!$B$5)+Ayarlar!$B$8)/((1-Ayarlar!$B$6)*(1-Ayarlar!$B$7-Ayarlar!$B$9)),0))</f>
        <v/>
      </c>
      <c r="K871" s="15">
        <f>IF(OR(G871="",F871=""),"",(F871*(1-Ayarlar!$B$6)-(F871*(1-Ayarlar!$B$6)*Ayarlar!$B$7+Ayarlar!$B$8)-(G871*Ayarlar!$B$3+Ayarlar!$B$4+Ayarlar!$B$5))/(F871*(1-Ayarlar!$B$6)))</f>
        <v/>
      </c>
      <c r="L871" s="3">
        <f>IF(G871="","GRAM EKSİK",IF(F871&gt;30000,"FİYAT ŞÜPHELİ",IF(K871&lt;0,"ZARARDA",IF(F871&lt;I871,"RİSKLİ","ok"))))</f>
        <v/>
      </c>
      <c r="M871" s="16" t="inlineStr">
        <is>
          <t>https://www.etsy.com/listing/1283581532</t>
        </is>
      </c>
    </row>
    <row r="872">
      <c r="A872" s="9" t="inlineStr">
        <is>
          <t>legacy</t>
        </is>
      </c>
      <c r="B872" s="9" t="inlineStr">
        <is>
          <t>10K Gold Miami Cuban Link Chain Necklace</t>
        </is>
      </c>
      <c r="C872" s="9" t="n">
        <v>1283581532</v>
      </c>
      <c r="D872" s="9" t="inlineStr">
        <is>
          <t>CMC6-16</t>
        </is>
      </c>
      <c r="E872" s="9" t="inlineStr">
        <is>
          <t>description</t>
        </is>
      </c>
      <c r="F872" s="10" t="n">
        <v>3084</v>
      </c>
      <c r="G872" s="18" t="n">
        <v>19</v>
      </c>
      <c r="H872" s="10">
        <f>IF(G872="","",G872*Ayarlar!$B$3+Ayarlar!$B$4+Ayarlar!$B$5)</f>
        <v/>
      </c>
      <c r="I872" s="10">
        <f>IF(G872="","",ROUNDUP(((G872*Ayarlar!$B$3+Ayarlar!$B$4+Ayarlar!$B$5)+Ayarlar!$B$8)/((1-Ayarlar!$B$6)*(1-Ayarlar!$B$7)),0))</f>
        <v/>
      </c>
      <c r="J872" s="10">
        <f>IF(G872="","",ROUNDUP(((G872*Ayarlar!$B$3+Ayarlar!$B$4+Ayarlar!$B$5)+Ayarlar!$B$8)/((1-Ayarlar!$B$6)*(1-Ayarlar!$B$7-Ayarlar!$B$9)),0))</f>
        <v/>
      </c>
      <c r="K872" s="12">
        <f>IF(OR(G872="",F872=""),"",(F872*(1-Ayarlar!$B$6)-(F872*(1-Ayarlar!$B$6)*Ayarlar!$B$7+Ayarlar!$B$8)-(G872*Ayarlar!$B$3+Ayarlar!$B$4+Ayarlar!$B$5))/(F872*(1-Ayarlar!$B$6)))</f>
        <v/>
      </c>
      <c r="L872" s="9">
        <f>IF(G872="","GRAM EKSİK",IF(F872&gt;30000,"FİYAT ŞÜPHELİ",IF(K872&lt;0,"ZARARDA",IF(F872&lt;I872,"RİSKLİ","ok"))))</f>
        <v/>
      </c>
      <c r="M872" s="13" t="inlineStr">
        <is>
          <t>https://www.etsy.com/listing/1283581532</t>
        </is>
      </c>
    </row>
    <row r="873">
      <c r="A873" s="3" t="inlineStr">
        <is>
          <t>legacy</t>
        </is>
      </c>
      <c r="B873" s="3" t="inlineStr">
        <is>
          <t>10K Gold Miami Cuban Link Chain Necklace</t>
        </is>
      </c>
      <c r="C873" s="3" t="n">
        <v>1283581532</v>
      </c>
      <c r="D873" s="3" t="inlineStr">
        <is>
          <t>CMC6-18</t>
        </is>
      </c>
      <c r="E873" s="3" t="inlineStr">
        <is>
          <t>description</t>
        </is>
      </c>
      <c r="F873" s="14" t="n">
        <v>3523</v>
      </c>
      <c r="G873" s="17" t="n">
        <v>21.38</v>
      </c>
      <c r="H873" s="14">
        <f>IF(G873="","",G873*Ayarlar!$B$3+Ayarlar!$B$4+Ayarlar!$B$5)</f>
        <v/>
      </c>
      <c r="I873" s="14">
        <f>IF(G873="","",ROUNDUP(((G873*Ayarlar!$B$3+Ayarlar!$B$4+Ayarlar!$B$5)+Ayarlar!$B$8)/((1-Ayarlar!$B$6)*(1-Ayarlar!$B$7)),0))</f>
        <v/>
      </c>
      <c r="J873" s="14">
        <f>IF(G873="","",ROUNDUP(((G873*Ayarlar!$B$3+Ayarlar!$B$4+Ayarlar!$B$5)+Ayarlar!$B$8)/((1-Ayarlar!$B$6)*(1-Ayarlar!$B$7-Ayarlar!$B$9)),0))</f>
        <v/>
      </c>
      <c r="K873" s="15">
        <f>IF(OR(G873="",F873=""),"",(F873*(1-Ayarlar!$B$6)-(F873*(1-Ayarlar!$B$6)*Ayarlar!$B$7+Ayarlar!$B$8)-(G873*Ayarlar!$B$3+Ayarlar!$B$4+Ayarlar!$B$5))/(F873*(1-Ayarlar!$B$6)))</f>
        <v/>
      </c>
      <c r="L873" s="3">
        <f>IF(G873="","GRAM EKSİK",IF(F873&gt;30000,"FİYAT ŞÜPHELİ",IF(K873&lt;0,"ZARARDA",IF(F873&lt;I873,"RİSKLİ","ok"))))</f>
        <v/>
      </c>
      <c r="M873" s="16" t="inlineStr">
        <is>
          <t>https://www.etsy.com/listing/1283581532</t>
        </is>
      </c>
    </row>
    <row r="874">
      <c r="A874" s="9" t="inlineStr">
        <is>
          <t>legacy</t>
        </is>
      </c>
      <c r="B874" s="9" t="inlineStr">
        <is>
          <t>10K Gold Miami Cuban Link Chain Necklace</t>
        </is>
      </c>
      <c r="C874" s="9" t="n">
        <v>1283581532</v>
      </c>
      <c r="D874" s="9" t="inlineStr">
        <is>
          <t>CMC6-20</t>
        </is>
      </c>
      <c r="E874" s="9" t="inlineStr">
        <is>
          <t>description</t>
        </is>
      </c>
      <c r="F874" s="10" t="n">
        <v>3820</v>
      </c>
      <c r="G874" s="18" t="n">
        <v>23.75</v>
      </c>
      <c r="H874" s="10">
        <f>IF(G874="","",G874*Ayarlar!$B$3+Ayarlar!$B$4+Ayarlar!$B$5)</f>
        <v/>
      </c>
      <c r="I874" s="10">
        <f>IF(G874="","",ROUNDUP(((G874*Ayarlar!$B$3+Ayarlar!$B$4+Ayarlar!$B$5)+Ayarlar!$B$8)/((1-Ayarlar!$B$6)*(1-Ayarlar!$B$7)),0))</f>
        <v/>
      </c>
      <c r="J874" s="10">
        <f>IF(G874="","",ROUNDUP(((G874*Ayarlar!$B$3+Ayarlar!$B$4+Ayarlar!$B$5)+Ayarlar!$B$8)/((1-Ayarlar!$B$6)*(1-Ayarlar!$B$7-Ayarlar!$B$9)),0))</f>
        <v/>
      </c>
      <c r="K874" s="12">
        <f>IF(OR(G874="",F874=""),"",(F874*(1-Ayarlar!$B$6)-(F874*(1-Ayarlar!$B$6)*Ayarlar!$B$7+Ayarlar!$B$8)-(G874*Ayarlar!$B$3+Ayarlar!$B$4+Ayarlar!$B$5))/(F874*(1-Ayarlar!$B$6)))</f>
        <v/>
      </c>
      <c r="L874" s="9">
        <f>IF(G874="","GRAM EKSİK",IF(F874&gt;30000,"FİYAT ŞÜPHELİ",IF(K874&lt;0,"ZARARDA",IF(F874&lt;I874,"RİSKLİ","ok"))))</f>
        <v/>
      </c>
      <c r="M874" s="13" t="inlineStr">
        <is>
          <t>https://www.etsy.com/listing/1283581532</t>
        </is>
      </c>
    </row>
    <row r="875">
      <c r="A875" s="3" t="inlineStr">
        <is>
          <t>legacy</t>
        </is>
      </c>
      <c r="B875" s="3" t="inlineStr">
        <is>
          <t>10K Gold Miami Cuban Link Chain Necklace</t>
        </is>
      </c>
      <c r="C875" s="3" t="n">
        <v>1283581532</v>
      </c>
      <c r="D875" s="3" t="inlineStr">
        <is>
          <t>CMC6-22</t>
        </is>
      </c>
      <c r="E875" s="3" t="inlineStr">
        <is>
          <t>description</t>
        </is>
      </c>
      <c r="F875" s="14" t="n">
        <v>4188</v>
      </c>
      <c r="G875" s="17" t="n">
        <v>26.13</v>
      </c>
      <c r="H875" s="14">
        <f>IF(G875="","",G875*Ayarlar!$B$3+Ayarlar!$B$4+Ayarlar!$B$5)</f>
        <v/>
      </c>
      <c r="I875" s="14">
        <f>IF(G875="","",ROUNDUP(((G875*Ayarlar!$B$3+Ayarlar!$B$4+Ayarlar!$B$5)+Ayarlar!$B$8)/((1-Ayarlar!$B$6)*(1-Ayarlar!$B$7)),0))</f>
        <v/>
      </c>
      <c r="J875" s="14">
        <f>IF(G875="","",ROUNDUP(((G875*Ayarlar!$B$3+Ayarlar!$B$4+Ayarlar!$B$5)+Ayarlar!$B$8)/((1-Ayarlar!$B$6)*(1-Ayarlar!$B$7-Ayarlar!$B$9)),0))</f>
        <v/>
      </c>
      <c r="K875" s="15">
        <f>IF(OR(G875="",F875=""),"",(F875*(1-Ayarlar!$B$6)-(F875*(1-Ayarlar!$B$6)*Ayarlar!$B$7+Ayarlar!$B$8)-(G875*Ayarlar!$B$3+Ayarlar!$B$4+Ayarlar!$B$5))/(F875*(1-Ayarlar!$B$6)))</f>
        <v/>
      </c>
      <c r="L875" s="3">
        <f>IF(G875="","GRAM EKSİK",IF(F875&gt;30000,"FİYAT ŞÜPHELİ",IF(K875&lt;0,"ZARARDA",IF(F875&lt;I875,"RİSKLİ","ok"))))</f>
        <v/>
      </c>
      <c r="M875" s="16" t="inlineStr">
        <is>
          <t>https://www.etsy.com/listing/1283581532</t>
        </is>
      </c>
    </row>
    <row r="876">
      <c r="A876" s="9" t="inlineStr">
        <is>
          <t>legacy</t>
        </is>
      </c>
      <c r="B876" s="9" t="inlineStr">
        <is>
          <t>10K Gold Miami Cuban Link Chain Necklace</t>
        </is>
      </c>
      <c r="C876" s="9" t="n">
        <v>1283581532</v>
      </c>
      <c r="D876" s="9" t="inlineStr">
        <is>
          <t>CMC6-24</t>
        </is>
      </c>
      <c r="E876" s="9" t="inlineStr">
        <is>
          <t>description</t>
        </is>
      </c>
      <c r="F876" s="10" t="n">
        <v>4413</v>
      </c>
      <c r="G876" s="18" t="n">
        <v>28.5</v>
      </c>
      <c r="H876" s="10">
        <f>IF(G876="","",G876*Ayarlar!$B$3+Ayarlar!$B$4+Ayarlar!$B$5)</f>
        <v/>
      </c>
      <c r="I876" s="10">
        <f>IF(G876="","",ROUNDUP(((G876*Ayarlar!$B$3+Ayarlar!$B$4+Ayarlar!$B$5)+Ayarlar!$B$8)/((1-Ayarlar!$B$6)*(1-Ayarlar!$B$7)),0))</f>
        <v/>
      </c>
      <c r="J876" s="10">
        <f>IF(G876="","",ROUNDUP(((G876*Ayarlar!$B$3+Ayarlar!$B$4+Ayarlar!$B$5)+Ayarlar!$B$8)/((1-Ayarlar!$B$6)*(1-Ayarlar!$B$7-Ayarlar!$B$9)),0))</f>
        <v/>
      </c>
      <c r="K876" s="12">
        <f>IF(OR(G876="",F876=""),"",(F876*(1-Ayarlar!$B$6)-(F876*(1-Ayarlar!$B$6)*Ayarlar!$B$7+Ayarlar!$B$8)-(G876*Ayarlar!$B$3+Ayarlar!$B$4+Ayarlar!$B$5))/(F876*(1-Ayarlar!$B$6)))</f>
        <v/>
      </c>
      <c r="L876" s="9">
        <f>IF(G876="","GRAM EKSİK",IF(F876&gt;30000,"FİYAT ŞÜPHELİ",IF(K876&lt;0,"ZARARDA",IF(F876&lt;I876,"RİSKLİ","ok"))))</f>
        <v/>
      </c>
      <c r="M876" s="13" t="inlineStr">
        <is>
          <t>https://www.etsy.com/listing/1283581532</t>
        </is>
      </c>
    </row>
    <row r="877">
      <c r="A877" s="3" t="inlineStr">
        <is>
          <t>legacy</t>
        </is>
      </c>
      <c r="B877" s="3" t="inlineStr">
        <is>
          <t>10K Gold Miami Cuban Link Chain Necklace</t>
        </is>
      </c>
      <c r="C877" s="3" t="n">
        <v>1283581532</v>
      </c>
      <c r="D877" s="3" t="inlineStr">
        <is>
          <t>CMC7-16</t>
        </is>
      </c>
      <c r="E877" s="3" t="inlineStr">
        <is>
          <t>description</t>
        </is>
      </c>
      <c r="F877" s="14" t="n">
        <v>3887</v>
      </c>
      <c r="G877" s="17" t="n">
        <v>22.76</v>
      </c>
      <c r="H877" s="14">
        <f>IF(G877="","",G877*Ayarlar!$B$3+Ayarlar!$B$4+Ayarlar!$B$5)</f>
        <v/>
      </c>
      <c r="I877" s="14">
        <f>IF(G877="","",ROUNDUP(((G877*Ayarlar!$B$3+Ayarlar!$B$4+Ayarlar!$B$5)+Ayarlar!$B$8)/((1-Ayarlar!$B$6)*(1-Ayarlar!$B$7)),0))</f>
        <v/>
      </c>
      <c r="J877" s="14">
        <f>IF(G877="","",ROUNDUP(((G877*Ayarlar!$B$3+Ayarlar!$B$4+Ayarlar!$B$5)+Ayarlar!$B$8)/((1-Ayarlar!$B$6)*(1-Ayarlar!$B$7-Ayarlar!$B$9)),0))</f>
        <v/>
      </c>
      <c r="K877" s="15">
        <f>IF(OR(G877="",F877=""),"",(F877*(1-Ayarlar!$B$6)-(F877*(1-Ayarlar!$B$6)*Ayarlar!$B$7+Ayarlar!$B$8)-(G877*Ayarlar!$B$3+Ayarlar!$B$4+Ayarlar!$B$5))/(F877*(1-Ayarlar!$B$6)))</f>
        <v/>
      </c>
      <c r="L877" s="3">
        <f>IF(G877="","GRAM EKSİK",IF(F877&gt;30000,"FİYAT ŞÜPHELİ",IF(K877&lt;0,"ZARARDA",IF(F877&lt;I877,"RİSKLİ","ok"))))</f>
        <v/>
      </c>
      <c r="M877" s="16" t="inlineStr">
        <is>
          <t>https://www.etsy.com/listing/1283581532</t>
        </is>
      </c>
    </row>
    <row r="878">
      <c r="A878" s="9" t="inlineStr">
        <is>
          <t>legacy</t>
        </is>
      </c>
      <c r="B878" s="9" t="inlineStr">
        <is>
          <t>10K Gold Miami Cuban Link Chain Necklace</t>
        </is>
      </c>
      <c r="C878" s="9" t="n">
        <v>1283581532</v>
      </c>
      <c r="D878" s="9" t="inlineStr">
        <is>
          <t>CMC7-18</t>
        </is>
      </c>
      <c r="E878" s="9" t="inlineStr">
        <is>
          <t>description</t>
        </is>
      </c>
      <c r="F878" s="10" t="n">
        <v>4185</v>
      </c>
      <c r="G878" s="18" t="n">
        <v>25.61</v>
      </c>
      <c r="H878" s="10">
        <f>IF(G878="","",G878*Ayarlar!$B$3+Ayarlar!$B$4+Ayarlar!$B$5)</f>
        <v/>
      </c>
      <c r="I878" s="10">
        <f>IF(G878="","",ROUNDUP(((G878*Ayarlar!$B$3+Ayarlar!$B$4+Ayarlar!$B$5)+Ayarlar!$B$8)/((1-Ayarlar!$B$6)*(1-Ayarlar!$B$7)),0))</f>
        <v/>
      </c>
      <c r="J878" s="10">
        <f>IF(G878="","",ROUNDUP(((G878*Ayarlar!$B$3+Ayarlar!$B$4+Ayarlar!$B$5)+Ayarlar!$B$8)/((1-Ayarlar!$B$6)*(1-Ayarlar!$B$7-Ayarlar!$B$9)),0))</f>
        <v/>
      </c>
      <c r="K878" s="12">
        <f>IF(OR(G878="",F878=""),"",(F878*(1-Ayarlar!$B$6)-(F878*(1-Ayarlar!$B$6)*Ayarlar!$B$7+Ayarlar!$B$8)-(G878*Ayarlar!$B$3+Ayarlar!$B$4+Ayarlar!$B$5))/(F878*(1-Ayarlar!$B$6)))</f>
        <v/>
      </c>
      <c r="L878" s="9">
        <f>IF(G878="","GRAM EKSİK",IF(F878&gt;30000,"FİYAT ŞÜPHELİ",IF(K878&lt;0,"ZARARDA",IF(F878&lt;I878,"RİSKLİ","ok"))))</f>
        <v/>
      </c>
      <c r="M878" s="13" t="inlineStr">
        <is>
          <t>https://www.etsy.com/listing/1283581532</t>
        </is>
      </c>
    </row>
    <row r="879">
      <c r="A879" s="3" t="inlineStr">
        <is>
          <t>legacy</t>
        </is>
      </c>
      <c r="B879" s="3" t="inlineStr">
        <is>
          <t>10K Gold Miami Cuban Link Chain Necklace</t>
        </is>
      </c>
      <c r="C879" s="3" t="n">
        <v>1283581532</v>
      </c>
      <c r="D879" s="3" t="inlineStr">
        <is>
          <t>CMC7-20</t>
        </is>
      </c>
      <c r="E879" s="3" t="inlineStr">
        <is>
          <t>description</t>
        </is>
      </c>
      <c r="F879" s="14" t="n">
        <v>4556</v>
      </c>
      <c r="G879" s="17" t="n">
        <v>28.45</v>
      </c>
      <c r="H879" s="14">
        <f>IF(G879="","",G879*Ayarlar!$B$3+Ayarlar!$B$4+Ayarlar!$B$5)</f>
        <v/>
      </c>
      <c r="I879" s="14">
        <f>IF(G879="","",ROUNDUP(((G879*Ayarlar!$B$3+Ayarlar!$B$4+Ayarlar!$B$5)+Ayarlar!$B$8)/((1-Ayarlar!$B$6)*(1-Ayarlar!$B$7)),0))</f>
        <v/>
      </c>
      <c r="J879" s="14">
        <f>IF(G879="","",ROUNDUP(((G879*Ayarlar!$B$3+Ayarlar!$B$4+Ayarlar!$B$5)+Ayarlar!$B$8)/((1-Ayarlar!$B$6)*(1-Ayarlar!$B$7-Ayarlar!$B$9)),0))</f>
        <v/>
      </c>
      <c r="K879" s="15">
        <f>IF(OR(G879="",F879=""),"",(F879*(1-Ayarlar!$B$6)-(F879*(1-Ayarlar!$B$6)*Ayarlar!$B$7+Ayarlar!$B$8)-(G879*Ayarlar!$B$3+Ayarlar!$B$4+Ayarlar!$B$5))/(F879*(1-Ayarlar!$B$6)))</f>
        <v/>
      </c>
      <c r="L879" s="3">
        <f>IF(G879="","GRAM EKSİK",IF(F879&gt;30000,"FİYAT ŞÜPHELİ",IF(K879&lt;0,"ZARARDA",IF(F879&lt;I879,"RİSKLİ","ok"))))</f>
        <v/>
      </c>
      <c r="M879" s="16" t="inlineStr">
        <is>
          <t>https://www.etsy.com/listing/1283581532</t>
        </is>
      </c>
    </row>
    <row r="880">
      <c r="A880" s="9" t="inlineStr">
        <is>
          <t>legacy</t>
        </is>
      </c>
      <c r="B880" s="9" t="inlineStr">
        <is>
          <t>10K Gold Miami Cuban Link Chain Necklace</t>
        </is>
      </c>
      <c r="C880" s="9" t="n">
        <v>1283581532</v>
      </c>
      <c r="D880" s="9" t="inlineStr">
        <is>
          <t>CMC7-22</t>
        </is>
      </c>
      <c r="E880" s="9" t="inlineStr">
        <is>
          <t>description</t>
        </is>
      </c>
      <c r="F880" s="10" t="n">
        <v>4853</v>
      </c>
      <c r="G880" s="18" t="n">
        <v>31.3</v>
      </c>
      <c r="H880" s="10">
        <f>IF(G880="","",G880*Ayarlar!$B$3+Ayarlar!$B$4+Ayarlar!$B$5)</f>
        <v/>
      </c>
      <c r="I880" s="10">
        <f>IF(G880="","",ROUNDUP(((G880*Ayarlar!$B$3+Ayarlar!$B$4+Ayarlar!$B$5)+Ayarlar!$B$8)/((1-Ayarlar!$B$6)*(1-Ayarlar!$B$7)),0))</f>
        <v/>
      </c>
      <c r="J880" s="10">
        <f>IF(G880="","",ROUNDUP(((G880*Ayarlar!$B$3+Ayarlar!$B$4+Ayarlar!$B$5)+Ayarlar!$B$8)/((1-Ayarlar!$B$6)*(1-Ayarlar!$B$7-Ayarlar!$B$9)),0))</f>
        <v/>
      </c>
      <c r="K880" s="12">
        <f>IF(OR(G880="",F880=""),"",(F880*(1-Ayarlar!$B$6)-(F880*(1-Ayarlar!$B$6)*Ayarlar!$B$7+Ayarlar!$B$8)-(G880*Ayarlar!$B$3+Ayarlar!$B$4+Ayarlar!$B$5))/(F880*(1-Ayarlar!$B$6)))</f>
        <v/>
      </c>
      <c r="L880" s="9">
        <f>IF(G880="","GRAM EKSİK",IF(F880&gt;30000,"FİYAT ŞÜPHELİ",IF(K880&lt;0,"ZARARDA",IF(F880&lt;I880,"RİSKLİ","ok"))))</f>
        <v/>
      </c>
      <c r="M880" s="13" t="inlineStr">
        <is>
          <t>https://www.etsy.com/listing/1283581532</t>
        </is>
      </c>
    </row>
    <row r="881">
      <c r="A881" s="3" t="inlineStr">
        <is>
          <t>legacy</t>
        </is>
      </c>
      <c r="B881" s="3" t="inlineStr">
        <is>
          <t>10K Gold Miami Cuban Link Chain Necklace</t>
        </is>
      </c>
      <c r="C881" s="3" t="n">
        <v>1283581532</v>
      </c>
      <c r="D881" s="3" t="inlineStr">
        <is>
          <t>CMC7-24</t>
        </is>
      </c>
      <c r="E881" s="3" t="inlineStr">
        <is>
          <t>description</t>
        </is>
      </c>
      <c r="F881" s="14" t="n">
        <v>5152</v>
      </c>
      <c r="G881" s="17" t="n">
        <v>34.14</v>
      </c>
      <c r="H881" s="14">
        <f>IF(G881="","",G881*Ayarlar!$B$3+Ayarlar!$B$4+Ayarlar!$B$5)</f>
        <v/>
      </c>
      <c r="I881" s="14">
        <f>IF(G881="","",ROUNDUP(((G881*Ayarlar!$B$3+Ayarlar!$B$4+Ayarlar!$B$5)+Ayarlar!$B$8)/((1-Ayarlar!$B$6)*(1-Ayarlar!$B$7)),0))</f>
        <v/>
      </c>
      <c r="J881" s="14">
        <f>IF(G881="","",ROUNDUP(((G881*Ayarlar!$B$3+Ayarlar!$B$4+Ayarlar!$B$5)+Ayarlar!$B$8)/((1-Ayarlar!$B$6)*(1-Ayarlar!$B$7-Ayarlar!$B$9)),0))</f>
        <v/>
      </c>
      <c r="K881" s="15">
        <f>IF(OR(G881="",F881=""),"",(F881*(1-Ayarlar!$B$6)-(F881*(1-Ayarlar!$B$6)*Ayarlar!$B$7+Ayarlar!$B$8)-(G881*Ayarlar!$B$3+Ayarlar!$B$4+Ayarlar!$B$5))/(F881*(1-Ayarlar!$B$6)))</f>
        <v/>
      </c>
      <c r="L881" s="3">
        <f>IF(G881="","GRAM EKSİK",IF(F881&gt;30000,"FİYAT ŞÜPHELİ",IF(K881&lt;0,"ZARARDA",IF(F881&lt;I881,"RİSKLİ","ok"))))</f>
        <v/>
      </c>
      <c r="M881" s="16" t="inlineStr">
        <is>
          <t>https://www.etsy.com/listing/1283581532</t>
        </is>
      </c>
    </row>
    <row r="882">
      <c r="A882" s="9" t="inlineStr">
        <is>
          <t>legacy</t>
        </is>
      </c>
      <c r="B882" s="9" t="inlineStr">
        <is>
          <t>10K Gold Miami Cuban Link Chain Necklace</t>
        </is>
      </c>
      <c r="C882" s="9" t="n">
        <v>1283581532</v>
      </c>
      <c r="D882" s="9" t="inlineStr">
        <is>
          <t>CMC8-16</t>
        </is>
      </c>
      <c r="E882" s="9" t="inlineStr">
        <is>
          <t>description</t>
        </is>
      </c>
      <c r="F882" s="10" t="n">
        <v>5594</v>
      </c>
      <c r="G882" s="18" t="n">
        <v>37.01</v>
      </c>
      <c r="H882" s="10">
        <f>IF(G882="","",G882*Ayarlar!$B$3+Ayarlar!$B$4+Ayarlar!$B$5)</f>
        <v/>
      </c>
      <c r="I882" s="10">
        <f>IF(G882="","",ROUNDUP(((G882*Ayarlar!$B$3+Ayarlar!$B$4+Ayarlar!$B$5)+Ayarlar!$B$8)/((1-Ayarlar!$B$6)*(1-Ayarlar!$B$7)),0))</f>
        <v/>
      </c>
      <c r="J882" s="10">
        <f>IF(G882="","",ROUNDUP(((G882*Ayarlar!$B$3+Ayarlar!$B$4+Ayarlar!$B$5)+Ayarlar!$B$8)/((1-Ayarlar!$B$6)*(1-Ayarlar!$B$7-Ayarlar!$B$9)),0))</f>
        <v/>
      </c>
      <c r="K882" s="12">
        <f>IF(OR(G882="",F882=""),"",(F882*(1-Ayarlar!$B$6)-(F882*(1-Ayarlar!$B$6)*Ayarlar!$B$7+Ayarlar!$B$8)-(G882*Ayarlar!$B$3+Ayarlar!$B$4+Ayarlar!$B$5))/(F882*(1-Ayarlar!$B$6)))</f>
        <v/>
      </c>
      <c r="L882" s="9">
        <f>IF(G882="","GRAM EKSİK",IF(F882&gt;30000,"FİYAT ŞÜPHELİ",IF(K882&lt;0,"ZARARDA",IF(F882&lt;I882,"RİSKLİ","ok"))))</f>
        <v/>
      </c>
      <c r="M882" s="13" t="inlineStr">
        <is>
          <t>https://www.etsy.com/listing/1283581532</t>
        </is>
      </c>
    </row>
    <row r="883">
      <c r="A883" s="3" t="inlineStr">
        <is>
          <t>legacy</t>
        </is>
      </c>
      <c r="B883" s="3" t="inlineStr">
        <is>
          <t>10K Gold Miami Cuban Link Chain Necklace</t>
        </is>
      </c>
      <c r="C883" s="3" t="n">
        <v>1283581532</v>
      </c>
      <c r="D883" s="3" t="inlineStr">
        <is>
          <t>CMC8-18</t>
        </is>
      </c>
      <c r="E883" s="3" t="inlineStr">
        <is>
          <t>description</t>
        </is>
      </c>
      <c r="F883" s="14" t="n">
        <v>6114</v>
      </c>
      <c r="G883" s="17" t="n">
        <v>41.63</v>
      </c>
      <c r="H883" s="14">
        <f>IF(G883="","",G883*Ayarlar!$B$3+Ayarlar!$B$4+Ayarlar!$B$5)</f>
        <v/>
      </c>
      <c r="I883" s="14">
        <f>IF(G883="","",ROUNDUP(((G883*Ayarlar!$B$3+Ayarlar!$B$4+Ayarlar!$B$5)+Ayarlar!$B$8)/((1-Ayarlar!$B$6)*(1-Ayarlar!$B$7)),0))</f>
        <v/>
      </c>
      <c r="J883" s="14">
        <f>IF(G883="","",ROUNDUP(((G883*Ayarlar!$B$3+Ayarlar!$B$4+Ayarlar!$B$5)+Ayarlar!$B$8)/((1-Ayarlar!$B$6)*(1-Ayarlar!$B$7-Ayarlar!$B$9)),0))</f>
        <v/>
      </c>
      <c r="K883" s="15">
        <f>IF(OR(G883="",F883=""),"",(F883*(1-Ayarlar!$B$6)-(F883*(1-Ayarlar!$B$6)*Ayarlar!$B$7+Ayarlar!$B$8)-(G883*Ayarlar!$B$3+Ayarlar!$B$4+Ayarlar!$B$5))/(F883*(1-Ayarlar!$B$6)))</f>
        <v/>
      </c>
      <c r="L883" s="3">
        <f>IF(G883="","GRAM EKSİK",IF(F883&gt;30000,"FİYAT ŞÜPHELİ",IF(K883&lt;0,"ZARARDA",IF(F883&lt;I883,"RİSKLİ","ok"))))</f>
        <v/>
      </c>
      <c r="M883" s="16" t="inlineStr">
        <is>
          <t>https://www.etsy.com/listing/1283581532</t>
        </is>
      </c>
    </row>
    <row r="884">
      <c r="A884" s="9" t="inlineStr">
        <is>
          <t>legacy</t>
        </is>
      </c>
      <c r="B884" s="9" t="inlineStr">
        <is>
          <t>10K Gold Miami Cuban Link Chain Necklace</t>
        </is>
      </c>
      <c r="C884" s="9" t="n">
        <v>1283581532</v>
      </c>
      <c r="D884" s="9" t="inlineStr">
        <is>
          <t>CMC8-20</t>
        </is>
      </c>
      <c r="E884" s="9" t="inlineStr">
        <is>
          <t>description</t>
        </is>
      </c>
      <c r="F884" s="10" t="n">
        <v>6634</v>
      </c>
      <c r="G884" s="18" t="n">
        <v>46.26</v>
      </c>
      <c r="H884" s="10">
        <f>IF(G884="","",G884*Ayarlar!$B$3+Ayarlar!$B$4+Ayarlar!$B$5)</f>
        <v/>
      </c>
      <c r="I884" s="10">
        <f>IF(G884="","",ROUNDUP(((G884*Ayarlar!$B$3+Ayarlar!$B$4+Ayarlar!$B$5)+Ayarlar!$B$8)/((1-Ayarlar!$B$6)*(1-Ayarlar!$B$7)),0))</f>
        <v/>
      </c>
      <c r="J884" s="10">
        <f>IF(G884="","",ROUNDUP(((G884*Ayarlar!$B$3+Ayarlar!$B$4+Ayarlar!$B$5)+Ayarlar!$B$8)/((1-Ayarlar!$B$6)*(1-Ayarlar!$B$7-Ayarlar!$B$9)),0))</f>
        <v/>
      </c>
      <c r="K884" s="12">
        <f>IF(OR(G884="",F884=""),"",(F884*(1-Ayarlar!$B$6)-(F884*(1-Ayarlar!$B$6)*Ayarlar!$B$7+Ayarlar!$B$8)-(G884*Ayarlar!$B$3+Ayarlar!$B$4+Ayarlar!$B$5))/(F884*(1-Ayarlar!$B$6)))</f>
        <v/>
      </c>
      <c r="L884" s="9">
        <f>IF(G884="","GRAM EKSİK",IF(F884&gt;30000,"FİYAT ŞÜPHELİ",IF(K884&lt;0,"ZARARDA",IF(F884&lt;I884,"RİSKLİ","ok"))))</f>
        <v/>
      </c>
      <c r="M884" s="13" t="inlineStr">
        <is>
          <t>https://www.etsy.com/listing/1283581532</t>
        </is>
      </c>
    </row>
    <row r="885">
      <c r="A885" s="3" t="inlineStr">
        <is>
          <t>legacy</t>
        </is>
      </c>
      <c r="B885" s="3" t="inlineStr">
        <is>
          <t>10K Gold Miami Cuban Link Chain Necklace</t>
        </is>
      </c>
      <c r="C885" s="3" t="n">
        <v>1283581532</v>
      </c>
      <c r="D885" s="3" t="inlineStr">
        <is>
          <t>CMC8-22</t>
        </is>
      </c>
      <c r="E885" s="3" t="inlineStr">
        <is>
          <t>description</t>
        </is>
      </c>
      <c r="F885" s="14" t="n">
        <v>7155</v>
      </c>
      <c r="G885" s="17" t="n">
        <v>50.89</v>
      </c>
      <c r="H885" s="14">
        <f>IF(G885="","",G885*Ayarlar!$B$3+Ayarlar!$B$4+Ayarlar!$B$5)</f>
        <v/>
      </c>
      <c r="I885" s="14">
        <f>IF(G885="","",ROUNDUP(((G885*Ayarlar!$B$3+Ayarlar!$B$4+Ayarlar!$B$5)+Ayarlar!$B$8)/((1-Ayarlar!$B$6)*(1-Ayarlar!$B$7)),0))</f>
        <v/>
      </c>
      <c r="J885" s="14">
        <f>IF(G885="","",ROUNDUP(((G885*Ayarlar!$B$3+Ayarlar!$B$4+Ayarlar!$B$5)+Ayarlar!$B$8)/((1-Ayarlar!$B$6)*(1-Ayarlar!$B$7-Ayarlar!$B$9)),0))</f>
        <v/>
      </c>
      <c r="K885" s="15">
        <f>IF(OR(G885="",F885=""),"",(F885*(1-Ayarlar!$B$6)-(F885*(1-Ayarlar!$B$6)*Ayarlar!$B$7+Ayarlar!$B$8)-(G885*Ayarlar!$B$3+Ayarlar!$B$4+Ayarlar!$B$5))/(F885*(1-Ayarlar!$B$6)))</f>
        <v/>
      </c>
      <c r="L885" s="3">
        <f>IF(G885="","GRAM EKSİK",IF(F885&gt;30000,"FİYAT ŞÜPHELİ",IF(K885&lt;0,"ZARARDA",IF(F885&lt;I885,"RİSKLİ","ok"))))</f>
        <v/>
      </c>
      <c r="M885" s="16" t="inlineStr">
        <is>
          <t>https://www.etsy.com/listing/1283581532</t>
        </is>
      </c>
    </row>
    <row r="886">
      <c r="A886" s="9" t="inlineStr">
        <is>
          <t>legacy</t>
        </is>
      </c>
      <c r="B886" s="9" t="inlineStr">
        <is>
          <t>10K Gold Miami Cuban Link Chain Necklace</t>
        </is>
      </c>
      <c r="C886" s="9" t="n">
        <v>1283581532</v>
      </c>
      <c r="D886" s="9" t="inlineStr">
        <is>
          <t>CMC8-24</t>
        </is>
      </c>
      <c r="E886" s="9" t="inlineStr">
        <is>
          <t>description</t>
        </is>
      </c>
      <c r="F886" s="10" t="n">
        <v>7675</v>
      </c>
      <c r="G886" s="18" t="n">
        <v>55.51</v>
      </c>
      <c r="H886" s="10">
        <f>IF(G886="","",G886*Ayarlar!$B$3+Ayarlar!$B$4+Ayarlar!$B$5)</f>
        <v/>
      </c>
      <c r="I886" s="10">
        <f>IF(G886="","",ROUNDUP(((G886*Ayarlar!$B$3+Ayarlar!$B$4+Ayarlar!$B$5)+Ayarlar!$B$8)/((1-Ayarlar!$B$6)*(1-Ayarlar!$B$7)),0))</f>
        <v/>
      </c>
      <c r="J886" s="10">
        <f>IF(G886="","",ROUNDUP(((G886*Ayarlar!$B$3+Ayarlar!$B$4+Ayarlar!$B$5)+Ayarlar!$B$8)/((1-Ayarlar!$B$6)*(1-Ayarlar!$B$7-Ayarlar!$B$9)),0))</f>
        <v/>
      </c>
      <c r="K886" s="12">
        <f>IF(OR(G886="",F886=""),"",(F886*(1-Ayarlar!$B$6)-(F886*(1-Ayarlar!$B$6)*Ayarlar!$B$7+Ayarlar!$B$8)-(G886*Ayarlar!$B$3+Ayarlar!$B$4+Ayarlar!$B$5))/(F886*(1-Ayarlar!$B$6)))</f>
        <v/>
      </c>
      <c r="L886" s="9">
        <f>IF(G886="","GRAM EKSİK",IF(F886&gt;30000,"FİYAT ŞÜPHELİ",IF(K886&lt;0,"ZARARDA",IF(F886&lt;I886,"RİSKLİ","ok"))))</f>
        <v/>
      </c>
      <c r="M886" s="13" t="inlineStr">
        <is>
          <t>https://www.etsy.com/listing/1283581532</t>
        </is>
      </c>
    </row>
    <row r="887">
      <c r="A887" s="3" t="inlineStr">
        <is>
          <t>legacy</t>
        </is>
      </c>
      <c r="B887" s="3" t="inlineStr">
        <is>
          <t>10K Gold Miami Cuban Link Chain, CZ Box Lock</t>
        </is>
      </c>
      <c r="C887" s="3" t="n">
        <v>1764133503</v>
      </c>
      <c r="D887" s="3" t="inlineStr">
        <is>
          <t>CMON1-16</t>
        </is>
      </c>
      <c r="E887" s="3" t="inlineStr">
        <is>
          <t>description-scaled</t>
        </is>
      </c>
      <c r="F887" s="14" t="n">
        <v>2980</v>
      </c>
      <c r="G887" s="17" t="n">
        <v>22.51</v>
      </c>
      <c r="H887" s="14">
        <f>IF(G887="","",G887*Ayarlar!$B$3+Ayarlar!$B$4+Ayarlar!$B$5)</f>
        <v/>
      </c>
      <c r="I887" s="14">
        <f>IF(G887="","",ROUNDUP(((G887*Ayarlar!$B$3+Ayarlar!$B$4+Ayarlar!$B$5)+Ayarlar!$B$8)/((1-Ayarlar!$B$6)*(1-Ayarlar!$B$7)),0))</f>
        <v/>
      </c>
      <c r="J887" s="14">
        <f>IF(G887="","",ROUNDUP(((G887*Ayarlar!$B$3+Ayarlar!$B$4+Ayarlar!$B$5)+Ayarlar!$B$8)/((1-Ayarlar!$B$6)*(1-Ayarlar!$B$7-Ayarlar!$B$9)),0))</f>
        <v/>
      </c>
      <c r="K887" s="15">
        <f>IF(OR(G887="",F887=""),"",(F887*(1-Ayarlar!$B$6)-(F887*(1-Ayarlar!$B$6)*Ayarlar!$B$7+Ayarlar!$B$8)-(G887*Ayarlar!$B$3+Ayarlar!$B$4+Ayarlar!$B$5))/(F887*(1-Ayarlar!$B$6)))</f>
        <v/>
      </c>
      <c r="L887" s="3">
        <f>IF(G887="","GRAM EKSİK",IF(F887&gt;30000,"FİYAT ŞÜPHELİ",IF(K887&lt;0,"ZARARDA",IF(F887&lt;I887,"RİSKLİ","ok"))))</f>
        <v/>
      </c>
      <c r="M887" s="16" t="inlineStr">
        <is>
          <t>https://www.etsy.com/listing/1764133503</t>
        </is>
      </c>
    </row>
    <row r="888">
      <c r="A888" s="9" t="inlineStr">
        <is>
          <t>legacy</t>
        </is>
      </c>
      <c r="B888" s="9" t="inlineStr">
        <is>
          <t>10K Gold Miami Cuban Link Chain, CZ Box Lock</t>
        </is>
      </c>
      <c r="C888" s="9" t="n">
        <v>1764133503</v>
      </c>
      <c r="D888" s="9" t="inlineStr">
        <is>
          <t>CMON1-18</t>
        </is>
      </c>
      <c r="E888" s="9" t="inlineStr">
        <is>
          <t>description-scaled</t>
        </is>
      </c>
      <c r="F888" s="10" t="n">
        <v>3207</v>
      </c>
      <c r="G888" s="18" t="n">
        <v>25.33</v>
      </c>
      <c r="H888" s="10">
        <f>IF(G888="","",G888*Ayarlar!$B$3+Ayarlar!$B$4+Ayarlar!$B$5)</f>
        <v/>
      </c>
      <c r="I888" s="10">
        <f>IF(G888="","",ROUNDUP(((G888*Ayarlar!$B$3+Ayarlar!$B$4+Ayarlar!$B$5)+Ayarlar!$B$8)/((1-Ayarlar!$B$6)*(1-Ayarlar!$B$7)),0))</f>
        <v/>
      </c>
      <c r="J888" s="10">
        <f>IF(G888="","",ROUNDUP(((G888*Ayarlar!$B$3+Ayarlar!$B$4+Ayarlar!$B$5)+Ayarlar!$B$8)/((1-Ayarlar!$B$6)*(1-Ayarlar!$B$7-Ayarlar!$B$9)),0))</f>
        <v/>
      </c>
      <c r="K888" s="12">
        <f>IF(OR(G888="",F888=""),"",(F888*(1-Ayarlar!$B$6)-(F888*(1-Ayarlar!$B$6)*Ayarlar!$B$7+Ayarlar!$B$8)-(G888*Ayarlar!$B$3+Ayarlar!$B$4+Ayarlar!$B$5))/(F888*(1-Ayarlar!$B$6)))</f>
        <v/>
      </c>
      <c r="L888" s="9">
        <f>IF(G888="","GRAM EKSİK",IF(F888&gt;30000,"FİYAT ŞÜPHELİ",IF(K888&lt;0,"ZARARDA",IF(F888&lt;I888,"RİSKLİ","ok"))))</f>
        <v/>
      </c>
      <c r="M888" s="13" t="inlineStr">
        <is>
          <t>https://www.etsy.com/listing/1764133503</t>
        </is>
      </c>
    </row>
    <row r="889">
      <c r="A889" s="3" t="inlineStr">
        <is>
          <t>legacy</t>
        </is>
      </c>
      <c r="B889" s="3" t="inlineStr">
        <is>
          <t>10K Gold Miami Cuban Link Chain, CZ Box Lock</t>
        </is>
      </c>
      <c r="C889" s="3" t="n">
        <v>1764133503</v>
      </c>
      <c r="D889" s="3" t="inlineStr">
        <is>
          <t>CMON1-20</t>
        </is>
      </c>
      <c r="E889" s="3" t="inlineStr">
        <is>
          <t>description</t>
        </is>
      </c>
      <c r="F889" s="14" t="n">
        <v>3434</v>
      </c>
      <c r="G889" s="17" t="n">
        <v>28.14</v>
      </c>
      <c r="H889" s="14">
        <f>IF(G889="","",G889*Ayarlar!$B$3+Ayarlar!$B$4+Ayarlar!$B$5)</f>
        <v/>
      </c>
      <c r="I889" s="14">
        <f>IF(G889="","",ROUNDUP(((G889*Ayarlar!$B$3+Ayarlar!$B$4+Ayarlar!$B$5)+Ayarlar!$B$8)/((1-Ayarlar!$B$6)*(1-Ayarlar!$B$7)),0))</f>
        <v/>
      </c>
      <c r="J889" s="14">
        <f>IF(G889="","",ROUNDUP(((G889*Ayarlar!$B$3+Ayarlar!$B$4+Ayarlar!$B$5)+Ayarlar!$B$8)/((1-Ayarlar!$B$6)*(1-Ayarlar!$B$7-Ayarlar!$B$9)),0))</f>
        <v/>
      </c>
      <c r="K889" s="15">
        <f>IF(OR(G889="",F889=""),"",(F889*(1-Ayarlar!$B$6)-(F889*(1-Ayarlar!$B$6)*Ayarlar!$B$7+Ayarlar!$B$8)-(G889*Ayarlar!$B$3+Ayarlar!$B$4+Ayarlar!$B$5))/(F889*(1-Ayarlar!$B$6)))</f>
        <v/>
      </c>
      <c r="L889" s="3">
        <f>IF(G889="","GRAM EKSİK",IF(F889&gt;30000,"FİYAT ŞÜPHELİ",IF(K889&lt;0,"ZARARDA",IF(F889&lt;I889,"RİSKLİ","ok"))))</f>
        <v/>
      </c>
      <c r="M889" s="16" t="inlineStr">
        <is>
          <t>https://www.etsy.com/listing/1764133503</t>
        </is>
      </c>
    </row>
    <row r="890">
      <c r="A890" s="9" t="inlineStr">
        <is>
          <t>legacy</t>
        </is>
      </c>
      <c r="B890" s="9" t="inlineStr">
        <is>
          <t>10K Gold Miami Cuban Link Chain, CZ Box Lock</t>
        </is>
      </c>
      <c r="C890" s="9" t="n">
        <v>1764133503</v>
      </c>
      <c r="D890" s="9" t="inlineStr">
        <is>
          <t>CMON1-22</t>
        </is>
      </c>
      <c r="E890" s="9" t="inlineStr">
        <is>
          <t>description-scaled</t>
        </is>
      </c>
      <c r="F890" s="10" t="n">
        <v>3661</v>
      </c>
      <c r="G890" s="18" t="n">
        <v>30.95</v>
      </c>
      <c r="H890" s="10">
        <f>IF(G890="","",G890*Ayarlar!$B$3+Ayarlar!$B$4+Ayarlar!$B$5)</f>
        <v/>
      </c>
      <c r="I890" s="10">
        <f>IF(G890="","",ROUNDUP(((G890*Ayarlar!$B$3+Ayarlar!$B$4+Ayarlar!$B$5)+Ayarlar!$B$8)/((1-Ayarlar!$B$6)*(1-Ayarlar!$B$7)),0))</f>
        <v/>
      </c>
      <c r="J890" s="10">
        <f>IF(G890="","",ROUNDUP(((G890*Ayarlar!$B$3+Ayarlar!$B$4+Ayarlar!$B$5)+Ayarlar!$B$8)/((1-Ayarlar!$B$6)*(1-Ayarlar!$B$7-Ayarlar!$B$9)),0))</f>
        <v/>
      </c>
      <c r="K890" s="12">
        <f>IF(OR(G890="",F890=""),"",(F890*(1-Ayarlar!$B$6)-(F890*(1-Ayarlar!$B$6)*Ayarlar!$B$7+Ayarlar!$B$8)-(G890*Ayarlar!$B$3+Ayarlar!$B$4+Ayarlar!$B$5))/(F890*(1-Ayarlar!$B$6)))</f>
        <v/>
      </c>
      <c r="L890" s="9">
        <f>IF(G890="","GRAM EKSİK",IF(F890&gt;30000,"FİYAT ŞÜPHELİ",IF(K890&lt;0,"ZARARDA",IF(F890&lt;I890,"RİSKLİ","ok"))))</f>
        <v/>
      </c>
      <c r="M890" s="13" t="inlineStr">
        <is>
          <t>https://www.etsy.com/listing/1764133503</t>
        </is>
      </c>
    </row>
    <row r="891">
      <c r="A891" s="3" t="inlineStr">
        <is>
          <t>legacy</t>
        </is>
      </c>
      <c r="B891" s="3" t="inlineStr">
        <is>
          <t>10K Gold Miami Cuban Link Chain, CZ Box Lock</t>
        </is>
      </c>
      <c r="C891" s="3" t="n">
        <v>1764133503</v>
      </c>
      <c r="D891" s="3" t="inlineStr">
        <is>
          <t>CMON1-24</t>
        </is>
      </c>
      <c r="E891" s="3" t="inlineStr">
        <is>
          <t>description-scaled</t>
        </is>
      </c>
      <c r="F891" s="14" t="n">
        <v>3888</v>
      </c>
      <c r="G891" s="17" t="n">
        <v>33.77</v>
      </c>
      <c r="H891" s="14">
        <f>IF(G891="","",G891*Ayarlar!$B$3+Ayarlar!$B$4+Ayarlar!$B$5)</f>
        <v/>
      </c>
      <c r="I891" s="14">
        <f>IF(G891="","",ROUNDUP(((G891*Ayarlar!$B$3+Ayarlar!$B$4+Ayarlar!$B$5)+Ayarlar!$B$8)/((1-Ayarlar!$B$6)*(1-Ayarlar!$B$7)),0))</f>
        <v/>
      </c>
      <c r="J891" s="14">
        <f>IF(G891="","",ROUNDUP(((G891*Ayarlar!$B$3+Ayarlar!$B$4+Ayarlar!$B$5)+Ayarlar!$B$8)/((1-Ayarlar!$B$6)*(1-Ayarlar!$B$7-Ayarlar!$B$9)),0))</f>
        <v/>
      </c>
      <c r="K891" s="15">
        <f>IF(OR(G891="",F891=""),"",(F891*(1-Ayarlar!$B$6)-(F891*(1-Ayarlar!$B$6)*Ayarlar!$B$7+Ayarlar!$B$8)-(G891*Ayarlar!$B$3+Ayarlar!$B$4+Ayarlar!$B$5))/(F891*(1-Ayarlar!$B$6)))</f>
        <v/>
      </c>
      <c r="L891" s="3">
        <f>IF(G891="","GRAM EKSİK",IF(F891&gt;30000,"FİYAT ŞÜPHELİ",IF(K891&lt;0,"ZARARDA",IF(F891&lt;I891,"RİSKLİ","ok"))))</f>
        <v/>
      </c>
      <c r="M891" s="16" t="inlineStr">
        <is>
          <t>https://www.etsy.com/listing/1764133503</t>
        </is>
      </c>
    </row>
    <row r="892">
      <c r="A892" s="9" t="inlineStr">
        <is>
          <t>legacy</t>
        </is>
      </c>
      <c r="B892" s="9" t="inlineStr">
        <is>
          <t>10K Gold Miami Cuban Link Chain, CZ Box Lock</t>
        </is>
      </c>
      <c r="C892" s="9" t="n">
        <v>1764133503</v>
      </c>
      <c r="D892" s="9" t="inlineStr">
        <is>
          <t>CMON2-16</t>
        </is>
      </c>
      <c r="E892" s="9" t="inlineStr">
        <is>
          <t>description-scaled</t>
        </is>
      </c>
      <c r="F892" s="10" t="n">
        <v>3854</v>
      </c>
      <c r="G892" s="18" t="n">
        <v>31.13</v>
      </c>
      <c r="H892" s="10">
        <f>IF(G892="","",G892*Ayarlar!$B$3+Ayarlar!$B$4+Ayarlar!$B$5)</f>
        <v/>
      </c>
      <c r="I892" s="10">
        <f>IF(G892="","",ROUNDUP(((G892*Ayarlar!$B$3+Ayarlar!$B$4+Ayarlar!$B$5)+Ayarlar!$B$8)/((1-Ayarlar!$B$6)*(1-Ayarlar!$B$7)),0))</f>
        <v/>
      </c>
      <c r="J892" s="10">
        <f>IF(G892="","",ROUNDUP(((G892*Ayarlar!$B$3+Ayarlar!$B$4+Ayarlar!$B$5)+Ayarlar!$B$8)/((1-Ayarlar!$B$6)*(1-Ayarlar!$B$7-Ayarlar!$B$9)),0))</f>
        <v/>
      </c>
      <c r="K892" s="12">
        <f>IF(OR(G892="",F892=""),"",(F892*(1-Ayarlar!$B$6)-(F892*(1-Ayarlar!$B$6)*Ayarlar!$B$7+Ayarlar!$B$8)-(G892*Ayarlar!$B$3+Ayarlar!$B$4+Ayarlar!$B$5))/(F892*(1-Ayarlar!$B$6)))</f>
        <v/>
      </c>
      <c r="L892" s="9">
        <f>IF(G892="","GRAM EKSİK",IF(F892&gt;30000,"FİYAT ŞÜPHELİ",IF(K892&lt;0,"ZARARDA",IF(F892&lt;I892,"RİSKLİ","ok"))))</f>
        <v/>
      </c>
      <c r="M892" s="13" t="inlineStr">
        <is>
          <t>https://www.etsy.com/listing/1764133503</t>
        </is>
      </c>
    </row>
    <row r="893">
      <c r="A893" s="3" t="inlineStr">
        <is>
          <t>legacy</t>
        </is>
      </c>
      <c r="B893" s="3" t="inlineStr">
        <is>
          <t>10K Gold Miami Cuban Link Chain, CZ Box Lock</t>
        </is>
      </c>
      <c r="C893" s="3" t="n">
        <v>1764133503</v>
      </c>
      <c r="D893" s="3" t="inlineStr">
        <is>
          <t>CMON2-18</t>
        </is>
      </c>
      <c r="E893" s="3" t="inlineStr">
        <is>
          <t>description-scaled</t>
        </is>
      </c>
      <c r="F893" s="14" t="n">
        <v>4160</v>
      </c>
      <c r="G893" s="17" t="n">
        <v>35.02</v>
      </c>
      <c r="H893" s="14">
        <f>IF(G893="","",G893*Ayarlar!$B$3+Ayarlar!$B$4+Ayarlar!$B$5)</f>
        <v/>
      </c>
      <c r="I893" s="14">
        <f>IF(G893="","",ROUNDUP(((G893*Ayarlar!$B$3+Ayarlar!$B$4+Ayarlar!$B$5)+Ayarlar!$B$8)/((1-Ayarlar!$B$6)*(1-Ayarlar!$B$7)),0))</f>
        <v/>
      </c>
      <c r="J893" s="14">
        <f>IF(G893="","",ROUNDUP(((G893*Ayarlar!$B$3+Ayarlar!$B$4+Ayarlar!$B$5)+Ayarlar!$B$8)/((1-Ayarlar!$B$6)*(1-Ayarlar!$B$7-Ayarlar!$B$9)),0))</f>
        <v/>
      </c>
      <c r="K893" s="15">
        <f>IF(OR(G893="",F893=""),"",(F893*(1-Ayarlar!$B$6)-(F893*(1-Ayarlar!$B$6)*Ayarlar!$B$7+Ayarlar!$B$8)-(G893*Ayarlar!$B$3+Ayarlar!$B$4+Ayarlar!$B$5))/(F893*(1-Ayarlar!$B$6)))</f>
        <v/>
      </c>
      <c r="L893" s="3">
        <f>IF(G893="","GRAM EKSİK",IF(F893&gt;30000,"FİYAT ŞÜPHELİ",IF(K893&lt;0,"ZARARDA",IF(F893&lt;I893,"RİSKLİ","ok"))))</f>
        <v/>
      </c>
      <c r="M893" s="16" t="inlineStr">
        <is>
          <t>https://www.etsy.com/listing/1764133503</t>
        </is>
      </c>
    </row>
    <row r="894">
      <c r="A894" s="9" t="inlineStr">
        <is>
          <t>legacy</t>
        </is>
      </c>
      <c r="B894" s="9" t="inlineStr">
        <is>
          <t>10K Gold Miami Cuban Link Chain, CZ Box Lock</t>
        </is>
      </c>
      <c r="C894" s="9" t="n">
        <v>1764133503</v>
      </c>
      <c r="D894" s="9" t="inlineStr">
        <is>
          <t>CMON2-20</t>
        </is>
      </c>
      <c r="E894" s="9" t="inlineStr">
        <is>
          <t>description-scaled</t>
        </is>
      </c>
      <c r="F894" s="10" t="n">
        <v>4469</v>
      </c>
      <c r="G894" s="18" t="n">
        <v>38.91</v>
      </c>
      <c r="H894" s="10">
        <f>IF(G894="","",G894*Ayarlar!$B$3+Ayarlar!$B$4+Ayarlar!$B$5)</f>
        <v/>
      </c>
      <c r="I894" s="10">
        <f>IF(G894="","",ROUNDUP(((G894*Ayarlar!$B$3+Ayarlar!$B$4+Ayarlar!$B$5)+Ayarlar!$B$8)/((1-Ayarlar!$B$6)*(1-Ayarlar!$B$7)),0))</f>
        <v/>
      </c>
      <c r="J894" s="10">
        <f>IF(G894="","",ROUNDUP(((G894*Ayarlar!$B$3+Ayarlar!$B$4+Ayarlar!$B$5)+Ayarlar!$B$8)/((1-Ayarlar!$B$6)*(1-Ayarlar!$B$7-Ayarlar!$B$9)),0))</f>
        <v/>
      </c>
      <c r="K894" s="12">
        <f>IF(OR(G894="",F894=""),"",(F894*(1-Ayarlar!$B$6)-(F894*(1-Ayarlar!$B$6)*Ayarlar!$B$7+Ayarlar!$B$8)-(G894*Ayarlar!$B$3+Ayarlar!$B$4+Ayarlar!$B$5))/(F894*(1-Ayarlar!$B$6)))</f>
        <v/>
      </c>
      <c r="L894" s="9">
        <f>IF(G894="","GRAM EKSİK",IF(F894&gt;30000,"FİYAT ŞÜPHELİ",IF(K894&lt;0,"ZARARDA",IF(F894&lt;I894,"RİSKLİ","ok"))))</f>
        <v/>
      </c>
      <c r="M894" s="13" t="inlineStr">
        <is>
          <t>https://www.etsy.com/listing/1764133503</t>
        </is>
      </c>
    </row>
    <row r="895">
      <c r="A895" s="3" t="inlineStr">
        <is>
          <t>legacy</t>
        </is>
      </c>
      <c r="B895" s="3" t="inlineStr">
        <is>
          <t>10K Gold Miami Cuban Link Chain, CZ Box Lock</t>
        </is>
      </c>
      <c r="C895" s="3" t="n">
        <v>1764133503</v>
      </c>
      <c r="D895" s="3" t="inlineStr">
        <is>
          <t>CMON2-22</t>
        </is>
      </c>
      <c r="E895" s="3" t="inlineStr">
        <is>
          <t>description</t>
        </is>
      </c>
      <c r="F895" s="14" t="n">
        <v>4776</v>
      </c>
      <c r="G895" s="17" t="n">
        <v>42.8</v>
      </c>
      <c r="H895" s="14">
        <f>IF(G895="","",G895*Ayarlar!$B$3+Ayarlar!$B$4+Ayarlar!$B$5)</f>
        <v/>
      </c>
      <c r="I895" s="14">
        <f>IF(G895="","",ROUNDUP(((G895*Ayarlar!$B$3+Ayarlar!$B$4+Ayarlar!$B$5)+Ayarlar!$B$8)/((1-Ayarlar!$B$6)*(1-Ayarlar!$B$7)),0))</f>
        <v/>
      </c>
      <c r="J895" s="14">
        <f>IF(G895="","",ROUNDUP(((G895*Ayarlar!$B$3+Ayarlar!$B$4+Ayarlar!$B$5)+Ayarlar!$B$8)/((1-Ayarlar!$B$6)*(1-Ayarlar!$B$7-Ayarlar!$B$9)),0))</f>
        <v/>
      </c>
      <c r="K895" s="15">
        <f>IF(OR(G895="",F895=""),"",(F895*(1-Ayarlar!$B$6)-(F895*(1-Ayarlar!$B$6)*Ayarlar!$B$7+Ayarlar!$B$8)-(G895*Ayarlar!$B$3+Ayarlar!$B$4+Ayarlar!$B$5))/(F895*(1-Ayarlar!$B$6)))</f>
        <v/>
      </c>
      <c r="L895" s="3">
        <f>IF(G895="","GRAM EKSİK",IF(F895&gt;30000,"FİYAT ŞÜPHELİ",IF(K895&lt;0,"ZARARDA",IF(F895&lt;I895,"RİSKLİ","ok"))))</f>
        <v/>
      </c>
      <c r="M895" s="16" t="inlineStr">
        <is>
          <t>https://www.etsy.com/listing/1764133503</t>
        </is>
      </c>
    </row>
    <row r="896">
      <c r="A896" s="9" t="inlineStr">
        <is>
          <t>legacy</t>
        </is>
      </c>
      <c r="B896" s="9" t="inlineStr">
        <is>
          <t>10K Gold Miami Cuban Link Chain, CZ Box Lock</t>
        </is>
      </c>
      <c r="C896" s="9" t="n">
        <v>1764133503</v>
      </c>
      <c r="D896" s="9" t="inlineStr">
        <is>
          <t>CMON2-24</t>
        </is>
      </c>
      <c r="E896" s="9" t="inlineStr">
        <is>
          <t>description-scaled</t>
        </is>
      </c>
      <c r="F896" s="10" t="n">
        <v>5142</v>
      </c>
      <c r="G896" s="18" t="n">
        <v>46.69</v>
      </c>
      <c r="H896" s="10">
        <f>IF(G896="","",G896*Ayarlar!$B$3+Ayarlar!$B$4+Ayarlar!$B$5)</f>
        <v/>
      </c>
      <c r="I896" s="10">
        <f>IF(G896="","",ROUNDUP(((G896*Ayarlar!$B$3+Ayarlar!$B$4+Ayarlar!$B$5)+Ayarlar!$B$8)/((1-Ayarlar!$B$6)*(1-Ayarlar!$B$7)),0))</f>
        <v/>
      </c>
      <c r="J896" s="10">
        <f>IF(G896="","",ROUNDUP(((G896*Ayarlar!$B$3+Ayarlar!$B$4+Ayarlar!$B$5)+Ayarlar!$B$8)/((1-Ayarlar!$B$6)*(1-Ayarlar!$B$7-Ayarlar!$B$9)),0))</f>
        <v/>
      </c>
      <c r="K896" s="12">
        <f>IF(OR(G896="",F896=""),"",(F896*(1-Ayarlar!$B$6)-(F896*(1-Ayarlar!$B$6)*Ayarlar!$B$7+Ayarlar!$B$8)-(G896*Ayarlar!$B$3+Ayarlar!$B$4+Ayarlar!$B$5))/(F896*(1-Ayarlar!$B$6)))</f>
        <v/>
      </c>
      <c r="L896" s="9">
        <f>IF(G896="","GRAM EKSİK",IF(F896&gt;30000,"FİYAT ŞÜPHELİ",IF(K896&lt;0,"ZARARDA",IF(F896&lt;I896,"RİSKLİ","ok"))))</f>
        <v/>
      </c>
      <c r="M896" s="13" t="inlineStr">
        <is>
          <t>https://www.etsy.com/listing/1764133503</t>
        </is>
      </c>
    </row>
    <row r="897">
      <c r="A897" s="3" t="inlineStr">
        <is>
          <t>legacy</t>
        </is>
      </c>
      <c r="B897" s="3" t="inlineStr">
        <is>
          <t>10K Gold Miami Cuban Link Chain, CZ Box Lock</t>
        </is>
      </c>
      <c r="C897" s="3" t="n">
        <v>1764133503</v>
      </c>
      <c r="D897" s="3" t="inlineStr">
        <is>
          <t>CMON3-16</t>
        </is>
      </c>
      <c r="E897" s="3" t="inlineStr">
        <is>
          <t>description-scaled</t>
        </is>
      </c>
      <c r="F897" s="14" t="n">
        <v>4824</v>
      </c>
      <c r="G897" s="17" t="n">
        <v>40.47</v>
      </c>
      <c r="H897" s="14">
        <f>IF(G897="","",G897*Ayarlar!$B$3+Ayarlar!$B$4+Ayarlar!$B$5)</f>
        <v/>
      </c>
      <c r="I897" s="14">
        <f>IF(G897="","",ROUNDUP(((G897*Ayarlar!$B$3+Ayarlar!$B$4+Ayarlar!$B$5)+Ayarlar!$B$8)/((1-Ayarlar!$B$6)*(1-Ayarlar!$B$7)),0))</f>
        <v/>
      </c>
      <c r="J897" s="14">
        <f>IF(G897="","",ROUNDUP(((G897*Ayarlar!$B$3+Ayarlar!$B$4+Ayarlar!$B$5)+Ayarlar!$B$8)/((1-Ayarlar!$B$6)*(1-Ayarlar!$B$7-Ayarlar!$B$9)),0))</f>
        <v/>
      </c>
      <c r="K897" s="15">
        <f>IF(OR(G897="",F897=""),"",(F897*(1-Ayarlar!$B$6)-(F897*(1-Ayarlar!$B$6)*Ayarlar!$B$7+Ayarlar!$B$8)-(G897*Ayarlar!$B$3+Ayarlar!$B$4+Ayarlar!$B$5))/(F897*(1-Ayarlar!$B$6)))</f>
        <v/>
      </c>
      <c r="L897" s="3">
        <f>IF(G897="","GRAM EKSİK",IF(F897&gt;30000,"FİYAT ŞÜPHELİ",IF(K897&lt;0,"ZARARDA",IF(F897&lt;I897,"RİSKLİ","ok"))))</f>
        <v/>
      </c>
      <c r="M897" s="16" t="inlineStr">
        <is>
          <t>https://www.etsy.com/listing/1764133503</t>
        </is>
      </c>
    </row>
    <row r="898">
      <c r="A898" s="9" t="inlineStr">
        <is>
          <t>legacy</t>
        </is>
      </c>
      <c r="B898" s="9" t="inlineStr">
        <is>
          <t>10K Gold Miami Cuban Link Chain, CZ Box Lock</t>
        </is>
      </c>
      <c r="C898" s="9" t="n">
        <v>1764133503</v>
      </c>
      <c r="D898" s="9" t="inlineStr">
        <is>
          <t>CMON3-18</t>
        </is>
      </c>
      <c r="E898" s="9" t="inlineStr">
        <is>
          <t>description-scaled</t>
        </is>
      </c>
      <c r="F898" s="10" t="n">
        <v>5427</v>
      </c>
      <c r="G898" s="18" t="n">
        <v>45.53</v>
      </c>
      <c r="H898" s="10">
        <f>IF(G898="","",G898*Ayarlar!$B$3+Ayarlar!$B$4+Ayarlar!$B$5)</f>
        <v/>
      </c>
      <c r="I898" s="10">
        <f>IF(G898="","",ROUNDUP(((G898*Ayarlar!$B$3+Ayarlar!$B$4+Ayarlar!$B$5)+Ayarlar!$B$8)/((1-Ayarlar!$B$6)*(1-Ayarlar!$B$7)),0))</f>
        <v/>
      </c>
      <c r="J898" s="10">
        <f>IF(G898="","",ROUNDUP(((G898*Ayarlar!$B$3+Ayarlar!$B$4+Ayarlar!$B$5)+Ayarlar!$B$8)/((1-Ayarlar!$B$6)*(1-Ayarlar!$B$7-Ayarlar!$B$9)),0))</f>
        <v/>
      </c>
      <c r="K898" s="12">
        <f>IF(OR(G898="",F898=""),"",(F898*(1-Ayarlar!$B$6)-(F898*(1-Ayarlar!$B$6)*Ayarlar!$B$7+Ayarlar!$B$8)-(G898*Ayarlar!$B$3+Ayarlar!$B$4+Ayarlar!$B$5))/(F898*(1-Ayarlar!$B$6)))</f>
        <v/>
      </c>
      <c r="L898" s="9">
        <f>IF(G898="","GRAM EKSİK",IF(F898&gt;30000,"FİYAT ŞÜPHELİ",IF(K898&lt;0,"ZARARDA",IF(F898&lt;I898,"RİSKLİ","ok"))))</f>
        <v/>
      </c>
      <c r="M898" s="13" t="inlineStr">
        <is>
          <t>https://www.etsy.com/listing/1764133503</t>
        </is>
      </c>
    </row>
    <row r="899">
      <c r="A899" s="3" t="inlineStr">
        <is>
          <t>legacy</t>
        </is>
      </c>
      <c r="B899" s="3" t="inlineStr">
        <is>
          <t>10K Gold Miami Cuban Link Chain, CZ Box Lock</t>
        </is>
      </c>
      <c r="C899" s="3" t="n">
        <v>1764133503</v>
      </c>
      <c r="D899" s="3" t="inlineStr">
        <is>
          <t>CMON3-20</t>
        </is>
      </c>
      <c r="E899" s="3" t="inlineStr">
        <is>
          <t>description-scaled</t>
        </is>
      </c>
      <c r="F899" s="14" t="n">
        <v>6030</v>
      </c>
      <c r="G899" s="17" t="n">
        <v>50.58</v>
      </c>
      <c r="H899" s="14">
        <f>IF(G899="","",G899*Ayarlar!$B$3+Ayarlar!$B$4+Ayarlar!$B$5)</f>
        <v/>
      </c>
      <c r="I899" s="14">
        <f>IF(G899="","",ROUNDUP(((G899*Ayarlar!$B$3+Ayarlar!$B$4+Ayarlar!$B$5)+Ayarlar!$B$8)/((1-Ayarlar!$B$6)*(1-Ayarlar!$B$7)),0))</f>
        <v/>
      </c>
      <c r="J899" s="14">
        <f>IF(G899="","",ROUNDUP(((G899*Ayarlar!$B$3+Ayarlar!$B$4+Ayarlar!$B$5)+Ayarlar!$B$8)/((1-Ayarlar!$B$6)*(1-Ayarlar!$B$7-Ayarlar!$B$9)),0))</f>
        <v/>
      </c>
      <c r="K899" s="15">
        <f>IF(OR(G899="",F899=""),"",(F899*(1-Ayarlar!$B$6)-(F899*(1-Ayarlar!$B$6)*Ayarlar!$B$7+Ayarlar!$B$8)-(G899*Ayarlar!$B$3+Ayarlar!$B$4+Ayarlar!$B$5))/(F899*(1-Ayarlar!$B$6)))</f>
        <v/>
      </c>
      <c r="L899" s="3">
        <f>IF(G899="","GRAM EKSİK",IF(F899&gt;30000,"FİYAT ŞÜPHELİ",IF(K899&lt;0,"ZARARDA",IF(F899&lt;I899,"RİSKLİ","ok"))))</f>
        <v/>
      </c>
      <c r="M899" s="16" t="inlineStr">
        <is>
          <t>https://www.etsy.com/listing/1764133503</t>
        </is>
      </c>
    </row>
    <row r="900">
      <c r="A900" s="9" t="inlineStr">
        <is>
          <t>legacy</t>
        </is>
      </c>
      <c r="B900" s="9" t="inlineStr">
        <is>
          <t>10K Gold Miami Cuban Link Chain, CZ Box Lock</t>
        </is>
      </c>
      <c r="C900" s="9" t="n">
        <v>1764133503</v>
      </c>
      <c r="D900" s="9" t="inlineStr">
        <is>
          <t>CMON3-22</t>
        </is>
      </c>
      <c r="E900" s="9" t="inlineStr">
        <is>
          <t>description-scaled</t>
        </is>
      </c>
      <c r="F900" s="10" t="n">
        <v>6633</v>
      </c>
      <c r="G900" s="18" t="n">
        <v>55.64</v>
      </c>
      <c r="H900" s="10">
        <f>IF(G900="","",G900*Ayarlar!$B$3+Ayarlar!$B$4+Ayarlar!$B$5)</f>
        <v/>
      </c>
      <c r="I900" s="10">
        <f>IF(G900="","",ROUNDUP(((G900*Ayarlar!$B$3+Ayarlar!$B$4+Ayarlar!$B$5)+Ayarlar!$B$8)/((1-Ayarlar!$B$6)*(1-Ayarlar!$B$7)),0))</f>
        <v/>
      </c>
      <c r="J900" s="10">
        <f>IF(G900="","",ROUNDUP(((G900*Ayarlar!$B$3+Ayarlar!$B$4+Ayarlar!$B$5)+Ayarlar!$B$8)/((1-Ayarlar!$B$6)*(1-Ayarlar!$B$7-Ayarlar!$B$9)),0))</f>
        <v/>
      </c>
      <c r="K900" s="12">
        <f>IF(OR(G900="",F900=""),"",(F900*(1-Ayarlar!$B$6)-(F900*(1-Ayarlar!$B$6)*Ayarlar!$B$7+Ayarlar!$B$8)-(G900*Ayarlar!$B$3+Ayarlar!$B$4+Ayarlar!$B$5))/(F900*(1-Ayarlar!$B$6)))</f>
        <v/>
      </c>
      <c r="L900" s="9">
        <f>IF(G900="","GRAM EKSİK",IF(F900&gt;30000,"FİYAT ŞÜPHELİ",IF(K900&lt;0,"ZARARDA",IF(F900&lt;I900,"RİSKLİ","ok"))))</f>
        <v/>
      </c>
      <c r="M900" s="13" t="inlineStr">
        <is>
          <t>https://www.etsy.com/listing/1764133503</t>
        </is>
      </c>
    </row>
    <row r="901">
      <c r="A901" s="3" t="inlineStr">
        <is>
          <t>legacy</t>
        </is>
      </c>
      <c r="B901" s="3" t="inlineStr">
        <is>
          <t>10K Gold Miami Cuban Link Chain, CZ Box Lock</t>
        </is>
      </c>
      <c r="C901" s="3" t="n">
        <v>1764133503</v>
      </c>
      <c r="D901" s="3" t="inlineStr">
        <is>
          <t>CMON3-24</t>
        </is>
      </c>
      <c r="E901" s="3" t="inlineStr">
        <is>
          <t>description</t>
        </is>
      </c>
      <c r="F901" s="14" t="n">
        <v>7235</v>
      </c>
      <c r="G901" s="17" t="n">
        <v>60.7</v>
      </c>
      <c r="H901" s="14">
        <f>IF(G901="","",G901*Ayarlar!$B$3+Ayarlar!$B$4+Ayarlar!$B$5)</f>
        <v/>
      </c>
      <c r="I901" s="14">
        <f>IF(G901="","",ROUNDUP(((G901*Ayarlar!$B$3+Ayarlar!$B$4+Ayarlar!$B$5)+Ayarlar!$B$8)/((1-Ayarlar!$B$6)*(1-Ayarlar!$B$7)),0))</f>
        <v/>
      </c>
      <c r="J901" s="14">
        <f>IF(G901="","",ROUNDUP(((G901*Ayarlar!$B$3+Ayarlar!$B$4+Ayarlar!$B$5)+Ayarlar!$B$8)/((1-Ayarlar!$B$6)*(1-Ayarlar!$B$7-Ayarlar!$B$9)),0))</f>
        <v/>
      </c>
      <c r="K901" s="15">
        <f>IF(OR(G901="",F901=""),"",(F901*(1-Ayarlar!$B$6)-(F901*(1-Ayarlar!$B$6)*Ayarlar!$B$7+Ayarlar!$B$8)-(G901*Ayarlar!$B$3+Ayarlar!$B$4+Ayarlar!$B$5))/(F901*(1-Ayarlar!$B$6)))</f>
        <v/>
      </c>
      <c r="L901" s="3">
        <f>IF(G901="","GRAM EKSİK",IF(F901&gt;30000,"FİYAT ŞÜPHELİ",IF(K901&lt;0,"ZARARDA",IF(F901&lt;I901,"RİSKLİ","ok"))))</f>
        <v/>
      </c>
      <c r="M901" s="16" t="inlineStr">
        <is>
          <t>https://www.etsy.com/listing/1764133503</t>
        </is>
      </c>
    </row>
    <row r="902">
      <c r="A902" s="9" t="inlineStr">
        <is>
          <t>legacy</t>
        </is>
      </c>
      <c r="B902" s="9" t="inlineStr">
        <is>
          <t>10K Gold Puffed Mariner Anchor Chain Necklace – Real Texture</t>
        </is>
      </c>
      <c r="C902" s="9" t="n">
        <v>1320317404</v>
      </c>
      <c r="D902" s="9" t="inlineStr">
        <is>
          <t>C1320317404</t>
        </is>
      </c>
      <c r="E902" s="9" t="inlineStr">
        <is>
          <t>—</t>
        </is>
      </c>
      <c r="F902" s="10" t="n">
        <v>1857.6</v>
      </c>
      <c r="G902" s="11" t="n"/>
      <c r="H902" s="10">
        <f>IF(G902="","",G902*Ayarlar!$B$3+Ayarlar!$B$4+Ayarlar!$B$5)</f>
        <v/>
      </c>
      <c r="I902" s="10">
        <f>IF(G902="","",ROUNDUP(((G902*Ayarlar!$B$3+Ayarlar!$B$4+Ayarlar!$B$5)+Ayarlar!$B$8)/((1-Ayarlar!$B$6)*(1-Ayarlar!$B$7)),0))</f>
        <v/>
      </c>
      <c r="J902" s="10">
        <f>IF(G902="","",ROUNDUP(((G902*Ayarlar!$B$3+Ayarlar!$B$4+Ayarlar!$B$5)+Ayarlar!$B$8)/((1-Ayarlar!$B$6)*(1-Ayarlar!$B$7-Ayarlar!$B$9)),0))</f>
        <v/>
      </c>
      <c r="K902" s="12">
        <f>IF(OR(G902="",F902=""),"",(F902*(1-Ayarlar!$B$6)-(F902*(1-Ayarlar!$B$6)*Ayarlar!$B$7+Ayarlar!$B$8)-(G902*Ayarlar!$B$3+Ayarlar!$B$4+Ayarlar!$B$5))/(F902*(1-Ayarlar!$B$6)))</f>
        <v/>
      </c>
      <c r="L902" s="9">
        <f>IF(G902="","GRAM EKSİK",IF(F902&gt;30000,"FİYAT ŞÜPHELİ",IF(K902&lt;0,"ZARARDA",IF(F902&lt;I902,"RİSKLİ","ok"))))</f>
        <v/>
      </c>
      <c r="M902" s="13" t="inlineStr">
        <is>
          <t>https://www.etsy.com/listing/1320317404</t>
        </is>
      </c>
    </row>
    <row r="903">
      <c r="A903" s="3" t="inlineStr">
        <is>
          <t>legacy</t>
        </is>
      </c>
      <c r="B903" s="3" t="inlineStr">
        <is>
          <t>10K Real Yellow Gold Franco Chain – Unisex Necklace, All Siz</t>
        </is>
      </c>
      <c r="C903" s="3" t="n">
        <v>1891642136</v>
      </c>
      <c r="D903" s="3" t="inlineStr">
        <is>
          <t>CFR2-16</t>
        </is>
      </c>
      <c r="E903" s="3" t="inlineStr">
        <is>
          <t>description</t>
        </is>
      </c>
      <c r="F903" s="14" t="n">
        <v>330</v>
      </c>
      <c r="G903" s="17" t="n">
        <v>2.5</v>
      </c>
      <c r="H903" s="14">
        <f>IF(G903="","",G903*Ayarlar!$B$3+Ayarlar!$B$4+Ayarlar!$B$5)</f>
        <v/>
      </c>
      <c r="I903" s="14">
        <f>IF(G903="","",ROUNDUP(((G903*Ayarlar!$B$3+Ayarlar!$B$4+Ayarlar!$B$5)+Ayarlar!$B$8)/((1-Ayarlar!$B$6)*(1-Ayarlar!$B$7)),0))</f>
        <v/>
      </c>
      <c r="J903" s="14">
        <f>IF(G903="","",ROUNDUP(((G903*Ayarlar!$B$3+Ayarlar!$B$4+Ayarlar!$B$5)+Ayarlar!$B$8)/((1-Ayarlar!$B$6)*(1-Ayarlar!$B$7-Ayarlar!$B$9)),0))</f>
        <v/>
      </c>
      <c r="K903" s="15">
        <f>IF(OR(G903="",F903=""),"",(F903*(1-Ayarlar!$B$6)-(F903*(1-Ayarlar!$B$6)*Ayarlar!$B$7+Ayarlar!$B$8)-(G903*Ayarlar!$B$3+Ayarlar!$B$4+Ayarlar!$B$5))/(F903*(1-Ayarlar!$B$6)))</f>
        <v/>
      </c>
      <c r="L903" s="3">
        <f>IF(G903="","GRAM EKSİK",IF(F903&gt;30000,"FİYAT ŞÜPHELİ",IF(K903&lt;0,"ZARARDA",IF(F903&lt;I903,"RİSKLİ","ok"))))</f>
        <v/>
      </c>
      <c r="M903" s="16" t="inlineStr">
        <is>
          <t>https://www.etsy.com/listing/1891642136</t>
        </is>
      </c>
    </row>
    <row r="904">
      <c r="A904" s="9" t="inlineStr">
        <is>
          <t>legacy</t>
        </is>
      </c>
      <c r="B904" s="9" t="inlineStr">
        <is>
          <t>10K Real Yellow Gold Franco Chain – Unisex Necklace, All Siz</t>
        </is>
      </c>
      <c r="C904" s="9" t="n">
        <v>1891642136</v>
      </c>
      <c r="D904" s="9" t="inlineStr">
        <is>
          <t>CFR2-18</t>
        </is>
      </c>
      <c r="E904" s="9" t="inlineStr">
        <is>
          <t>description-scaled</t>
        </is>
      </c>
      <c r="F904" s="10" t="n">
        <v>395</v>
      </c>
      <c r="G904" s="18" t="n">
        <v>2.81</v>
      </c>
      <c r="H904" s="10">
        <f>IF(G904="","",G904*Ayarlar!$B$3+Ayarlar!$B$4+Ayarlar!$B$5)</f>
        <v/>
      </c>
      <c r="I904" s="10">
        <f>IF(G904="","",ROUNDUP(((G904*Ayarlar!$B$3+Ayarlar!$B$4+Ayarlar!$B$5)+Ayarlar!$B$8)/((1-Ayarlar!$B$6)*(1-Ayarlar!$B$7)),0))</f>
        <v/>
      </c>
      <c r="J904" s="10">
        <f>IF(G904="","",ROUNDUP(((G904*Ayarlar!$B$3+Ayarlar!$B$4+Ayarlar!$B$5)+Ayarlar!$B$8)/((1-Ayarlar!$B$6)*(1-Ayarlar!$B$7-Ayarlar!$B$9)),0))</f>
        <v/>
      </c>
      <c r="K904" s="12">
        <f>IF(OR(G904="",F904=""),"",(F904*(1-Ayarlar!$B$6)-(F904*(1-Ayarlar!$B$6)*Ayarlar!$B$7+Ayarlar!$B$8)-(G904*Ayarlar!$B$3+Ayarlar!$B$4+Ayarlar!$B$5))/(F904*(1-Ayarlar!$B$6)))</f>
        <v/>
      </c>
      <c r="L904" s="9">
        <f>IF(G904="","GRAM EKSİK",IF(F904&gt;30000,"FİYAT ŞÜPHELİ",IF(K904&lt;0,"ZARARDA",IF(F904&lt;I904,"RİSKLİ","ok"))))</f>
        <v/>
      </c>
      <c r="M904" s="13" t="inlineStr">
        <is>
          <t>https://www.etsy.com/listing/1891642136</t>
        </is>
      </c>
    </row>
    <row r="905">
      <c r="A905" s="3" t="inlineStr">
        <is>
          <t>legacy</t>
        </is>
      </c>
      <c r="B905" s="3" t="inlineStr">
        <is>
          <t>10K Real Yellow Gold Franco Chain – Unisex Necklace, All Siz</t>
        </is>
      </c>
      <c r="C905" s="3" t="n">
        <v>1891642136</v>
      </c>
      <c r="D905" s="3" t="inlineStr">
        <is>
          <t>CFR2-20</t>
        </is>
      </c>
      <c r="E905" s="3" t="inlineStr">
        <is>
          <t>shipstation</t>
        </is>
      </c>
      <c r="F905" s="14" t="n">
        <v>444</v>
      </c>
      <c r="G905" s="17" t="n">
        <v>3.12</v>
      </c>
      <c r="H905" s="14">
        <f>IF(G905="","",G905*Ayarlar!$B$3+Ayarlar!$B$4+Ayarlar!$B$5)</f>
        <v/>
      </c>
      <c r="I905" s="14">
        <f>IF(G905="","",ROUNDUP(((G905*Ayarlar!$B$3+Ayarlar!$B$4+Ayarlar!$B$5)+Ayarlar!$B$8)/((1-Ayarlar!$B$6)*(1-Ayarlar!$B$7)),0))</f>
        <v/>
      </c>
      <c r="J905" s="14">
        <f>IF(G905="","",ROUNDUP(((G905*Ayarlar!$B$3+Ayarlar!$B$4+Ayarlar!$B$5)+Ayarlar!$B$8)/((1-Ayarlar!$B$6)*(1-Ayarlar!$B$7-Ayarlar!$B$9)),0))</f>
        <v/>
      </c>
      <c r="K905" s="15">
        <f>IF(OR(G905="",F905=""),"",(F905*(1-Ayarlar!$B$6)-(F905*(1-Ayarlar!$B$6)*Ayarlar!$B$7+Ayarlar!$B$8)-(G905*Ayarlar!$B$3+Ayarlar!$B$4+Ayarlar!$B$5))/(F905*(1-Ayarlar!$B$6)))</f>
        <v/>
      </c>
      <c r="L905" s="3">
        <f>IF(G905="","GRAM EKSİK",IF(F905&gt;30000,"FİYAT ŞÜPHELİ",IF(K905&lt;0,"ZARARDA",IF(F905&lt;I905,"RİSKLİ","ok"))))</f>
        <v/>
      </c>
      <c r="M905" s="16" t="inlineStr">
        <is>
          <t>https://www.etsy.com/listing/1891642136</t>
        </is>
      </c>
    </row>
    <row r="906">
      <c r="A906" s="9" t="inlineStr">
        <is>
          <t>legacy</t>
        </is>
      </c>
      <c r="B906" s="9" t="inlineStr">
        <is>
          <t>10K Real Yellow Gold Franco Chain – Unisex Necklace, All Siz</t>
        </is>
      </c>
      <c r="C906" s="9" t="n">
        <v>1891642136</v>
      </c>
      <c r="D906" s="9" t="inlineStr">
        <is>
          <t>CFR2-22</t>
        </is>
      </c>
      <c r="E906" s="9" t="inlineStr">
        <is>
          <t>description-scaled</t>
        </is>
      </c>
      <c r="F906" s="10" t="n">
        <v>491</v>
      </c>
      <c r="G906" s="18" t="n">
        <v>3.44</v>
      </c>
      <c r="H906" s="10">
        <f>IF(G906="","",G906*Ayarlar!$B$3+Ayarlar!$B$4+Ayarlar!$B$5)</f>
        <v/>
      </c>
      <c r="I906" s="10">
        <f>IF(G906="","",ROUNDUP(((G906*Ayarlar!$B$3+Ayarlar!$B$4+Ayarlar!$B$5)+Ayarlar!$B$8)/((1-Ayarlar!$B$6)*(1-Ayarlar!$B$7)),0))</f>
        <v/>
      </c>
      <c r="J906" s="10">
        <f>IF(G906="","",ROUNDUP(((G906*Ayarlar!$B$3+Ayarlar!$B$4+Ayarlar!$B$5)+Ayarlar!$B$8)/((1-Ayarlar!$B$6)*(1-Ayarlar!$B$7-Ayarlar!$B$9)),0))</f>
        <v/>
      </c>
      <c r="K906" s="12">
        <f>IF(OR(G906="",F906=""),"",(F906*(1-Ayarlar!$B$6)-(F906*(1-Ayarlar!$B$6)*Ayarlar!$B$7+Ayarlar!$B$8)-(G906*Ayarlar!$B$3+Ayarlar!$B$4+Ayarlar!$B$5))/(F906*(1-Ayarlar!$B$6)))</f>
        <v/>
      </c>
      <c r="L906" s="9">
        <f>IF(G906="","GRAM EKSİK",IF(F906&gt;30000,"FİYAT ŞÜPHELİ",IF(K906&lt;0,"ZARARDA",IF(F906&lt;I906,"RİSKLİ","ok"))))</f>
        <v/>
      </c>
      <c r="M906" s="13" t="inlineStr">
        <is>
          <t>https://www.etsy.com/listing/1891642136</t>
        </is>
      </c>
    </row>
    <row r="907">
      <c r="A907" s="3" t="inlineStr">
        <is>
          <t>legacy</t>
        </is>
      </c>
      <c r="B907" s="3" t="inlineStr">
        <is>
          <t>10K Real Yellow Gold Franco Chain – Unisex Necklace, All Siz</t>
        </is>
      </c>
      <c r="C907" s="3" t="n">
        <v>1891642136</v>
      </c>
      <c r="D907" s="3" t="inlineStr">
        <is>
          <t>CFR2-24</t>
        </is>
      </c>
      <c r="E907" s="3" t="inlineStr">
        <is>
          <t>description-scaled</t>
        </is>
      </c>
      <c r="F907" s="14" t="n">
        <v>539</v>
      </c>
      <c r="G907" s="17" t="n">
        <v>3.75</v>
      </c>
      <c r="H907" s="14">
        <f>IF(G907="","",G907*Ayarlar!$B$3+Ayarlar!$B$4+Ayarlar!$B$5)</f>
        <v/>
      </c>
      <c r="I907" s="14">
        <f>IF(G907="","",ROUNDUP(((G907*Ayarlar!$B$3+Ayarlar!$B$4+Ayarlar!$B$5)+Ayarlar!$B$8)/((1-Ayarlar!$B$6)*(1-Ayarlar!$B$7)),0))</f>
        <v/>
      </c>
      <c r="J907" s="14">
        <f>IF(G907="","",ROUNDUP(((G907*Ayarlar!$B$3+Ayarlar!$B$4+Ayarlar!$B$5)+Ayarlar!$B$8)/((1-Ayarlar!$B$6)*(1-Ayarlar!$B$7-Ayarlar!$B$9)),0))</f>
        <v/>
      </c>
      <c r="K907" s="15">
        <f>IF(OR(G907="",F907=""),"",(F907*(1-Ayarlar!$B$6)-(F907*(1-Ayarlar!$B$6)*Ayarlar!$B$7+Ayarlar!$B$8)-(G907*Ayarlar!$B$3+Ayarlar!$B$4+Ayarlar!$B$5))/(F907*(1-Ayarlar!$B$6)))</f>
        <v/>
      </c>
      <c r="L907" s="3">
        <f>IF(G907="","GRAM EKSİK",IF(F907&gt;30000,"FİYAT ŞÜPHELİ",IF(K907&lt;0,"ZARARDA",IF(F907&lt;I907,"RİSKLİ","ok"))))</f>
        <v/>
      </c>
      <c r="M907" s="16" t="inlineStr">
        <is>
          <t>https://www.etsy.com/listing/1891642136</t>
        </is>
      </c>
    </row>
    <row r="908">
      <c r="A908" s="9" t="inlineStr">
        <is>
          <t>legacy</t>
        </is>
      </c>
      <c r="B908" s="9" t="inlineStr">
        <is>
          <t>10K Real Yellow Gold Franco Chain – Unisex Necklace, All Siz</t>
        </is>
      </c>
      <c r="C908" s="9" t="n">
        <v>1891642136</v>
      </c>
      <c r="D908" s="9" t="inlineStr">
        <is>
          <t>CFR3-16</t>
        </is>
      </c>
      <c r="E908" s="9" t="inlineStr">
        <is>
          <t>description-scaled</t>
        </is>
      </c>
      <c r="F908" s="10" t="n">
        <v>527</v>
      </c>
      <c r="G908" s="18" t="n">
        <v>3.78</v>
      </c>
      <c r="H908" s="10">
        <f>IF(G908="","",G908*Ayarlar!$B$3+Ayarlar!$B$4+Ayarlar!$B$5)</f>
        <v/>
      </c>
      <c r="I908" s="10">
        <f>IF(G908="","",ROUNDUP(((G908*Ayarlar!$B$3+Ayarlar!$B$4+Ayarlar!$B$5)+Ayarlar!$B$8)/((1-Ayarlar!$B$6)*(1-Ayarlar!$B$7)),0))</f>
        <v/>
      </c>
      <c r="J908" s="10">
        <f>IF(G908="","",ROUNDUP(((G908*Ayarlar!$B$3+Ayarlar!$B$4+Ayarlar!$B$5)+Ayarlar!$B$8)/((1-Ayarlar!$B$6)*(1-Ayarlar!$B$7-Ayarlar!$B$9)),0))</f>
        <v/>
      </c>
      <c r="K908" s="12">
        <f>IF(OR(G908="",F908=""),"",(F908*(1-Ayarlar!$B$6)-(F908*(1-Ayarlar!$B$6)*Ayarlar!$B$7+Ayarlar!$B$8)-(G908*Ayarlar!$B$3+Ayarlar!$B$4+Ayarlar!$B$5))/(F908*(1-Ayarlar!$B$6)))</f>
        <v/>
      </c>
      <c r="L908" s="9">
        <f>IF(G908="","GRAM EKSİK",IF(F908&gt;30000,"FİYAT ŞÜPHELİ",IF(K908&lt;0,"ZARARDA",IF(F908&lt;I908,"RİSKLİ","ok"))))</f>
        <v/>
      </c>
      <c r="M908" s="13" t="inlineStr">
        <is>
          <t>https://www.etsy.com/listing/1891642136</t>
        </is>
      </c>
    </row>
    <row r="909">
      <c r="A909" s="3" t="inlineStr">
        <is>
          <t>legacy</t>
        </is>
      </c>
      <c r="B909" s="3" t="inlineStr">
        <is>
          <t>10K Real Yellow Gold Franco Chain – Unisex Necklace, All Siz</t>
        </is>
      </c>
      <c r="C909" s="3" t="n">
        <v>1891642136</v>
      </c>
      <c r="D909" s="3" t="inlineStr">
        <is>
          <t>CFR3-18</t>
        </is>
      </c>
      <c r="E909" s="3" t="inlineStr">
        <is>
          <t>description</t>
        </is>
      </c>
      <c r="F909" s="14" t="n">
        <v>599</v>
      </c>
      <c r="G909" s="17" t="n">
        <v>4.25</v>
      </c>
      <c r="H909" s="14">
        <f>IF(G909="","",G909*Ayarlar!$B$3+Ayarlar!$B$4+Ayarlar!$B$5)</f>
        <v/>
      </c>
      <c r="I909" s="14">
        <f>IF(G909="","",ROUNDUP(((G909*Ayarlar!$B$3+Ayarlar!$B$4+Ayarlar!$B$5)+Ayarlar!$B$8)/((1-Ayarlar!$B$6)*(1-Ayarlar!$B$7)),0))</f>
        <v/>
      </c>
      <c r="J909" s="14">
        <f>IF(G909="","",ROUNDUP(((G909*Ayarlar!$B$3+Ayarlar!$B$4+Ayarlar!$B$5)+Ayarlar!$B$8)/((1-Ayarlar!$B$6)*(1-Ayarlar!$B$7-Ayarlar!$B$9)),0))</f>
        <v/>
      </c>
      <c r="K909" s="15">
        <f>IF(OR(G909="",F909=""),"",(F909*(1-Ayarlar!$B$6)-(F909*(1-Ayarlar!$B$6)*Ayarlar!$B$7+Ayarlar!$B$8)-(G909*Ayarlar!$B$3+Ayarlar!$B$4+Ayarlar!$B$5))/(F909*(1-Ayarlar!$B$6)))</f>
        <v/>
      </c>
      <c r="L909" s="3">
        <f>IF(G909="","GRAM EKSİK",IF(F909&gt;30000,"FİYAT ŞÜPHELİ",IF(K909&lt;0,"ZARARDA",IF(F909&lt;I909,"RİSKLİ","ok"))))</f>
        <v/>
      </c>
      <c r="M909" s="16" t="inlineStr">
        <is>
          <t>https://www.etsy.com/listing/1891642136</t>
        </is>
      </c>
    </row>
    <row r="910">
      <c r="A910" s="9" t="inlineStr">
        <is>
          <t>legacy</t>
        </is>
      </c>
      <c r="B910" s="9" t="inlineStr">
        <is>
          <t>10K Real Yellow Gold Franco Chain – Unisex Necklace, All Siz</t>
        </is>
      </c>
      <c r="C910" s="9" t="n">
        <v>1891642136</v>
      </c>
      <c r="D910" s="9" t="inlineStr">
        <is>
          <t>CFR3-20</t>
        </is>
      </c>
      <c r="E910" s="9" t="inlineStr">
        <is>
          <t>description-scaled</t>
        </is>
      </c>
      <c r="F910" s="10" t="n">
        <v>649</v>
      </c>
      <c r="G910" s="18" t="n">
        <v>4.72</v>
      </c>
      <c r="H910" s="10">
        <f>IF(G910="","",G910*Ayarlar!$B$3+Ayarlar!$B$4+Ayarlar!$B$5)</f>
        <v/>
      </c>
      <c r="I910" s="10">
        <f>IF(G910="","",ROUNDUP(((G910*Ayarlar!$B$3+Ayarlar!$B$4+Ayarlar!$B$5)+Ayarlar!$B$8)/((1-Ayarlar!$B$6)*(1-Ayarlar!$B$7)),0))</f>
        <v/>
      </c>
      <c r="J910" s="10">
        <f>IF(G910="","",ROUNDUP(((G910*Ayarlar!$B$3+Ayarlar!$B$4+Ayarlar!$B$5)+Ayarlar!$B$8)/((1-Ayarlar!$B$6)*(1-Ayarlar!$B$7-Ayarlar!$B$9)),0))</f>
        <v/>
      </c>
      <c r="K910" s="12">
        <f>IF(OR(G910="",F910=""),"",(F910*(1-Ayarlar!$B$6)-(F910*(1-Ayarlar!$B$6)*Ayarlar!$B$7+Ayarlar!$B$8)-(G910*Ayarlar!$B$3+Ayarlar!$B$4+Ayarlar!$B$5))/(F910*(1-Ayarlar!$B$6)))</f>
        <v/>
      </c>
      <c r="L910" s="9">
        <f>IF(G910="","GRAM EKSİK",IF(F910&gt;30000,"FİYAT ŞÜPHELİ",IF(K910&lt;0,"ZARARDA",IF(F910&lt;I910,"RİSKLİ","ok"))))</f>
        <v/>
      </c>
      <c r="M910" s="13" t="inlineStr">
        <is>
          <t>https://www.etsy.com/listing/1891642136</t>
        </is>
      </c>
    </row>
    <row r="911">
      <c r="A911" s="3" t="inlineStr">
        <is>
          <t>legacy</t>
        </is>
      </c>
      <c r="B911" s="3" t="inlineStr">
        <is>
          <t>10K Real Yellow Gold Franco Chain – Unisex Necklace, All Siz</t>
        </is>
      </c>
      <c r="C911" s="3" t="n">
        <v>1891642136</v>
      </c>
      <c r="D911" s="3" t="inlineStr">
        <is>
          <t>CFR3-22</t>
        </is>
      </c>
      <c r="E911" s="3" t="inlineStr">
        <is>
          <t>description-scaled</t>
        </is>
      </c>
      <c r="F911" s="14" t="n">
        <v>708</v>
      </c>
      <c r="G911" s="17" t="n">
        <v>5.19</v>
      </c>
      <c r="H911" s="14">
        <f>IF(G911="","",G911*Ayarlar!$B$3+Ayarlar!$B$4+Ayarlar!$B$5)</f>
        <v/>
      </c>
      <c r="I911" s="14">
        <f>IF(G911="","",ROUNDUP(((G911*Ayarlar!$B$3+Ayarlar!$B$4+Ayarlar!$B$5)+Ayarlar!$B$8)/((1-Ayarlar!$B$6)*(1-Ayarlar!$B$7)),0))</f>
        <v/>
      </c>
      <c r="J911" s="14">
        <f>IF(G911="","",ROUNDUP(((G911*Ayarlar!$B$3+Ayarlar!$B$4+Ayarlar!$B$5)+Ayarlar!$B$8)/((1-Ayarlar!$B$6)*(1-Ayarlar!$B$7-Ayarlar!$B$9)),0))</f>
        <v/>
      </c>
      <c r="K911" s="15">
        <f>IF(OR(G911="",F911=""),"",(F911*(1-Ayarlar!$B$6)-(F911*(1-Ayarlar!$B$6)*Ayarlar!$B$7+Ayarlar!$B$8)-(G911*Ayarlar!$B$3+Ayarlar!$B$4+Ayarlar!$B$5))/(F911*(1-Ayarlar!$B$6)))</f>
        <v/>
      </c>
      <c r="L911" s="3">
        <f>IF(G911="","GRAM EKSİK",IF(F911&gt;30000,"FİYAT ŞÜPHELİ",IF(K911&lt;0,"ZARARDA",IF(F911&lt;I911,"RİSKLİ","ok"))))</f>
        <v/>
      </c>
      <c r="M911" s="16" t="inlineStr">
        <is>
          <t>https://www.etsy.com/listing/1891642136</t>
        </is>
      </c>
    </row>
    <row r="912">
      <c r="A912" s="9" t="inlineStr">
        <is>
          <t>legacy</t>
        </is>
      </c>
      <c r="B912" s="9" t="inlineStr">
        <is>
          <t>10K Real Yellow Gold Franco Chain – Unisex Necklace, All Siz</t>
        </is>
      </c>
      <c r="C912" s="9" t="n">
        <v>1891642136</v>
      </c>
      <c r="D912" s="9" t="inlineStr">
        <is>
          <t>CFR3-24</t>
        </is>
      </c>
      <c r="E912" s="9" t="inlineStr">
        <is>
          <t>description-scaled</t>
        </is>
      </c>
      <c r="F912" s="10" t="n">
        <v>769</v>
      </c>
      <c r="G912" s="18" t="n">
        <v>5.67</v>
      </c>
      <c r="H912" s="10">
        <f>IF(G912="","",G912*Ayarlar!$B$3+Ayarlar!$B$4+Ayarlar!$B$5)</f>
        <v/>
      </c>
      <c r="I912" s="10">
        <f>IF(G912="","",ROUNDUP(((G912*Ayarlar!$B$3+Ayarlar!$B$4+Ayarlar!$B$5)+Ayarlar!$B$8)/((1-Ayarlar!$B$6)*(1-Ayarlar!$B$7)),0))</f>
        <v/>
      </c>
      <c r="J912" s="10">
        <f>IF(G912="","",ROUNDUP(((G912*Ayarlar!$B$3+Ayarlar!$B$4+Ayarlar!$B$5)+Ayarlar!$B$8)/((1-Ayarlar!$B$6)*(1-Ayarlar!$B$7-Ayarlar!$B$9)),0))</f>
        <v/>
      </c>
      <c r="K912" s="12">
        <f>IF(OR(G912="",F912=""),"",(F912*(1-Ayarlar!$B$6)-(F912*(1-Ayarlar!$B$6)*Ayarlar!$B$7+Ayarlar!$B$8)-(G912*Ayarlar!$B$3+Ayarlar!$B$4+Ayarlar!$B$5))/(F912*(1-Ayarlar!$B$6)))</f>
        <v/>
      </c>
      <c r="L912" s="9">
        <f>IF(G912="","GRAM EKSİK",IF(F912&gt;30000,"FİYAT ŞÜPHELİ",IF(K912&lt;0,"ZARARDA",IF(F912&lt;I912,"RİSKLİ","ok"))))</f>
        <v/>
      </c>
      <c r="M912" s="13" t="inlineStr">
        <is>
          <t>https://www.etsy.com/listing/1891642136</t>
        </is>
      </c>
    </row>
    <row r="913">
      <c r="A913" s="3" t="inlineStr">
        <is>
          <t>legacy</t>
        </is>
      </c>
      <c r="B913" s="3" t="inlineStr">
        <is>
          <t>10K Real Yellow Gold Franco Chain – Unisex Necklace, All Siz</t>
        </is>
      </c>
      <c r="C913" s="3" t="n">
        <v>1891642136</v>
      </c>
      <c r="D913" s="3" t="inlineStr">
        <is>
          <t>CFR4-16</t>
        </is>
      </c>
      <c r="E913" s="3" t="inlineStr">
        <is>
          <t>description-scaled</t>
        </is>
      </c>
      <c r="F913" s="14" t="n">
        <v>601</v>
      </c>
      <c r="G913" s="17" t="n">
        <v>4.52</v>
      </c>
      <c r="H913" s="14">
        <f>IF(G913="","",G913*Ayarlar!$B$3+Ayarlar!$B$4+Ayarlar!$B$5)</f>
        <v/>
      </c>
      <c r="I913" s="14">
        <f>IF(G913="","",ROUNDUP(((G913*Ayarlar!$B$3+Ayarlar!$B$4+Ayarlar!$B$5)+Ayarlar!$B$8)/((1-Ayarlar!$B$6)*(1-Ayarlar!$B$7)),0))</f>
        <v/>
      </c>
      <c r="J913" s="14">
        <f>IF(G913="","",ROUNDUP(((G913*Ayarlar!$B$3+Ayarlar!$B$4+Ayarlar!$B$5)+Ayarlar!$B$8)/((1-Ayarlar!$B$6)*(1-Ayarlar!$B$7-Ayarlar!$B$9)),0))</f>
        <v/>
      </c>
      <c r="K913" s="15">
        <f>IF(OR(G913="",F913=""),"",(F913*(1-Ayarlar!$B$6)-(F913*(1-Ayarlar!$B$6)*Ayarlar!$B$7+Ayarlar!$B$8)-(G913*Ayarlar!$B$3+Ayarlar!$B$4+Ayarlar!$B$5))/(F913*(1-Ayarlar!$B$6)))</f>
        <v/>
      </c>
      <c r="L913" s="3">
        <f>IF(G913="","GRAM EKSİK",IF(F913&gt;30000,"FİYAT ŞÜPHELİ",IF(K913&lt;0,"ZARARDA",IF(F913&lt;I913,"RİSKLİ","ok"))))</f>
        <v/>
      </c>
      <c r="M913" s="16" t="inlineStr">
        <is>
          <t>https://www.etsy.com/listing/1891642136</t>
        </is>
      </c>
    </row>
    <row r="914">
      <c r="A914" s="9" t="inlineStr">
        <is>
          <t>legacy</t>
        </is>
      </c>
      <c r="B914" s="9" t="inlineStr">
        <is>
          <t>10K Real Yellow Gold Franco Chain – Unisex Necklace, All Siz</t>
        </is>
      </c>
      <c r="C914" s="9" t="n">
        <v>1891642136</v>
      </c>
      <c r="D914" s="9" t="inlineStr">
        <is>
          <t>CFR4-18</t>
        </is>
      </c>
      <c r="E914" s="9" t="inlineStr">
        <is>
          <t>description-scaled</t>
        </is>
      </c>
      <c r="F914" s="10" t="n">
        <v>673</v>
      </c>
      <c r="G914" s="18" t="n">
        <v>5.09</v>
      </c>
      <c r="H914" s="10">
        <f>IF(G914="","",G914*Ayarlar!$B$3+Ayarlar!$B$4+Ayarlar!$B$5)</f>
        <v/>
      </c>
      <c r="I914" s="10">
        <f>IF(G914="","",ROUNDUP(((G914*Ayarlar!$B$3+Ayarlar!$B$4+Ayarlar!$B$5)+Ayarlar!$B$8)/((1-Ayarlar!$B$6)*(1-Ayarlar!$B$7)),0))</f>
        <v/>
      </c>
      <c r="J914" s="10">
        <f>IF(G914="","",ROUNDUP(((G914*Ayarlar!$B$3+Ayarlar!$B$4+Ayarlar!$B$5)+Ayarlar!$B$8)/((1-Ayarlar!$B$6)*(1-Ayarlar!$B$7-Ayarlar!$B$9)),0))</f>
        <v/>
      </c>
      <c r="K914" s="12">
        <f>IF(OR(G914="",F914=""),"",(F914*(1-Ayarlar!$B$6)-(F914*(1-Ayarlar!$B$6)*Ayarlar!$B$7+Ayarlar!$B$8)-(G914*Ayarlar!$B$3+Ayarlar!$B$4+Ayarlar!$B$5))/(F914*(1-Ayarlar!$B$6)))</f>
        <v/>
      </c>
      <c r="L914" s="9">
        <f>IF(G914="","GRAM EKSİK",IF(F914&gt;30000,"FİYAT ŞÜPHELİ",IF(K914&lt;0,"ZARARDA",IF(F914&lt;I914,"RİSKLİ","ok"))))</f>
        <v/>
      </c>
      <c r="M914" s="13" t="inlineStr">
        <is>
          <t>https://www.etsy.com/listing/1891642136</t>
        </is>
      </c>
    </row>
    <row r="915">
      <c r="A915" s="3" t="inlineStr">
        <is>
          <t>legacy</t>
        </is>
      </c>
      <c r="B915" s="3" t="inlineStr">
        <is>
          <t>10K Real Yellow Gold Franco Chain – Unisex Necklace, All Siz</t>
        </is>
      </c>
      <c r="C915" s="3" t="n">
        <v>1891642136</v>
      </c>
      <c r="D915" s="3" t="inlineStr">
        <is>
          <t>CFR4-20</t>
        </is>
      </c>
      <c r="E915" s="3" t="inlineStr">
        <is>
          <t>description</t>
        </is>
      </c>
      <c r="F915" s="14" t="n">
        <v>746</v>
      </c>
      <c r="G915" s="17" t="n">
        <v>5.65</v>
      </c>
      <c r="H915" s="14">
        <f>IF(G915="","",G915*Ayarlar!$B$3+Ayarlar!$B$4+Ayarlar!$B$5)</f>
        <v/>
      </c>
      <c r="I915" s="14">
        <f>IF(G915="","",ROUNDUP(((G915*Ayarlar!$B$3+Ayarlar!$B$4+Ayarlar!$B$5)+Ayarlar!$B$8)/((1-Ayarlar!$B$6)*(1-Ayarlar!$B$7)),0))</f>
        <v/>
      </c>
      <c r="J915" s="14">
        <f>IF(G915="","",ROUNDUP(((G915*Ayarlar!$B$3+Ayarlar!$B$4+Ayarlar!$B$5)+Ayarlar!$B$8)/((1-Ayarlar!$B$6)*(1-Ayarlar!$B$7-Ayarlar!$B$9)),0))</f>
        <v/>
      </c>
      <c r="K915" s="15">
        <f>IF(OR(G915="",F915=""),"",(F915*(1-Ayarlar!$B$6)-(F915*(1-Ayarlar!$B$6)*Ayarlar!$B$7+Ayarlar!$B$8)-(G915*Ayarlar!$B$3+Ayarlar!$B$4+Ayarlar!$B$5))/(F915*(1-Ayarlar!$B$6)))</f>
        <v/>
      </c>
      <c r="L915" s="3">
        <f>IF(G915="","GRAM EKSİK",IF(F915&gt;30000,"FİYAT ŞÜPHELİ",IF(K915&lt;0,"ZARARDA",IF(F915&lt;I915,"RİSKLİ","ok"))))</f>
        <v/>
      </c>
      <c r="M915" s="16" t="inlineStr">
        <is>
          <t>https://www.etsy.com/listing/1891642136</t>
        </is>
      </c>
    </row>
    <row r="916">
      <c r="A916" s="9" t="inlineStr">
        <is>
          <t>legacy</t>
        </is>
      </c>
      <c r="B916" s="9" t="inlineStr">
        <is>
          <t>10K Real Yellow Gold Franco Chain – Unisex Necklace, All Siz</t>
        </is>
      </c>
      <c r="C916" s="9" t="n">
        <v>1891642136</v>
      </c>
      <c r="D916" s="9" t="inlineStr">
        <is>
          <t>CFR4-22</t>
        </is>
      </c>
      <c r="E916" s="9" t="inlineStr">
        <is>
          <t>description-scaled</t>
        </is>
      </c>
      <c r="F916" s="10" t="n">
        <v>817</v>
      </c>
      <c r="G916" s="18" t="n">
        <v>6.22</v>
      </c>
      <c r="H916" s="10">
        <f>IF(G916="","",G916*Ayarlar!$B$3+Ayarlar!$B$4+Ayarlar!$B$5)</f>
        <v/>
      </c>
      <c r="I916" s="10">
        <f>IF(G916="","",ROUNDUP(((G916*Ayarlar!$B$3+Ayarlar!$B$4+Ayarlar!$B$5)+Ayarlar!$B$8)/((1-Ayarlar!$B$6)*(1-Ayarlar!$B$7)),0))</f>
        <v/>
      </c>
      <c r="J916" s="10">
        <f>IF(G916="","",ROUNDUP(((G916*Ayarlar!$B$3+Ayarlar!$B$4+Ayarlar!$B$5)+Ayarlar!$B$8)/((1-Ayarlar!$B$6)*(1-Ayarlar!$B$7-Ayarlar!$B$9)),0))</f>
        <v/>
      </c>
      <c r="K916" s="12">
        <f>IF(OR(G916="",F916=""),"",(F916*(1-Ayarlar!$B$6)-(F916*(1-Ayarlar!$B$6)*Ayarlar!$B$7+Ayarlar!$B$8)-(G916*Ayarlar!$B$3+Ayarlar!$B$4+Ayarlar!$B$5))/(F916*(1-Ayarlar!$B$6)))</f>
        <v/>
      </c>
      <c r="L916" s="9">
        <f>IF(G916="","GRAM EKSİK",IF(F916&gt;30000,"FİYAT ŞÜPHELİ",IF(K916&lt;0,"ZARARDA",IF(F916&lt;I916,"RİSKLİ","ok"))))</f>
        <v/>
      </c>
      <c r="M916" s="13" t="inlineStr">
        <is>
          <t>https://www.etsy.com/listing/1891642136</t>
        </is>
      </c>
    </row>
    <row r="917">
      <c r="A917" s="3" t="inlineStr">
        <is>
          <t>legacy</t>
        </is>
      </c>
      <c r="B917" s="3" t="inlineStr">
        <is>
          <t>10K Real Yellow Gold Franco Chain – Unisex Necklace, All Siz</t>
        </is>
      </c>
      <c r="C917" s="3" t="n">
        <v>1891642136</v>
      </c>
      <c r="D917" s="3" t="inlineStr">
        <is>
          <t>CFR4-24</t>
        </is>
      </c>
      <c r="E917" s="3" t="inlineStr">
        <is>
          <t>description-scaled</t>
        </is>
      </c>
      <c r="F917" s="14" t="n">
        <v>890</v>
      </c>
      <c r="G917" s="17" t="n">
        <v>6.78</v>
      </c>
      <c r="H917" s="14">
        <f>IF(G917="","",G917*Ayarlar!$B$3+Ayarlar!$B$4+Ayarlar!$B$5)</f>
        <v/>
      </c>
      <c r="I917" s="14">
        <f>IF(G917="","",ROUNDUP(((G917*Ayarlar!$B$3+Ayarlar!$B$4+Ayarlar!$B$5)+Ayarlar!$B$8)/((1-Ayarlar!$B$6)*(1-Ayarlar!$B$7)),0))</f>
        <v/>
      </c>
      <c r="J917" s="14">
        <f>IF(G917="","",ROUNDUP(((G917*Ayarlar!$B$3+Ayarlar!$B$4+Ayarlar!$B$5)+Ayarlar!$B$8)/((1-Ayarlar!$B$6)*(1-Ayarlar!$B$7-Ayarlar!$B$9)),0))</f>
        <v/>
      </c>
      <c r="K917" s="15">
        <f>IF(OR(G917="",F917=""),"",(F917*(1-Ayarlar!$B$6)-(F917*(1-Ayarlar!$B$6)*Ayarlar!$B$7+Ayarlar!$B$8)-(G917*Ayarlar!$B$3+Ayarlar!$B$4+Ayarlar!$B$5))/(F917*(1-Ayarlar!$B$6)))</f>
        <v/>
      </c>
      <c r="L917" s="3">
        <f>IF(G917="","GRAM EKSİK",IF(F917&gt;30000,"FİYAT ŞÜPHELİ",IF(K917&lt;0,"ZARARDA",IF(F917&lt;I917,"RİSKLİ","ok"))))</f>
        <v/>
      </c>
      <c r="M917" s="16" t="inlineStr">
        <is>
          <t>https://www.etsy.com/listing/1891642136</t>
        </is>
      </c>
    </row>
    <row r="918">
      <c r="A918" s="9" t="inlineStr">
        <is>
          <t>legacy</t>
        </is>
      </c>
      <c r="B918" s="9" t="inlineStr">
        <is>
          <t>10K Real Yellow Gold Franco Chain – Unisex Necklace, All Siz</t>
        </is>
      </c>
      <c r="C918" s="9" t="n">
        <v>1891642136</v>
      </c>
      <c r="D918" s="9" t="inlineStr">
        <is>
          <t>CFR5-16</t>
        </is>
      </c>
      <c r="E918" s="9" t="inlineStr">
        <is>
          <t>description-scaled</t>
        </is>
      </c>
      <c r="F918" s="10" t="n">
        <v>1020</v>
      </c>
      <c r="G918" s="18" t="n">
        <v>7.53</v>
      </c>
      <c r="H918" s="10">
        <f>IF(G918="","",G918*Ayarlar!$B$3+Ayarlar!$B$4+Ayarlar!$B$5)</f>
        <v/>
      </c>
      <c r="I918" s="10">
        <f>IF(G918="","",ROUNDUP(((G918*Ayarlar!$B$3+Ayarlar!$B$4+Ayarlar!$B$5)+Ayarlar!$B$8)/((1-Ayarlar!$B$6)*(1-Ayarlar!$B$7)),0))</f>
        <v/>
      </c>
      <c r="J918" s="10">
        <f>IF(G918="","",ROUNDUP(((G918*Ayarlar!$B$3+Ayarlar!$B$4+Ayarlar!$B$5)+Ayarlar!$B$8)/((1-Ayarlar!$B$6)*(1-Ayarlar!$B$7-Ayarlar!$B$9)),0))</f>
        <v/>
      </c>
      <c r="K918" s="12">
        <f>IF(OR(G918="",F918=""),"",(F918*(1-Ayarlar!$B$6)-(F918*(1-Ayarlar!$B$6)*Ayarlar!$B$7+Ayarlar!$B$8)-(G918*Ayarlar!$B$3+Ayarlar!$B$4+Ayarlar!$B$5))/(F918*(1-Ayarlar!$B$6)))</f>
        <v/>
      </c>
      <c r="L918" s="9">
        <f>IF(G918="","GRAM EKSİK",IF(F918&gt;30000,"FİYAT ŞÜPHELİ",IF(K918&lt;0,"ZARARDA",IF(F918&lt;I918,"RİSKLİ","ok"))))</f>
        <v/>
      </c>
      <c r="M918" s="13" t="inlineStr">
        <is>
          <t>https://www.etsy.com/listing/1891642136</t>
        </is>
      </c>
    </row>
    <row r="919">
      <c r="A919" s="3" t="inlineStr">
        <is>
          <t>legacy</t>
        </is>
      </c>
      <c r="B919" s="3" t="inlineStr">
        <is>
          <t>10K Real Yellow Gold Franco Chain – Unisex Necklace, All Siz</t>
        </is>
      </c>
      <c r="C919" s="3" t="n">
        <v>1891642136</v>
      </c>
      <c r="D919" s="3" t="inlineStr">
        <is>
          <t>CFR5-18</t>
        </is>
      </c>
      <c r="E919" s="3" t="inlineStr">
        <is>
          <t>description-scaled</t>
        </is>
      </c>
      <c r="F919" s="14" t="n">
        <v>1141</v>
      </c>
      <c r="G919" s="17" t="n">
        <v>8.470000000000001</v>
      </c>
      <c r="H919" s="14">
        <f>IF(G919="","",G919*Ayarlar!$B$3+Ayarlar!$B$4+Ayarlar!$B$5)</f>
        <v/>
      </c>
      <c r="I919" s="14">
        <f>IF(G919="","",ROUNDUP(((G919*Ayarlar!$B$3+Ayarlar!$B$4+Ayarlar!$B$5)+Ayarlar!$B$8)/((1-Ayarlar!$B$6)*(1-Ayarlar!$B$7)),0))</f>
        <v/>
      </c>
      <c r="J919" s="14">
        <f>IF(G919="","",ROUNDUP(((G919*Ayarlar!$B$3+Ayarlar!$B$4+Ayarlar!$B$5)+Ayarlar!$B$8)/((1-Ayarlar!$B$6)*(1-Ayarlar!$B$7-Ayarlar!$B$9)),0))</f>
        <v/>
      </c>
      <c r="K919" s="15">
        <f>IF(OR(G919="",F919=""),"",(F919*(1-Ayarlar!$B$6)-(F919*(1-Ayarlar!$B$6)*Ayarlar!$B$7+Ayarlar!$B$8)-(G919*Ayarlar!$B$3+Ayarlar!$B$4+Ayarlar!$B$5))/(F919*(1-Ayarlar!$B$6)))</f>
        <v/>
      </c>
      <c r="L919" s="3">
        <f>IF(G919="","GRAM EKSİK",IF(F919&gt;30000,"FİYAT ŞÜPHELİ",IF(K919&lt;0,"ZARARDA",IF(F919&lt;I919,"RİSKLİ","ok"))))</f>
        <v/>
      </c>
      <c r="M919" s="16" t="inlineStr">
        <is>
          <t>https://www.etsy.com/listing/1891642136</t>
        </is>
      </c>
    </row>
    <row r="920">
      <c r="A920" s="9" t="inlineStr">
        <is>
          <t>legacy</t>
        </is>
      </c>
      <c r="B920" s="9" t="inlineStr">
        <is>
          <t>10K Real Yellow Gold Franco Chain – Unisex Necklace, All Siz</t>
        </is>
      </c>
      <c r="C920" s="9" t="n">
        <v>1891642136</v>
      </c>
      <c r="D920" s="9" t="inlineStr">
        <is>
          <t>CFR5-20</t>
        </is>
      </c>
      <c r="E920" s="9" t="inlineStr">
        <is>
          <t>description-scaled</t>
        </is>
      </c>
      <c r="F920" s="10" t="n">
        <v>1261</v>
      </c>
      <c r="G920" s="18" t="n">
        <v>9.41</v>
      </c>
      <c r="H920" s="10">
        <f>IF(G920="","",G920*Ayarlar!$B$3+Ayarlar!$B$4+Ayarlar!$B$5)</f>
        <v/>
      </c>
      <c r="I920" s="10">
        <f>IF(G920="","",ROUNDUP(((G920*Ayarlar!$B$3+Ayarlar!$B$4+Ayarlar!$B$5)+Ayarlar!$B$8)/((1-Ayarlar!$B$6)*(1-Ayarlar!$B$7)),0))</f>
        <v/>
      </c>
      <c r="J920" s="10">
        <f>IF(G920="","",ROUNDUP(((G920*Ayarlar!$B$3+Ayarlar!$B$4+Ayarlar!$B$5)+Ayarlar!$B$8)/((1-Ayarlar!$B$6)*(1-Ayarlar!$B$7-Ayarlar!$B$9)),0))</f>
        <v/>
      </c>
      <c r="K920" s="12">
        <f>IF(OR(G920="",F920=""),"",(F920*(1-Ayarlar!$B$6)-(F920*(1-Ayarlar!$B$6)*Ayarlar!$B$7+Ayarlar!$B$8)-(G920*Ayarlar!$B$3+Ayarlar!$B$4+Ayarlar!$B$5))/(F920*(1-Ayarlar!$B$6)))</f>
        <v/>
      </c>
      <c r="L920" s="9">
        <f>IF(G920="","GRAM EKSİK",IF(F920&gt;30000,"FİYAT ŞÜPHELİ",IF(K920&lt;0,"ZARARDA",IF(F920&lt;I920,"RİSKLİ","ok"))))</f>
        <v/>
      </c>
      <c r="M920" s="13" t="inlineStr">
        <is>
          <t>https://www.etsy.com/listing/1891642136</t>
        </is>
      </c>
    </row>
    <row r="921">
      <c r="A921" s="3" t="inlineStr">
        <is>
          <t>legacy</t>
        </is>
      </c>
      <c r="B921" s="3" t="inlineStr">
        <is>
          <t>10K Real Yellow Gold Franco Chain – Unisex Necklace, All Siz</t>
        </is>
      </c>
      <c r="C921" s="3" t="n">
        <v>1891642136</v>
      </c>
      <c r="D921" s="3" t="inlineStr">
        <is>
          <t>CFR5-22</t>
        </is>
      </c>
      <c r="E921" s="3" t="inlineStr">
        <is>
          <t>description</t>
        </is>
      </c>
      <c r="F921" s="14" t="n">
        <v>1381</v>
      </c>
      <c r="G921" s="17" t="n">
        <v>10.35</v>
      </c>
      <c r="H921" s="14">
        <f>IF(G921="","",G921*Ayarlar!$B$3+Ayarlar!$B$4+Ayarlar!$B$5)</f>
        <v/>
      </c>
      <c r="I921" s="14">
        <f>IF(G921="","",ROUNDUP(((G921*Ayarlar!$B$3+Ayarlar!$B$4+Ayarlar!$B$5)+Ayarlar!$B$8)/((1-Ayarlar!$B$6)*(1-Ayarlar!$B$7)),0))</f>
        <v/>
      </c>
      <c r="J921" s="14">
        <f>IF(G921="","",ROUNDUP(((G921*Ayarlar!$B$3+Ayarlar!$B$4+Ayarlar!$B$5)+Ayarlar!$B$8)/((1-Ayarlar!$B$6)*(1-Ayarlar!$B$7-Ayarlar!$B$9)),0))</f>
        <v/>
      </c>
      <c r="K921" s="15">
        <f>IF(OR(G921="",F921=""),"",(F921*(1-Ayarlar!$B$6)-(F921*(1-Ayarlar!$B$6)*Ayarlar!$B$7+Ayarlar!$B$8)-(G921*Ayarlar!$B$3+Ayarlar!$B$4+Ayarlar!$B$5))/(F921*(1-Ayarlar!$B$6)))</f>
        <v/>
      </c>
      <c r="L921" s="3">
        <f>IF(G921="","GRAM EKSİK",IF(F921&gt;30000,"FİYAT ŞÜPHELİ",IF(K921&lt;0,"ZARARDA",IF(F921&lt;I921,"RİSKLİ","ok"))))</f>
        <v/>
      </c>
      <c r="M921" s="16" t="inlineStr">
        <is>
          <t>https://www.etsy.com/listing/1891642136</t>
        </is>
      </c>
    </row>
    <row r="922">
      <c r="A922" s="9" t="inlineStr">
        <is>
          <t>legacy</t>
        </is>
      </c>
      <c r="B922" s="9" t="inlineStr">
        <is>
          <t>10K Real Yellow Gold Franco Chain – Unisex Necklace, All Siz</t>
        </is>
      </c>
      <c r="C922" s="9" t="n">
        <v>1891642136</v>
      </c>
      <c r="D922" s="9" t="inlineStr">
        <is>
          <t>CFR5-24</t>
        </is>
      </c>
      <c r="E922" s="9" t="inlineStr">
        <is>
          <t>description-scaled</t>
        </is>
      </c>
      <c r="F922" s="10" t="n">
        <v>1501</v>
      </c>
      <c r="G922" s="18" t="n">
        <v>11.29</v>
      </c>
      <c r="H922" s="10">
        <f>IF(G922="","",G922*Ayarlar!$B$3+Ayarlar!$B$4+Ayarlar!$B$5)</f>
        <v/>
      </c>
      <c r="I922" s="10">
        <f>IF(G922="","",ROUNDUP(((G922*Ayarlar!$B$3+Ayarlar!$B$4+Ayarlar!$B$5)+Ayarlar!$B$8)/((1-Ayarlar!$B$6)*(1-Ayarlar!$B$7)),0))</f>
        <v/>
      </c>
      <c r="J922" s="10">
        <f>IF(G922="","",ROUNDUP(((G922*Ayarlar!$B$3+Ayarlar!$B$4+Ayarlar!$B$5)+Ayarlar!$B$8)/((1-Ayarlar!$B$6)*(1-Ayarlar!$B$7-Ayarlar!$B$9)),0))</f>
        <v/>
      </c>
      <c r="K922" s="12">
        <f>IF(OR(G922="",F922=""),"",(F922*(1-Ayarlar!$B$6)-(F922*(1-Ayarlar!$B$6)*Ayarlar!$B$7+Ayarlar!$B$8)-(G922*Ayarlar!$B$3+Ayarlar!$B$4+Ayarlar!$B$5))/(F922*(1-Ayarlar!$B$6)))</f>
        <v/>
      </c>
      <c r="L922" s="9">
        <f>IF(G922="","GRAM EKSİK",IF(F922&gt;30000,"FİYAT ŞÜPHELİ",IF(K922&lt;0,"ZARARDA",IF(F922&lt;I922,"RİSKLİ","ok"))))</f>
        <v/>
      </c>
      <c r="M922" s="13" t="inlineStr">
        <is>
          <t>https://www.etsy.com/listing/1891642136</t>
        </is>
      </c>
    </row>
    <row r="923">
      <c r="A923" s="3" t="inlineStr">
        <is>
          <t>legacy</t>
        </is>
      </c>
      <c r="B923" s="3" t="inlineStr">
        <is>
          <t>10K Real Yellow Gold Franco Chain – Unisex Necklace, All Siz</t>
        </is>
      </c>
      <c r="C923" s="3" t="n">
        <v>1891642136</v>
      </c>
      <c r="D923" s="3" t="inlineStr">
        <is>
          <t>CFR6-16</t>
        </is>
      </c>
      <c r="E923" s="3" t="inlineStr">
        <is>
          <t>description-scaled</t>
        </is>
      </c>
      <c r="F923" s="14" t="n">
        <v>1442</v>
      </c>
      <c r="G923" s="17" t="n">
        <v>11.07</v>
      </c>
      <c r="H923" s="14">
        <f>IF(G923="","",G923*Ayarlar!$B$3+Ayarlar!$B$4+Ayarlar!$B$5)</f>
        <v/>
      </c>
      <c r="I923" s="14">
        <f>IF(G923="","",ROUNDUP(((G923*Ayarlar!$B$3+Ayarlar!$B$4+Ayarlar!$B$5)+Ayarlar!$B$8)/((1-Ayarlar!$B$6)*(1-Ayarlar!$B$7)),0))</f>
        <v/>
      </c>
      <c r="J923" s="14">
        <f>IF(G923="","",ROUNDUP(((G923*Ayarlar!$B$3+Ayarlar!$B$4+Ayarlar!$B$5)+Ayarlar!$B$8)/((1-Ayarlar!$B$6)*(1-Ayarlar!$B$7-Ayarlar!$B$9)),0))</f>
        <v/>
      </c>
      <c r="K923" s="15">
        <f>IF(OR(G923="",F923=""),"",(F923*(1-Ayarlar!$B$6)-(F923*(1-Ayarlar!$B$6)*Ayarlar!$B$7+Ayarlar!$B$8)-(G923*Ayarlar!$B$3+Ayarlar!$B$4+Ayarlar!$B$5))/(F923*(1-Ayarlar!$B$6)))</f>
        <v/>
      </c>
      <c r="L923" s="3">
        <f>IF(G923="","GRAM EKSİK",IF(F923&gt;30000,"FİYAT ŞÜPHELİ",IF(K923&lt;0,"ZARARDA",IF(F923&lt;I923,"RİSKLİ","ok"))))</f>
        <v/>
      </c>
      <c r="M923" s="16" t="inlineStr">
        <is>
          <t>https://www.etsy.com/listing/1891642136</t>
        </is>
      </c>
    </row>
    <row r="924">
      <c r="A924" s="9" t="inlineStr">
        <is>
          <t>legacy</t>
        </is>
      </c>
      <c r="B924" s="9" t="inlineStr">
        <is>
          <t>10K Real Yellow Gold Franco Chain – Unisex Necklace, All Siz</t>
        </is>
      </c>
      <c r="C924" s="9" t="n">
        <v>1891642136</v>
      </c>
      <c r="D924" s="9" t="inlineStr">
        <is>
          <t>CFR6-18</t>
        </is>
      </c>
      <c r="E924" s="9" t="inlineStr">
        <is>
          <t>description-scaled</t>
        </is>
      </c>
      <c r="F924" s="10" t="n">
        <v>1623</v>
      </c>
      <c r="G924" s="18" t="n">
        <v>12.45</v>
      </c>
      <c r="H924" s="10">
        <f>IF(G924="","",G924*Ayarlar!$B$3+Ayarlar!$B$4+Ayarlar!$B$5)</f>
        <v/>
      </c>
      <c r="I924" s="10">
        <f>IF(G924="","",ROUNDUP(((G924*Ayarlar!$B$3+Ayarlar!$B$4+Ayarlar!$B$5)+Ayarlar!$B$8)/((1-Ayarlar!$B$6)*(1-Ayarlar!$B$7)),0))</f>
        <v/>
      </c>
      <c r="J924" s="10">
        <f>IF(G924="","",ROUNDUP(((G924*Ayarlar!$B$3+Ayarlar!$B$4+Ayarlar!$B$5)+Ayarlar!$B$8)/((1-Ayarlar!$B$6)*(1-Ayarlar!$B$7-Ayarlar!$B$9)),0))</f>
        <v/>
      </c>
      <c r="K924" s="12">
        <f>IF(OR(G924="",F924=""),"",(F924*(1-Ayarlar!$B$6)-(F924*(1-Ayarlar!$B$6)*Ayarlar!$B$7+Ayarlar!$B$8)-(G924*Ayarlar!$B$3+Ayarlar!$B$4+Ayarlar!$B$5))/(F924*(1-Ayarlar!$B$6)))</f>
        <v/>
      </c>
      <c r="L924" s="9">
        <f>IF(G924="","GRAM EKSİK",IF(F924&gt;30000,"FİYAT ŞÜPHELİ",IF(K924&lt;0,"ZARARDA",IF(F924&lt;I924,"RİSKLİ","ok"))))</f>
        <v/>
      </c>
      <c r="M924" s="13" t="inlineStr">
        <is>
          <t>https://www.etsy.com/listing/1891642136</t>
        </is>
      </c>
    </row>
    <row r="925">
      <c r="A925" s="3" t="inlineStr">
        <is>
          <t>legacy</t>
        </is>
      </c>
      <c r="B925" s="3" t="inlineStr">
        <is>
          <t>10K Real Yellow Gold Franco Chain – Unisex Necklace, All Siz</t>
        </is>
      </c>
      <c r="C925" s="3" t="n">
        <v>1891642136</v>
      </c>
      <c r="D925" s="3" t="inlineStr">
        <is>
          <t>CFR6-20</t>
        </is>
      </c>
      <c r="E925" s="3" t="inlineStr">
        <is>
          <t>description-scaled</t>
        </is>
      </c>
      <c r="F925" s="14" t="n">
        <v>1802</v>
      </c>
      <c r="G925" s="17" t="n">
        <v>13.83</v>
      </c>
      <c r="H925" s="14">
        <f>IF(G925="","",G925*Ayarlar!$B$3+Ayarlar!$B$4+Ayarlar!$B$5)</f>
        <v/>
      </c>
      <c r="I925" s="14">
        <f>IF(G925="","",ROUNDUP(((G925*Ayarlar!$B$3+Ayarlar!$B$4+Ayarlar!$B$5)+Ayarlar!$B$8)/((1-Ayarlar!$B$6)*(1-Ayarlar!$B$7)),0))</f>
        <v/>
      </c>
      <c r="J925" s="14">
        <f>IF(G925="","",ROUNDUP(((G925*Ayarlar!$B$3+Ayarlar!$B$4+Ayarlar!$B$5)+Ayarlar!$B$8)/((1-Ayarlar!$B$6)*(1-Ayarlar!$B$7-Ayarlar!$B$9)),0))</f>
        <v/>
      </c>
      <c r="K925" s="15">
        <f>IF(OR(G925="",F925=""),"",(F925*(1-Ayarlar!$B$6)-(F925*(1-Ayarlar!$B$6)*Ayarlar!$B$7+Ayarlar!$B$8)-(G925*Ayarlar!$B$3+Ayarlar!$B$4+Ayarlar!$B$5))/(F925*(1-Ayarlar!$B$6)))</f>
        <v/>
      </c>
      <c r="L925" s="3">
        <f>IF(G925="","GRAM EKSİK",IF(F925&gt;30000,"FİYAT ŞÜPHELİ",IF(K925&lt;0,"ZARARDA",IF(F925&lt;I925,"RİSKLİ","ok"))))</f>
        <v/>
      </c>
      <c r="M925" s="16" t="inlineStr">
        <is>
          <t>https://www.etsy.com/listing/1891642136</t>
        </is>
      </c>
    </row>
    <row r="926">
      <c r="A926" s="9" t="inlineStr">
        <is>
          <t>legacy</t>
        </is>
      </c>
      <c r="B926" s="9" t="inlineStr">
        <is>
          <t>10K Real Yellow Gold Franco Chain – Unisex Necklace, All Siz</t>
        </is>
      </c>
      <c r="C926" s="9" t="n">
        <v>1891642136</v>
      </c>
      <c r="D926" s="9" t="inlineStr">
        <is>
          <t>CFR6-22</t>
        </is>
      </c>
      <c r="E926" s="9" t="inlineStr">
        <is>
          <t>description-scaled</t>
        </is>
      </c>
      <c r="F926" s="10" t="n">
        <v>1983</v>
      </c>
      <c r="G926" s="18" t="n">
        <v>15.22</v>
      </c>
      <c r="H926" s="10">
        <f>IF(G926="","",G926*Ayarlar!$B$3+Ayarlar!$B$4+Ayarlar!$B$5)</f>
        <v/>
      </c>
      <c r="I926" s="10">
        <f>IF(G926="","",ROUNDUP(((G926*Ayarlar!$B$3+Ayarlar!$B$4+Ayarlar!$B$5)+Ayarlar!$B$8)/((1-Ayarlar!$B$6)*(1-Ayarlar!$B$7)),0))</f>
        <v/>
      </c>
      <c r="J926" s="10">
        <f>IF(G926="","",ROUNDUP(((G926*Ayarlar!$B$3+Ayarlar!$B$4+Ayarlar!$B$5)+Ayarlar!$B$8)/((1-Ayarlar!$B$6)*(1-Ayarlar!$B$7-Ayarlar!$B$9)),0))</f>
        <v/>
      </c>
      <c r="K926" s="12">
        <f>IF(OR(G926="",F926=""),"",(F926*(1-Ayarlar!$B$6)-(F926*(1-Ayarlar!$B$6)*Ayarlar!$B$7+Ayarlar!$B$8)-(G926*Ayarlar!$B$3+Ayarlar!$B$4+Ayarlar!$B$5))/(F926*(1-Ayarlar!$B$6)))</f>
        <v/>
      </c>
      <c r="L926" s="9">
        <f>IF(G926="","GRAM EKSİK",IF(F926&gt;30000,"FİYAT ŞÜPHELİ",IF(K926&lt;0,"ZARARDA",IF(F926&lt;I926,"RİSKLİ","ok"))))</f>
        <v/>
      </c>
      <c r="M926" s="13" t="inlineStr">
        <is>
          <t>https://www.etsy.com/listing/1891642136</t>
        </is>
      </c>
    </row>
    <row r="927">
      <c r="A927" s="3" t="inlineStr">
        <is>
          <t>legacy</t>
        </is>
      </c>
      <c r="B927" s="3" t="inlineStr">
        <is>
          <t>10K Real Yellow Gold Franco Chain – Unisex Necklace, All Siz</t>
        </is>
      </c>
      <c r="C927" s="3" t="n">
        <v>1891642136</v>
      </c>
      <c r="D927" s="3" t="inlineStr">
        <is>
          <t>CFR6-24</t>
        </is>
      </c>
      <c r="E927" s="3" t="inlineStr">
        <is>
          <t>description</t>
        </is>
      </c>
      <c r="F927" s="14" t="n">
        <v>2164</v>
      </c>
      <c r="G927" s="17" t="n">
        <v>16.6</v>
      </c>
      <c r="H927" s="14">
        <f>IF(G927="","",G927*Ayarlar!$B$3+Ayarlar!$B$4+Ayarlar!$B$5)</f>
        <v/>
      </c>
      <c r="I927" s="14">
        <f>IF(G927="","",ROUNDUP(((G927*Ayarlar!$B$3+Ayarlar!$B$4+Ayarlar!$B$5)+Ayarlar!$B$8)/((1-Ayarlar!$B$6)*(1-Ayarlar!$B$7)),0))</f>
        <v/>
      </c>
      <c r="J927" s="14">
        <f>IF(G927="","",ROUNDUP(((G927*Ayarlar!$B$3+Ayarlar!$B$4+Ayarlar!$B$5)+Ayarlar!$B$8)/((1-Ayarlar!$B$6)*(1-Ayarlar!$B$7-Ayarlar!$B$9)),0))</f>
        <v/>
      </c>
      <c r="K927" s="15">
        <f>IF(OR(G927="",F927=""),"",(F927*(1-Ayarlar!$B$6)-(F927*(1-Ayarlar!$B$6)*Ayarlar!$B$7+Ayarlar!$B$8)-(G927*Ayarlar!$B$3+Ayarlar!$B$4+Ayarlar!$B$5))/(F927*(1-Ayarlar!$B$6)))</f>
        <v/>
      </c>
      <c r="L927" s="3">
        <f>IF(G927="","GRAM EKSİK",IF(F927&gt;30000,"FİYAT ŞÜPHELİ",IF(K927&lt;0,"ZARARDA",IF(F927&lt;I927,"RİSKLİ","ok"))))</f>
        <v/>
      </c>
      <c r="M927" s="16" t="inlineStr">
        <is>
          <t>https://www.etsy.com/listing/1891642136</t>
        </is>
      </c>
    </row>
    <row r="928">
      <c r="A928" s="9" t="inlineStr">
        <is>
          <t>legacy</t>
        </is>
      </c>
      <c r="B928" s="9" t="inlineStr">
        <is>
          <t>10K Real Yellow Gold Miami Cuban Link Bracelet - Unisex</t>
        </is>
      </c>
      <c r="C928" s="9" t="n">
        <v>1195581074</v>
      </c>
      <c r="D928" s="9" t="inlineStr">
        <is>
          <t>BMC0-7</t>
        </is>
      </c>
      <c r="E928" s="9" t="inlineStr">
        <is>
          <t>inferred</t>
        </is>
      </c>
      <c r="F928" s="10" t="n">
        <v>158</v>
      </c>
      <c r="G928" s="18" t="n">
        <v>1.17</v>
      </c>
      <c r="H928" s="10">
        <f>IF(G928="","",G928*Ayarlar!$B$3+Ayarlar!$B$4+Ayarlar!$B$5)</f>
        <v/>
      </c>
      <c r="I928" s="10">
        <f>IF(G928="","",ROUNDUP(((G928*Ayarlar!$B$3+Ayarlar!$B$4+Ayarlar!$B$5)+Ayarlar!$B$8)/((1-Ayarlar!$B$6)*(1-Ayarlar!$B$7)),0))</f>
        <v/>
      </c>
      <c r="J928" s="10">
        <f>IF(G928="","",ROUNDUP(((G928*Ayarlar!$B$3+Ayarlar!$B$4+Ayarlar!$B$5)+Ayarlar!$B$8)/((1-Ayarlar!$B$6)*(1-Ayarlar!$B$7-Ayarlar!$B$9)),0))</f>
        <v/>
      </c>
      <c r="K928" s="12">
        <f>IF(OR(G928="",F928=""),"",(F928*(1-Ayarlar!$B$6)-(F928*(1-Ayarlar!$B$6)*Ayarlar!$B$7+Ayarlar!$B$8)-(G928*Ayarlar!$B$3+Ayarlar!$B$4+Ayarlar!$B$5))/(F928*(1-Ayarlar!$B$6)))</f>
        <v/>
      </c>
      <c r="L928" s="9">
        <f>IF(G928="","GRAM EKSİK",IF(F928&gt;30000,"FİYAT ŞÜPHELİ",IF(K928&lt;0,"ZARARDA",IF(F928&lt;I928,"RİSKLİ","ok"))))</f>
        <v/>
      </c>
      <c r="M928" s="13" t="inlineStr">
        <is>
          <t>https://www.etsy.com/listing/1195581074</t>
        </is>
      </c>
    </row>
    <row r="929">
      <c r="A929" s="3" t="inlineStr">
        <is>
          <t>legacy</t>
        </is>
      </c>
      <c r="B929" s="3" t="inlineStr">
        <is>
          <t>10K Real Yellow Gold Miami Cuban Link Bracelet - Unisex</t>
        </is>
      </c>
      <c r="C929" s="3" t="n">
        <v>1195581074</v>
      </c>
      <c r="D929" s="3" t="inlineStr">
        <is>
          <t>BMC0-7.5</t>
        </is>
      </c>
      <c r="E929" s="3" t="inlineStr">
        <is>
          <t>shipstation</t>
        </is>
      </c>
      <c r="F929" s="14" t="n">
        <v>168</v>
      </c>
      <c r="G929" s="17" t="n">
        <v>1.25</v>
      </c>
      <c r="H929" s="14">
        <f>IF(G929="","",G929*Ayarlar!$B$3+Ayarlar!$B$4+Ayarlar!$B$5)</f>
        <v/>
      </c>
      <c r="I929" s="14">
        <f>IF(G929="","",ROUNDUP(((G929*Ayarlar!$B$3+Ayarlar!$B$4+Ayarlar!$B$5)+Ayarlar!$B$8)/((1-Ayarlar!$B$6)*(1-Ayarlar!$B$7)),0))</f>
        <v/>
      </c>
      <c r="J929" s="14">
        <f>IF(G929="","",ROUNDUP(((G929*Ayarlar!$B$3+Ayarlar!$B$4+Ayarlar!$B$5)+Ayarlar!$B$8)/((1-Ayarlar!$B$6)*(1-Ayarlar!$B$7-Ayarlar!$B$9)),0))</f>
        <v/>
      </c>
      <c r="K929" s="15">
        <f>IF(OR(G929="",F929=""),"",(F929*(1-Ayarlar!$B$6)-(F929*(1-Ayarlar!$B$6)*Ayarlar!$B$7+Ayarlar!$B$8)-(G929*Ayarlar!$B$3+Ayarlar!$B$4+Ayarlar!$B$5))/(F929*(1-Ayarlar!$B$6)))</f>
        <v/>
      </c>
      <c r="L929" s="3">
        <f>IF(G929="","GRAM EKSİK",IF(F929&gt;30000,"FİYAT ŞÜPHELİ",IF(K929&lt;0,"ZARARDA",IF(F929&lt;I929,"RİSKLİ","ok"))))</f>
        <v/>
      </c>
      <c r="M929" s="16" t="inlineStr">
        <is>
          <t>https://www.etsy.com/listing/1195581074</t>
        </is>
      </c>
    </row>
    <row r="930">
      <c r="A930" s="9" t="inlineStr">
        <is>
          <t>legacy</t>
        </is>
      </c>
      <c r="B930" s="9" t="inlineStr">
        <is>
          <t>10K Real Yellow Gold Miami Cuban Link Bracelet - Unisex</t>
        </is>
      </c>
      <c r="C930" s="9" t="n">
        <v>1195581074</v>
      </c>
      <c r="D930" s="9" t="inlineStr">
        <is>
          <t>BMC0-8</t>
        </is>
      </c>
      <c r="E930" s="9" t="inlineStr">
        <is>
          <t>inferred</t>
        </is>
      </c>
      <c r="F930" s="10" t="n">
        <v>179</v>
      </c>
      <c r="G930" s="18" t="n">
        <v>1.33</v>
      </c>
      <c r="H930" s="10">
        <f>IF(G930="","",G930*Ayarlar!$B$3+Ayarlar!$B$4+Ayarlar!$B$5)</f>
        <v/>
      </c>
      <c r="I930" s="10">
        <f>IF(G930="","",ROUNDUP(((G930*Ayarlar!$B$3+Ayarlar!$B$4+Ayarlar!$B$5)+Ayarlar!$B$8)/((1-Ayarlar!$B$6)*(1-Ayarlar!$B$7)),0))</f>
        <v/>
      </c>
      <c r="J930" s="10">
        <f>IF(G930="","",ROUNDUP(((G930*Ayarlar!$B$3+Ayarlar!$B$4+Ayarlar!$B$5)+Ayarlar!$B$8)/((1-Ayarlar!$B$6)*(1-Ayarlar!$B$7-Ayarlar!$B$9)),0))</f>
        <v/>
      </c>
      <c r="K930" s="12">
        <f>IF(OR(G930="",F930=""),"",(F930*(1-Ayarlar!$B$6)-(F930*(1-Ayarlar!$B$6)*Ayarlar!$B$7+Ayarlar!$B$8)-(G930*Ayarlar!$B$3+Ayarlar!$B$4+Ayarlar!$B$5))/(F930*(1-Ayarlar!$B$6)))</f>
        <v/>
      </c>
      <c r="L930" s="9">
        <f>IF(G930="","GRAM EKSİK",IF(F930&gt;30000,"FİYAT ŞÜPHELİ",IF(K930&lt;0,"ZARARDA",IF(F930&lt;I930,"RİSKLİ","ok"))))</f>
        <v/>
      </c>
      <c r="M930" s="13" t="inlineStr">
        <is>
          <t>https://www.etsy.com/listing/1195581074</t>
        </is>
      </c>
    </row>
    <row r="931">
      <c r="A931" s="3" t="inlineStr">
        <is>
          <t>legacy</t>
        </is>
      </c>
      <c r="B931" s="3" t="inlineStr">
        <is>
          <t>10K Real Yellow Gold Miami Cuban Link Bracelet - Unisex</t>
        </is>
      </c>
      <c r="C931" s="3" t="n">
        <v>1195581074</v>
      </c>
      <c r="D931" s="3" t="inlineStr">
        <is>
          <t>BMC1-7</t>
        </is>
      </c>
      <c r="E931" s="3" t="inlineStr">
        <is>
          <t>shipstation</t>
        </is>
      </c>
      <c r="F931" s="14" t="n">
        <v>236</v>
      </c>
      <c r="G931" s="17" t="n">
        <v>2</v>
      </c>
      <c r="H931" s="14">
        <f>IF(G931="","",G931*Ayarlar!$B$3+Ayarlar!$B$4+Ayarlar!$B$5)</f>
        <v/>
      </c>
      <c r="I931" s="14">
        <f>IF(G931="","",ROUNDUP(((G931*Ayarlar!$B$3+Ayarlar!$B$4+Ayarlar!$B$5)+Ayarlar!$B$8)/((1-Ayarlar!$B$6)*(1-Ayarlar!$B$7)),0))</f>
        <v/>
      </c>
      <c r="J931" s="14">
        <f>IF(G931="","",ROUNDUP(((G931*Ayarlar!$B$3+Ayarlar!$B$4+Ayarlar!$B$5)+Ayarlar!$B$8)/((1-Ayarlar!$B$6)*(1-Ayarlar!$B$7-Ayarlar!$B$9)),0))</f>
        <v/>
      </c>
      <c r="K931" s="15">
        <f>IF(OR(G931="",F931=""),"",(F931*(1-Ayarlar!$B$6)-(F931*(1-Ayarlar!$B$6)*Ayarlar!$B$7+Ayarlar!$B$8)-(G931*Ayarlar!$B$3+Ayarlar!$B$4+Ayarlar!$B$5))/(F931*(1-Ayarlar!$B$6)))</f>
        <v/>
      </c>
      <c r="L931" s="3">
        <f>IF(G931="","GRAM EKSİK",IF(F931&gt;30000,"FİYAT ŞÜPHELİ",IF(K931&lt;0,"ZARARDA",IF(F931&lt;I931,"RİSKLİ","ok"))))</f>
        <v/>
      </c>
      <c r="M931" s="16" t="inlineStr">
        <is>
          <t>https://www.etsy.com/listing/1195581074</t>
        </is>
      </c>
    </row>
    <row r="932">
      <c r="A932" s="9" t="inlineStr">
        <is>
          <t>legacy</t>
        </is>
      </c>
      <c r="B932" s="9" t="inlineStr">
        <is>
          <t>10K Real Yellow Gold Miami Cuban Link Bracelet - Unisex</t>
        </is>
      </c>
      <c r="C932" s="9" t="n">
        <v>1195581074</v>
      </c>
      <c r="D932" s="9" t="inlineStr">
        <is>
          <t>BMC1-7.5</t>
        </is>
      </c>
      <c r="E932" s="9" t="inlineStr">
        <is>
          <t>inferred</t>
        </is>
      </c>
      <c r="F932" s="10" t="n">
        <v>258</v>
      </c>
      <c r="G932" s="18" t="n">
        <v>2.14</v>
      </c>
      <c r="H932" s="10">
        <f>IF(G932="","",G932*Ayarlar!$B$3+Ayarlar!$B$4+Ayarlar!$B$5)</f>
        <v/>
      </c>
      <c r="I932" s="10">
        <f>IF(G932="","",ROUNDUP(((G932*Ayarlar!$B$3+Ayarlar!$B$4+Ayarlar!$B$5)+Ayarlar!$B$8)/((1-Ayarlar!$B$6)*(1-Ayarlar!$B$7)),0))</f>
        <v/>
      </c>
      <c r="J932" s="10">
        <f>IF(G932="","",ROUNDUP(((G932*Ayarlar!$B$3+Ayarlar!$B$4+Ayarlar!$B$5)+Ayarlar!$B$8)/((1-Ayarlar!$B$6)*(1-Ayarlar!$B$7-Ayarlar!$B$9)),0))</f>
        <v/>
      </c>
      <c r="K932" s="12">
        <f>IF(OR(G932="",F932=""),"",(F932*(1-Ayarlar!$B$6)-(F932*(1-Ayarlar!$B$6)*Ayarlar!$B$7+Ayarlar!$B$8)-(G932*Ayarlar!$B$3+Ayarlar!$B$4+Ayarlar!$B$5))/(F932*(1-Ayarlar!$B$6)))</f>
        <v/>
      </c>
      <c r="L932" s="9">
        <f>IF(G932="","GRAM EKSİK",IF(F932&gt;30000,"FİYAT ŞÜPHELİ",IF(K932&lt;0,"ZARARDA",IF(F932&lt;I932,"RİSKLİ","ok"))))</f>
        <v/>
      </c>
      <c r="M932" s="13" t="inlineStr">
        <is>
          <t>https://www.etsy.com/listing/1195581074</t>
        </is>
      </c>
    </row>
    <row r="933">
      <c r="A933" s="3" t="inlineStr">
        <is>
          <t>legacy</t>
        </is>
      </c>
      <c r="B933" s="3" t="inlineStr">
        <is>
          <t>10K Real Yellow Gold Miami Cuban Link Bracelet - Unisex</t>
        </is>
      </c>
      <c r="C933" s="3" t="n">
        <v>1195581074</v>
      </c>
      <c r="D933" s="3" t="inlineStr">
        <is>
          <t>BMC1-8</t>
        </is>
      </c>
      <c r="E933" s="3" t="inlineStr">
        <is>
          <t>inferred</t>
        </is>
      </c>
      <c r="F933" s="14" t="n">
        <v>278</v>
      </c>
      <c r="G933" s="17" t="n">
        <v>2.29</v>
      </c>
      <c r="H933" s="14">
        <f>IF(G933="","",G933*Ayarlar!$B$3+Ayarlar!$B$4+Ayarlar!$B$5)</f>
        <v/>
      </c>
      <c r="I933" s="14">
        <f>IF(G933="","",ROUNDUP(((G933*Ayarlar!$B$3+Ayarlar!$B$4+Ayarlar!$B$5)+Ayarlar!$B$8)/((1-Ayarlar!$B$6)*(1-Ayarlar!$B$7)),0))</f>
        <v/>
      </c>
      <c r="J933" s="14">
        <f>IF(G933="","",ROUNDUP(((G933*Ayarlar!$B$3+Ayarlar!$B$4+Ayarlar!$B$5)+Ayarlar!$B$8)/((1-Ayarlar!$B$6)*(1-Ayarlar!$B$7-Ayarlar!$B$9)),0))</f>
        <v/>
      </c>
      <c r="K933" s="15">
        <f>IF(OR(G933="",F933=""),"",(F933*(1-Ayarlar!$B$6)-(F933*(1-Ayarlar!$B$6)*Ayarlar!$B$7+Ayarlar!$B$8)-(G933*Ayarlar!$B$3+Ayarlar!$B$4+Ayarlar!$B$5))/(F933*(1-Ayarlar!$B$6)))</f>
        <v/>
      </c>
      <c r="L933" s="3">
        <f>IF(G933="","GRAM EKSİK",IF(F933&gt;30000,"FİYAT ŞÜPHELİ",IF(K933&lt;0,"ZARARDA",IF(F933&lt;I933,"RİSKLİ","ok"))))</f>
        <v/>
      </c>
      <c r="M933" s="16" t="inlineStr">
        <is>
          <t>https://www.etsy.com/listing/1195581074</t>
        </is>
      </c>
    </row>
    <row r="934">
      <c r="A934" s="9" t="inlineStr">
        <is>
          <t>legacy</t>
        </is>
      </c>
      <c r="B934" s="9" t="inlineStr">
        <is>
          <t>10K Real Yellow Gold Miami Cuban Link Bracelet - Unisex</t>
        </is>
      </c>
      <c r="C934" s="9" t="n">
        <v>1195581074</v>
      </c>
      <c r="D934" s="9" t="inlineStr">
        <is>
          <t>BMC2-7</t>
        </is>
      </c>
      <c r="E934" s="9" t="inlineStr">
        <is>
          <t>shipstation</t>
        </is>
      </c>
      <c r="F934" s="10" t="n">
        <v>308</v>
      </c>
      <c r="G934" s="18" t="n">
        <v>2.72</v>
      </c>
      <c r="H934" s="10">
        <f>IF(G934="","",G934*Ayarlar!$B$3+Ayarlar!$B$4+Ayarlar!$B$5)</f>
        <v/>
      </c>
      <c r="I934" s="10">
        <f>IF(G934="","",ROUNDUP(((G934*Ayarlar!$B$3+Ayarlar!$B$4+Ayarlar!$B$5)+Ayarlar!$B$8)/((1-Ayarlar!$B$6)*(1-Ayarlar!$B$7)),0))</f>
        <v/>
      </c>
      <c r="J934" s="10">
        <f>IF(G934="","",ROUNDUP(((G934*Ayarlar!$B$3+Ayarlar!$B$4+Ayarlar!$B$5)+Ayarlar!$B$8)/((1-Ayarlar!$B$6)*(1-Ayarlar!$B$7-Ayarlar!$B$9)),0))</f>
        <v/>
      </c>
      <c r="K934" s="12">
        <f>IF(OR(G934="",F934=""),"",(F934*(1-Ayarlar!$B$6)-(F934*(1-Ayarlar!$B$6)*Ayarlar!$B$7+Ayarlar!$B$8)-(G934*Ayarlar!$B$3+Ayarlar!$B$4+Ayarlar!$B$5))/(F934*(1-Ayarlar!$B$6)))</f>
        <v/>
      </c>
      <c r="L934" s="9">
        <f>IF(G934="","GRAM EKSİK",IF(F934&gt;30000,"FİYAT ŞÜPHELİ",IF(K934&lt;0,"ZARARDA",IF(F934&lt;I934,"RİSKLİ","ok"))))</f>
        <v/>
      </c>
      <c r="M934" s="13" t="inlineStr">
        <is>
          <t>https://www.etsy.com/listing/1195581074</t>
        </is>
      </c>
    </row>
    <row r="935">
      <c r="A935" s="3" t="inlineStr">
        <is>
          <t>legacy</t>
        </is>
      </c>
      <c r="B935" s="3" t="inlineStr">
        <is>
          <t>10K Real Yellow Gold Miami Cuban Link Bracelet - Unisex</t>
        </is>
      </c>
      <c r="C935" s="3" t="n">
        <v>1195581074</v>
      </c>
      <c r="D935" s="3" t="inlineStr">
        <is>
          <t>BMC2-7.5</t>
        </is>
      </c>
      <c r="E935" s="3" t="inlineStr">
        <is>
          <t>inferred</t>
        </is>
      </c>
      <c r="F935" s="14" t="n">
        <v>329</v>
      </c>
      <c r="G935" s="17" t="n">
        <v>2.91</v>
      </c>
      <c r="H935" s="14">
        <f>IF(G935="","",G935*Ayarlar!$B$3+Ayarlar!$B$4+Ayarlar!$B$5)</f>
        <v/>
      </c>
      <c r="I935" s="14">
        <f>IF(G935="","",ROUNDUP(((G935*Ayarlar!$B$3+Ayarlar!$B$4+Ayarlar!$B$5)+Ayarlar!$B$8)/((1-Ayarlar!$B$6)*(1-Ayarlar!$B$7)),0))</f>
        <v/>
      </c>
      <c r="J935" s="14">
        <f>IF(G935="","",ROUNDUP(((G935*Ayarlar!$B$3+Ayarlar!$B$4+Ayarlar!$B$5)+Ayarlar!$B$8)/((1-Ayarlar!$B$6)*(1-Ayarlar!$B$7-Ayarlar!$B$9)),0))</f>
        <v/>
      </c>
      <c r="K935" s="15">
        <f>IF(OR(G935="",F935=""),"",(F935*(1-Ayarlar!$B$6)-(F935*(1-Ayarlar!$B$6)*Ayarlar!$B$7+Ayarlar!$B$8)-(G935*Ayarlar!$B$3+Ayarlar!$B$4+Ayarlar!$B$5))/(F935*(1-Ayarlar!$B$6)))</f>
        <v/>
      </c>
      <c r="L935" s="3">
        <f>IF(G935="","GRAM EKSİK",IF(F935&gt;30000,"FİYAT ŞÜPHELİ",IF(K935&lt;0,"ZARARDA",IF(F935&lt;I935,"RİSKLİ","ok"))))</f>
        <v/>
      </c>
      <c r="M935" s="16" t="inlineStr">
        <is>
          <t>https://www.etsy.com/listing/1195581074</t>
        </is>
      </c>
    </row>
    <row r="936">
      <c r="A936" s="9" t="inlineStr">
        <is>
          <t>legacy</t>
        </is>
      </c>
      <c r="B936" s="9" t="inlineStr">
        <is>
          <t>10K Real Yellow Gold Miami Cuban Link Bracelet - Unisex</t>
        </is>
      </c>
      <c r="C936" s="9" t="n">
        <v>1195581074</v>
      </c>
      <c r="D936" s="9" t="inlineStr">
        <is>
          <t>BMC2-8</t>
        </is>
      </c>
      <c r="E936" s="9" t="inlineStr">
        <is>
          <t>inferred</t>
        </is>
      </c>
      <c r="F936" s="10" t="n">
        <v>351</v>
      </c>
      <c r="G936" s="18" t="n">
        <v>3.11</v>
      </c>
      <c r="H936" s="10">
        <f>IF(G936="","",G936*Ayarlar!$B$3+Ayarlar!$B$4+Ayarlar!$B$5)</f>
        <v/>
      </c>
      <c r="I936" s="10">
        <f>IF(G936="","",ROUNDUP(((G936*Ayarlar!$B$3+Ayarlar!$B$4+Ayarlar!$B$5)+Ayarlar!$B$8)/((1-Ayarlar!$B$6)*(1-Ayarlar!$B$7)),0))</f>
        <v/>
      </c>
      <c r="J936" s="10">
        <f>IF(G936="","",ROUNDUP(((G936*Ayarlar!$B$3+Ayarlar!$B$4+Ayarlar!$B$5)+Ayarlar!$B$8)/((1-Ayarlar!$B$6)*(1-Ayarlar!$B$7-Ayarlar!$B$9)),0))</f>
        <v/>
      </c>
      <c r="K936" s="12">
        <f>IF(OR(G936="",F936=""),"",(F936*(1-Ayarlar!$B$6)-(F936*(1-Ayarlar!$B$6)*Ayarlar!$B$7+Ayarlar!$B$8)-(G936*Ayarlar!$B$3+Ayarlar!$B$4+Ayarlar!$B$5))/(F936*(1-Ayarlar!$B$6)))</f>
        <v/>
      </c>
      <c r="L936" s="9">
        <f>IF(G936="","GRAM EKSİK",IF(F936&gt;30000,"FİYAT ŞÜPHELİ",IF(K936&lt;0,"ZARARDA",IF(F936&lt;I936,"RİSKLİ","ok"))))</f>
        <v/>
      </c>
      <c r="M936" s="13" t="inlineStr">
        <is>
          <t>https://www.etsy.com/listing/1195581074</t>
        </is>
      </c>
    </row>
    <row r="937">
      <c r="A937" s="3" t="inlineStr">
        <is>
          <t>legacy</t>
        </is>
      </c>
      <c r="B937" s="3" t="inlineStr">
        <is>
          <t>10K Real Yellow Gold Miami Cuban Link Bracelet - Unisex</t>
        </is>
      </c>
      <c r="C937" s="3" t="n">
        <v>1195581074</v>
      </c>
      <c r="D937" s="3" t="inlineStr">
        <is>
          <t>BMC3-7</t>
        </is>
      </c>
      <c r="E937" s="3" t="inlineStr">
        <is>
          <t>shipstation</t>
        </is>
      </c>
      <c r="F937" s="14" t="n">
        <v>453</v>
      </c>
      <c r="G937" s="17" t="n">
        <v>3.93</v>
      </c>
      <c r="H937" s="14">
        <f>IF(G937="","",G937*Ayarlar!$B$3+Ayarlar!$B$4+Ayarlar!$B$5)</f>
        <v/>
      </c>
      <c r="I937" s="14">
        <f>IF(G937="","",ROUNDUP(((G937*Ayarlar!$B$3+Ayarlar!$B$4+Ayarlar!$B$5)+Ayarlar!$B$8)/((1-Ayarlar!$B$6)*(1-Ayarlar!$B$7)),0))</f>
        <v/>
      </c>
      <c r="J937" s="14">
        <f>IF(G937="","",ROUNDUP(((G937*Ayarlar!$B$3+Ayarlar!$B$4+Ayarlar!$B$5)+Ayarlar!$B$8)/((1-Ayarlar!$B$6)*(1-Ayarlar!$B$7-Ayarlar!$B$9)),0))</f>
        <v/>
      </c>
      <c r="K937" s="15">
        <f>IF(OR(G937="",F937=""),"",(F937*(1-Ayarlar!$B$6)-(F937*(1-Ayarlar!$B$6)*Ayarlar!$B$7+Ayarlar!$B$8)-(G937*Ayarlar!$B$3+Ayarlar!$B$4+Ayarlar!$B$5))/(F937*(1-Ayarlar!$B$6)))</f>
        <v/>
      </c>
      <c r="L937" s="3">
        <f>IF(G937="","GRAM EKSİK",IF(F937&gt;30000,"FİYAT ŞÜPHELİ",IF(K937&lt;0,"ZARARDA",IF(F937&lt;I937,"RİSKLİ","ok"))))</f>
        <v/>
      </c>
      <c r="M937" s="16" t="inlineStr">
        <is>
          <t>https://www.etsy.com/listing/1195581074</t>
        </is>
      </c>
    </row>
    <row r="938">
      <c r="A938" s="9" t="inlineStr">
        <is>
          <t>legacy</t>
        </is>
      </c>
      <c r="B938" s="9" t="inlineStr">
        <is>
          <t>10K Real Yellow Gold Miami Cuban Link Bracelet - Unisex</t>
        </is>
      </c>
      <c r="C938" s="9" t="n">
        <v>1195581074</v>
      </c>
      <c r="D938" s="9" t="inlineStr">
        <is>
          <t>BMC3-7.5</t>
        </is>
      </c>
      <c r="E938" s="9" t="inlineStr">
        <is>
          <t>inferred</t>
        </is>
      </c>
      <c r="F938" s="10" t="n">
        <v>483</v>
      </c>
      <c r="G938" s="18" t="n">
        <v>4.21</v>
      </c>
      <c r="H938" s="10">
        <f>IF(G938="","",G938*Ayarlar!$B$3+Ayarlar!$B$4+Ayarlar!$B$5)</f>
        <v/>
      </c>
      <c r="I938" s="10">
        <f>IF(G938="","",ROUNDUP(((G938*Ayarlar!$B$3+Ayarlar!$B$4+Ayarlar!$B$5)+Ayarlar!$B$8)/((1-Ayarlar!$B$6)*(1-Ayarlar!$B$7)),0))</f>
        <v/>
      </c>
      <c r="J938" s="10">
        <f>IF(G938="","",ROUNDUP(((G938*Ayarlar!$B$3+Ayarlar!$B$4+Ayarlar!$B$5)+Ayarlar!$B$8)/((1-Ayarlar!$B$6)*(1-Ayarlar!$B$7-Ayarlar!$B$9)),0))</f>
        <v/>
      </c>
      <c r="K938" s="12">
        <f>IF(OR(G938="",F938=""),"",(F938*(1-Ayarlar!$B$6)-(F938*(1-Ayarlar!$B$6)*Ayarlar!$B$7+Ayarlar!$B$8)-(G938*Ayarlar!$B$3+Ayarlar!$B$4+Ayarlar!$B$5))/(F938*(1-Ayarlar!$B$6)))</f>
        <v/>
      </c>
      <c r="L938" s="9">
        <f>IF(G938="","GRAM EKSİK",IF(F938&gt;30000,"FİYAT ŞÜPHELİ",IF(K938&lt;0,"ZARARDA",IF(F938&lt;I938,"RİSKLİ","ok"))))</f>
        <v/>
      </c>
      <c r="M938" s="13" t="inlineStr">
        <is>
          <t>https://www.etsy.com/listing/1195581074</t>
        </is>
      </c>
    </row>
    <row r="939">
      <c r="A939" s="3" t="inlineStr">
        <is>
          <t>legacy</t>
        </is>
      </c>
      <c r="B939" s="3" t="inlineStr">
        <is>
          <t>10K Real Yellow Gold Miami Cuban Link Bracelet - Unisex</t>
        </is>
      </c>
      <c r="C939" s="3" t="n">
        <v>1195581074</v>
      </c>
      <c r="D939" s="3" t="inlineStr">
        <is>
          <t>BMC3-8</t>
        </is>
      </c>
      <c r="E939" s="3" t="inlineStr">
        <is>
          <t>inferred</t>
        </is>
      </c>
      <c r="F939" s="14" t="n">
        <v>515</v>
      </c>
      <c r="G939" s="17" t="n">
        <v>4.49</v>
      </c>
      <c r="H939" s="14">
        <f>IF(G939="","",G939*Ayarlar!$B$3+Ayarlar!$B$4+Ayarlar!$B$5)</f>
        <v/>
      </c>
      <c r="I939" s="14">
        <f>IF(G939="","",ROUNDUP(((G939*Ayarlar!$B$3+Ayarlar!$B$4+Ayarlar!$B$5)+Ayarlar!$B$8)/((1-Ayarlar!$B$6)*(1-Ayarlar!$B$7)),0))</f>
        <v/>
      </c>
      <c r="J939" s="14">
        <f>IF(G939="","",ROUNDUP(((G939*Ayarlar!$B$3+Ayarlar!$B$4+Ayarlar!$B$5)+Ayarlar!$B$8)/((1-Ayarlar!$B$6)*(1-Ayarlar!$B$7-Ayarlar!$B$9)),0))</f>
        <v/>
      </c>
      <c r="K939" s="15">
        <f>IF(OR(G939="",F939=""),"",(F939*(1-Ayarlar!$B$6)-(F939*(1-Ayarlar!$B$6)*Ayarlar!$B$7+Ayarlar!$B$8)-(G939*Ayarlar!$B$3+Ayarlar!$B$4+Ayarlar!$B$5))/(F939*(1-Ayarlar!$B$6)))</f>
        <v/>
      </c>
      <c r="L939" s="3">
        <f>IF(G939="","GRAM EKSİK",IF(F939&gt;30000,"FİYAT ŞÜPHELİ",IF(K939&lt;0,"ZARARDA",IF(F939&lt;I939,"RİSKLİ","ok"))))</f>
        <v/>
      </c>
      <c r="M939" s="16" t="inlineStr">
        <is>
          <t>https://www.etsy.com/listing/1195581074</t>
        </is>
      </c>
    </row>
    <row r="940">
      <c r="A940" s="9" t="inlineStr">
        <is>
          <t>legacy</t>
        </is>
      </c>
      <c r="B940" s="9" t="inlineStr">
        <is>
          <t>10K Real Yellow Gold Miami Cuban Link Bracelet - Unisex</t>
        </is>
      </c>
      <c r="C940" s="9" t="n">
        <v>1195581074</v>
      </c>
      <c r="D940" s="9" t="inlineStr">
        <is>
          <t>BMC6-7</t>
        </is>
      </c>
      <c r="E940" s="9" t="inlineStr">
        <is>
          <t>shipstation</t>
        </is>
      </c>
      <c r="F940" s="10" t="n">
        <v>773</v>
      </c>
      <c r="G940" s="18" t="n">
        <v>7</v>
      </c>
      <c r="H940" s="10">
        <f>IF(G940="","",G940*Ayarlar!$B$3+Ayarlar!$B$4+Ayarlar!$B$5)</f>
        <v/>
      </c>
      <c r="I940" s="10">
        <f>IF(G940="","",ROUNDUP(((G940*Ayarlar!$B$3+Ayarlar!$B$4+Ayarlar!$B$5)+Ayarlar!$B$8)/((1-Ayarlar!$B$6)*(1-Ayarlar!$B$7)),0))</f>
        <v/>
      </c>
      <c r="J940" s="10">
        <f>IF(G940="","",ROUNDUP(((G940*Ayarlar!$B$3+Ayarlar!$B$4+Ayarlar!$B$5)+Ayarlar!$B$8)/((1-Ayarlar!$B$6)*(1-Ayarlar!$B$7-Ayarlar!$B$9)),0))</f>
        <v/>
      </c>
      <c r="K940" s="12">
        <f>IF(OR(G940="",F940=""),"",(F940*(1-Ayarlar!$B$6)-(F940*(1-Ayarlar!$B$6)*Ayarlar!$B$7+Ayarlar!$B$8)-(G940*Ayarlar!$B$3+Ayarlar!$B$4+Ayarlar!$B$5))/(F940*(1-Ayarlar!$B$6)))</f>
        <v/>
      </c>
      <c r="L940" s="9">
        <f>IF(G940="","GRAM EKSİK",IF(F940&gt;30000,"FİYAT ŞÜPHELİ",IF(K940&lt;0,"ZARARDA",IF(F940&lt;I940,"RİSKLİ","ok"))))</f>
        <v/>
      </c>
      <c r="M940" s="13" t="inlineStr">
        <is>
          <t>https://www.etsy.com/listing/1195581074</t>
        </is>
      </c>
    </row>
    <row r="941">
      <c r="A941" s="3" t="inlineStr">
        <is>
          <t>legacy</t>
        </is>
      </c>
      <c r="B941" s="3" t="inlineStr">
        <is>
          <t>10K Real Yellow Gold Miami Cuban Link Bracelet - Unisex</t>
        </is>
      </c>
      <c r="C941" s="3" t="n">
        <v>1195581074</v>
      </c>
      <c r="D941" s="3" t="inlineStr">
        <is>
          <t>BMC6-7.5</t>
        </is>
      </c>
      <c r="E941" s="3" t="inlineStr">
        <is>
          <t>inferred</t>
        </is>
      </c>
      <c r="F941" s="14" t="n">
        <v>825</v>
      </c>
      <c r="G941" s="17" t="n">
        <v>7.5</v>
      </c>
      <c r="H941" s="14">
        <f>IF(G941="","",G941*Ayarlar!$B$3+Ayarlar!$B$4+Ayarlar!$B$5)</f>
        <v/>
      </c>
      <c r="I941" s="14">
        <f>IF(G941="","",ROUNDUP(((G941*Ayarlar!$B$3+Ayarlar!$B$4+Ayarlar!$B$5)+Ayarlar!$B$8)/((1-Ayarlar!$B$6)*(1-Ayarlar!$B$7)),0))</f>
        <v/>
      </c>
      <c r="J941" s="14">
        <f>IF(G941="","",ROUNDUP(((G941*Ayarlar!$B$3+Ayarlar!$B$4+Ayarlar!$B$5)+Ayarlar!$B$8)/((1-Ayarlar!$B$6)*(1-Ayarlar!$B$7-Ayarlar!$B$9)),0))</f>
        <v/>
      </c>
      <c r="K941" s="15">
        <f>IF(OR(G941="",F941=""),"",(F941*(1-Ayarlar!$B$6)-(F941*(1-Ayarlar!$B$6)*Ayarlar!$B$7+Ayarlar!$B$8)-(G941*Ayarlar!$B$3+Ayarlar!$B$4+Ayarlar!$B$5))/(F941*(1-Ayarlar!$B$6)))</f>
        <v/>
      </c>
      <c r="L941" s="3">
        <f>IF(G941="","GRAM EKSİK",IF(F941&gt;30000,"FİYAT ŞÜPHELİ",IF(K941&lt;0,"ZARARDA",IF(F941&lt;I941,"RİSKLİ","ok"))))</f>
        <v/>
      </c>
      <c r="M941" s="16" t="inlineStr">
        <is>
          <t>https://www.etsy.com/listing/1195581074</t>
        </is>
      </c>
    </row>
    <row r="942">
      <c r="A942" s="9" t="inlineStr">
        <is>
          <t>legacy</t>
        </is>
      </c>
      <c r="B942" s="9" t="inlineStr">
        <is>
          <t>10K Real Yellow Gold Miami Cuban Link Bracelet - Unisex</t>
        </is>
      </c>
      <c r="C942" s="9" t="n">
        <v>1195581074</v>
      </c>
      <c r="D942" s="9" t="inlineStr">
        <is>
          <t>BMC6-8</t>
        </is>
      </c>
      <c r="E942" s="9" t="inlineStr">
        <is>
          <t>inferred</t>
        </is>
      </c>
      <c r="F942" s="10" t="n">
        <v>875</v>
      </c>
      <c r="G942" s="18" t="n">
        <v>8</v>
      </c>
      <c r="H942" s="10">
        <f>IF(G942="","",G942*Ayarlar!$B$3+Ayarlar!$B$4+Ayarlar!$B$5)</f>
        <v/>
      </c>
      <c r="I942" s="10">
        <f>IF(G942="","",ROUNDUP(((G942*Ayarlar!$B$3+Ayarlar!$B$4+Ayarlar!$B$5)+Ayarlar!$B$8)/((1-Ayarlar!$B$6)*(1-Ayarlar!$B$7)),0))</f>
        <v/>
      </c>
      <c r="J942" s="10">
        <f>IF(G942="","",ROUNDUP(((G942*Ayarlar!$B$3+Ayarlar!$B$4+Ayarlar!$B$5)+Ayarlar!$B$8)/((1-Ayarlar!$B$6)*(1-Ayarlar!$B$7-Ayarlar!$B$9)),0))</f>
        <v/>
      </c>
      <c r="K942" s="12">
        <f>IF(OR(G942="",F942=""),"",(F942*(1-Ayarlar!$B$6)-(F942*(1-Ayarlar!$B$6)*Ayarlar!$B$7+Ayarlar!$B$8)-(G942*Ayarlar!$B$3+Ayarlar!$B$4+Ayarlar!$B$5))/(F942*(1-Ayarlar!$B$6)))</f>
        <v/>
      </c>
      <c r="L942" s="9">
        <f>IF(G942="","GRAM EKSİK",IF(F942&gt;30000,"FİYAT ŞÜPHELİ",IF(K942&lt;0,"ZARARDA",IF(F942&lt;I942,"RİSKLİ","ok"))))</f>
        <v/>
      </c>
      <c r="M942" s="13" t="inlineStr">
        <is>
          <t>https://www.etsy.com/listing/1195581074</t>
        </is>
      </c>
    </row>
    <row r="943">
      <c r="A943" s="3" t="inlineStr">
        <is>
          <t>legacy</t>
        </is>
      </c>
      <c r="B943" s="3" t="inlineStr">
        <is>
          <t>10K Real Yellow Gold Miami Cuban Link Bracelet - Unisex</t>
        </is>
      </c>
      <c r="C943" s="3" t="n">
        <v>1195581074</v>
      </c>
      <c r="D943" s="3" t="inlineStr">
        <is>
          <t>BMC66-7</t>
        </is>
      </c>
      <c r="E943" s="3" t="inlineStr">
        <is>
          <t>—</t>
        </is>
      </c>
      <c r="F943" s="14" t="n">
        <v>1434.05</v>
      </c>
      <c r="G943" s="11" t="n"/>
      <c r="H943" s="14">
        <f>IF(G943="","",G943*Ayarlar!$B$3+Ayarlar!$B$4+Ayarlar!$B$5)</f>
        <v/>
      </c>
      <c r="I943" s="14">
        <f>IF(G943="","",ROUNDUP(((G943*Ayarlar!$B$3+Ayarlar!$B$4+Ayarlar!$B$5)+Ayarlar!$B$8)/((1-Ayarlar!$B$6)*(1-Ayarlar!$B$7)),0))</f>
        <v/>
      </c>
      <c r="J943" s="14">
        <f>IF(G943="","",ROUNDUP(((G943*Ayarlar!$B$3+Ayarlar!$B$4+Ayarlar!$B$5)+Ayarlar!$B$8)/((1-Ayarlar!$B$6)*(1-Ayarlar!$B$7-Ayarlar!$B$9)),0))</f>
        <v/>
      </c>
      <c r="K943" s="15">
        <f>IF(OR(G943="",F943=""),"",(F943*(1-Ayarlar!$B$6)-(F943*(1-Ayarlar!$B$6)*Ayarlar!$B$7+Ayarlar!$B$8)-(G943*Ayarlar!$B$3+Ayarlar!$B$4+Ayarlar!$B$5))/(F943*(1-Ayarlar!$B$6)))</f>
        <v/>
      </c>
      <c r="L943" s="3">
        <f>IF(G943="","GRAM EKSİK",IF(F943&gt;30000,"FİYAT ŞÜPHELİ",IF(K943&lt;0,"ZARARDA",IF(F943&lt;I943,"RİSKLİ","ok"))))</f>
        <v/>
      </c>
      <c r="M943" s="16" t="inlineStr">
        <is>
          <t>https://www.etsy.com/listing/1195581074</t>
        </is>
      </c>
    </row>
    <row r="944">
      <c r="A944" s="9" t="inlineStr">
        <is>
          <t>legacy</t>
        </is>
      </c>
      <c r="B944" s="9" t="inlineStr">
        <is>
          <t>10K Real Yellow Gold Miami Cuban Link Bracelet - Unisex</t>
        </is>
      </c>
      <c r="C944" s="9" t="n">
        <v>1195581074</v>
      </c>
      <c r="D944" s="9" t="inlineStr">
        <is>
          <t>BMC66-7.5</t>
        </is>
      </c>
      <c r="E944" s="9" t="inlineStr">
        <is>
          <t>description-scaled</t>
        </is>
      </c>
      <c r="F944" s="10" t="n">
        <v>1562</v>
      </c>
      <c r="G944" s="18" t="n">
        <v>12.05</v>
      </c>
      <c r="H944" s="10">
        <f>IF(G944="","",G944*Ayarlar!$B$3+Ayarlar!$B$4+Ayarlar!$B$5)</f>
        <v/>
      </c>
      <c r="I944" s="10">
        <f>IF(G944="","",ROUNDUP(((G944*Ayarlar!$B$3+Ayarlar!$B$4+Ayarlar!$B$5)+Ayarlar!$B$8)/((1-Ayarlar!$B$6)*(1-Ayarlar!$B$7)),0))</f>
        <v/>
      </c>
      <c r="J944" s="10">
        <f>IF(G944="","",ROUNDUP(((G944*Ayarlar!$B$3+Ayarlar!$B$4+Ayarlar!$B$5)+Ayarlar!$B$8)/((1-Ayarlar!$B$6)*(1-Ayarlar!$B$7-Ayarlar!$B$9)),0))</f>
        <v/>
      </c>
      <c r="K944" s="12">
        <f>IF(OR(G944="",F944=""),"",(F944*(1-Ayarlar!$B$6)-(F944*(1-Ayarlar!$B$6)*Ayarlar!$B$7+Ayarlar!$B$8)-(G944*Ayarlar!$B$3+Ayarlar!$B$4+Ayarlar!$B$5))/(F944*(1-Ayarlar!$B$6)))</f>
        <v/>
      </c>
      <c r="L944" s="9">
        <f>IF(G944="","GRAM EKSİK",IF(F944&gt;30000,"FİYAT ŞÜPHELİ",IF(K944&lt;0,"ZARARDA",IF(F944&lt;I944,"RİSKLİ","ok"))))</f>
        <v/>
      </c>
      <c r="M944" s="13" t="inlineStr">
        <is>
          <t>https://www.etsy.com/listing/1195581074</t>
        </is>
      </c>
    </row>
    <row r="945">
      <c r="A945" s="3" t="inlineStr">
        <is>
          <t>legacy</t>
        </is>
      </c>
      <c r="B945" s="3" t="inlineStr">
        <is>
          <t>10K Real Yellow Gold Miami Cuban Link Bracelet - Unisex</t>
        </is>
      </c>
      <c r="C945" s="3" t="n">
        <v>1195581074</v>
      </c>
      <c r="D945" s="3" t="inlineStr">
        <is>
          <t>BMC66-8</t>
        </is>
      </c>
      <c r="E945" s="3" t="inlineStr">
        <is>
          <t>description</t>
        </is>
      </c>
      <c r="F945" s="14" t="n">
        <v>1683</v>
      </c>
      <c r="G945" s="17" t="n">
        <v>12.85</v>
      </c>
      <c r="H945" s="14">
        <f>IF(G945="","",G945*Ayarlar!$B$3+Ayarlar!$B$4+Ayarlar!$B$5)</f>
        <v/>
      </c>
      <c r="I945" s="14">
        <f>IF(G945="","",ROUNDUP(((G945*Ayarlar!$B$3+Ayarlar!$B$4+Ayarlar!$B$5)+Ayarlar!$B$8)/((1-Ayarlar!$B$6)*(1-Ayarlar!$B$7)),0))</f>
        <v/>
      </c>
      <c r="J945" s="14">
        <f>IF(G945="","",ROUNDUP(((G945*Ayarlar!$B$3+Ayarlar!$B$4+Ayarlar!$B$5)+Ayarlar!$B$8)/((1-Ayarlar!$B$6)*(1-Ayarlar!$B$7-Ayarlar!$B$9)),0))</f>
        <v/>
      </c>
      <c r="K945" s="15">
        <f>IF(OR(G945="",F945=""),"",(F945*(1-Ayarlar!$B$6)-(F945*(1-Ayarlar!$B$6)*Ayarlar!$B$7+Ayarlar!$B$8)-(G945*Ayarlar!$B$3+Ayarlar!$B$4+Ayarlar!$B$5))/(F945*(1-Ayarlar!$B$6)))</f>
        <v/>
      </c>
      <c r="L945" s="3">
        <f>IF(G945="","GRAM EKSİK",IF(F945&gt;30000,"FİYAT ŞÜPHELİ",IF(K945&lt;0,"ZARARDA",IF(F945&lt;I945,"RİSKLİ","ok"))))</f>
        <v/>
      </c>
      <c r="M945" s="16" t="inlineStr">
        <is>
          <t>https://www.etsy.com/listing/1195581074</t>
        </is>
      </c>
    </row>
    <row r="946">
      <c r="A946" s="9" t="inlineStr">
        <is>
          <t>legacy</t>
        </is>
      </c>
      <c r="B946" s="9" t="inlineStr">
        <is>
          <t>10K Real Yellow Gold Miami Cuban Link Bracelet - Unisex</t>
        </is>
      </c>
      <c r="C946" s="9" t="n">
        <v>1195581074</v>
      </c>
      <c r="D946" s="9" t="inlineStr">
        <is>
          <t>BMC7-7</t>
        </is>
      </c>
      <c r="E946" s="9" t="inlineStr">
        <is>
          <t>description-scaled</t>
        </is>
      </c>
      <c r="F946" s="10" t="n">
        <v>1792</v>
      </c>
      <c r="G946" s="18" t="n">
        <v>13.91</v>
      </c>
      <c r="H946" s="10">
        <f>IF(G946="","",G946*Ayarlar!$B$3+Ayarlar!$B$4+Ayarlar!$B$5)</f>
        <v/>
      </c>
      <c r="I946" s="10">
        <f>IF(G946="","",ROUNDUP(((G946*Ayarlar!$B$3+Ayarlar!$B$4+Ayarlar!$B$5)+Ayarlar!$B$8)/((1-Ayarlar!$B$6)*(1-Ayarlar!$B$7)),0))</f>
        <v/>
      </c>
      <c r="J946" s="10">
        <f>IF(G946="","",ROUNDUP(((G946*Ayarlar!$B$3+Ayarlar!$B$4+Ayarlar!$B$5)+Ayarlar!$B$8)/((1-Ayarlar!$B$6)*(1-Ayarlar!$B$7-Ayarlar!$B$9)),0))</f>
        <v/>
      </c>
      <c r="K946" s="12">
        <f>IF(OR(G946="",F946=""),"",(F946*(1-Ayarlar!$B$6)-(F946*(1-Ayarlar!$B$6)*Ayarlar!$B$7+Ayarlar!$B$8)-(G946*Ayarlar!$B$3+Ayarlar!$B$4+Ayarlar!$B$5))/(F946*(1-Ayarlar!$B$6)))</f>
        <v/>
      </c>
      <c r="L946" s="9">
        <f>IF(G946="","GRAM EKSİK",IF(F946&gt;30000,"FİYAT ŞÜPHELİ",IF(K946&lt;0,"ZARARDA",IF(F946&lt;I946,"RİSKLİ","ok"))))</f>
        <v/>
      </c>
      <c r="M946" s="13" t="inlineStr">
        <is>
          <t>https://www.etsy.com/listing/1195581074</t>
        </is>
      </c>
    </row>
    <row r="947">
      <c r="A947" s="3" t="inlineStr">
        <is>
          <t>legacy</t>
        </is>
      </c>
      <c r="B947" s="3" t="inlineStr">
        <is>
          <t>10K Real Yellow Gold Miami Cuban Link Bracelet - Unisex</t>
        </is>
      </c>
      <c r="C947" s="3" t="n">
        <v>1195581074</v>
      </c>
      <c r="D947" s="3" t="inlineStr">
        <is>
          <t>BMC7-7.5</t>
        </is>
      </c>
      <c r="E947" s="3" t="inlineStr">
        <is>
          <t>—</t>
        </is>
      </c>
      <c r="F947" s="14" t="n">
        <v>1879.1</v>
      </c>
      <c r="G947" s="11" t="n"/>
      <c r="H947" s="14">
        <f>IF(G947="","",G947*Ayarlar!$B$3+Ayarlar!$B$4+Ayarlar!$B$5)</f>
        <v/>
      </c>
      <c r="I947" s="14">
        <f>IF(G947="","",ROUNDUP(((G947*Ayarlar!$B$3+Ayarlar!$B$4+Ayarlar!$B$5)+Ayarlar!$B$8)/((1-Ayarlar!$B$6)*(1-Ayarlar!$B$7)),0))</f>
        <v/>
      </c>
      <c r="J947" s="14">
        <f>IF(G947="","",ROUNDUP(((G947*Ayarlar!$B$3+Ayarlar!$B$4+Ayarlar!$B$5)+Ayarlar!$B$8)/((1-Ayarlar!$B$6)*(1-Ayarlar!$B$7-Ayarlar!$B$9)),0))</f>
        <v/>
      </c>
      <c r="K947" s="15">
        <f>IF(OR(G947="",F947=""),"",(F947*(1-Ayarlar!$B$6)-(F947*(1-Ayarlar!$B$6)*Ayarlar!$B$7+Ayarlar!$B$8)-(G947*Ayarlar!$B$3+Ayarlar!$B$4+Ayarlar!$B$5))/(F947*(1-Ayarlar!$B$6)))</f>
        <v/>
      </c>
      <c r="L947" s="3">
        <f>IF(G947="","GRAM EKSİK",IF(F947&gt;30000,"FİYAT ŞÜPHELİ",IF(K947&lt;0,"ZARARDA",IF(F947&lt;I947,"RİSKLİ","ok"))))</f>
        <v/>
      </c>
      <c r="M947" s="16" t="inlineStr">
        <is>
          <t>https://www.etsy.com/listing/1195581074</t>
        </is>
      </c>
    </row>
    <row r="948">
      <c r="A948" s="9" t="inlineStr">
        <is>
          <t>legacy</t>
        </is>
      </c>
      <c r="B948" s="9" t="inlineStr">
        <is>
          <t>10K Real Yellow Gold Miami Cuban Link Bracelet - Unisex</t>
        </is>
      </c>
      <c r="C948" s="9" t="n">
        <v>1195581074</v>
      </c>
      <c r="D948" s="9" t="inlineStr">
        <is>
          <t>BMC7-8</t>
        </is>
      </c>
      <c r="E948" s="9" t="inlineStr">
        <is>
          <t>description</t>
        </is>
      </c>
      <c r="F948" s="10" t="n">
        <v>2098</v>
      </c>
      <c r="G948" s="18" t="n">
        <v>15.9</v>
      </c>
      <c r="H948" s="10">
        <f>IF(G948="","",G948*Ayarlar!$B$3+Ayarlar!$B$4+Ayarlar!$B$5)</f>
        <v/>
      </c>
      <c r="I948" s="10">
        <f>IF(G948="","",ROUNDUP(((G948*Ayarlar!$B$3+Ayarlar!$B$4+Ayarlar!$B$5)+Ayarlar!$B$8)/((1-Ayarlar!$B$6)*(1-Ayarlar!$B$7)),0))</f>
        <v/>
      </c>
      <c r="J948" s="10">
        <f>IF(G948="","",ROUNDUP(((G948*Ayarlar!$B$3+Ayarlar!$B$4+Ayarlar!$B$5)+Ayarlar!$B$8)/((1-Ayarlar!$B$6)*(1-Ayarlar!$B$7-Ayarlar!$B$9)),0))</f>
        <v/>
      </c>
      <c r="K948" s="12">
        <f>IF(OR(G948="",F948=""),"",(F948*(1-Ayarlar!$B$6)-(F948*(1-Ayarlar!$B$6)*Ayarlar!$B$7+Ayarlar!$B$8)-(G948*Ayarlar!$B$3+Ayarlar!$B$4+Ayarlar!$B$5))/(F948*(1-Ayarlar!$B$6)))</f>
        <v/>
      </c>
      <c r="L948" s="9">
        <f>IF(G948="","GRAM EKSİK",IF(F948&gt;30000,"FİYAT ŞÜPHELİ",IF(K948&lt;0,"ZARARDA",IF(F948&lt;I948,"RİSKLİ","ok"))))</f>
        <v/>
      </c>
      <c r="M948" s="13" t="inlineStr">
        <is>
          <t>https://www.etsy.com/listing/1195581074</t>
        </is>
      </c>
    </row>
    <row r="949">
      <c r="A949" s="3" t="inlineStr">
        <is>
          <t>legacy</t>
        </is>
      </c>
      <c r="B949" s="3" t="inlineStr">
        <is>
          <t>10K Real Yellow Gold Miami Cuban Link Bracelet - Unisex</t>
        </is>
      </c>
      <c r="C949" s="3" t="n">
        <v>1195581074</v>
      </c>
      <c r="D949" s="3" t="inlineStr">
        <is>
          <t>BMC8-7</t>
        </is>
      </c>
      <c r="E949" s="3" t="inlineStr">
        <is>
          <t>description-scaled</t>
        </is>
      </c>
      <c r="F949" s="14" t="n">
        <v>2256</v>
      </c>
      <c r="G949" s="17" t="n">
        <v>18.17</v>
      </c>
      <c r="H949" s="14">
        <f>IF(G949="","",G949*Ayarlar!$B$3+Ayarlar!$B$4+Ayarlar!$B$5)</f>
        <v/>
      </c>
      <c r="I949" s="14">
        <f>IF(G949="","",ROUNDUP(((G949*Ayarlar!$B$3+Ayarlar!$B$4+Ayarlar!$B$5)+Ayarlar!$B$8)/((1-Ayarlar!$B$6)*(1-Ayarlar!$B$7)),0))</f>
        <v/>
      </c>
      <c r="J949" s="14">
        <f>IF(G949="","",ROUNDUP(((G949*Ayarlar!$B$3+Ayarlar!$B$4+Ayarlar!$B$5)+Ayarlar!$B$8)/((1-Ayarlar!$B$6)*(1-Ayarlar!$B$7-Ayarlar!$B$9)),0))</f>
        <v/>
      </c>
      <c r="K949" s="15">
        <f>IF(OR(G949="",F949=""),"",(F949*(1-Ayarlar!$B$6)-(F949*(1-Ayarlar!$B$6)*Ayarlar!$B$7+Ayarlar!$B$8)-(G949*Ayarlar!$B$3+Ayarlar!$B$4+Ayarlar!$B$5))/(F949*(1-Ayarlar!$B$6)))</f>
        <v/>
      </c>
      <c r="L949" s="3">
        <f>IF(G949="","GRAM EKSİK",IF(F949&gt;30000,"FİYAT ŞÜPHELİ",IF(K949&lt;0,"ZARARDA",IF(F949&lt;I949,"RİSKLİ","ok"))))</f>
        <v/>
      </c>
      <c r="M949" s="16" t="inlineStr">
        <is>
          <t>https://www.etsy.com/listing/1195581074</t>
        </is>
      </c>
    </row>
    <row r="950">
      <c r="A950" s="9" t="inlineStr">
        <is>
          <t>legacy</t>
        </is>
      </c>
      <c r="B950" s="9" t="inlineStr">
        <is>
          <t>10K Real Yellow Gold Miami Cuban Link Bracelet - Unisex</t>
        </is>
      </c>
      <c r="C950" s="9" t="n">
        <v>1195581074</v>
      </c>
      <c r="D950" s="9" t="inlineStr">
        <is>
          <t>BMC8-7.5</t>
        </is>
      </c>
      <c r="E950" s="9" t="inlineStr">
        <is>
          <t>description-scaled</t>
        </is>
      </c>
      <c r="F950" s="10" t="n">
        <v>2436</v>
      </c>
      <c r="G950" s="18" t="n">
        <v>19.47</v>
      </c>
      <c r="H950" s="10">
        <f>IF(G950="","",G950*Ayarlar!$B$3+Ayarlar!$B$4+Ayarlar!$B$5)</f>
        <v/>
      </c>
      <c r="I950" s="10">
        <f>IF(G950="","",ROUNDUP(((G950*Ayarlar!$B$3+Ayarlar!$B$4+Ayarlar!$B$5)+Ayarlar!$B$8)/((1-Ayarlar!$B$6)*(1-Ayarlar!$B$7)),0))</f>
        <v/>
      </c>
      <c r="J950" s="10">
        <f>IF(G950="","",ROUNDUP(((G950*Ayarlar!$B$3+Ayarlar!$B$4+Ayarlar!$B$5)+Ayarlar!$B$8)/((1-Ayarlar!$B$6)*(1-Ayarlar!$B$7-Ayarlar!$B$9)),0))</f>
        <v/>
      </c>
      <c r="K950" s="12">
        <f>IF(OR(G950="",F950=""),"",(F950*(1-Ayarlar!$B$6)-(F950*(1-Ayarlar!$B$6)*Ayarlar!$B$7+Ayarlar!$B$8)-(G950*Ayarlar!$B$3+Ayarlar!$B$4+Ayarlar!$B$5))/(F950*(1-Ayarlar!$B$6)))</f>
        <v/>
      </c>
      <c r="L950" s="9">
        <f>IF(G950="","GRAM EKSİK",IF(F950&gt;30000,"FİYAT ŞÜPHELİ",IF(K950&lt;0,"ZARARDA",IF(F950&lt;I950,"RİSKLİ","ok"))))</f>
        <v/>
      </c>
      <c r="M950" s="13" t="inlineStr">
        <is>
          <t>https://www.etsy.com/listing/1195581074</t>
        </is>
      </c>
    </row>
    <row r="951">
      <c r="A951" s="3" t="inlineStr">
        <is>
          <t>legacy</t>
        </is>
      </c>
      <c r="B951" s="3" t="inlineStr">
        <is>
          <t>10K Real Yellow Gold Miami Cuban Link Bracelet - Unisex</t>
        </is>
      </c>
      <c r="C951" s="3" t="n">
        <v>1195581074</v>
      </c>
      <c r="D951" s="3" t="inlineStr">
        <is>
          <t>BMC8-8</t>
        </is>
      </c>
      <c r="E951" s="3" t="inlineStr">
        <is>
          <t>description</t>
        </is>
      </c>
      <c r="F951" s="14" t="n">
        <v>2565</v>
      </c>
      <c r="G951" s="17" t="n">
        <v>20.77</v>
      </c>
      <c r="H951" s="14">
        <f>IF(G951="","",G951*Ayarlar!$B$3+Ayarlar!$B$4+Ayarlar!$B$5)</f>
        <v/>
      </c>
      <c r="I951" s="14">
        <f>IF(G951="","",ROUNDUP(((G951*Ayarlar!$B$3+Ayarlar!$B$4+Ayarlar!$B$5)+Ayarlar!$B$8)/((1-Ayarlar!$B$6)*(1-Ayarlar!$B$7)),0))</f>
        <v/>
      </c>
      <c r="J951" s="14">
        <f>IF(G951="","",ROUNDUP(((G951*Ayarlar!$B$3+Ayarlar!$B$4+Ayarlar!$B$5)+Ayarlar!$B$8)/((1-Ayarlar!$B$6)*(1-Ayarlar!$B$7-Ayarlar!$B$9)),0))</f>
        <v/>
      </c>
      <c r="K951" s="15">
        <f>IF(OR(G951="",F951=""),"",(F951*(1-Ayarlar!$B$6)-(F951*(1-Ayarlar!$B$6)*Ayarlar!$B$7+Ayarlar!$B$8)-(G951*Ayarlar!$B$3+Ayarlar!$B$4+Ayarlar!$B$5))/(F951*(1-Ayarlar!$B$6)))</f>
        <v/>
      </c>
      <c r="L951" s="3">
        <f>IF(G951="","GRAM EKSİK",IF(F951&gt;30000,"FİYAT ŞÜPHELİ",IF(K951&lt;0,"ZARARDA",IF(F951&lt;I951,"RİSKLİ","ok"))))</f>
        <v/>
      </c>
      <c r="M951" s="16" t="inlineStr">
        <is>
          <t>https://www.etsy.com/listing/1195581074</t>
        </is>
      </c>
    </row>
    <row r="952">
      <c r="A952" s="9" t="inlineStr">
        <is>
          <t>legacy</t>
        </is>
      </c>
      <c r="B952" s="9" t="inlineStr">
        <is>
          <t>10K Real Yellow Gold Miami Cuban Link Bracelet - Unisex</t>
        </is>
      </c>
      <c r="C952" s="9" t="n">
        <v>1195581074</v>
      </c>
      <c r="D952" s="9" t="inlineStr">
        <is>
          <t>BMC9-7</t>
        </is>
      </c>
      <c r="E952" s="9" t="inlineStr">
        <is>
          <t>description-scaled</t>
        </is>
      </c>
      <c r="F952" s="10" t="n">
        <v>2659</v>
      </c>
      <c r="G952" s="18" t="n">
        <v>19.69</v>
      </c>
      <c r="H952" s="10">
        <f>IF(G952="","",G952*Ayarlar!$B$3+Ayarlar!$B$4+Ayarlar!$B$5)</f>
        <v/>
      </c>
      <c r="I952" s="10">
        <f>IF(G952="","",ROUNDUP(((G952*Ayarlar!$B$3+Ayarlar!$B$4+Ayarlar!$B$5)+Ayarlar!$B$8)/((1-Ayarlar!$B$6)*(1-Ayarlar!$B$7)),0))</f>
        <v/>
      </c>
      <c r="J952" s="10">
        <f>IF(G952="","",ROUNDUP(((G952*Ayarlar!$B$3+Ayarlar!$B$4+Ayarlar!$B$5)+Ayarlar!$B$8)/((1-Ayarlar!$B$6)*(1-Ayarlar!$B$7-Ayarlar!$B$9)),0))</f>
        <v/>
      </c>
      <c r="K952" s="12">
        <f>IF(OR(G952="",F952=""),"",(F952*(1-Ayarlar!$B$6)-(F952*(1-Ayarlar!$B$6)*Ayarlar!$B$7+Ayarlar!$B$8)-(G952*Ayarlar!$B$3+Ayarlar!$B$4+Ayarlar!$B$5))/(F952*(1-Ayarlar!$B$6)))</f>
        <v/>
      </c>
      <c r="L952" s="9">
        <f>IF(G952="","GRAM EKSİK",IF(F952&gt;30000,"FİYAT ŞÜPHELİ",IF(K952&lt;0,"ZARARDA",IF(F952&lt;I952,"RİSKLİ","ok"))))</f>
        <v/>
      </c>
      <c r="M952" s="13" t="inlineStr">
        <is>
          <t>https://www.etsy.com/listing/1195581074</t>
        </is>
      </c>
    </row>
    <row r="953">
      <c r="A953" s="3" t="inlineStr">
        <is>
          <t>legacy</t>
        </is>
      </c>
      <c r="B953" s="3" t="inlineStr">
        <is>
          <t>10K Real Yellow Gold Miami Cuban Link Bracelet - Unisex</t>
        </is>
      </c>
      <c r="C953" s="3" t="n">
        <v>1195581074</v>
      </c>
      <c r="D953" s="3" t="inlineStr">
        <is>
          <t>BMC9-7.5</t>
        </is>
      </c>
      <c r="E953" s="3" t="inlineStr">
        <is>
          <t>description-scaled</t>
        </is>
      </c>
      <c r="F953" s="14" t="n">
        <v>2789</v>
      </c>
      <c r="G953" s="17" t="n">
        <v>21.09</v>
      </c>
      <c r="H953" s="14">
        <f>IF(G953="","",G953*Ayarlar!$B$3+Ayarlar!$B$4+Ayarlar!$B$5)</f>
        <v/>
      </c>
      <c r="I953" s="14">
        <f>IF(G953="","",ROUNDUP(((G953*Ayarlar!$B$3+Ayarlar!$B$4+Ayarlar!$B$5)+Ayarlar!$B$8)/((1-Ayarlar!$B$6)*(1-Ayarlar!$B$7)),0))</f>
        <v/>
      </c>
      <c r="J953" s="14">
        <f>IF(G953="","",ROUNDUP(((G953*Ayarlar!$B$3+Ayarlar!$B$4+Ayarlar!$B$5)+Ayarlar!$B$8)/((1-Ayarlar!$B$6)*(1-Ayarlar!$B$7-Ayarlar!$B$9)),0))</f>
        <v/>
      </c>
      <c r="K953" s="15">
        <f>IF(OR(G953="",F953=""),"",(F953*(1-Ayarlar!$B$6)-(F953*(1-Ayarlar!$B$6)*Ayarlar!$B$7+Ayarlar!$B$8)-(G953*Ayarlar!$B$3+Ayarlar!$B$4+Ayarlar!$B$5))/(F953*(1-Ayarlar!$B$6)))</f>
        <v/>
      </c>
      <c r="L953" s="3">
        <f>IF(G953="","GRAM EKSİK",IF(F953&gt;30000,"FİYAT ŞÜPHELİ",IF(K953&lt;0,"ZARARDA",IF(F953&lt;I953,"RİSKLİ","ok"))))</f>
        <v/>
      </c>
      <c r="M953" s="16" t="inlineStr">
        <is>
          <t>https://www.etsy.com/listing/1195581074</t>
        </is>
      </c>
    </row>
    <row r="954">
      <c r="A954" s="9" t="inlineStr">
        <is>
          <t>legacy</t>
        </is>
      </c>
      <c r="B954" s="9" t="inlineStr">
        <is>
          <t>10K Real Yellow Gold Miami Cuban Link Bracelet - Unisex</t>
        </is>
      </c>
      <c r="C954" s="9" t="n">
        <v>1195581074</v>
      </c>
      <c r="D954" s="9" t="inlineStr">
        <is>
          <t>BMC9-8</t>
        </is>
      </c>
      <c r="E954" s="9" t="inlineStr">
        <is>
          <t>description</t>
        </is>
      </c>
      <c r="F954" s="10" t="n">
        <v>2918</v>
      </c>
      <c r="G954" s="18" t="n">
        <v>22.5</v>
      </c>
      <c r="H954" s="10">
        <f>IF(G954="","",G954*Ayarlar!$B$3+Ayarlar!$B$4+Ayarlar!$B$5)</f>
        <v/>
      </c>
      <c r="I954" s="10">
        <f>IF(G954="","",ROUNDUP(((G954*Ayarlar!$B$3+Ayarlar!$B$4+Ayarlar!$B$5)+Ayarlar!$B$8)/((1-Ayarlar!$B$6)*(1-Ayarlar!$B$7)),0))</f>
        <v/>
      </c>
      <c r="J954" s="10">
        <f>IF(G954="","",ROUNDUP(((G954*Ayarlar!$B$3+Ayarlar!$B$4+Ayarlar!$B$5)+Ayarlar!$B$8)/((1-Ayarlar!$B$6)*(1-Ayarlar!$B$7-Ayarlar!$B$9)),0))</f>
        <v/>
      </c>
      <c r="K954" s="12">
        <f>IF(OR(G954="",F954=""),"",(F954*(1-Ayarlar!$B$6)-(F954*(1-Ayarlar!$B$6)*Ayarlar!$B$7+Ayarlar!$B$8)-(G954*Ayarlar!$B$3+Ayarlar!$B$4+Ayarlar!$B$5))/(F954*(1-Ayarlar!$B$6)))</f>
        <v/>
      </c>
      <c r="L954" s="9">
        <f>IF(G954="","GRAM EKSİK",IF(F954&gt;30000,"FİYAT ŞÜPHELİ",IF(K954&lt;0,"ZARARDA",IF(F954&lt;I954,"RİSKLİ","ok"))))</f>
        <v/>
      </c>
      <c r="M954" s="13" t="inlineStr">
        <is>
          <t>https://www.etsy.com/listing/1195581074</t>
        </is>
      </c>
    </row>
    <row r="955">
      <c r="A955" s="3" t="inlineStr">
        <is>
          <t>legacy</t>
        </is>
      </c>
      <c r="B955" s="3" t="inlineStr">
        <is>
          <t>10K Solid Gold Mariner Link Bracelet / Unisex Flat Anchor Ch</t>
        </is>
      </c>
      <c r="C955" s="3" t="n">
        <v>1355524756</v>
      </c>
      <c r="D955" s="3" t="inlineStr">
        <is>
          <t>BMAR1-7</t>
        </is>
      </c>
      <c r="E955" s="3" t="inlineStr">
        <is>
          <t>description</t>
        </is>
      </c>
      <c r="F955" s="14" t="n">
        <v>193</v>
      </c>
      <c r="G955" s="17" t="n">
        <v>1.53</v>
      </c>
      <c r="H955" s="14">
        <f>IF(G955="","",G955*Ayarlar!$B$3+Ayarlar!$B$4+Ayarlar!$B$5)</f>
        <v/>
      </c>
      <c r="I955" s="14">
        <f>IF(G955="","",ROUNDUP(((G955*Ayarlar!$B$3+Ayarlar!$B$4+Ayarlar!$B$5)+Ayarlar!$B$8)/((1-Ayarlar!$B$6)*(1-Ayarlar!$B$7)),0))</f>
        <v/>
      </c>
      <c r="J955" s="14">
        <f>IF(G955="","",ROUNDUP(((G955*Ayarlar!$B$3+Ayarlar!$B$4+Ayarlar!$B$5)+Ayarlar!$B$8)/((1-Ayarlar!$B$6)*(1-Ayarlar!$B$7-Ayarlar!$B$9)),0))</f>
        <v/>
      </c>
      <c r="K955" s="15">
        <f>IF(OR(G955="",F955=""),"",(F955*(1-Ayarlar!$B$6)-(F955*(1-Ayarlar!$B$6)*Ayarlar!$B$7+Ayarlar!$B$8)-(G955*Ayarlar!$B$3+Ayarlar!$B$4+Ayarlar!$B$5))/(F955*(1-Ayarlar!$B$6)))</f>
        <v/>
      </c>
      <c r="L955" s="3">
        <f>IF(G955="","GRAM EKSİK",IF(F955&gt;30000,"FİYAT ŞÜPHELİ",IF(K955&lt;0,"ZARARDA",IF(F955&lt;I955,"RİSKLİ","ok"))))</f>
        <v/>
      </c>
      <c r="M955" s="16" t="inlineStr">
        <is>
          <t>https://www.etsy.com/listing/1355524756</t>
        </is>
      </c>
    </row>
    <row r="956">
      <c r="A956" s="9" t="inlineStr">
        <is>
          <t>legacy</t>
        </is>
      </c>
      <c r="B956" s="9" t="inlineStr">
        <is>
          <t>10K Solid Gold Mariner Link Bracelet / Unisex Flat Anchor Ch</t>
        </is>
      </c>
      <c r="C956" s="9" t="n">
        <v>1355524756</v>
      </c>
      <c r="D956" s="9" t="inlineStr">
        <is>
          <t>BMAR1-8</t>
        </is>
      </c>
      <c r="E956" s="9" t="inlineStr">
        <is>
          <t>description</t>
        </is>
      </c>
      <c r="F956" s="10" t="n">
        <v>214</v>
      </c>
      <c r="G956" s="18" t="n">
        <v>1.75</v>
      </c>
      <c r="H956" s="10">
        <f>IF(G956="","",G956*Ayarlar!$B$3+Ayarlar!$B$4+Ayarlar!$B$5)</f>
        <v/>
      </c>
      <c r="I956" s="10">
        <f>IF(G956="","",ROUNDUP(((G956*Ayarlar!$B$3+Ayarlar!$B$4+Ayarlar!$B$5)+Ayarlar!$B$8)/((1-Ayarlar!$B$6)*(1-Ayarlar!$B$7)),0))</f>
        <v/>
      </c>
      <c r="J956" s="10">
        <f>IF(G956="","",ROUNDUP(((G956*Ayarlar!$B$3+Ayarlar!$B$4+Ayarlar!$B$5)+Ayarlar!$B$8)/((1-Ayarlar!$B$6)*(1-Ayarlar!$B$7-Ayarlar!$B$9)),0))</f>
        <v/>
      </c>
      <c r="K956" s="12">
        <f>IF(OR(G956="",F956=""),"",(F956*(1-Ayarlar!$B$6)-(F956*(1-Ayarlar!$B$6)*Ayarlar!$B$7+Ayarlar!$B$8)-(G956*Ayarlar!$B$3+Ayarlar!$B$4+Ayarlar!$B$5))/(F956*(1-Ayarlar!$B$6)))</f>
        <v/>
      </c>
      <c r="L956" s="9">
        <f>IF(G956="","GRAM EKSİK",IF(F956&gt;30000,"FİYAT ŞÜPHELİ",IF(K956&lt;0,"ZARARDA",IF(F956&lt;I956,"RİSKLİ","ok"))))</f>
        <v/>
      </c>
      <c r="M956" s="13" t="inlineStr">
        <is>
          <t>https://www.etsy.com/listing/1355524756</t>
        </is>
      </c>
    </row>
    <row r="957">
      <c r="A957" s="3" t="inlineStr">
        <is>
          <t>legacy</t>
        </is>
      </c>
      <c r="B957" s="3" t="inlineStr">
        <is>
          <t>10K Solid Gold Mariner Link Bracelet / Unisex Flat Anchor Ch</t>
        </is>
      </c>
      <c r="C957" s="3" t="n">
        <v>1355524756</v>
      </c>
      <c r="D957" s="3" t="inlineStr">
        <is>
          <t>BMAR2-7</t>
        </is>
      </c>
      <c r="E957" s="3" t="inlineStr">
        <is>
          <t>description</t>
        </is>
      </c>
      <c r="F957" s="14" t="n">
        <v>429</v>
      </c>
      <c r="G957" s="17" t="n">
        <v>3.68</v>
      </c>
      <c r="H957" s="14">
        <f>IF(G957="","",G957*Ayarlar!$B$3+Ayarlar!$B$4+Ayarlar!$B$5)</f>
        <v/>
      </c>
      <c r="I957" s="14">
        <f>IF(G957="","",ROUNDUP(((G957*Ayarlar!$B$3+Ayarlar!$B$4+Ayarlar!$B$5)+Ayarlar!$B$8)/((1-Ayarlar!$B$6)*(1-Ayarlar!$B$7)),0))</f>
        <v/>
      </c>
      <c r="J957" s="14">
        <f>IF(G957="","",ROUNDUP(((G957*Ayarlar!$B$3+Ayarlar!$B$4+Ayarlar!$B$5)+Ayarlar!$B$8)/((1-Ayarlar!$B$6)*(1-Ayarlar!$B$7-Ayarlar!$B$9)),0))</f>
        <v/>
      </c>
      <c r="K957" s="15">
        <f>IF(OR(G957="",F957=""),"",(F957*(1-Ayarlar!$B$6)-(F957*(1-Ayarlar!$B$6)*Ayarlar!$B$7+Ayarlar!$B$8)-(G957*Ayarlar!$B$3+Ayarlar!$B$4+Ayarlar!$B$5))/(F957*(1-Ayarlar!$B$6)))</f>
        <v/>
      </c>
      <c r="L957" s="3">
        <f>IF(G957="","GRAM EKSİK",IF(F957&gt;30000,"FİYAT ŞÜPHELİ",IF(K957&lt;0,"ZARARDA",IF(F957&lt;I957,"RİSKLİ","ok"))))</f>
        <v/>
      </c>
      <c r="M957" s="16" t="inlineStr">
        <is>
          <t>https://www.etsy.com/listing/1355524756</t>
        </is>
      </c>
    </row>
    <row r="958">
      <c r="A958" s="9" t="inlineStr">
        <is>
          <t>legacy</t>
        </is>
      </c>
      <c r="B958" s="9" t="inlineStr">
        <is>
          <t>10K Solid Gold Mariner Link Bracelet / Unisex Flat Anchor Ch</t>
        </is>
      </c>
      <c r="C958" s="9" t="n">
        <v>1355524756</v>
      </c>
      <c r="D958" s="9" t="inlineStr">
        <is>
          <t>BMAR2-8</t>
        </is>
      </c>
      <c r="E958" s="9" t="inlineStr">
        <is>
          <t>description</t>
        </is>
      </c>
      <c r="F958" s="10" t="n">
        <v>483</v>
      </c>
      <c r="G958" s="18" t="n">
        <v>4.2</v>
      </c>
      <c r="H958" s="10">
        <f>IF(G958="","",G958*Ayarlar!$B$3+Ayarlar!$B$4+Ayarlar!$B$5)</f>
        <v/>
      </c>
      <c r="I958" s="10">
        <f>IF(G958="","",ROUNDUP(((G958*Ayarlar!$B$3+Ayarlar!$B$4+Ayarlar!$B$5)+Ayarlar!$B$8)/((1-Ayarlar!$B$6)*(1-Ayarlar!$B$7)),0))</f>
        <v/>
      </c>
      <c r="J958" s="10">
        <f>IF(G958="","",ROUNDUP(((G958*Ayarlar!$B$3+Ayarlar!$B$4+Ayarlar!$B$5)+Ayarlar!$B$8)/((1-Ayarlar!$B$6)*(1-Ayarlar!$B$7-Ayarlar!$B$9)),0))</f>
        <v/>
      </c>
      <c r="K958" s="12">
        <f>IF(OR(G958="",F958=""),"",(F958*(1-Ayarlar!$B$6)-(F958*(1-Ayarlar!$B$6)*Ayarlar!$B$7+Ayarlar!$B$8)-(G958*Ayarlar!$B$3+Ayarlar!$B$4+Ayarlar!$B$5))/(F958*(1-Ayarlar!$B$6)))</f>
        <v/>
      </c>
      <c r="L958" s="9">
        <f>IF(G958="","GRAM EKSİK",IF(F958&gt;30000,"FİYAT ŞÜPHELİ",IF(K958&lt;0,"ZARARDA",IF(F958&lt;I958,"RİSKLİ","ok"))))</f>
        <v/>
      </c>
      <c r="M958" s="13" t="inlineStr">
        <is>
          <t>https://www.etsy.com/listing/1355524756</t>
        </is>
      </c>
    </row>
    <row r="959">
      <c r="A959" s="3" t="inlineStr">
        <is>
          <t>legacy</t>
        </is>
      </c>
      <c r="B959" s="3" t="inlineStr">
        <is>
          <t>10K Solid Gold Mariner Link Bracelet / Unisex Flat Anchor Ch</t>
        </is>
      </c>
      <c r="C959" s="3" t="n">
        <v>1355524756</v>
      </c>
      <c r="D959" s="3" t="inlineStr">
        <is>
          <t>BMAR3-7</t>
        </is>
      </c>
      <c r="E959" s="3" t="inlineStr">
        <is>
          <t>description</t>
        </is>
      </c>
      <c r="F959" s="14" t="n">
        <v>579</v>
      </c>
      <c r="G959" s="17" t="n">
        <v>4.9</v>
      </c>
      <c r="H959" s="14">
        <f>IF(G959="","",G959*Ayarlar!$B$3+Ayarlar!$B$4+Ayarlar!$B$5)</f>
        <v/>
      </c>
      <c r="I959" s="14">
        <f>IF(G959="","",ROUNDUP(((G959*Ayarlar!$B$3+Ayarlar!$B$4+Ayarlar!$B$5)+Ayarlar!$B$8)/((1-Ayarlar!$B$6)*(1-Ayarlar!$B$7)),0))</f>
        <v/>
      </c>
      <c r="J959" s="14">
        <f>IF(G959="","",ROUNDUP(((G959*Ayarlar!$B$3+Ayarlar!$B$4+Ayarlar!$B$5)+Ayarlar!$B$8)/((1-Ayarlar!$B$6)*(1-Ayarlar!$B$7-Ayarlar!$B$9)),0))</f>
        <v/>
      </c>
      <c r="K959" s="15">
        <f>IF(OR(G959="",F959=""),"",(F959*(1-Ayarlar!$B$6)-(F959*(1-Ayarlar!$B$6)*Ayarlar!$B$7+Ayarlar!$B$8)-(G959*Ayarlar!$B$3+Ayarlar!$B$4+Ayarlar!$B$5))/(F959*(1-Ayarlar!$B$6)))</f>
        <v/>
      </c>
      <c r="L959" s="3">
        <f>IF(G959="","GRAM EKSİK",IF(F959&gt;30000,"FİYAT ŞÜPHELİ",IF(K959&lt;0,"ZARARDA",IF(F959&lt;I959,"RİSKLİ","ok"))))</f>
        <v/>
      </c>
      <c r="M959" s="16" t="inlineStr">
        <is>
          <t>https://www.etsy.com/listing/1355524756</t>
        </is>
      </c>
    </row>
    <row r="960">
      <c r="A960" s="9" t="inlineStr">
        <is>
          <t>legacy</t>
        </is>
      </c>
      <c r="B960" s="9" t="inlineStr">
        <is>
          <t>10K Solid Gold Mariner Link Bracelet / Unisex Flat Anchor Ch</t>
        </is>
      </c>
      <c r="C960" s="9" t="n">
        <v>1355524756</v>
      </c>
      <c r="D960" s="9" t="inlineStr">
        <is>
          <t>BMAR3-8</t>
        </is>
      </c>
      <c r="E960" s="9" t="inlineStr">
        <is>
          <t>description</t>
        </is>
      </c>
      <c r="F960" s="10" t="n">
        <v>645</v>
      </c>
      <c r="G960" s="18" t="n">
        <v>5.6</v>
      </c>
      <c r="H960" s="10">
        <f>IF(G960="","",G960*Ayarlar!$B$3+Ayarlar!$B$4+Ayarlar!$B$5)</f>
        <v/>
      </c>
      <c r="I960" s="10">
        <f>IF(G960="","",ROUNDUP(((G960*Ayarlar!$B$3+Ayarlar!$B$4+Ayarlar!$B$5)+Ayarlar!$B$8)/((1-Ayarlar!$B$6)*(1-Ayarlar!$B$7)),0))</f>
        <v/>
      </c>
      <c r="J960" s="10">
        <f>IF(G960="","",ROUNDUP(((G960*Ayarlar!$B$3+Ayarlar!$B$4+Ayarlar!$B$5)+Ayarlar!$B$8)/((1-Ayarlar!$B$6)*(1-Ayarlar!$B$7-Ayarlar!$B$9)),0))</f>
        <v/>
      </c>
      <c r="K960" s="12">
        <f>IF(OR(G960="",F960=""),"",(F960*(1-Ayarlar!$B$6)-(F960*(1-Ayarlar!$B$6)*Ayarlar!$B$7+Ayarlar!$B$8)-(G960*Ayarlar!$B$3+Ayarlar!$B$4+Ayarlar!$B$5))/(F960*(1-Ayarlar!$B$6)))</f>
        <v/>
      </c>
      <c r="L960" s="9">
        <f>IF(G960="","GRAM EKSİK",IF(F960&gt;30000,"FİYAT ŞÜPHELİ",IF(K960&lt;0,"ZARARDA",IF(F960&lt;I960,"RİSKLİ","ok"))))</f>
        <v/>
      </c>
      <c r="M960" s="13" t="inlineStr">
        <is>
          <t>https://www.etsy.com/listing/1355524756</t>
        </is>
      </c>
    </row>
    <row r="961">
      <c r="A961" s="3" t="inlineStr">
        <is>
          <t>legacy</t>
        </is>
      </c>
      <c r="B961" s="3" t="inlineStr">
        <is>
          <t>10K Solid Gold Mariner Link Bracelet / Unisex Flat Anchor Ch</t>
        </is>
      </c>
      <c r="C961" s="3" t="n">
        <v>1355524756</v>
      </c>
      <c r="D961" s="3" t="inlineStr">
        <is>
          <t>BMAR4-7</t>
        </is>
      </c>
      <c r="E961" s="3" t="inlineStr">
        <is>
          <t>description</t>
        </is>
      </c>
      <c r="F961" s="14" t="n">
        <v>1340</v>
      </c>
      <c r="G961" s="17" t="n">
        <v>11.38</v>
      </c>
      <c r="H961" s="14">
        <f>IF(G961="","",G961*Ayarlar!$B$3+Ayarlar!$B$4+Ayarlar!$B$5)</f>
        <v/>
      </c>
      <c r="I961" s="14">
        <f>IF(G961="","",ROUNDUP(((G961*Ayarlar!$B$3+Ayarlar!$B$4+Ayarlar!$B$5)+Ayarlar!$B$8)/((1-Ayarlar!$B$6)*(1-Ayarlar!$B$7)),0))</f>
        <v/>
      </c>
      <c r="J961" s="14">
        <f>IF(G961="","",ROUNDUP(((G961*Ayarlar!$B$3+Ayarlar!$B$4+Ayarlar!$B$5)+Ayarlar!$B$8)/((1-Ayarlar!$B$6)*(1-Ayarlar!$B$7-Ayarlar!$B$9)),0))</f>
        <v/>
      </c>
      <c r="K961" s="15">
        <f>IF(OR(G961="",F961=""),"",(F961*(1-Ayarlar!$B$6)-(F961*(1-Ayarlar!$B$6)*Ayarlar!$B$7+Ayarlar!$B$8)-(G961*Ayarlar!$B$3+Ayarlar!$B$4+Ayarlar!$B$5))/(F961*(1-Ayarlar!$B$6)))</f>
        <v/>
      </c>
      <c r="L961" s="3">
        <f>IF(G961="","GRAM EKSİK",IF(F961&gt;30000,"FİYAT ŞÜPHELİ",IF(K961&lt;0,"ZARARDA",IF(F961&lt;I961,"RİSKLİ","ok"))))</f>
        <v/>
      </c>
      <c r="M961" s="16" t="inlineStr">
        <is>
          <t>https://www.etsy.com/listing/1355524756</t>
        </is>
      </c>
    </row>
    <row r="962">
      <c r="A962" s="9" t="inlineStr">
        <is>
          <t>legacy</t>
        </is>
      </c>
      <c r="B962" s="9" t="inlineStr">
        <is>
          <t>10K Solid Gold Mariner Link Bracelet / Unisex Flat Anchor Ch</t>
        </is>
      </c>
      <c r="C962" s="9" t="n">
        <v>1355524756</v>
      </c>
      <c r="D962" s="9" t="inlineStr">
        <is>
          <t>BMAR4-8</t>
        </is>
      </c>
      <c r="E962" s="9" t="inlineStr">
        <is>
          <t>description</t>
        </is>
      </c>
      <c r="F962" s="10" t="n">
        <v>1451</v>
      </c>
      <c r="G962" s="18" t="n">
        <v>13</v>
      </c>
      <c r="H962" s="10">
        <f>IF(G962="","",G962*Ayarlar!$B$3+Ayarlar!$B$4+Ayarlar!$B$5)</f>
        <v/>
      </c>
      <c r="I962" s="10">
        <f>IF(G962="","",ROUNDUP(((G962*Ayarlar!$B$3+Ayarlar!$B$4+Ayarlar!$B$5)+Ayarlar!$B$8)/((1-Ayarlar!$B$6)*(1-Ayarlar!$B$7)),0))</f>
        <v/>
      </c>
      <c r="J962" s="10">
        <f>IF(G962="","",ROUNDUP(((G962*Ayarlar!$B$3+Ayarlar!$B$4+Ayarlar!$B$5)+Ayarlar!$B$8)/((1-Ayarlar!$B$6)*(1-Ayarlar!$B$7-Ayarlar!$B$9)),0))</f>
        <v/>
      </c>
      <c r="K962" s="12">
        <f>IF(OR(G962="",F962=""),"",(F962*(1-Ayarlar!$B$6)-(F962*(1-Ayarlar!$B$6)*Ayarlar!$B$7+Ayarlar!$B$8)-(G962*Ayarlar!$B$3+Ayarlar!$B$4+Ayarlar!$B$5))/(F962*(1-Ayarlar!$B$6)))</f>
        <v/>
      </c>
      <c r="L962" s="9">
        <f>IF(G962="","GRAM EKSİK",IF(F962&gt;30000,"FİYAT ŞÜPHELİ",IF(K962&lt;0,"ZARARDA",IF(F962&lt;I962,"RİSKLİ","ok"))))</f>
        <v/>
      </c>
      <c r="M962" s="13" t="inlineStr">
        <is>
          <t>https://www.etsy.com/listing/1355524756</t>
        </is>
      </c>
    </row>
    <row r="963">
      <c r="A963" s="3" t="inlineStr">
        <is>
          <t>legacy</t>
        </is>
      </c>
      <c r="B963" s="3" t="inlineStr">
        <is>
          <t>14K Franco Chain Necklace, Authentic Yellow Gold Jewelry</t>
        </is>
      </c>
      <c r="C963" s="3" t="n">
        <v>1905857313</v>
      </c>
      <c r="D963" s="3" t="inlineStr">
        <is>
          <t>CFR1F-16</t>
        </is>
      </c>
      <c r="E963" s="3" t="inlineStr">
        <is>
          <t>description-scaled</t>
        </is>
      </c>
      <c r="F963" s="14" t="n">
        <v>506</v>
      </c>
      <c r="G963" s="17" t="n">
        <v>2.91</v>
      </c>
      <c r="H963" s="14">
        <f>IF(G963="","",G963*Ayarlar!$B$3+Ayarlar!$B$4+Ayarlar!$B$5)</f>
        <v/>
      </c>
      <c r="I963" s="14">
        <f>IF(G963="","",ROUNDUP(((G963*Ayarlar!$B$3+Ayarlar!$B$4+Ayarlar!$B$5)+Ayarlar!$B$8)/((1-Ayarlar!$B$6)*(1-Ayarlar!$B$7)),0))</f>
        <v/>
      </c>
      <c r="J963" s="14">
        <f>IF(G963="","",ROUNDUP(((G963*Ayarlar!$B$3+Ayarlar!$B$4+Ayarlar!$B$5)+Ayarlar!$B$8)/((1-Ayarlar!$B$6)*(1-Ayarlar!$B$7-Ayarlar!$B$9)),0))</f>
        <v/>
      </c>
      <c r="K963" s="15">
        <f>IF(OR(G963="",F963=""),"",(F963*(1-Ayarlar!$B$6)-(F963*(1-Ayarlar!$B$6)*Ayarlar!$B$7+Ayarlar!$B$8)-(G963*Ayarlar!$B$3+Ayarlar!$B$4+Ayarlar!$B$5))/(F963*(1-Ayarlar!$B$6)))</f>
        <v/>
      </c>
      <c r="L963" s="3">
        <f>IF(G963="","GRAM EKSİK",IF(F963&gt;30000,"FİYAT ŞÜPHELİ",IF(K963&lt;0,"ZARARDA",IF(F963&lt;I963,"RİSKLİ","ok"))))</f>
        <v/>
      </c>
      <c r="M963" s="16" t="inlineStr">
        <is>
          <t>https://www.etsy.com/listing/1905857313</t>
        </is>
      </c>
    </row>
    <row r="964">
      <c r="A964" s="9" t="inlineStr">
        <is>
          <t>legacy</t>
        </is>
      </c>
      <c r="B964" s="9" t="inlineStr">
        <is>
          <t>14K Franco Chain Necklace, Authentic Yellow Gold Jewelry</t>
        </is>
      </c>
      <c r="C964" s="9" t="n">
        <v>1905857313</v>
      </c>
      <c r="D964" s="9" t="inlineStr">
        <is>
          <t>CFR1F-18</t>
        </is>
      </c>
      <c r="E964" s="9" t="inlineStr">
        <is>
          <t>description-scaled</t>
        </is>
      </c>
      <c r="F964" s="10" t="n">
        <v>601</v>
      </c>
      <c r="G964" s="18" t="n">
        <v>3.28</v>
      </c>
      <c r="H964" s="10">
        <f>IF(G964="","",G964*Ayarlar!$B$3+Ayarlar!$B$4+Ayarlar!$B$5)</f>
        <v/>
      </c>
      <c r="I964" s="10">
        <f>IF(G964="","",ROUNDUP(((G964*Ayarlar!$B$3+Ayarlar!$B$4+Ayarlar!$B$5)+Ayarlar!$B$8)/((1-Ayarlar!$B$6)*(1-Ayarlar!$B$7)),0))</f>
        <v/>
      </c>
      <c r="J964" s="10">
        <f>IF(G964="","",ROUNDUP(((G964*Ayarlar!$B$3+Ayarlar!$B$4+Ayarlar!$B$5)+Ayarlar!$B$8)/((1-Ayarlar!$B$6)*(1-Ayarlar!$B$7-Ayarlar!$B$9)),0))</f>
        <v/>
      </c>
      <c r="K964" s="12">
        <f>IF(OR(G964="",F964=""),"",(F964*(1-Ayarlar!$B$6)-(F964*(1-Ayarlar!$B$6)*Ayarlar!$B$7+Ayarlar!$B$8)-(G964*Ayarlar!$B$3+Ayarlar!$B$4+Ayarlar!$B$5))/(F964*(1-Ayarlar!$B$6)))</f>
        <v/>
      </c>
      <c r="L964" s="9">
        <f>IF(G964="","GRAM EKSİK",IF(F964&gt;30000,"FİYAT ŞÜPHELİ",IF(K964&lt;0,"ZARARDA",IF(F964&lt;I964,"RİSKLİ","ok"))))</f>
        <v/>
      </c>
      <c r="M964" s="13" t="inlineStr">
        <is>
          <t>https://www.etsy.com/listing/1905857313</t>
        </is>
      </c>
    </row>
    <row r="965">
      <c r="A965" s="3" t="inlineStr">
        <is>
          <t>legacy</t>
        </is>
      </c>
      <c r="B965" s="3" t="inlineStr">
        <is>
          <t>14K Franco Chain Necklace, Authentic Yellow Gold Jewelry</t>
        </is>
      </c>
      <c r="C965" s="3" t="n">
        <v>1905857313</v>
      </c>
      <c r="D965" s="3" t="inlineStr">
        <is>
          <t>CFR1F-20</t>
        </is>
      </c>
      <c r="E965" s="3" t="inlineStr">
        <is>
          <t>description</t>
        </is>
      </c>
      <c r="F965" s="14" t="n">
        <v>661</v>
      </c>
      <c r="G965" s="17" t="n">
        <v>3.64</v>
      </c>
      <c r="H965" s="14">
        <f>IF(G965="","",G965*Ayarlar!$B$3+Ayarlar!$B$4+Ayarlar!$B$5)</f>
        <v/>
      </c>
      <c r="I965" s="14">
        <f>IF(G965="","",ROUNDUP(((G965*Ayarlar!$B$3+Ayarlar!$B$4+Ayarlar!$B$5)+Ayarlar!$B$8)/((1-Ayarlar!$B$6)*(1-Ayarlar!$B$7)),0))</f>
        <v/>
      </c>
      <c r="J965" s="14">
        <f>IF(G965="","",ROUNDUP(((G965*Ayarlar!$B$3+Ayarlar!$B$4+Ayarlar!$B$5)+Ayarlar!$B$8)/((1-Ayarlar!$B$6)*(1-Ayarlar!$B$7-Ayarlar!$B$9)),0))</f>
        <v/>
      </c>
      <c r="K965" s="15">
        <f>IF(OR(G965="",F965=""),"",(F965*(1-Ayarlar!$B$6)-(F965*(1-Ayarlar!$B$6)*Ayarlar!$B$7+Ayarlar!$B$8)-(G965*Ayarlar!$B$3+Ayarlar!$B$4+Ayarlar!$B$5))/(F965*(1-Ayarlar!$B$6)))</f>
        <v/>
      </c>
      <c r="L965" s="3">
        <f>IF(G965="","GRAM EKSİK",IF(F965&gt;30000,"FİYAT ŞÜPHELİ",IF(K965&lt;0,"ZARARDA",IF(F965&lt;I965,"RİSKLİ","ok"))))</f>
        <v/>
      </c>
      <c r="M965" s="16" t="inlineStr">
        <is>
          <t>https://www.etsy.com/listing/1905857313</t>
        </is>
      </c>
    </row>
    <row r="966">
      <c r="A966" s="9" t="inlineStr">
        <is>
          <t>legacy</t>
        </is>
      </c>
      <c r="B966" s="9" t="inlineStr">
        <is>
          <t>14K Franco Chain Necklace, Authentic Yellow Gold Jewelry</t>
        </is>
      </c>
      <c r="C966" s="9" t="n">
        <v>1905857313</v>
      </c>
      <c r="D966" s="9" t="inlineStr">
        <is>
          <t>CFR1F-22</t>
        </is>
      </c>
      <c r="E966" s="9" t="inlineStr">
        <is>
          <t>shipstation</t>
        </is>
      </c>
      <c r="F966" s="10" t="n">
        <v>722</v>
      </c>
      <c r="G966" s="18" t="n">
        <v>4.03</v>
      </c>
      <c r="H966" s="10">
        <f>IF(G966="","",G966*Ayarlar!$B$3+Ayarlar!$B$4+Ayarlar!$B$5)</f>
        <v/>
      </c>
      <c r="I966" s="10">
        <f>IF(G966="","",ROUNDUP(((G966*Ayarlar!$B$3+Ayarlar!$B$4+Ayarlar!$B$5)+Ayarlar!$B$8)/((1-Ayarlar!$B$6)*(1-Ayarlar!$B$7)),0))</f>
        <v/>
      </c>
      <c r="J966" s="10">
        <f>IF(G966="","",ROUNDUP(((G966*Ayarlar!$B$3+Ayarlar!$B$4+Ayarlar!$B$5)+Ayarlar!$B$8)/((1-Ayarlar!$B$6)*(1-Ayarlar!$B$7-Ayarlar!$B$9)),0))</f>
        <v/>
      </c>
      <c r="K966" s="12">
        <f>IF(OR(G966="",F966=""),"",(F966*(1-Ayarlar!$B$6)-(F966*(1-Ayarlar!$B$6)*Ayarlar!$B$7+Ayarlar!$B$8)-(G966*Ayarlar!$B$3+Ayarlar!$B$4+Ayarlar!$B$5))/(F966*(1-Ayarlar!$B$6)))</f>
        <v/>
      </c>
      <c r="L966" s="9">
        <f>IF(G966="","GRAM EKSİK",IF(F966&gt;30000,"FİYAT ŞÜPHELİ",IF(K966&lt;0,"ZARARDA",IF(F966&lt;I966,"RİSKLİ","ok"))))</f>
        <v/>
      </c>
      <c r="M966" s="13" t="inlineStr">
        <is>
          <t>https://www.etsy.com/listing/1905857313</t>
        </is>
      </c>
    </row>
    <row r="967">
      <c r="A967" s="3" t="inlineStr">
        <is>
          <t>legacy</t>
        </is>
      </c>
      <c r="B967" s="3" t="inlineStr">
        <is>
          <t>14K Franco Chain Necklace, Authentic Yellow Gold Jewelry</t>
        </is>
      </c>
      <c r="C967" s="3" t="n">
        <v>1905857313</v>
      </c>
      <c r="D967" s="3" t="inlineStr">
        <is>
          <t>CFR1F-24</t>
        </is>
      </c>
      <c r="E967" s="3" t="inlineStr">
        <is>
          <t>description-scaled</t>
        </is>
      </c>
      <c r="F967" s="14" t="n">
        <v>782</v>
      </c>
      <c r="G967" s="17" t="n">
        <v>4.37</v>
      </c>
      <c r="H967" s="14">
        <f>IF(G967="","",G967*Ayarlar!$B$3+Ayarlar!$B$4+Ayarlar!$B$5)</f>
        <v/>
      </c>
      <c r="I967" s="14">
        <f>IF(G967="","",ROUNDUP(((G967*Ayarlar!$B$3+Ayarlar!$B$4+Ayarlar!$B$5)+Ayarlar!$B$8)/((1-Ayarlar!$B$6)*(1-Ayarlar!$B$7)),0))</f>
        <v/>
      </c>
      <c r="J967" s="14">
        <f>IF(G967="","",ROUNDUP(((G967*Ayarlar!$B$3+Ayarlar!$B$4+Ayarlar!$B$5)+Ayarlar!$B$8)/((1-Ayarlar!$B$6)*(1-Ayarlar!$B$7-Ayarlar!$B$9)),0))</f>
        <v/>
      </c>
      <c r="K967" s="15">
        <f>IF(OR(G967="",F967=""),"",(F967*(1-Ayarlar!$B$6)-(F967*(1-Ayarlar!$B$6)*Ayarlar!$B$7+Ayarlar!$B$8)-(G967*Ayarlar!$B$3+Ayarlar!$B$4+Ayarlar!$B$5))/(F967*(1-Ayarlar!$B$6)))</f>
        <v/>
      </c>
      <c r="L967" s="3">
        <f>IF(G967="","GRAM EKSİK",IF(F967&gt;30000,"FİYAT ŞÜPHELİ",IF(K967&lt;0,"ZARARDA",IF(F967&lt;I967,"RİSKLİ","ok"))))</f>
        <v/>
      </c>
      <c r="M967" s="16" t="inlineStr">
        <is>
          <t>https://www.etsy.com/listing/1905857313</t>
        </is>
      </c>
    </row>
    <row r="968">
      <c r="A968" s="9" t="inlineStr">
        <is>
          <t>legacy</t>
        </is>
      </c>
      <c r="B968" s="9" t="inlineStr">
        <is>
          <t>14K Franco Chain Necklace, Authentic Yellow Gold Jewelry</t>
        </is>
      </c>
      <c r="C968" s="9" t="n">
        <v>1905857313</v>
      </c>
      <c r="D968" s="9" t="inlineStr">
        <is>
          <t>CFR2F-16</t>
        </is>
      </c>
      <c r="E968" s="9" t="inlineStr">
        <is>
          <t>description-scaled</t>
        </is>
      </c>
      <c r="F968" s="10" t="n">
        <v>770</v>
      </c>
      <c r="G968" s="18" t="n">
        <v>4.24</v>
      </c>
      <c r="H968" s="10">
        <f>IF(G968="","",G968*Ayarlar!$B$3+Ayarlar!$B$4+Ayarlar!$B$5)</f>
        <v/>
      </c>
      <c r="I968" s="10">
        <f>IF(G968="","",ROUNDUP(((G968*Ayarlar!$B$3+Ayarlar!$B$4+Ayarlar!$B$5)+Ayarlar!$B$8)/((1-Ayarlar!$B$6)*(1-Ayarlar!$B$7)),0))</f>
        <v/>
      </c>
      <c r="J968" s="10">
        <f>IF(G968="","",ROUNDUP(((G968*Ayarlar!$B$3+Ayarlar!$B$4+Ayarlar!$B$5)+Ayarlar!$B$8)/((1-Ayarlar!$B$6)*(1-Ayarlar!$B$7-Ayarlar!$B$9)),0))</f>
        <v/>
      </c>
      <c r="K968" s="12">
        <f>IF(OR(G968="",F968=""),"",(F968*(1-Ayarlar!$B$6)-(F968*(1-Ayarlar!$B$6)*Ayarlar!$B$7+Ayarlar!$B$8)-(G968*Ayarlar!$B$3+Ayarlar!$B$4+Ayarlar!$B$5))/(F968*(1-Ayarlar!$B$6)))</f>
        <v/>
      </c>
      <c r="L968" s="9">
        <f>IF(G968="","GRAM EKSİK",IF(F968&gt;30000,"FİYAT ŞÜPHELİ",IF(K968&lt;0,"ZARARDA",IF(F968&lt;I968,"RİSKLİ","ok"))))</f>
        <v/>
      </c>
      <c r="M968" s="13" t="inlineStr">
        <is>
          <t>https://www.etsy.com/listing/1905857313</t>
        </is>
      </c>
    </row>
    <row r="969">
      <c r="A969" s="3" t="inlineStr">
        <is>
          <t>legacy</t>
        </is>
      </c>
      <c r="B969" s="3" t="inlineStr">
        <is>
          <t>14K Franco Chain Necklace, Authentic Yellow Gold Jewelry</t>
        </is>
      </c>
      <c r="C969" s="3" t="n">
        <v>1905857313</v>
      </c>
      <c r="D969" s="3" t="inlineStr">
        <is>
          <t>CFR2F-18</t>
        </is>
      </c>
      <c r="E969" s="3" t="inlineStr">
        <is>
          <t>description-scaled</t>
        </is>
      </c>
      <c r="F969" s="14" t="n">
        <v>877</v>
      </c>
      <c r="G969" s="17" t="n">
        <v>4.77</v>
      </c>
      <c r="H969" s="14">
        <f>IF(G969="","",G969*Ayarlar!$B$3+Ayarlar!$B$4+Ayarlar!$B$5)</f>
        <v/>
      </c>
      <c r="I969" s="14">
        <f>IF(G969="","",ROUNDUP(((G969*Ayarlar!$B$3+Ayarlar!$B$4+Ayarlar!$B$5)+Ayarlar!$B$8)/((1-Ayarlar!$B$6)*(1-Ayarlar!$B$7)),0))</f>
        <v/>
      </c>
      <c r="J969" s="14">
        <f>IF(G969="","",ROUNDUP(((G969*Ayarlar!$B$3+Ayarlar!$B$4+Ayarlar!$B$5)+Ayarlar!$B$8)/((1-Ayarlar!$B$6)*(1-Ayarlar!$B$7-Ayarlar!$B$9)),0))</f>
        <v/>
      </c>
      <c r="K969" s="15">
        <f>IF(OR(G969="",F969=""),"",(F969*(1-Ayarlar!$B$6)-(F969*(1-Ayarlar!$B$6)*Ayarlar!$B$7+Ayarlar!$B$8)-(G969*Ayarlar!$B$3+Ayarlar!$B$4+Ayarlar!$B$5))/(F969*(1-Ayarlar!$B$6)))</f>
        <v/>
      </c>
      <c r="L969" s="3">
        <f>IF(G969="","GRAM EKSİK",IF(F969&gt;30000,"FİYAT ŞÜPHELİ",IF(K969&lt;0,"ZARARDA",IF(F969&lt;I969,"RİSKLİ","ok"))))</f>
        <v/>
      </c>
      <c r="M969" s="16" t="inlineStr">
        <is>
          <t>https://www.etsy.com/listing/1905857313</t>
        </is>
      </c>
    </row>
    <row r="970">
      <c r="A970" s="9" t="inlineStr">
        <is>
          <t>legacy</t>
        </is>
      </c>
      <c r="B970" s="9" t="inlineStr">
        <is>
          <t>14K Franco Chain Necklace, Authentic Yellow Gold Jewelry</t>
        </is>
      </c>
      <c r="C970" s="9" t="n">
        <v>1905857313</v>
      </c>
      <c r="D970" s="9" t="inlineStr">
        <is>
          <t>CFR2F-20</t>
        </is>
      </c>
      <c r="E970" s="9" t="inlineStr">
        <is>
          <t>description</t>
        </is>
      </c>
      <c r="F970" s="10" t="n">
        <v>974</v>
      </c>
      <c r="G970" s="18" t="n">
        <v>5.3</v>
      </c>
      <c r="H970" s="10">
        <f>IF(G970="","",G970*Ayarlar!$B$3+Ayarlar!$B$4+Ayarlar!$B$5)</f>
        <v/>
      </c>
      <c r="I970" s="10">
        <f>IF(G970="","",ROUNDUP(((G970*Ayarlar!$B$3+Ayarlar!$B$4+Ayarlar!$B$5)+Ayarlar!$B$8)/((1-Ayarlar!$B$6)*(1-Ayarlar!$B$7)),0))</f>
        <v/>
      </c>
      <c r="J970" s="10">
        <f>IF(G970="","",ROUNDUP(((G970*Ayarlar!$B$3+Ayarlar!$B$4+Ayarlar!$B$5)+Ayarlar!$B$8)/((1-Ayarlar!$B$6)*(1-Ayarlar!$B$7-Ayarlar!$B$9)),0))</f>
        <v/>
      </c>
      <c r="K970" s="12">
        <f>IF(OR(G970="",F970=""),"",(F970*(1-Ayarlar!$B$6)-(F970*(1-Ayarlar!$B$6)*Ayarlar!$B$7+Ayarlar!$B$8)-(G970*Ayarlar!$B$3+Ayarlar!$B$4+Ayarlar!$B$5))/(F970*(1-Ayarlar!$B$6)))</f>
        <v/>
      </c>
      <c r="L970" s="9">
        <f>IF(G970="","GRAM EKSİK",IF(F970&gt;30000,"FİYAT ŞÜPHELİ",IF(K970&lt;0,"ZARARDA",IF(F970&lt;I970,"RİSKLİ","ok"))))</f>
        <v/>
      </c>
      <c r="M970" s="13" t="inlineStr">
        <is>
          <t>https://www.etsy.com/listing/1905857313</t>
        </is>
      </c>
    </row>
    <row r="971">
      <c r="A971" s="3" t="inlineStr">
        <is>
          <t>legacy</t>
        </is>
      </c>
      <c r="B971" s="3" t="inlineStr">
        <is>
          <t>14K Franco Chain Necklace, Authentic Yellow Gold Jewelry</t>
        </is>
      </c>
      <c r="C971" s="3" t="n">
        <v>1905857313</v>
      </c>
      <c r="D971" s="3" t="inlineStr">
        <is>
          <t>CFR2F-22</t>
        </is>
      </c>
      <c r="E971" s="3" t="inlineStr">
        <is>
          <t>description-scaled</t>
        </is>
      </c>
      <c r="F971" s="14" t="n">
        <v>1070</v>
      </c>
      <c r="G971" s="17" t="n">
        <v>5.83</v>
      </c>
      <c r="H971" s="14">
        <f>IF(G971="","",G971*Ayarlar!$B$3+Ayarlar!$B$4+Ayarlar!$B$5)</f>
        <v/>
      </c>
      <c r="I971" s="14">
        <f>IF(G971="","",ROUNDUP(((G971*Ayarlar!$B$3+Ayarlar!$B$4+Ayarlar!$B$5)+Ayarlar!$B$8)/((1-Ayarlar!$B$6)*(1-Ayarlar!$B$7)),0))</f>
        <v/>
      </c>
      <c r="J971" s="14">
        <f>IF(G971="","",ROUNDUP(((G971*Ayarlar!$B$3+Ayarlar!$B$4+Ayarlar!$B$5)+Ayarlar!$B$8)/((1-Ayarlar!$B$6)*(1-Ayarlar!$B$7-Ayarlar!$B$9)),0))</f>
        <v/>
      </c>
      <c r="K971" s="15">
        <f>IF(OR(G971="",F971=""),"",(F971*(1-Ayarlar!$B$6)-(F971*(1-Ayarlar!$B$6)*Ayarlar!$B$7+Ayarlar!$B$8)-(G971*Ayarlar!$B$3+Ayarlar!$B$4+Ayarlar!$B$5))/(F971*(1-Ayarlar!$B$6)))</f>
        <v/>
      </c>
      <c r="L971" s="3">
        <f>IF(G971="","GRAM EKSİK",IF(F971&gt;30000,"FİYAT ŞÜPHELİ",IF(K971&lt;0,"ZARARDA",IF(F971&lt;I971,"RİSKLİ","ok"))))</f>
        <v/>
      </c>
      <c r="M971" s="16" t="inlineStr">
        <is>
          <t>https://www.etsy.com/listing/1905857313</t>
        </is>
      </c>
    </row>
    <row r="972">
      <c r="A972" s="9" t="inlineStr">
        <is>
          <t>legacy</t>
        </is>
      </c>
      <c r="B972" s="9" t="inlineStr">
        <is>
          <t>14K Franco Chain Necklace, Authentic Yellow Gold Jewelry</t>
        </is>
      </c>
      <c r="C972" s="9" t="n">
        <v>1905857313</v>
      </c>
      <c r="D972" s="9" t="inlineStr">
        <is>
          <t>CFR2F-24</t>
        </is>
      </c>
      <c r="E972" s="9" t="inlineStr">
        <is>
          <t>description-scaled</t>
        </is>
      </c>
      <c r="F972" s="10" t="n">
        <v>1165</v>
      </c>
      <c r="G972" s="18" t="n">
        <v>6.36</v>
      </c>
      <c r="H972" s="10">
        <f>IF(G972="","",G972*Ayarlar!$B$3+Ayarlar!$B$4+Ayarlar!$B$5)</f>
        <v/>
      </c>
      <c r="I972" s="10">
        <f>IF(G972="","",ROUNDUP(((G972*Ayarlar!$B$3+Ayarlar!$B$4+Ayarlar!$B$5)+Ayarlar!$B$8)/((1-Ayarlar!$B$6)*(1-Ayarlar!$B$7)),0))</f>
        <v/>
      </c>
      <c r="J972" s="10">
        <f>IF(G972="","",ROUNDUP(((G972*Ayarlar!$B$3+Ayarlar!$B$4+Ayarlar!$B$5)+Ayarlar!$B$8)/((1-Ayarlar!$B$6)*(1-Ayarlar!$B$7-Ayarlar!$B$9)),0))</f>
        <v/>
      </c>
      <c r="K972" s="12">
        <f>IF(OR(G972="",F972=""),"",(F972*(1-Ayarlar!$B$6)-(F972*(1-Ayarlar!$B$6)*Ayarlar!$B$7+Ayarlar!$B$8)-(G972*Ayarlar!$B$3+Ayarlar!$B$4+Ayarlar!$B$5))/(F972*(1-Ayarlar!$B$6)))</f>
        <v/>
      </c>
      <c r="L972" s="9">
        <f>IF(G972="","GRAM EKSİK",IF(F972&gt;30000,"FİYAT ŞÜPHELİ",IF(K972&lt;0,"ZARARDA",IF(F972&lt;I972,"RİSKLİ","ok"))))</f>
        <v/>
      </c>
      <c r="M972" s="13" t="inlineStr">
        <is>
          <t>https://www.etsy.com/listing/1905857313</t>
        </is>
      </c>
    </row>
    <row r="973">
      <c r="A973" s="3" t="inlineStr">
        <is>
          <t>legacy</t>
        </is>
      </c>
      <c r="B973" s="3" t="inlineStr">
        <is>
          <t>14K Franco Chain Necklace, Authentic Yellow Gold Jewelry</t>
        </is>
      </c>
      <c r="C973" s="3" t="n">
        <v>1905857313</v>
      </c>
      <c r="D973" s="3" t="inlineStr">
        <is>
          <t>CFR3F-16</t>
        </is>
      </c>
      <c r="E973" s="3" t="inlineStr">
        <is>
          <t>description-scaled</t>
        </is>
      </c>
      <c r="F973" s="14" t="n">
        <v>939</v>
      </c>
      <c r="G973" s="17" t="n">
        <v>5.29</v>
      </c>
      <c r="H973" s="14">
        <f>IF(G973="","",G973*Ayarlar!$B$3+Ayarlar!$B$4+Ayarlar!$B$5)</f>
        <v/>
      </c>
      <c r="I973" s="14">
        <f>IF(G973="","",ROUNDUP(((G973*Ayarlar!$B$3+Ayarlar!$B$4+Ayarlar!$B$5)+Ayarlar!$B$8)/((1-Ayarlar!$B$6)*(1-Ayarlar!$B$7)),0))</f>
        <v/>
      </c>
      <c r="J973" s="14">
        <f>IF(G973="","",ROUNDUP(((G973*Ayarlar!$B$3+Ayarlar!$B$4+Ayarlar!$B$5)+Ayarlar!$B$8)/((1-Ayarlar!$B$6)*(1-Ayarlar!$B$7-Ayarlar!$B$9)),0))</f>
        <v/>
      </c>
      <c r="K973" s="15">
        <f>IF(OR(G973="",F973=""),"",(F973*(1-Ayarlar!$B$6)-(F973*(1-Ayarlar!$B$6)*Ayarlar!$B$7+Ayarlar!$B$8)-(G973*Ayarlar!$B$3+Ayarlar!$B$4+Ayarlar!$B$5))/(F973*(1-Ayarlar!$B$6)))</f>
        <v/>
      </c>
      <c r="L973" s="3">
        <f>IF(G973="","GRAM EKSİK",IF(F973&gt;30000,"FİYAT ŞÜPHELİ",IF(K973&lt;0,"ZARARDA",IF(F973&lt;I973,"RİSKLİ","ok"))))</f>
        <v/>
      </c>
      <c r="M973" s="16" t="inlineStr">
        <is>
          <t>https://www.etsy.com/listing/1905857313</t>
        </is>
      </c>
    </row>
    <row r="974">
      <c r="A974" s="9" t="inlineStr">
        <is>
          <t>legacy</t>
        </is>
      </c>
      <c r="B974" s="9" t="inlineStr">
        <is>
          <t>14K Franco Chain Necklace, Authentic Yellow Gold Jewelry</t>
        </is>
      </c>
      <c r="C974" s="9" t="n">
        <v>1905857313</v>
      </c>
      <c r="D974" s="9" t="inlineStr">
        <is>
          <t>CFR3F-18</t>
        </is>
      </c>
      <c r="E974" s="9" t="inlineStr">
        <is>
          <t>shipstation</t>
        </is>
      </c>
      <c r="F974" s="10" t="n">
        <v>1082</v>
      </c>
      <c r="G974" s="18" t="n">
        <v>5.9</v>
      </c>
      <c r="H974" s="10">
        <f>IF(G974="","",G974*Ayarlar!$B$3+Ayarlar!$B$4+Ayarlar!$B$5)</f>
        <v/>
      </c>
      <c r="I974" s="10">
        <f>IF(G974="","",ROUNDUP(((G974*Ayarlar!$B$3+Ayarlar!$B$4+Ayarlar!$B$5)+Ayarlar!$B$8)/((1-Ayarlar!$B$6)*(1-Ayarlar!$B$7)),0))</f>
        <v/>
      </c>
      <c r="J974" s="10">
        <f>IF(G974="","",ROUNDUP(((G974*Ayarlar!$B$3+Ayarlar!$B$4+Ayarlar!$B$5)+Ayarlar!$B$8)/((1-Ayarlar!$B$6)*(1-Ayarlar!$B$7-Ayarlar!$B$9)),0))</f>
        <v/>
      </c>
      <c r="K974" s="12">
        <f>IF(OR(G974="",F974=""),"",(F974*(1-Ayarlar!$B$6)-(F974*(1-Ayarlar!$B$6)*Ayarlar!$B$7+Ayarlar!$B$8)-(G974*Ayarlar!$B$3+Ayarlar!$B$4+Ayarlar!$B$5))/(F974*(1-Ayarlar!$B$6)))</f>
        <v/>
      </c>
      <c r="L974" s="9">
        <f>IF(G974="","GRAM EKSİK",IF(F974&gt;30000,"FİYAT ŞÜPHELİ",IF(K974&lt;0,"ZARARDA",IF(F974&lt;I974,"RİSKLİ","ok"))))</f>
        <v/>
      </c>
      <c r="M974" s="13" t="inlineStr">
        <is>
          <t>https://www.etsy.com/listing/1905857313</t>
        </is>
      </c>
    </row>
    <row r="975">
      <c r="A975" s="3" t="inlineStr">
        <is>
          <t>legacy</t>
        </is>
      </c>
      <c r="B975" s="3" t="inlineStr">
        <is>
          <t>14K Franco Chain Necklace, Authentic Yellow Gold Jewelry</t>
        </is>
      </c>
      <c r="C975" s="3" t="n">
        <v>1905857313</v>
      </c>
      <c r="D975" s="3" t="inlineStr">
        <is>
          <t>CFR3F-20</t>
        </is>
      </c>
      <c r="E975" s="3" t="inlineStr">
        <is>
          <t>description</t>
        </is>
      </c>
      <c r="F975" s="14" t="n">
        <v>1179</v>
      </c>
      <c r="G975" s="17" t="n">
        <v>6.61</v>
      </c>
      <c r="H975" s="14">
        <f>IF(G975="","",G975*Ayarlar!$B$3+Ayarlar!$B$4+Ayarlar!$B$5)</f>
        <v/>
      </c>
      <c r="I975" s="14">
        <f>IF(G975="","",ROUNDUP(((G975*Ayarlar!$B$3+Ayarlar!$B$4+Ayarlar!$B$5)+Ayarlar!$B$8)/((1-Ayarlar!$B$6)*(1-Ayarlar!$B$7)),0))</f>
        <v/>
      </c>
      <c r="J975" s="14">
        <f>IF(G975="","",ROUNDUP(((G975*Ayarlar!$B$3+Ayarlar!$B$4+Ayarlar!$B$5)+Ayarlar!$B$8)/((1-Ayarlar!$B$6)*(1-Ayarlar!$B$7-Ayarlar!$B$9)),0))</f>
        <v/>
      </c>
      <c r="K975" s="15">
        <f>IF(OR(G975="",F975=""),"",(F975*(1-Ayarlar!$B$6)-(F975*(1-Ayarlar!$B$6)*Ayarlar!$B$7+Ayarlar!$B$8)-(G975*Ayarlar!$B$3+Ayarlar!$B$4+Ayarlar!$B$5))/(F975*(1-Ayarlar!$B$6)))</f>
        <v/>
      </c>
      <c r="L975" s="3">
        <f>IF(G975="","GRAM EKSİK",IF(F975&gt;30000,"FİYAT ŞÜPHELİ",IF(K975&lt;0,"ZARARDA",IF(F975&lt;I975,"RİSKLİ","ok"))))</f>
        <v/>
      </c>
      <c r="M975" s="16" t="inlineStr">
        <is>
          <t>https://www.etsy.com/listing/1905857313</t>
        </is>
      </c>
    </row>
    <row r="976">
      <c r="A976" s="9" t="inlineStr">
        <is>
          <t>legacy</t>
        </is>
      </c>
      <c r="B976" s="9" t="inlineStr">
        <is>
          <t>14K Franco Chain Necklace, Authentic Yellow Gold Jewelry</t>
        </is>
      </c>
      <c r="C976" s="9" t="n">
        <v>1905857313</v>
      </c>
      <c r="D976" s="9" t="inlineStr">
        <is>
          <t>CFR3F-22</t>
        </is>
      </c>
      <c r="E976" s="9" t="inlineStr">
        <is>
          <t>description-scaled</t>
        </is>
      </c>
      <c r="F976" s="10" t="n">
        <v>1276</v>
      </c>
      <c r="G976" s="18" t="n">
        <v>7.27</v>
      </c>
      <c r="H976" s="10">
        <f>IF(G976="","",G976*Ayarlar!$B$3+Ayarlar!$B$4+Ayarlar!$B$5)</f>
        <v/>
      </c>
      <c r="I976" s="10">
        <f>IF(G976="","",ROUNDUP(((G976*Ayarlar!$B$3+Ayarlar!$B$4+Ayarlar!$B$5)+Ayarlar!$B$8)/((1-Ayarlar!$B$6)*(1-Ayarlar!$B$7)),0))</f>
        <v/>
      </c>
      <c r="J976" s="10">
        <f>IF(G976="","",ROUNDUP(((G976*Ayarlar!$B$3+Ayarlar!$B$4+Ayarlar!$B$5)+Ayarlar!$B$8)/((1-Ayarlar!$B$6)*(1-Ayarlar!$B$7-Ayarlar!$B$9)),0))</f>
        <v/>
      </c>
      <c r="K976" s="12">
        <f>IF(OR(G976="",F976=""),"",(F976*(1-Ayarlar!$B$6)-(F976*(1-Ayarlar!$B$6)*Ayarlar!$B$7+Ayarlar!$B$8)-(G976*Ayarlar!$B$3+Ayarlar!$B$4+Ayarlar!$B$5))/(F976*(1-Ayarlar!$B$6)))</f>
        <v/>
      </c>
      <c r="L976" s="9">
        <f>IF(G976="","GRAM EKSİK",IF(F976&gt;30000,"FİYAT ŞÜPHELİ",IF(K976&lt;0,"ZARARDA",IF(F976&lt;I976,"RİSKLİ","ok"))))</f>
        <v/>
      </c>
      <c r="M976" s="13" t="inlineStr">
        <is>
          <t>https://www.etsy.com/listing/1905857313</t>
        </is>
      </c>
    </row>
    <row r="977">
      <c r="A977" s="3" t="inlineStr">
        <is>
          <t>legacy</t>
        </is>
      </c>
      <c r="B977" s="3" t="inlineStr">
        <is>
          <t>14K Franco Chain Necklace, Authentic Yellow Gold Jewelry</t>
        </is>
      </c>
      <c r="C977" s="3" t="n">
        <v>1905857313</v>
      </c>
      <c r="D977" s="3" t="inlineStr">
        <is>
          <t>CFR3F-24</t>
        </is>
      </c>
      <c r="E977" s="3" t="inlineStr">
        <is>
          <t>description-scaled</t>
        </is>
      </c>
      <c r="F977" s="14" t="n">
        <v>1373</v>
      </c>
      <c r="G977" s="17" t="n">
        <v>7.93</v>
      </c>
      <c r="H977" s="14">
        <f>IF(G977="","",G977*Ayarlar!$B$3+Ayarlar!$B$4+Ayarlar!$B$5)</f>
        <v/>
      </c>
      <c r="I977" s="14">
        <f>IF(G977="","",ROUNDUP(((G977*Ayarlar!$B$3+Ayarlar!$B$4+Ayarlar!$B$5)+Ayarlar!$B$8)/((1-Ayarlar!$B$6)*(1-Ayarlar!$B$7)),0))</f>
        <v/>
      </c>
      <c r="J977" s="14">
        <f>IF(G977="","",ROUNDUP(((G977*Ayarlar!$B$3+Ayarlar!$B$4+Ayarlar!$B$5)+Ayarlar!$B$8)/((1-Ayarlar!$B$6)*(1-Ayarlar!$B$7-Ayarlar!$B$9)),0))</f>
        <v/>
      </c>
      <c r="K977" s="15">
        <f>IF(OR(G977="",F977=""),"",(F977*(1-Ayarlar!$B$6)-(F977*(1-Ayarlar!$B$6)*Ayarlar!$B$7+Ayarlar!$B$8)-(G977*Ayarlar!$B$3+Ayarlar!$B$4+Ayarlar!$B$5))/(F977*(1-Ayarlar!$B$6)))</f>
        <v/>
      </c>
      <c r="L977" s="3">
        <f>IF(G977="","GRAM EKSİK",IF(F977&gt;30000,"FİYAT ŞÜPHELİ",IF(K977&lt;0,"ZARARDA",IF(F977&lt;I977,"RİSKLİ","ok"))))</f>
        <v/>
      </c>
      <c r="M977" s="16" t="inlineStr">
        <is>
          <t>https://www.etsy.com/listing/1905857313</t>
        </is>
      </c>
    </row>
    <row r="978">
      <c r="A978" s="9" t="inlineStr">
        <is>
          <t>legacy</t>
        </is>
      </c>
      <c r="B978" s="9" t="inlineStr">
        <is>
          <t>14K Franco Chain Necklace, Authentic Yellow Gold Jewelry</t>
        </is>
      </c>
      <c r="C978" s="9" t="n">
        <v>1905857313</v>
      </c>
      <c r="D978" s="9" t="inlineStr">
        <is>
          <t>CFR4F-16</t>
        </is>
      </c>
      <c r="E978" s="9" t="inlineStr">
        <is>
          <t>description-scaled</t>
        </is>
      </c>
      <c r="F978" s="10" t="n">
        <v>1624</v>
      </c>
      <c r="G978" s="18" t="n">
        <v>9.08</v>
      </c>
      <c r="H978" s="10">
        <f>IF(G978="","",G978*Ayarlar!$B$3+Ayarlar!$B$4+Ayarlar!$B$5)</f>
        <v/>
      </c>
      <c r="I978" s="10">
        <f>IF(G978="","",ROUNDUP(((G978*Ayarlar!$B$3+Ayarlar!$B$4+Ayarlar!$B$5)+Ayarlar!$B$8)/((1-Ayarlar!$B$6)*(1-Ayarlar!$B$7)),0))</f>
        <v/>
      </c>
      <c r="J978" s="10">
        <f>IF(G978="","",ROUNDUP(((G978*Ayarlar!$B$3+Ayarlar!$B$4+Ayarlar!$B$5)+Ayarlar!$B$8)/((1-Ayarlar!$B$6)*(1-Ayarlar!$B$7-Ayarlar!$B$9)),0))</f>
        <v/>
      </c>
      <c r="K978" s="12">
        <f>IF(OR(G978="",F978=""),"",(F978*(1-Ayarlar!$B$6)-(F978*(1-Ayarlar!$B$6)*Ayarlar!$B$7+Ayarlar!$B$8)-(G978*Ayarlar!$B$3+Ayarlar!$B$4+Ayarlar!$B$5))/(F978*(1-Ayarlar!$B$6)))</f>
        <v/>
      </c>
      <c r="L978" s="9">
        <f>IF(G978="","GRAM EKSİK",IF(F978&gt;30000,"FİYAT ŞÜPHELİ",IF(K978&lt;0,"ZARARDA",IF(F978&lt;I978,"RİSKLİ","ok"))))</f>
        <v/>
      </c>
      <c r="M978" s="13" t="inlineStr">
        <is>
          <t>https://www.etsy.com/listing/1905857313</t>
        </is>
      </c>
    </row>
    <row r="979">
      <c r="A979" s="3" t="inlineStr">
        <is>
          <t>legacy</t>
        </is>
      </c>
      <c r="B979" s="3" t="inlineStr">
        <is>
          <t>14K Franco Chain Necklace, Authentic Yellow Gold Jewelry</t>
        </is>
      </c>
      <c r="C979" s="3" t="n">
        <v>1905857313</v>
      </c>
      <c r="D979" s="3" t="inlineStr">
        <is>
          <t>CFR4F-18</t>
        </is>
      </c>
      <c r="E979" s="3" t="inlineStr">
        <is>
          <t>description-scaled</t>
        </is>
      </c>
      <c r="F979" s="14" t="n">
        <v>1829</v>
      </c>
      <c r="G979" s="17" t="n">
        <v>10.22</v>
      </c>
      <c r="H979" s="14">
        <f>IF(G979="","",G979*Ayarlar!$B$3+Ayarlar!$B$4+Ayarlar!$B$5)</f>
        <v/>
      </c>
      <c r="I979" s="14">
        <f>IF(G979="","",ROUNDUP(((G979*Ayarlar!$B$3+Ayarlar!$B$4+Ayarlar!$B$5)+Ayarlar!$B$8)/((1-Ayarlar!$B$6)*(1-Ayarlar!$B$7)),0))</f>
        <v/>
      </c>
      <c r="J979" s="14">
        <f>IF(G979="","",ROUNDUP(((G979*Ayarlar!$B$3+Ayarlar!$B$4+Ayarlar!$B$5)+Ayarlar!$B$8)/((1-Ayarlar!$B$6)*(1-Ayarlar!$B$7-Ayarlar!$B$9)),0))</f>
        <v/>
      </c>
      <c r="K979" s="15">
        <f>IF(OR(G979="",F979=""),"",(F979*(1-Ayarlar!$B$6)-(F979*(1-Ayarlar!$B$6)*Ayarlar!$B$7+Ayarlar!$B$8)-(G979*Ayarlar!$B$3+Ayarlar!$B$4+Ayarlar!$B$5))/(F979*(1-Ayarlar!$B$6)))</f>
        <v/>
      </c>
      <c r="L979" s="3">
        <f>IF(G979="","GRAM EKSİK",IF(F979&gt;30000,"FİYAT ŞÜPHELİ",IF(K979&lt;0,"ZARARDA",IF(F979&lt;I979,"RİSKLİ","ok"))))</f>
        <v/>
      </c>
      <c r="M979" s="16" t="inlineStr">
        <is>
          <t>https://www.etsy.com/listing/1905857313</t>
        </is>
      </c>
    </row>
    <row r="980">
      <c r="A980" s="9" t="inlineStr">
        <is>
          <t>legacy</t>
        </is>
      </c>
      <c r="B980" s="9" t="inlineStr">
        <is>
          <t>14K Franco Chain Necklace, Authentic Yellow Gold Jewelry</t>
        </is>
      </c>
      <c r="C980" s="9" t="n">
        <v>1905857313</v>
      </c>
      <c r="D980" s="9" t="inlineStr">
        <is>
          <t>CFR4F-20</t>
        </is>
      </c>
      <c r="E980" s="9" t="inlineStr">
        <is>
          <t>description</t>
        </is>
      </c>
      <c r="F980" s="10" t="n">
        <v>2033</v>
      </c>
      <c r="G980" s="18" t="n">
        <v>11.35</v>
      </c>
      <c r="H980" s="10">
        <f>IF(G980="","",G980*Ayarlar!$B$3+Ayarlar!$B$4+Ayarlar!$B$5)</f>
        <v/>
      </c>
      <c r="I980" s="10">
        <f>IF(G980="","",ROUNDUP(((G980*Ayarlar!$B$3+Ayarlar!$B$4+Ayarlar!$B$5)+Ayarlar!$B$8)/((1-Ayarlar!$B$6)*(1-Ayarlar!$B$7)),0))</f>
        <v/>
      </c>
      <c r="J980" s="10">
        <f>IF(G980="","",ROUNDUP(((G980*Ayarlar!$B$3+Ayarlar!$B$4+Ayarlar!$B$5)+Ayarlar!$B$8)/((1-Ayarlar!$B$6)*(1-Ayarlar!$B$7-Ayarlar!$B$9)),0))</f>
        <v/>
      </c>
      <c r="K980" s="12">
        <f>IF(OR(G980="",F980=""),"",(F980*(1-Ayarlar!$B$6)-(F980*(1-Ayarlar!$B$6)*Ayarlar!$B$7+Ayarlar!$B$8)-(G980*Ayarlar!$B$3+Ayarlar!$B$4+Ayarlar!$B$5))/(F980*(1-Ayarlar!$B$6)))</f>
        <v/>
      </c>
      <c r="L980" s="9">
        <f>IF(G980="","GRAM EKSİK",IF(F980&gt;30000,"FİYAT ŞÜPHELİ",IF(K980&lt;0,"ZARARDA",IF(F980&lt;I980,"RİSKLİ","ok"))))</f>
        <v/>
      </c>
      <c r="M980" s="13" t="inlineStr">
        <is>
          <t>https://www.etsy.com/listing/1905857313</t>
        </is>
      </c>
    </row>
    <row r="981">
      <c r="A981" s="3" t="inlineStr">
        <is>
          <t>legacy</t>
        </is>
      </c>
      <c r="B981" s="3" t="inlineStr">
        <is>
          <t>14K Franco Chain Necklace, Authentic Yellow Gold Jewelry</t>
        </is>
      </c>
      <c r="C981" s="3" t="n">
        <v>1905857313</v>
      </c>
      <c r="D981" s="3" t="inlineStr">
        <is>
          <t>CFR4F-22</t>
        </is>
      </c>
      <c r="E981" s="3" t="inlineStr">
        <is>
          <t>description-scaled</t>
        </is>
      </c>
      <c r="F981" s="14" t="n">
        <v>2237</v>
      </c>
      <c r="G981" s="17" t="n">
        <v>12.49</v>
      </c>
      <c r="H981" s="14">
        <f>IF(G981="","",G981*Ayarlar!$B$3+Ayarlar!$B$4+Ayarlar!$B$5)</f>
        <v/>
      </c>
      <c r="I981" s="14">
        <f>IF(G981="","",ROUNDUP(((G981*Ayarlar!$B$3+Ayarlar!$B$4+Ayarlar!$B$5)+Ayarlar!$B$8)/((1-Ayarlar!$B$6)*(1-Ayarlar!$B$7)),0))</f>
        <v/>
      </c>
      <c r="J981" s="14">
        <f>IF(G981="","",ROUNDUP(((G981*Ayarlar!$B$3+Ayarlar!$B$4+Ayarlar!$B$5)+Ayarlar!$B$8)/((1-Ayarlar!$B$6)*(1-Ayarlar!$B$7-Ayarlar!$B$9)),0))</f>
        <v/>
      </c>
      <c r="K981" s="15">
        <f>IF(OR(G981="",F981=""),"",(F981*(1-Ayarlar!$B$6)-(F981*(1-Ayarlar!$B$6)*Ayarlar!$B$7+Ayarlar!$B$8)-(G981*Ayarlar!$B$3+Ayarlar!$B$4+Ayarlar!$B$5))/(F981*(1-Ayarlar!$B$6)))</f>
        <v/>
      </c>
      <c r="L981" s="3">
        <f>IF(G981="","GRAM EKSİK",IF(F981&gt;30000,"FİYAT ŞÜPHELİ",IF(K981&lt;0,"ZARARDA",IF(F981&lt;I981,"RİSKLİ","ok"))))</f>
        <v/>
      </c>
      <c r="M981" s="16" t="inlineStr">
        <is>
          <t>https://www.etsy.com/listing/1905857313</t>
        </is>
      </c>
    </row>
    <row r="982">
      <c r="A982" s="9" t="inlineStr">
        <is>
          <t>legacy</t>
        </is>
      </c>
      <c r="B982" s="9" t="inlineStr">
        <is>
          <t>14K Franco Chain Necklace, Authentic Yellow Gold Jewelry</t>
        </is>
      </c>
      <c r="C982" s="9" t="n">
        <v>1905857313</v>
      </c>
      <c r="D982" s="9" t="inlineStr">
        <is>
          <t>CFR4F-24</t>
        </is>
      </c>
      <c r="E982" s="9" t="inlineStr">
        <is>
          <t>description-scaled</t>
        </is>
      </c>
      <c r="F982" s="10" t="n">
        <v>2441</v>
      </c>
      <c r="G982" s="18" t="n">
        <v>13.62</v>
      </c>
      <c r="H982" s="10">
        <f>IF(G982="","",G982*Ayarlar!$B$3+Ayarlar!$B$4+Ayarlar!$B$5)</f>
        <v/>
      </c>
      <c r="I982" s="10">
        <f>IF(G982="","",ROUNDUP(((G982*Ayarlar!$B$3+Ayarlar!$B$4+Ayarlar!$B$5)+Ayarlar!$B$8)/((1-Ayarlar!$B$6)*(1-Ayarlar!$B$7)),0))</f>
        <v/>
      </c>
      <c r="J982" s="10">
        <f>IF(G982="","",ROUNDUP(((G982*Ayarlar!$B$3+Ayarlar!$B$4+Ayarlar!$B$5)+Ayarlar!$B$8)/((1-Ayarlar!$B$6)*(1-Ayarlar!$B$7-Ayarlar!$B$9)),0))</f>
        <v/>
      </c>
      <c r="K982" s="12">
        <f>IF(OR(G982="",F982=""),"",(F982*(1-Ayarlar!$B$6)-(F982*(1-Ayarlar!$B$6)*Ayarlar!$B$7+Ayarlar!$B$8)-(G982*Ayarlar!$B$3+Ayarlar!$B$4+Ayarlar!$B$5))/(F982*(1-Ayarlar!$B$6)))</f>
        <v/>
      </c>
      <c r="L982" s="9">
        <f>IF(G982="","GRAM EKSİK",IF(F982&gt;30000,"FİYAT ŞÜPHELİ",IF(K982&lt;0,"ZARARDA",IF(F982&lt;I982,"RİSKLİ","ok"))))</f>
        <v/>
      </c>
      <c r="M982" s="13" t="inlineStr">
        <is>
          <t>https://www.etsy.com/listing/1905857313</t>
        </is>
      </c>
    </row>
    <row r="983">
      <c r="A983" s="3" t="inlineStr">
        <is>
          <t>legacy</t>
        </is>
      </c>
      <c r="B983" s="3" t="inlineStr">
        <is>
          <t>14K Franco Chain Necklace, Authentic Yellow Gold Jewelry</t>
        </is>
      </c>
      <c r="C983" s="3" t="n">
        <v>1905857313</v>
      </c>
      <c r="D983" s="3" t="inlineStr">
        <is>
          <t>CFR6F-16</t>
        </is>
      </c>
      <c r="E983" s="3" t="inlineStr">
        <is>
          <t>description-scaled</t>
        </is>
      </c>
      <c r="F983" s="14" t="n">
        <v>2885</v>
      </c>
      <c r="G983" s="17" t="n">
        <v>15.88</v>
      </c>
      <c r="H983" s="14">
        <f>IF(G983="","",G983*Ayarlar!$B$3+Ayarlar!$B$4+Ayarlar!$B$5)</f>
        <v/>
      </c>
      <c r="I983" s="14">
        <f>IF(G983="","",ROUNDUP(((G983*Ayarlar!$B$3+Ayarlar!$B$4+Ayarlar!$B$5)+Ayarlar!$B$8)/((1-Ayarlar!$B$6)*(1-Ayarlar!$B$7)),0))</f>
        <v/>
      </c>
      <c r="J983" s="14">
        <f>IF(G983="","",ROUNDUP(((G983*Ayarlar!$B$3+Ayarlar!$B$4+Ayarlar!$B$5)+Ayarlar!$B$8)/((1-Ayarlar!$B$6)*(1-Ayarlar!$B$7-Ayarlar!$B$9)),0))</f>
        <v/>
      </c>
      <c r="K983" s="15">
        <f>IF(OR(G983="",F983=""),"",(F983*(1-Ayarlar!$B$6)-(F983*(1-Ayarlar!$B$6)*Ayarlar!$B$7+Ayarlar!$B$8)-(G983*Ayarlar!$B$3+Ayarlar!$B$4+Ayarlar!$B$5))/(F983*(1-Ayarlar!$B$6)))</f>
        <v/>
      </c>
      <c r="L983" s="3">
        <f>IF(G983="","GRAM EKSİK",IF(F983&gt;30000,"FİYAT ŞÜPHELİ",IF(K983&lt;0,"ZARARDA",IF(F983&lt;I983,"RİSKLİ","ok"))))</f>
        <v/>
      </c>
      <c r="M983" s="16" t="inlineStr">
        <is>
          <t>https://www.etsy.com/listing/1905857313</t>
        </is>
      </c>
    </row>
    <row r="984">
      <c r="A984" s="9" t="inlineStr">
        <is>
          <t>legacy</t>
        </is>
      </c>
      <c r="B984" s="9" t="inlineStr">
        <is>
          <t>14K Franco Chain Necklace, Authentic Yellow Gold Jewelry</t>
        </is>
      </c>
      <c r="C984" s="9" t="n">
        <v>1905857313</v>
      </c>
      <c r="D984" s="9" t="inlineStr">
        <is>
          <t>CFR6F-18</t>
        </is>
      </c>
      <c r="E984" s="9" t="inlineStr">
        <is>
          <t>description-scaled</t>
        </is>
      </c>
      <c r="F984" s="10" t="n">
        <v>3199</v>
      </c>
      <c r="G984" s="18" t="n">
        <v>17.87</v>
      </c>
      <c r="H984" s="10">
        <f>IF(G984="","",G984*Ayarlar!$B$3+Ayarlar!$B$4+Ayarlar!$B$5)</f>
        <v/>
      </c>
      <c r="I984" s="10">
        <f>IF(G984="","",ROUNDUP(((G984*Ayarlar!$B$3+Ayarlar!$B$4+Ayarlar!$B$5)+Ayarlar!$B$8)/((1-Ayarlar!$B$6)*(1-Ayarlar!$B$7)),0))</f>
        <v/>
      </c>
      <c r="J984" s="10">
        <f>IF(G984="","",ROUNDUP(((G984*Ayarlar!$B$3+Ayarlar!$B$4+Ayarlar!$B$5)+Ayarlar!$B$8)/((1-Ayarlar!$B$6)*(1-Ayarlar!$B$7-Ayarlar!$B$9)),0))</f>
        <v/>
      </c>
      <c r="K984" s="12">
        <f>IF(OR(G984="",F984=""),"",(F984*(1-Ayarlar!$B$6)-(F984*(1-Ayarlar!$B$6)*Ayarlar!$B$7+Ayarlar!$B$8)-(G984*Ayarlar!$B$3+Ayarlar!$B$4+Ayarlar!$B$5))/(F984*(1-Ayarlar!$B$6)))</f>
        <v/>
      </c>
      <c r="L984" s="9">
        <f>IF(G984="","GRAM EKSİK",IF(F984&gt;30000,"FİYAT ŞÜPHELİ",IF(K984&lt;0,"ZARARDA",IF(F984&lt;I984,"RİSKLİ","ok"))))</f>
        <v/>
      </c>
      <c r="M984" s="13" t="inlineStr">
        <is>
          <t>https://www.etsy.com/listing/1905857313</t>
        </is>
      </c>
    </row>
    <row r="985">
      <c r="A985" s="3" t="inlineStr">
        <is>
          <t>legacy</t>
        </is>
      </c>
      <c r="B985" s="3" t="inlineStr">
        <is>
          <t>14K Franco Chain Necklace, Authentic Yellow Gold Jewelry</t>
        </is>
      </c>
      <c r="C985" s="3" t="n">
        <v>1905857313</v>
      </c>
      <c r="D985" s="3" t="inlineStr">
        <is>
          <t>CFR6F-20</t>
        </is>
      </c>
      <c r="E985" s="3" t="inlineStr">
        <is>
          <t>shipstation</t>
        </is>
      </c>
      <c r="F985" s="14" t="n">
        <v>3492</v>
      </c>
      <c r="G985" s="17" t="n">
        <v>20.2</v>
      </c>
      <c r="H985" s="14">
        <f>IF(G985="","",G985*Ayarlar!$B$3+Ayarlar!$B$4+Ayarlar!$B$5)</f>
        <v/>
      </c>
      <c r="I985" s="14">
        <f>IF(G985="","",ROUNDUP(((G985*Ayarlar!$B$3+Ayarlar!$B$4+Ayarlar!$B$5)+Ayarlar!$B$8)/((1-Ayarlar!$B$6)*(1-Ayarlar!$B$7)),0))</f>
        <v/>
      </c>
      <c r="J985" s="14">
        <f>IF(G985="","",ROUNDUP(((G985*Ayarlar!$B$3+Ayarlar!$B$4+Ayarlar!$B$5)+Ayarlar!$B$8)/((1-Ayarlar!$B$6)*(1-Ayarlar!$B$7-Ayarlar!$B$9)),0))</f>
        <v/>
      </c>
      <c r="K985" s="15">
        <f>IF(OR(G985="",F985=""),"",(F985*(1-Ayarlar!$B$6)-(F985*(1-Ayarlar!$B$6)*Ayarlar!$B$7+Ayarlar!$B$8)-(G985*Ayarlar!$B$3+Ayarlar!$B$4+Ayarlar!$B$5))/(F985*(1-Ayarlar!$B$6)))</f>
        <v/>
      </c>
      <c r="L985" s="3">
        <f>IF(G985="","GRAM EKSİK",IF(F985&gt;30000,"FİYAT ŞÜPHELİ",IF(K985&lt;0,"ZARARDA",IF(F985&lt;I985,"RİSKLİ","ok"))))</f>
        <v/>
      </c>
      <c r="M985" s="16" t="inlineStr">
        <is>
          <t>https://www.etsy.com/listing/1905857313</t>
        </is>
      </c>
    </row>
    <row r="986">
      <c r="A986" s="9" t="inlineStr">
        <is>
          <t>legacy</t>
        </is>
      </c>
      <c r="B986" s="9" t="inlineStr">
        <is>
          <t>14K Franco Chain Necklace, Authentic Yellow Gold Jewelry</t>
        </is>
      </c>
      <c r="C986" s="9" t="n">
        <v>1905857313</v>
      </c>
      <c r="D986" s="9" t="inlineStr">
        <is>
          <t>CFR6F-22</t>
        </is>
      </c>
      <c r="E986" s="9" t="inlineStr">
        <is>
          <t>description-scaled</t>
        </is>
      </c>
      <c r="F986" s="10" t="n">
        <v>3793</v>
      </c>
      <c r="G986" s="18" t="n">
        <v>21.84</v>
      </c>
      <c r="H986" s="10">
        <f>IF(G986="","",G986*Ayarlar!$B$3+Ayarlar!$B$4+Ayarlar!$B$5)</f>
        <v/>
      </c>
      <c r="I986" s="10">
        <f>IF(G986="","",ROUNDUP(((G986*Ayarlar!$B$3+Ayarlar!$B$4+Ayarlar!$B$5)+Ayarlar!$B$8)/((1-Ayarlar!$B$6)*(1-Ayarlar!$B$7)),0))</f>
        <v/>
      </c>
      <c r="J986" s="10">
        <f>IF(G986="","",ROUNDUP(((G986*Ayarlar!$B$3+Ayarlar!$B$4+Ayarlar!$B$5)+Ayarlar!$B$8)/((1-Ayarlar!$B$6)*(1-Ayarlar!$B$7-Ayarlar!$B$9)),0))</f>
        <v/>
      </c>
      <c r="K986" s="12">
        <f>IF(OR(G986="",F986=""),"",(F986*(1-Ayarlar!$B$6)-(F986*(1-Ayarlar!$B$6)*Ayarlar!$B$7+Ayarlar!$B$8)-(G986*Ayarlar!$B$3+Ayarlar!$B$4+Ayarlar!$B$5))/(F986*(1-Ayarlar!$B$6)))</f>
        <v/>
      </c>
      <c r="L986" s="9">
        <f>IF(G986="","GRAM EKSİK",IF(F986&gt;30000,"FİYAT ŞÜPHELİ",IF(K986&lt;0,"ZARARDA",IF(F986&lt;I986,"RİSKLİ","ok"))))</f>
        <v/>
      </c>
      <c r="M986" s="13" t="inlineStr">
        <is>
          <t>https://www.etsy.com/listing/1905857313</t>
        </is>
      </c>
    </row>
    <row r="987">
      <c r="A987" s="3" t="inlineStr">
        <is>
          <t>legacy</t>
        </is>
      </c>
      <c r="B987" s="3" t="inlineStr">
        <is>
          <t>14K Franco Chain Necklace, Authentic Yellow Gold Jewelry</t>
        </is>
      </c>
      <c r="C987" s="3" t="n">
        <v>1905857313</v>
      </c>
      <c r="D987" s="3" t="inlineStr">
        <is>
          <t>CFR6F-24</t>
        </is>
      </c>
      <c r="E987" s="3" t="inlineStr">
        <is>
          <t>description-scaled</t>
        </is>
      </c>
      <c r="F987" s="14" t="n">
        <v>4089</v>
      </c>
      <c r="G987" s="17" t="n">
        <v>23.82</v>
      </c>
      <c r="H987" s="14">
        <f>IF(G987="","",G987*Ayarlar!$B$3+Ayarlar!$B$4+Ayarlar!$B$5)</f>
        <v/>
      </c>
      <c r="I987" s="14">
        <f>IF(G987="","",ROUNDUP(((G987*Ayarlar!$B$3+Ayarlar!$B$4+Ayarlar!$B$5)+Ayarlar!$B$8)/((1-Ayarlar!$B$6)*(1-Ayarlar!$B$7)),0))</f>
        <v/>
      </c>
      <c r="J987" s="14">
        <f>IF(G987="","",ROUNDUP(((G987*Ayarlar!$B$3+Ayarlar!$B$4+Ayarlar!$B$5)+Ayarlar!$B$8)/((1-Ayarlar!$B$6)*(1-Ayarlar!$B$7-Ayarlar!$B$9)),0))</f>
        <v/>
      </c>
      <c r="K987" s="15">
        <f>IF(OR(G987="",F987=""),"",(F987*(1-Ayarlar!$B$6)-(F987*(1-Ayarlar!$B$6)*Ayarlar!$B$7+Ayarlar!$B$8)-(G987*Ayarlar!$B$3+Ayarlar!$B$4+Ayarlar!$B$5))/(F987*(1-Ayarlar!$B$6)))</f>
        <v/>
      </c>
      <c r="L987" s="3">
        <f>IF(G987="","GRAM EKSİK",IF(F987&gt;30000,"FİYAT ŞÜPHELİ",IF(K987&lt;0,"ZARARDA",IF(F987&lt;I987,"RİSKLİ","ok"))))</f>
        <v/>
      </c>
      <c r="M987" s="16" t="inlineStr">
        <is>
          <t>https://www.etsy.com/listing/1905857313</t>
        </is>
      </c>
    </row>
    <row r="988">
      <c r="A988" s="9" t="inlineStr">
        <is>
          <t>legacy</t>
        </is>
      </c>
      <c r="B988" s="9" t="inlineStr">
        <is>
          <t>14K Gold Ice Out Bracelet / Two Tone Diamond Cut Chain</t>
        </is>
      </c>
      <c r="C988" s="9" t="n">
        <v>1816649280</v>
      </c>
      <c r="D988" s="9" t="inlineStr">
        <is>
          <t>BICOY1-7</t>
        </is>
      </c>
      <c r="E988" s="9" t="inlineStr">
        <is>
          <t>description</t>
        </is>
      </c>
      <c r="F988" s="10" t="n">
        <v>599</v>
      </c>
      <c r="G988" s="18" t="n">
        <v>3.76</v>
      </c>
      <c r="H988" s="10">
        <f>IF(G988="","",G988*Ayarlar!$B$3+Ayarlar!$B$4+Ayarlar!$B$5)</f>
        <v/>
      </c>
      <c r="I988" s="10">
        <f>IF(G988="","",ROUNDUP(((G988*Ayarlar!$B$3+Ayarlar!$B$4+Ayarlar!$B$5)+Ayarlar!$B$8)/((1-Ayarlar!$B$6)*(1-Ayarlar!$B$7)),0))</f>
        <v/>
      </c>
      <c r="J988" s="10">
        <f>IF(G988="","",ROUNDUP(((G988*Ayarlar!$B$3+Ayarlar!$B$4+Ayarlar!$B$5)+Ayarlar!$B$8)/((1-Ayarlar!$B$6)*(1-Ayarlar!$B$7-Ayarlar!$B$9)),0))</f>
        <v/>
      </c>
      <c r="K988" s="12">
        <f>IF(OR(G988="",F988=""),"",(F988*(1-Ayarlar!$B$6)-(F988*(1-Ayarlar!$B$6)*Ayarlar!$B$7+Ayarlar!$B$8)-(G988*Ayarlar!$B$3+Ayarlar!$B$4+Ayarlar!$B$5))/(F988*(1-Ayarlar!$B$6)))</f>
        <v/>
      </c>
      <c r="L988" s="9">
        <f>IF(G988="","GRAM EKSİK",IF(F988&gt;30000,"FİYAT ŞÜPHELİ",IF(K988&lt;0,"ZARARDA",IF(F988&lt;I988,"RİSKLİ","ok"))))</f>
        <v/>
      </c>
      <c r="M988" s="13" t="inlineStr">
        <is>
          <t>https://www.etsy.com/listing/1816649280</t>
        </is>
      </c>
    </row>
    <row r="989">
      <c r="A989" s="3" t="inlineStr">
        <is>
          <t>legacy</t>
        </is>
      </c>
      <c r="B989" s="3" t="inlineStr">
        <is>
          <t>14K Gold Ice Out Bracelet / Two Tone Diamond Cut Chain</t>
        </is>
      </c>
      <c r="C989" s="3" t="n">
        <v>1816649280</v>
      </c>
      <c r="D989" s="3" t="inlineStr">
        <is>
          <t>BICOY1-7.5</t>
        </is>
      </c>
      <c r="E989" s="3" t="inlineStr">
        <is>
          <t>description</t>
        </is>
      </c>
      <c r="F989" s="14" t="n">
        <v>660</v>
      </c>
      <c r="G989" s="17" t="n">
        <v>4.03</v>
      </c>
      <c r="H989" s="14">
        <f>IF(G989="","",G989*Ayarlar!$B$3+Ayarlar!$B$4+Ayarlar!$B$5)</f>
        <v/>
      </c>
      <c r="I989" s="14">
        <f>IF(G989="","",ROUNDUP(((G989*Ayarlar!$B$3+Ayarlar!$B$4+Ayarlar!$B$5)+Ayarlar!$B$8)/((1-Ayarlar!$B$6)*(1-Ayarlar!$B$7)),0))</f>
        <v/>
      </c>
      <c r="J989" s="14">
        <f>IF(G989="","",ROUNDUP(((G989*Ayarlar!$B$3+Ayarlar!$B$4+Ayarlar!$B$5)+Ayarlar!$B$8)/((1-Ayarlar!$B$6)*(1-Ayarlar!$B$7-Ayarlar!$B$9)),0))</f>
        <v/>
      </c>
      <c r="K989" s="15">
        <f>IF(OR(G989="",F989=""),"",(F989*(1-Ayarlar!$B$6)-(F989*(1-Ayarlar!$B$6)*Ayarlar!$B$7+Ayarlar!$B$8)-(G989*Ayarlar!$B$3+Ayarlar!$B$4+Ayarlar!$B$5))/(F989*(1-Ayarlar!$B$6)))</f>
        <v/>
      </c>
      <c r="L989" s="3">
        <f>IF(G989="","GRAM EKSİK",IF(F989&gt;30000,"FİYAT ŞÜPHELİ",IF(K989&lt;0,"ZARARDA",IF(F989&lt;I989,"RİSKLİ","ok"))))</f>
        <v/>
      </c>
      <c r="M989" s="16" t="inlineStr">
        <is>
          <t>https://www.etsy.com/listing/1816649280</t>
        </is>
      </c>
    </row>
    <row r="990">
      <c r="A990" s="9" t="inlineStr">
        <is>
          <t>legacy</t>
        </is>
      </c>
      <c r="B990" s="9" t="inlineStr">
        <is>
          <t>14K Gold Ice Out Bracelet / Two Tone Diamond Cut Chain</t>
        </is>
      </c>
      <c r="C990" s="9" t="n">
        <v>1816649280</v>
      </c>
      <c r="D990" s="9" t="inlineStr">
        <is>
          <t>BICOY1-8</t>
        </is>
      </c>
      <c r="E990" s="9" t="inlineStr">
        <is>
          <t>description</t>
        </is>
      </c>
      <c r="F990" s="10" t="n">
        <v>776</v>
      </c>
      <c r="G990" s="18" t="n">
        <v>4.3</v>
      </c>
      <c r="H990" s="10">
        <f>IF(G990="","",G990*Ayarlar!$B$3+Ayarlar!$B$4+Ayarlar!$B$5)</f>
        <v/>
      </c>
      <c r="I990" s="10">
        <f>IF(G990="","",ROUNDUP(((G990*Ayarlar!$B$3+Ayarlar!$B$4+Ayarlar!$B$5)+Ayarlar!$B$8)/((1-Ayarlar!$B$6)*(1-Ayarlar!$B$7)),0))</f>
        <v/>
      </c>
      <c r="J990" s="10">
        <f>IF(G990="","",ROUNDUP(((G990*Ayarlar!$B$3+Ayarlar!$B$4+Ayarlar!$B$5)+Ayarlar!$B$8)/((1-Ayarlar!$B$6)*(1-Ayarlar!$B$7-Ayarlar!$B$9)),0))</f>
        <v/>
      </c>
      <c r="K990" s="12">
        <f>IF(OR(G990="",F990=""),"",(F990*(1-Ayarlar!$B$6)-(F990*(1-Ayarlar!$B$6)*Ayarlar!$B$7+Ayarlar!$B$8)-(G990*Ayarlar!$B$3+Ayarlar!$B$4+Ayarlar!$B$5))/(F990*(1-Ayarlar!$B$6)))</f>
        <v/>
      </c>
      <c r="L990" s="9">
        <f>IF(G990="","GRAM EKSİK",IF(F990&gt;30000,"FİYAT ŞÜPHELİ",IF(K990&lt;0,"ZARARDA",IF(F990&lt;I990,"RİSKLİ","ok"))))</f>
        <v/>
      </c>
      <c r="M990" s="13" t="inlineStr">
        <is>
          <t>https://www.etsy.com/listing/1816649280</t>
        </is>
      </c>
    </row>
    <row r="991">
      <c r="A991" s="3" t="inlineStr">
        <is>
          <t>legacy</t>
        </is>
      </c>
      <c r="B991" s="3" t="inlineStr">
        <is>
          <t>14K Gold Ice Out Bracelet / Two Tone Diamond Cut Chain</t>
        </is>
      </c>
      <c r="C991" s="3" t="n">
        <v>1816649280</v>
      </c>
      <c r="D991" s="3" t="inlineStr">
        <is>
          <t>BICOY2-7</t>
        </is>
      </c>
      <c r="E991" s="3" t="inlineStr">
        <is>
          <t>description</t>
        </is>
      </c>
      <c r="F991" s="14" t="n">
        <v>1156</v>
      </c>
      <c r="G991" s="17" t="n">
        <v>6.13</v>
      </c>
      <c r="H991" s="14">
        <f>IF(G991="","",G991*Ayarlar!$B$3+Ayarlar!$B$4+Ayarlar!$B$5)</f>
        <v/>
      </c>
      <c r="I991" s="14">
        <f>IF(G991="","",ROUNDUP(((G991*Ayarlar!$B$3+Ayarlar!$B$4+Ayarlar!$B$5)+Ayarlar!$B$8)/((1-Ayarlar!$B$6)*(1-Ayarlar!$B$7)),0))</f>
        <v/>
      </c>
      <c r="J991" s="14">
        <f>IF(G991="","",ROUNDUP(((G991*Ayarlar!$B$3+Ayarlar!$B$4+Ayarlar!$B$5)+Ayarlar!$B$8)/((1-Ayarlar!$B$6)*(1-Ayarlar!$B$7-Ayarlar!$B$9)),0))</f>
        <v/>
      </c>
      <c r="K991" s="15">
        <f>IF(OR(G991="",F991=""),"",(F991*(1-Ayarlar!$B$6)-(F991*(1-Ayarlar!$B$6)*Ayarlar!$B$7+Ayarlar!$B$8)-(G991*Ayarlar!$B$3+Ayarlar!$B$4+Ayarlar!$B$5))/(F991*(1-Ayarlar!$B$6)))</f>
        <v/>
      </c>
      <c r="L991" s="3">
        <f>IF(G991="","GRAM EKSİK",IF(F991&gt;30000,"FİYAT ŞÜPHELİ",IF(K991&lt;0,"ZARARDA",IF(F991&lt;I991,"RİSKLİ","ok"))))</f>
        <v/>
      </c>
      <c r="M991" s="16" t="inlineStr">
        <is>
          <t>https://www.etsy.com/listing/1816649280</t>
        </is>
      </c>
    </row>
    <row r="992">
      <c r="A992" s="9" t="inlineStr">
        <is>
          <t>legacy</t>
        </is>
      </c>
      <c r="B992" s="9" t="inlineStr">
        <is>
          <t>14K Gold Ice Out Bracelet / Two Tone Diamond Cut Chain</t>
        </is>
      </c>
      <c r="C992" s="9" t="n">
        <v>1816649280</v>
      </c>
      <c r="D992" s="9" t="inlineStr">
        <is>
          <t>BICOY2-7.5</t>
        </is>
      </c>
      <c r="E992" s="9" t="inlineStr">
        <is>
          <t>description</t>
        </is>
      </c>
      <c r="F992" s="10" t="n">
        <v>1193</v>
      </c>
      <c r="G992" s="18" t="n">
        <v>6.56</v>
      </c>
      <c r="H992" s="10">
        <f>IF(G992="","",G992*Ayarlar!$B$3+Ayarlar!$B$4+Ayarlar!$B$5)</f>
        <v/>
      </c>
      <c r="I992" s="10">
        <f>IF(G992="","",ROUNDUP(((G992*Ayarlar!$B$3+Ayarlar!$B$4+Ayarlar!$B$5)+Ayarlar!$B$8)/((1-Ayarlar!$B$6)*(1-Ayarlar!$B$7)),0))</f>
        <v/>
      </c>
      <c r="J992" s="10">
        <f>IF(G992="","",ROUNDUP(((G992*Ayarlar!$B$3+Ayarlar!$B$4+Ayarlar!$B$5)+Ayarlar!$B$8)/((1-Ayarlar!$B$6)*(1-Ayarlar!$B$7-Ayarlar!$B$9)),0))</f>
        <v/>
      </c>
      <c r="K992" s="12">
        <f>IF(OR(G992="",F992=""),"",(F992*(1-Ayarlar!$B$6)-(F992*(1-Ayarlar!$B$6)*Ayarlar!$B$7+Ayarlar!$B$8)-(G992*Ayarlar!$B$3+Ayarlar!$B$4+Ayarlar!$B$5))/(F992*(1-Ayarlar!$B$6)))</f>
        <v/>
      </c>
      <c r="L992" s="9">
        <f>IF(G992="","GRAM EKSİK",IF(F992&gt;30000,"FİYAT ŞÜPHELİ",IF(K992&lt;0,"ZARARDA",IF(F992&lt;I992,"RİSKLİ","ok"))))</f>
        <v/>
      </c>
      <c r="M992" s="13" t="inlineStr">
        <is>
          <t>https://www.etsy.com/listing/1816649280</t>
        </is>
      </c>
    </row>
    <row r="993">
      <c r="A993" s="3" t="inlineStr">
        <is>
          <t>legacy</t>
        </is>
      </c>
      <c r="B993" s="3" t="inlineStr">
        <is>
          <t>14K Gold Ice Out Bracelet / Two Tone Diamond Cut Chain</t>
        </is>
      </c>
      <c r="C993" s="3" t="n">
        <v>1816649280</v>
      </c>
      <c r="D993" s="3" t="inlineStr">
        <is>
          <t>BICOY2-8</t>
        </is>
      </c>
      <c r="E993" s="3" t="inlineStr">
        <is>
          <t>description</t>
        </is>
      </c>
      <c r="F993" s="14" t="n">
        <v>1312</v>
      </c>
      <c r="G993" s="17" t="n">
        <v>7</v>
      </c>
      <c r="H993" s="14">
        <f>IF(G993="","",G993*Ayarlar!$B$3+Ayarlar!$B$4+Ayarlar!$B$5)</f>
        <v/>
      </c>
      <c r="I993" s="14">
        <f>IF(G993="","",ROUNDUP(((G993*Ayarlar!$B$3+Ayarlar!$B$4+Ayarlar!$B$5)+Ayarlar!$B$8)/((1-Ayarlar!$B$6)*(1-Ayarlar!$B$7)),0))</f>
        <v/>
      </c>
      <c r="J993" s="14">
        <f>IF(G993="","",ROUNDUP(((G993*Ayarlar!$B$3+Ayarlar!$B$4+Ayarlar!$B$5)+Ayarlar!$B$8)/((1-Ayarlar!$B$6)*(1-Ayarlar!$B$7-Ayarlar!$B$9)),0))</f>
        <v/>
      </c>
      <c r="K993" s="15">
        <f>IF(OR(G993="",F993=""),"",(F993*(1-Ayarlar!$B$6)-(F993*(1-Ayarlar!$B$6)*Ayarlar!$B$7+Ayarlar!$B$8)-(G993*Ayarlar!$B$3+Ayarlar!$B$4+Ayarlar!$B$5))/(F993*(1-Ayarlar!$B$6)))</f>
        <v/>
      </c>
      <c r="L993" s="3">
        <f>IF(G993="","GRAM EKSİK",IF(F993&gt;30000,"FİYAT ŞÜPHELİ",IF(K993&lt;0,"ZARARDA",IF(F993&lt;I993,"RİSKLİ","ok"))))</f>
        <v/>
      </c>
      <c r="M993" s="16" t="inlineStr">
        <is>
          <t>https://www.etsy.com/listing/1816649280</t>
        </is>
      </c>
    </row>
    <row r="994">
      <c r="A994" s="9" t="inlineStr">
        <is>
          <t>legacy</t>
        </is>
      </c>
      <c r="B994" s="9" t="inlineStr">
        <is>
          <t>14K Gold Ice Out Bracelet / Two Tone Diamond Cut Chain</t>
        </is>
      </c>
      <c r="C994" s="9" t="n">
        <v>1816649280</v>
      </c>
      <c r="D994" s="9" t="inlineStr">
        <is>
          <t>BICOY3-7</t>
        </is>
      </c>
      <c r="E994" s="9" t="inlineStr">
        <is>
          <t>description</t>
        </is>
      </c>
      <c r="F994" s="10" t="n">
        <v>1316</v>
      </c>
      <c r="G994" s="18" t="n">
        <v>7.7</v>
      </c>
      <c r="H994" s="10">
        <f>IF(G994="","",G994*Ayarlar!$B$3+Ayarlar!$B$4+Ayarlar!$B$5)</f>
        <v/>
      </c>
      <c r="I994" s="10">
        <f>IF(G994="","",ROUNDUP(((G994*Ayarlar!$B$3+Ayarlar!$B$4+Ayarlar!$B$5)+Ayarlar!$B$8)/((1-Ayarlar!$B$6)*(1-Ayarlar!$B$7)),0))</f>
        <v/>
      </c>
      <c r="J994" s="10">
        <f>IF(G994="","",ROUNDUP(((G994*Ayarlar!$B$3+Ayarlar!$B$4+Ayarlar!$B$5)+Ayarlar!$B$8)/((1-Ayarlar!$B$6)*(1-Ayarlar!$B$7-Ayarlar!$B$9)),0))</f>
        <v/>
      </c>
      <c r="K994" s="12">
        <f>IF(OR(G994="",F994=""),"",(F994*(1-Ayarlar!$B$6)-(F994*(1-Ayarlar!$B$6)*Ayarlar!$B$7+Ayarlar!$B$8)-(G994*Ayarlar!$B$3+Ayarlar!$B$4+Ayarlar!$B$5))/(F994*(1-Ayarlar!$B$6)))</f>
        <v/>
      </c>
      <c r="L994" s="9">
        <f>IF(G994="","GRAM EKSİK",IF(F994&gt;30000,"FİYAT ŞÜPHELİ",IF(K994&lt;0,"ZARARDA",IF(F994&lt;I994,"RİSKLİ","ok"))))</f>
        <v/>
      </c>
      <c r="M994" s="13" t="inlineStr">
        <is>
          <t>https://www.etsy.com/listing/1816649280</t>
        </is>
      </c>
    </row>
    <row r="995">
      <c r="A995" s="3" t="inlineStr">
        <is>
          <t>legacy</t>
        </is>
      </c>
      <c r="B995" s="3" t="inlineStr">
        <is>
          <t>14K Gold Ice Out Bracelet / Two Tone Diamond Cut Chain</t>
        </is>
      </c>
      <c r="C995" s="3" t="n">
        <v>1816649280</v>
      </c>
      <c r="D995" s="3" t="inlineStr">
        <is>
          <t>BICOY3-7.5</t>
        </is>
      </c>
      <c r="E995" s="3" t="inlineStr">
        <is>
          <t>description</t>
        </is>
      </c>
      <c r="F995" s="14" t="n">
        <v>1463</v>
      </c>
      <c r="G995" s="17" t="n">
        <v>8.25</v>
      </c>
      <c r="H995" s="14">
        <f>IF(G995="","",G995*Ayarlar!$B$3+Ayarlar!$B$4+Ayarlar!$B$5)</f>
        <v/>
      </c>
      <c r="I995" s="14">
        <f>IF(G995="","",ROUNDUP(((G995*Ayarlar!$B$3+Ayarlar!$B$4+Ayarlar!$B$5)+Ayarlar!$B$8)/((1-Ayarlar!$B$6)*(1-Ayarlar!$B$7)),0))</f>
        <v/>
      </c>
      <c r="J995" s="14">
        <f>IF(G995="","",ROUNDUP(((G995*Ayarlar!$B$3+Ayarlar!$B$4+Ayarlar!$B$5)+Ayarlar!$B$8)/((1-Ayarlar!$B$6)*(1-Ayarlar!$B$7-Ayarlar!$B$9)),0))</f>
        <v/>
      </c>
      <c r="K995" s="15">
        <f>IF(OR(G995="",F995=""),"",(F995*(1-Ayarlar!$B$6)-(F995*(1-Ayarlar!$B$6)*Ayarlar!$B$7+Ayarlar!$B$8)-(G995*Ayarlar!$B$3+Ayarlar!$B$4+Ayarlar!$B$5))/(F995*(1-Ayarlar!$B$6)))</f>
        <v/>
      </c>
      <c r="L995" s="3">
        <f>IF(G995="","GRAM EKSİK",IF(F995&gt;30000,"FİYAT ŞÜPHELİ",IF(K995&lt;0,"ZARARDA",IF(F995&lt;I995,"RİSKLİ","ok"))))</f>
        <v/>
      </c>
      <c r="M995" s="16" t="inlineStr">
        <is>
          <t>https://www.etsy.com/listing/1816649280</t>
        </is>
      </c>
    </row>
    <row r="996">
      <c r="A996" s="9" t="inlineStr">
        <is>
          <t>legacy</t>
        </is>
      </c>
      <c r="B996" s="9" t="inlineStr">
        <is>
          <t>14K Gold Ice Out Bracelet / Two Tone Diamond Cut Chain</t>
        </is>
      </c>
      <c r="C996" s="9" t="n">
        <v>1816649280</v>
      </c>
      <c r="D996" s="9" t="inlineStr">
        <is>
          <t>BICOY3-8</t>
        </is>
      </c>
      <c r="E996" s="9" t="inlineStr">
        <is>
          <t>description</t>
        </is>
      </c>
      <c r="F996" s="10" t="n">
        <v>1552</v>
      </c>
      <c r="G996" s="18" t="n">
        <v>8.800000000000001</v>
      </c>
      <c r="H996" s="10">
        <f>IF(G996="","",G996*Ayarlar!$B$3+Ayarlar!$B$4+Ayarlar!$B$5)</f>
        <v/>
      </c>
      <c r="I996" s="10">
        <f>IF(G996="","",ROUNDUP(((G996*Ayarlar!$B$3+Ayarlar!$B$4+Ayarlar!$B$5)+Ayarlar!$B$8)/((1-Ayarlar!$B$6)*(1-Ayarlar!$B$7)),0))</f>
        <v/>
      </c>
      <c r="J996" s="10">
        <f>IF(G996="","",ROUNDUP(((G996*Ayarlar!$B$3+Ayarlar!$B$4+Ayarlar!$B$5)+Ayarlar!$B$8)/((1-Ayarlar!$B$6)*(1-Ayarlar!$B$7-Ayarlar!$B$9)),0))</f>
        <v/>
      </c>
      <c r="K996" s="12">
        <f>IF(OR(G996="",F996=""),"",(F996*(1-Ayarlar!$B$6)-(F996*(1-Ayarlar!$B$6)*Ayarlar!$B$7+Ayarlar!$B$8)-(G996*Ayarlar!$B$3+Ayarlar!$B$4+Ayarlar!$B$5))/(F996*(1-Ayarlar!$B$6)))</f>
        <v/>
      </c>
      <c r="L996" s="9">
        <f>IF(G996="","GRAM EKSİK",IF(F996&gt;30000,"FİYAT ŞÜPHELİ",IF(K996&lt;0,"ZARARDA",IF(F996&lt;I996,"RİSKLİ","ok"))))</f>
        <v/>
      </c>
      <c r="M996" s="13" t="inlineStr">
        <is>
          <t>https://www.etsy.com/listing/1816649280</t>
        </is>
      </c>
    </row>
    <row r="997">
      <c r="A997" s="3" t="inlineStr">
        <is>
          <t>legacy</t>
        </is>
      </c>
      <c r="B997" s="3" t="inlineStr">
        <is>
          <t>14K Gold Ice Out Bracelet / Two Tone Diamond Cut Chain</t>
        </is>
      </c>
      <c r="C997" s="3" t="n">
        <v>1816649280</v>
      </c>
      <c r="D997" s="3" t="inlineStr">
        <is>
          <t>BICOY4-7</t>
        </is>
      </c>
      <c r="E997" s="3" t="inlineStr">
        <is>
          <t>description</t>
        </is>
      </c>
      <c r="F997" s="14" t="n">
        <v>1696</v>
      </c>
      <c r="G997" s="17" t="n">
        <v>9.630000000000001</v>
      </c>
      <c r="H997" s="14">
        <f>IF(G997="","",G997*Ayarlar!$B$3+Ayarlar!$B$4+Ayarlar!$B$5)</f>
        <v/>
      </c>
      <c r="I997" s="14">
        <f>IF(G997="","",ROUNDUP(((G997*Ayarlar!$B$3+Ayarlar!$B$4+Ayarlar!$B$5)+Ayarlar!$B$8)/((1-Ayarlar!$B$6)*(1-Ayarlar!$B$7)),0))</f>
        <v/>
      </c>
      <c r="J997" s="14">
        <f>IF(G997="","",ROUNDUP(((G997*Ayarlar!$B$3+Ayarlar!$B$4+Ayarlar!$B$5)+Ayarlar!$B$8)/((1-Ayarlar!$B$6)*(1-Ayarlar!$B$7-Ayarlar!$B$9)),0))</f>
        <v/>
      </c>
      <c r="K997" s="15">
        <f>IF(OR(G997="",F997=""),"",(F997*(1-Ayarlar!$B$6)-(F997*(1-Ayarlar!$B$6)*Ayarlar!$B$7+Ayarlar!$B$8)-(G997*Ayarlar!$B$3+Ayarlar!$B$4+Ayarlar!$B$5))/(F997*(1-Ayarlar!$B$6)))</f>
        <v/>
      </c>
      <c r="L997" s="3">
        <f>IF(G997="","GRAM EKSİK",IF(F997&gt;30000,"FİYAT ŞÜPHELİ",IF(K997&lt;0,"ZARARDA",IF(F997&lt;I997,"RİSKLİ","ok"))))</f>
        <v/>
      </c>
      <c r="M997" s="16" t="inlineStr">
        <is>
          <t>https://www.etsy.com/listing/1816649280</t>
        </is>
      </c>
    </row>
    <row r="998">
      <c r="A998" s="9" t="inlineStr">
        <is>
          <t>legacy</t>
        </is>
      </c>
      <c r="B998" s="9" t="inlineStr">
        <is>
          <t>14K Gold Ice Out Bracelet / Two Tone Diamond Cut Chain</t>
        </is>
      </c>
      <c r="C998" s="9" t="n">
        <v>1816649280</v>
      </c>
      <c r="D998" s="9" t="inlineStr">
        <is>
          <t>BICOY4-7.5</t>
        </is>
      </c>
      <c r="E998" s="9" t="inlineStr">
        <is>
          <t>description</t>
        </is>
      </c>
      <c r="F998" s="10" t="n">
        <v>1793</v>
      </c>
      <c r="G998" s="18" t="n">
        <v>10.31</v>
      </c>
      <c r="H998" s="10">
        <f>IF(G998="","",G998*Ayarlar!$B$3+Ayarlar!$B$4+Ayarlar!$B$5)</f>
        <v/>
      </c>
      <c r="I998" s="10">
        <f>IF(G998="","",ROUNDUP(((G998*Ayarlar!$B$3+Ayarlar!$B$4+Ayarlar!$B$5)+Ayarlar!$B$8)/((1-Ayarlar!$B$6)*(1-Ayarlar!$B$7)),0))</f>
        <v/>
      </c>
      <c r="J998" s="10">
        <f>IF(G998="","",ROUNDUP(((G998*Ayarlar!$B$3+Ayarlar!$B$4+Ayarlar!$B$5)+Ayarlar!$B$8)/((1-Ayarlar!$B$6)*(1-Ayarlar!$B$7-Ayarlar!$B$9)),0))</f>
        <v/>
      </c>
      <c r="K998" s="12">
        <f>IF(OR(G998="",F998=""),"",(F998*(1-Ayarlar!$B$6)-(F998*(1-Ayarlar!$B$6)*Ayarlar!$B$7+Ayarlar!$B$8)-(G998*Ayarlar!$B$3+Ayarlar!$B$4+Ayarlar!$B$5))/(F998*(1-Ayarlar!$B$6)))</f>
        <v/>
      </c>
      <c r="L998" s="9">
        <f>IF(G998="","GRAM EKSİK",IF(F998&gt;30000,"FİYAT ŞÜPHELİ",IF(K998&lt;0,"ZARARDA",IF(F998&lt;I998,"RİSKLİ","ok"))))</f>
        <v/>
      </c>
      <c r="M998" s="13" t="inlineStr">
        <is>
          <t>https://www.etsy.com/listing/1816649280</t>
        </is>
      </c>
    </row>
    <row r="999">
      <c r="A999" s="3" t="inlineStr">
        <is>
          <t>legacy</t>
        </is>
      </c>
      <c r="B999" s="3" t="inlineStr">
        <is>
          <t>14K Gold Ice Out Bracelet / Two Tone Diamond Cut Chain</t>
        </is>
      </c>
      <c r="C999" s="3" t="n">
        <v>1816649280</v>
      </c>
      <c r="D999" s="3" t="inlineStr">
        <is>
          <t>BICOY4-8</t>
        </is>
      </c>
      <c r="E999" s="3" t="inlineStr">
        <is>
          <t>description</t>
        </is>
      </c>
      <c r="F999" s="14" t="n">
        <v>1912</v>
      </c>
      <c r="G999" s="17" t="n">
        <v>11</v>
      </c>
      <c r="H999" s="14">
        <f>IF(G999="","",G999*Ayarlar!$B$3+Ayarlar!$B$4+Ayarlar!$B$5)</f>
        <v/>
      </c>
      <c r="I999" s="14">
        <f>IF(G999="","",ROUNDUP(((G999*Ayarlar!$B$3+Ayarlar!$B$4+Ayarlar!$B$5)+Ayarlar!$B$8)/((1-Ayarlar!$B$6)*(1-Ayarlar!$B$7)),0))</f>
        <v/>
      </c>
      <c r="J999" s="14">
        <f>IF(G999="","",ROUNDUP(((G999*Ayarlar!$B$3+Ayarlar!$B$4+Ayarlar!$B$5)+Ayarlar!$B$8)/((1-Ayarlar!$B$6)*(1-Ayarlar!$B$7-Ayarlar!$B$9)),0))</f>
        <v/>
      </c>
      <c r="K999" s="15">
        <f>IF(OR(G999="",F999=""),"",(F999*(1-Ayarlar!$B$6)-(F999*(1-Ayarlar!$B$6)*Ayarlar!$B$7+Ayarlar!$B$8)-(G999*Ayarlar!$B$3+Ayarlar!$B$4+Ayarlar!$B$5))/(F999*(1-Ayarlar!$B$6)))</f>
        <v/>
      </c>
      <c r="L999" s="3">
        <f>IF(G999="","GRAM EKSİK",IF(F999&gt;30000,"FİYAT ŞÜPHELİ",IF(K999&lt;0,"ZARARDA",IF(F999&lt;I999,"RİSKLİ","ok"))))</f>
        <v/>
      </c>
      <c r="M999" s="16" t="inlineStr">
        <is>
          <t>https://www.etsy.com/listing/1816649280</t>
        </is>
      </c>
    </row>
    <row r="1000">
      <c r="A1000" s="9" t="inlineStr">
        <is>
          <t>legacy</t>
        </is>
      </c>
      <c r="B1000" s="9" t="inlineStr">
        <is>
          <t>14K Gold Miami Cuban Link Chain – Shiny CZ Box Lock Curb Cha</t>
        </is>
      </c>
      <c r="C1000" s="9" t="n">
        <v>1877080307</v>
      </c>
      <c r="D1000" s="9" t="inlineStr">
        <is>
          <t>CMNP5-16</t>
        </is>
      </c>
      <c r="E1000" s="9" t="inlineStr">
        <is>
          <t>description</t>
        </is>
      </c>
      <c r="F1000" s="10" t="n">
        <v>1809</v>
      </c>
      <c r="G1000" s="18" t="n">
        <v>10.95</v>
      </c>
      <c r="H1000" s="10">
        <f>IF(G1000="","",G1000*Ayarlar!$B$3+Ayarlar!$B$4+Ayarlar!$B$5)</f>
        <v/>
      </c>
      <c r="I1000" s="10">
        <f>IF(G1000="","",ROUNDUP(((G1000*Ayarlar!$B$3+Ayarlar!$B$4+Ayarlar!$B$5)+Ayarlar!$B$8)/((1-Ayarlar!$B$6)*(1-Ayarlar!$B$7)),0))</f>
        <v/>
      </c>
      <c r="J1000" s="10">
        <f>IF(G1000="","",ROUNDUP(((G1000*Ayarlar!$B$3+Ayarlar!$B$4+Ayarlar!$B$5)+Ayarlar!$B$8)/((1-Ayarlar!$B$6)*(1-Ayarlar!$B$7-Ayarlar!$B$9)),0))</f>
        <v/>
      </c>
      <c r="K1000" s="12">
        <f>IF(OR(G1000="",F1000=""),"",(F1000*(1-Ayarlar!$B$6)-(F1000*(1-Ayarlar!$B$6)*Ayarlar!$B$7+Ayarlar!$B$8)-(G1000*Ayarlar!$B$3+Ayarlar!$B$4+Ayarlar!$B$5))/(F1000*(1-Ayarlar!$B$6)))</f>
        <v/>
      </c>
      <c r="L1000" s="9">
        <f>IF(G1000="","GRAM EKSİK",IF(F1000&gt;30000,"FİYAT ŞÜPHELİ",IF(K1000&lt;0,"ZARARDA",IF(F1000&lt;I1000,"RİSKLİ","ok"))))</f>
        <v/>
      </c>
      <c r="M1000" s="13" t="inlineStr">
        <is>
          <t>https://www.etsy.com/listing/1877080307</t>
        </is>
      </c>
    </row>
    <row r="1001">
      <c r="A1001" s="3" t="inlineStr">
        <is>
          <t>legacy</t>
        </is>
      </c>
      <c r="B1001" s="3" t="inlineStr">
        <is>
          <t>14K Gold Miami Cuban Link Chain – Shiny CZ Box Lock Curb Cha</t>
        </is>
      </c>
      <c r="C1001" s="3" t="n">
        <v>1877080307</v>
      </c>
      <c r="D1001" s="3" t="inlineStr">
        <is>
          <t>CMNP5-18</t>
        </is>
      </c>
      <c r="E1001" s="3" t="inlineStr">
        <is>
          <t>description</t>
        </is>
      </c>
      <c r="F1001" s="14" t="n">
        <v>2050</v>
      </c>
      <c r="G1001" s="17" t="n">
        <v>12.32</v>
      </c>
      <c r="H1001" s="14">
        <f>IF(G1001="","",G1001*Ayarlar!$B$3+Ayarlar!$B$4+Ayarlar!$B$5)</f>
        <v/>
      </c>
      <c r="I1001" s="14">
        <f>IF(G1001="","",ROUNDUP(((G1001*Ayarlar!$B$3+Ayarlar!$B$4+Ayarlar!$B$5)+Ayarlar!$B$8)/((1-Ayarlar!$B$6)*(1-Ayarlar!$B$7)),0))</f>
        <v/>
      </c>
      <c r="J1001" s="14">
        <f>IF(G1001="","",ROUNDUP(((G1001*Ayarlar!$B$3+Ayarlar!$B$4+Ayarlar!$B$5)+Ayarlar!$B$8)/((1-Ayarlar!$B$6)*(1-Ayarlar!$B$7-Ayarlar!$B$9)),0))</f>
        <v/>
      </c>
      <c r="K1001" s="15">
        <f>IF(OR(G1001="",F1001=""),"",(F1001*(1-Ayarlar!$B$6)-(F1001*(1-Ayarlar!$B$6)*Ayarlar!$B$7+Ayarlar!$B$8)-(G1001*Ayarlar!$B$3+Ayarlar!$B$4+Ayarlar!$B$5))/(F1001*(1-Ayarlar!$B$6)))</f>
        <v/>
      </c>
      <c r="L1001" s="3">
        <f>IF(G1001="","GRAM EKSİK",IF(F1001&gt;30000,"FİYAT ŞÜPHELİ",IF(K1001&lt;0,"ZARARDA",IF(F1001&lt;I1001,"RİSKLİ","ok"))))</f>
        <v/>
      </c>
      <c r="M1001" s="16" t="inlineStr">
        <is>
          <t>https://www.etsy.com/listing/1877080307</t>
        </is>
      </c>
    </row>
    <row r="1002">
      <c r="A1002" s="9" t="inlineStr">
        <is>
          <t>legacy</t>
        </is>
      </c>
      <c r="B1002" s="9" t="inlineStr">
        <is>
          <t>14K Gold Miami Cuban Link Chain – Shiny CZ Box Lock Curb Cha</t>
        </is>
      </c>
      <c r="C1002" s="9" t="n">
        <v>1877080307</v>
      </c>
      <c r="D1002" s="9" t="inlineStr">
        <is>
          <t>CMNP5-20</t>
        </is>
      </c>
      <c r="E1002" s="9" t="inlineStr">
        <is>
          <t>description</t>
        </is>
      </c>
      <c r="F1002" s="10" t="n">
        <v>2292</v>
      </c>
      <c r="G1002" s="18" t="n">
        <v>13.69</v>
      </c>
      <c r="H1002" s="10">
        <f>IF(G1002="","",G1002*Ayarlar!$B$3+Ayarlar!$B$4+Ayarlar!$B$5)</f>
        <v/>
      </c>
      <c r="I1002" s="10">
        <f>IF(G1002="","",ROUNDUP(((G1002*Ayarlar!$B$3+Ayarlar!$B$4+Ayarlar!$B$5)+Ayarlar!$B$8)/((1-Ayarlar!$B$6)*(1-Ayarlar!$B$7)),0))</f>
        <v/>
      </c>
      <c r="J1002" s="10">
        <f>IF(G1002="","",ROUNDUP(((G1002*Ayarlar!$B$3+Ayarlar!$B$4+Ayarlar!$B$5)+Ayarlar!$B$8)/((1-Ayarlar!$B$6)*(1-Ayarlar!$B$7-Ayarlar!$B$9)),0))</f>
        <v/>
      </c>
      <c r="K1002" s="12">
        <f>IF(OR(G1002="",F1002=""),"",(F1002*(1-Ayarlar!$B$6)-(F1002*(1-Ayarlar!$B$6)*Ayarlar!$B$7+Ayarlar!$B$8)-(G1002*Ayarlar!$B$3+Ayarlar!$B$4+Ayarlar!$B$5))/(F1002*(1-Ayarlar!$B$6)))</f>
        <v/>
      </c>
      <c r="L1002" s="9">
        <f>IF(G1002="","GRAM EKSİK",IF(F1002&gt;30000,"FİYAT ŞÜPHELİ",IF(K1002&lt;0,"ZARARDA",IF(F1002&lt;I1002,"RİSKLİ","ok"))))</f>
        <v/>
      </c>
      <c r="M1002" s="13" t="inlineStr">
        <is>
          <t>https://www.etsy.com/listing/1877080307</t>
        </is>
      </c>
    </row>
    <row r="1003">
      <c r="A1003" s="3" t="inlineStr">
        <is>
          <t>legacy</t>
        </is>
      </c>
      <c r="B1003" s="3" t="inlineStr">
        <is>
          <t>14K Gold Miami Cuban Link Chain – Shiny CZ Box Lock Curb Cha</t>
        </is>
      </c>
      <c r="C1003" s="3" t="n">
        <v>1877080307</v>
      </c>
      <c r="D1003" s="3" t="inlineStr">
        <is>
          <t>CMNP5-22</t>
        </is>
      </c>
      <c r="E1003" s="3" t="inlineStr">
        <is>
          <t>description</t>
        </is>
      </c>
      <c r="F1003" s="14" t="n">
        <v>2532</v>
      </c>
      <c r="G1003" s="17" t="n">
        <v>15.06</v>
      </c>
      <c r="H1003" s="14">
        <f>IF(G1003="","",G1003*Ayarlar!$B$3+Ayarlar!$B$4+Ayarlar!$B$5)</f>
        <v/>
      </c>
      <c r="I1003" s="14">
        <f>IF(G1003="","",ROUNDUP(((G1003*Ayarlar!$B$3+Ayarlar!$B$4+Ayarlar!$B$5)+Ayarlar!$B$8)/((1-Ayarlar!$B$6)*(1-Ayarlar!$B$7)),0))</f>
        <v/>
      </c>
      <c r="J1003" s="14">
        <f>IF(G1003="","",ROUNDUP(((G1003*Ayarlar!$B$3+Ayarlar!$B$4+Ayarlar!$B$5)+Ayarlar!$B$8)/((1-Ayarlar!$B$6)*(1-Ayarlar!$B$7-Ayarlar!$B$9)),0))</f>
        <v/>
      </c>
      <c r="K1003" s="15">
        <f>IF(OR(G1003="",F1003=""),"",(F1003*(1-Ayarlar!$B$6)-(F1003*(1-Ayarlar!$B$6)*Ayarlar!$B$7+Ayarlar!$B$8)-(G1003*Ayarlar!$B$3+Ayarlar!$B$4+Ayarlar!$B$5))/(F1003*(1-Ayarlar!$B$6)))</f>
        <v/>
      </c>
      <c r="L1003" s="3">
        <f>IF(G1003="","GRAM EKSİK",IF(F1003&gt;30000,"FİYAT ŞÜPHELİ",IF(K1003&lt;0,"ZARARDA",IF(F1003&lt;I1003,"RİSKLİ","ok"))))</f>
        <v/>
      </c>
      <c r="M1003" s="16" t="inlineStr">
        <is>
          <t>https://www.etsy.com/listing/1877080307</t>
        </is>
      </c>
    </row>
    <row r="1004">
      <c r="A1004" s="9" t="inlineStr">
        <is>
          <t>legacy</t>
        </is>
      </c>
      <c r="B1004" s="9" t="inlineStr">
        <is>
          <t>14K Gold Miami Cuban Link Chain – Shiny CZ Box Lock Curb Cha</t>
        </is>
      </c>
      <c r="C1004" s="9" t="n">
        <v>1877080307</v>
      </c>
      <c r="D1004" s="9" t="inlineStr">
        <is>
          <t>CMNP5-24</t>
        </is>
      </c>
      <c r="E1004" s="9" t="inlineStr">
        <is>
          <t>description</t>
        </is>
      </c>
      <c r="F1004" s="10" t="n">
        <v>2773</v>
      </c>
      <c r="G1004" s="18" t="n">
        <v>16.43</v>
      </c>
      <c r="H1004" s="10">
        <f>IF(G1004="","",G1004*Ayarlar!$B$3+Ayarlar!$B$4+Ayarlar!$B$5)</f>
        <v/>
      </c>
      <c r="I1004" s="10">
        <f>IF(G1004="","",ROUNDUP(((G1004*Ayarlar!$B$3+Ayarlar!$B$4+Ayarlar!$B$5)+Ayarlar!$B$8)/((1-Ayarlar!$B$6)*(1-Ayarlar!$B$7)),0))</f>
        <v/>
      </c>
      <c r="J1004" s="10">
        <f>IF(G1004="","",ROUNDUP(((G1004*Ayarlar!$B$3+Ayarlar!$B$4+Ayarlar!$B$5)+Ayarlar!$B$8)/((1-Ayarlar!$B$6)*(1-Ayarlar!$B$7-Ayarlar!$B$9)),0))</f>
        <v/>
      </c>
      <c r="K1004" s="12">
        <f>IF(OR(G1004="",F1004=""),"",(F1004*(1-Ayarlar!$B$6)-(F1004*(1-Ayarlar!$B$6)*Ayarlar!$B$7+Ayarlar!$B$8)-(G1004*Ayarlar!$B$3+Ayarlar!$B$4+Ayarlar!$B$5))/(F1004*(1-Ayarlar!$B$6)))</f>
        <v/>
      </c>
      <c r="L1004" s="9">
        <f>IF(G1004="","GRAM EKSİK",IF(F1004&gt;30000,"FİYAT ŞÜPHELİ",IF(K1004&lt;0,"ZARARDA",IF(F1004&lt;I1004,"RİSKLİ","ok"))))</f>
        <v/>
      </c>
      <c r="M1004" s="13" t="inlineStr">
        <is>
          <t>https://www.etsy.com/listing/1877080307</t>
        </is>
      </c>
    </row>
    <row r="1005">
      <c r="A1005" s="3" t="inlineStr">
        <is>
          <t>legacy</t>
        </is>
      </c>
      <c r="B1005" s="3" t="inlineStr">
        <is>
          <t>14K Gold Miami Cuban Link Chain – Shiny CZ Box Lock Curb Cha</t>
        </is>
      </c>
      <c r="C1005" s="3" t="n">
        <v>1877080307</v>
      </c>
      <c r="D1005" s="3" t="inlineStr">
        <is>
          <t>CMNP6-16</t>
        </is>
      </c>
      <c r="E1005" s="3" t="inlineStr">
        <is>
          <t>description</t>
        </is>
      </c>
      <c r="F1005" s="14" t="n">
        <v>2293</v>
      </c>
      <c r="G1005" s="17" t="n">
        <v>14.05</v>
      </c>
      <c r="H1005" s="14">
        <f>IF(G1005="","",G1005*Ayarlar!$B$3+Ayarlar!$B$4+Ayarlar!$B$5)</f>
        <v/>
      </c>
      <c r="I1005" s="14">
        <f>IF(G1005="","",ROUNDUP(((G1005*Ayarlar!$B$3+Ayarlar!$B$4+Ayarlar!$B$5)+Ayarlar!$B$8)/((1-Ayarlar!$B$6)*(1-Ayarlar!$B$7)),0))</f>
        <v/>
      </c>
      <c r="J1005" s="14">
        <f>IF(G1005="","",ROUNDUP(((G1005*Ayarlar!$B$3+Ayarlar!$B$4+Ayarlar!$B$5)+Ayarlar!$B$8)/((1-Ayarlar!$B$6)*(1-Ayarlar!$B$7-Ayarlar!$B$9)),0))</f>
        <v/>
      </c>
      <c r="K1005" s="15">
        <f>IF(OR(G1005="",F1005=""),"",(F1005*(1-Ayarlar!$B$6)-(F1005*(1-Ayarlar!$B$6)*Ayarlar!$B$7+Ayarlar!$B$8)-(G1005*Ayarlar!$B$3+Ayarlar!$B$4+Ayarlar!$B$5))/(F1005*(1-Ayarlar!$B$6)))</f>
        <v/>
      </c>
      <c r="L1005" s="3">
        <f>IF(G1005="","GRAM EKSİK",IF(F1005&gt;30000,"FİYAT ŞÜPHELİ",IF(K1005&lt;0,"ZARARDA",IF(F1005&lt;I1005,"RİSKLİ","ok"))))</f>
        <v/>
      </c>
      <c r="M1005" s="16" t="inlineStr">
        <is>
          <t>https://www.etsy.com/listing/1877080307</t>
        </is>
      </c>
    </row>
    <row r="1006">
      <c r="A1006" s="9" t="inlineStr">
        <is>
          <t>legacy</t>
        </is>
      </c>
      <c r="B1006" s="9" t="inlineStr">
        <is>
          <t>14K Gold Miami Cuban Link Chain – Shiny CZ Box Lock Curb Cha</t>
        </is>
      </c>
      <c r="C1006" s="9" t="n">
        <v>1877080307</v>
      </c>
      <c r="D1006" s="9" t="inlineStr">
        <is>
          <t>CMNP6-18</t>
        </is>
      </c>
      <c r="E1006" s="9" t="inlineStr">
        <is>
          <t>description</t>
        </is>
      </c>
      <c r="F1006" s="10" t="n">
        <v>2652</v>
      </c>
      <c r="G1006" s="18" t="n">
        <v>15.81</v>
      </c>
      <c r="H1006" s="10">
        <f>IF(G1006="","",G1006*Ayarlar!$B$3+Ayarlar!$B$4+Ayarlar!$B$5)</f>
        <v/>
      </c>
      <c r="I1006" s="10">
        <f>IF(G1006="","",ROUNDUP(((G1006*Ayarlar!$B$3+Ayarlar!$B$4+Ayarlar!$B$5)+Ayarlar!$B$8)/((1-Ayarlar!$B$6)*(1-Ayarlar!$B$7)),0))</f>
        <v/>
      </c>
      <c r="J1006" s="10">
        <f>IF(G1006="","",ROUNDUP(((G1006*Ayarlar!$B$3+Ayarlar!$B$4+Ayarlar!$B$5)+Ayarlar!$B$8)/((1-Ayarlar!$B$6)*(1-Ayarlar!$B$7-Ayarlar!$B$9)),0))</f>
        <v/>
      </c>
      <c r="K1006" s="12">
        <f>IF(OR(G1006="",F1006=""),"",(F1006*(1-Ayarlar!$B$6)-(F1006*(1-Ayarlar!$B$6)*Ayarlar!$B$7+Ayarlar!$B$8)-(G1006*Ayarlar!$B$3+Ayarlar!$B$4+Ayarlar!$B$5))/(F1006*(1-Ayarlar!$B$6)))</f>
        <v/>
      </c>
      <c r="L1006" s="9">
        <f>IF(G1006="","GRAM EKSİK",IF(F1006&gt;30000,"FİYAT ŞÜPHELİ",IF(K1006&lt;0,"ZARARDA",IF(F1006&lt;I1006,"RİSKLİ","ok"))))</f>
        <v/>
      </c>
      <c r="M1006" s="13" t="inlineStr">
        <is>
          <t>https://www.etsy.com/listing/1877080307</t>
        </is>
      </c>
    </row>
    <row r="1007">
      <c r="A1007" s="3" t="inlineStr">
        <is>
          <t>legacy</t>
        </is>
      </c>
      <c r="B1007" s="3" t="inlineStr">
        <is>
          <t>14K Gold Miami Cuban Link Chain – Shiny CZ Box Lock Curb Cha</t>
        </is>
      </c>
      <c r="C1007" s="3" t="n">
        <v>1877080307</v>
      </c>
      <c r="D1007" s="3" t="inlineStr">
        <is>
          <t>CMNP6-20</t>
        </is>
      </c>
      <c r="E1007" s="3" t="inlineStr">
        <is>
          <t>description</t>
        </is>
      </c>
      <c r="F1007" s="14" t="n">
        <v>3012</v>
      </c>
      <c r="G1007" s="17" t="n">
        <v>17.56</v>
      </c>
      <c r="H1007" s="14">
        <f>IF(G1007="","",G1007*Ayarlar!$B$3+Ayarlar!$B$4+Ayarlar!$B$5)</f>
        <v/>
      </c>
      <c r="I1007" s="14">
        <f>IF(G1007="","",ROUNDUP(((G1007*Ayarlar!$B$3+Ayarlar!$B$4+Ayarlar!$B$5)+Ayarlar!$B$8)/((1-Ayarlar!$B$6)*(1-Ayarlar!$B$7)),0))</f>
        <v/>
      </c>
      <c r="J1007" s="14">
        <f>IF(G1007="","",ROUNDUP(((G1007*Ayarlar!$B$3+Ayarlar!$B$4+Ayarlar!$B$5)+Ayarlar!$B$8)/((1-Ayarlar!$B$6)*(1-Ayarlar!$B$7-Ayarlar!$B$9)),0))</f>
        <v/>
      </c>
      <c r="K1007" s="15">
        <f>IF(OR(G1007="",F1007=""),"",(F1007*(1-Ayarlar!$B$6)-(F1007*(1-Ayarlar!$B$6)*Ayarlar!$B$7+Ayarlar!$B$8)-(G1007*Ayarlar!$B$3+Ayarlar!$B$4+Ayarlar!$B$5))/(F1007*(1-Ayarlar!$B$6)))</f>
        <v/>
      </c>
      <c r="L1007" s="3">
        <f>IF(G1007="","GRAM EKSİK",IF(F1007&gt;30000,"FİYAT ŞÜPHELİ",IF(K1007&lt;0,"ZARARDA",IF(F1007&lt;I1007,"RİSKLİ","ok"))))</f>
        <v/>
      </c>
      <c r="M1007" s="16" t="inlineStr">
        <is>
          <t>https://www.etsy.com/listing/1877080307</t>
        </is>
      </c>
    </row>
    <row r="1008">
      <c r="A1008" s="9" t="inlineStr">
        <is>
          <t>legacy</t>
        </is>
      </c>
      <c r="B1008" s="9" t="inlineStr">
        <is>
          <t>14K Gold Miami Cuban Link Chain – Shiny CZ Box Lock Curb Cha</t>
        </is>
      </c>
      <c r="C1008" s="9" t="n">
        <v>1877080307</v>
      </c>
      <c r="D1008" s="9" t="inlineStr">
        <is>
          <t>CMNP6-22</t>
        </is>
      </c>
      <c r="E1008" s="9" t="inlineStr">
        <is>
          <t>description</t>
        </is>
      </c>
      <c r="F1008" s="10" t="n">
        <v>3371</v>
      </c>
      <c r="G1008" s="18" t="n">
        <v>19.32</v>
      </c>
      <c r="H1008" s="10">
        <f>IF(G1008="","",G1008*Ayarlar!$B$3+Ayarlar!$B$4+Ayarlar!$B$5)</f>
        <v/>
      </c>
      <c r="I1008" s="10">
        <f>IF(G1008="","",ROUNDUP(((G1008*Ayarlar!$B$3+Ayarlar!$B$4+Ayarlar!$B$5)+Ayarlar!$B$8)/((1-Ayarlar!$B$6)*(1-Ayarlar!$B$7)),0))</f>
        <v/>
      </c>
      <c r="J1008" s="10">
        <f>IF(G1008="","",ROUNDUP(((G1008*Ayarlar!$B$3+Ayarlar!$B$4+Ayarlar!$B$5)+Ayarlar!$B$8)/((1-Ayarlar!$B$6)*(1-Ayarlar!$B$7-Ayarlar!$B$9)),0))</f>
        <v/>
      </c>
      <c r="K1008" s="12">
        <f>IF(OR(G1008="",F1008=""),"",(F1008*(1-Ayarlar!$B$6)-(F1008*(1-Ayarlar!$B$6)*Ayarlar!$B$7+Ayarlar!$B$8)-(G1008*Ayarlar!$B$3+Ayarlar!$B$4+Ayarlar!$B$5))/(F1008*(1-Ayarlar!$B$6)))</f>
        <v/>
      </c>
      <c r="L1008" s="9">
        <f>IF(G1008="","GRAM EKSİK",IF(F1008&gt;30000,"FİYAT ŞÜPHELİ",IF(K1008&lt;0,"ZARARDA",IF(F1008&lt;I1008,"RİSKLİ","ok"))))</f>
        <v/>
      </c>
      <c r="M1008" s="13" t="inlineStr">
        <is>
          <t>https://www.etsy.com/listing/1877080307</t>
        </is>
      </c>
    </row>
    <row r="1009">
      <c r="A1009" s="3" t="inlineStr">
        <is>
          <t>legacy</t>
        </is>
      </c>
      <c r="B1009" s="3" t="inlineStr">
        <is>
          <t>14K Gold Miami Cuban Link Chain – Shiny CZ Box Lock Curb Cha</t>
        </is>
      </c>
      <c r="C1009" s="3" t="n">
        <v>1877080307</v>
      </c>
      <c r="D1009" s="3" t="inlineStr">
        <is>
          <t>CMNP6-24</t>
        </is>
      </c>
      <c r="E1009" s="3" t="inlineStr">
        <is>
          <t>description</t>
        </is>
      </c>
      <c r="F1009" s="14" t="n">
        <v>3730</v>
      </c>
      <c r="G1009" s="17" t="n">
        <v>21.08</v>
      </c>
      <c r="H1009" s="14">
        <f>IF(G1009="","",G1009*Ayarlar!$B$3+Ayarlar!$B$4+Ayarlar!$B$5)</f>
        <v/>
      </c>
      <c r="I1009" s="14">
        <f>IF(G1009="","",ROUNDUP(((G1009*Ayarlar!$B$3+Ayarlar!$B$4+Ayarlar!$B$5)+Ayarlar!$B$8)/((1-Ayarlar!$B$6)*(1-Ayarlar!$B$7)),0))</f>
        <v/>
      </c>
      <c r="J1009" s="14">
        <f>IF(G1009="","",ROUNDUP(((G1009*Ayarlar!$B$3+Ayarlar!$B$4+Ayarlar!$B$5)+Ayarlar!$B$8)/((1-Ayarlar!$B$6)*(1-Ayarlar!$B$7-Ayarlar!$B$9)),0))</f>
        <v/>
      </c>
      <c r="K1009" s="15">
        <f>IF(OR(G1009="",F1009=""),"",(F1009*(1-Ayarlar!$B$6)-(F1009*(1-Ayarlar!$B$6)*Ayarlar!$B$7+Ayarlar!$B$8)-(G1009*Ayarlar!$B$3+Ayarlar!$B$4+Ayarlar!$B$5))/(F1009*(1-Ayarlar!$B$6)))</f>
        <v/>
      </c>
      <c r="L1009" s="3">
        <f>IF(G1009="","GRAM EKSİK",IF(F1009&gt;30000,"FİYAT ŞÜPHELİ",IF(K1009&lt;0,"ZARARDA",IF(F1009&lt;I1009,"RİSKLİ","ok"))))</f>
        <v/>
      </c>
      <c r="M1009" s="16" t="inlineStr">
        <is>
          <t>https://www.etsy.com/listing/1877080307</t>
        </is>
      </c>
    </row>
    <row r="1010">
      <c r="A1010" s="9" t="inlineStr">
        <is>
          <t>legacy</t>
        </is>
      </c>
      <c r="B1010" s="9" t="inlineStr">
        <is>
          <t>14K Gold Miami Cuban Link Chain – Shiny CZ Box Lock Curb Cha</t>
        </is>
      </c>
      <c r="C1010" s="9" t="n">
        <v>1877080307</v>
      </c>
      <c r="D1010" s="9" t="inlineStr">
        <is>
          <t>CMNP9-16</t>
        </is>
      </c>
      <c r="E1010" s="9" t="inlineStr">
        <is>
          <t>description</t>
        </is>
      </c>
      <c r="F1010" s="10" t="n">
        <v>3859</v>
      </c>
      <c r="G1010" s="18" t="n">
        <v>23.15</v>
      </c>
      <c r="H1010" s="10">
        <f>IF(G1010="","",G1010*Ayarlar!$B$3+Ayarlar!$B$4+Ayarlar!$B$5)</f>
        <v/>
      </c>
      <c r="I1010" s="10">
        <f>IF(G1010="","",ROUNDUP(((G1010*Ayarlar!$B$3+Ayarlar!$B$4+Ayarlar!$B$5)+Ayarlar!$B$8)/((1-Ayarlar!$B$6)*(1-Ayarlar!$B$7)),0))</f>
        <v/>
      </c>
      <c r="J1010" s="10">
        <f>IF(G1010="","",ROUNDUP(((G1010*Ayarlar!$B$3+Ayarlar!$B$4+Ayarlar!$B$5)+Ayarlar!$B$8)/((1-Ayarlar!$B$6)*(1-Ayarlar!$B$7-Ayarlar!$B$9)),0))</f>
        <v/>
      </c>
      <c r="K1010" s="12">
        <f>IF(OR(G1010="",F1010=""),"",(F1010*(1-Ayarlar!$B$6)-(F1010*(1-Ayarlar!$B$6)*Ayarlar!$B$7+Ayarlar!$B$8)-(G1010*Ayarlar!$B$3+Ayarlar!$B$4+Ayarlar!$B$5))/(F1010*(1-Ayarlar!$B$6)))</f>
        <v/>
      </c>
      <c r="L1010" s="9">
        <f>IF(G1010="","GRAM EKSİK",IF(F1010&gt;30000,"FİYAT ŞÜPHELİ",IF(K1010&lt;0,"ZARARDA",IF(F1010&lt;I1010,"RİSKLİ","ok"))))</f>
        <v/>
      </c>
      <c r="M1010" s="13" t="inlineStr">
        <is>
          <t>https://www.etsy.com/listing/1877080307</t>
        </is>
      </c>
    </row>
    <row r="1011">
      <c r="A1011" s="3" t="inlineStr">
        <is>
          <t>legacy</t>
        </is>
      </c>
      <c r="B1011" s="3" t="inlineStr">
        <is>
          <t>14K Gold Miami Cuban Link Chain – Shiny CZ Box Lock Curb Cha</t>
        </is>
      </c>
      <c r="C1011" s="3" t="n">
        <v>1877080307</v>
      </c>
      <c r="D1011" s="3" t="inlineStr">
        <is>
          <t>CMNP9-18</t>
        </is>
      </c>
      <c r="E1011" s="3" t="inlineStr">
        <is>
          <t>description</t>
        </is>
      </c>
      <c r="F1011" s="14" t="n">
        <v>4342</v>
      </c>
      <c r="G1011" s="17" t="n">
        <v>26.04</v>
      </c>
      <c r="H1011" s="14">
        <f>IF(G1011="","",G1011*Ayarlar!$B$3+Ayarlar!$B$4+Ayarlar!$B$5)</f>
        <v/>
      </c>
      <c r="I1011" s="14">
        <f>IF(G1011="","",ROUNDUP(((G1011*Ayarlar!$B$3+Ayarlar!$B$4+Ayarlar!$B$5)+Ayarlar!$B$8)/((1-Ayarlar!$B$6)*(1-Ayarlar!$B$7)),0))</f>
        <v/>
      </c>
      <c r="J1011" s="14">
        <f>IF(G1011="","",ROUNDUP(((G1011*Ayarlar!$B$3+Ayarlar!$B$4+Ayarlar!$B$5)+Ayarlar!$B$8)/((1-Ayarlar!$B$6)*(1-Ayarlar!$B$7-Ayarlar!$B$9)),0))</f>
        <v/>
      </c>
      <c r="K1011" s="15">
        <f>IF(OR(G1011="",F1011=""),"",(F1011*(1-Ayarlar!$B$6)-(F1011*(1-Ayarlar!$B$6)*Ayarlar!$B$7+Ayarlar!$B$8)-(G1011*Ayarlar!$B$3+Ayarlar!$B$4+Ayarlar!$B$5))/(F1011*(1-Ayarlar!$B$6)))</f>
        <v/>
      </c>
      <c r="L1011" s="3">
        <f>IF(G1011="","GRAM EKSİK",IF(F1011&gt;30000,"FİYAT ŞÜPHELİ",IF(K1011&lt;0,"ZARARDA",IF(F1011&lt;I1011,"RİSKLİ","ok"))))</f>
        <v/>
      </c>
      <c r="M1011" s="16" t="inlineStr">
        <is>
          <t>https://www.etsy.com/listing/1877080307</t>
        </is>
      </c>
    </row>
    <row r="1012">
      <c r="A1012" s="9" t="inlineStr">
        <is>
          <t>legacy</t>
        </is>
      </c>
      <c r="B1012" s="9" t="inlineStr">
        <is>
          <t>14K Gold Miami Cuban Link Chain – Shiny CZ Box Lock Curb Cha</t>
        </is>
      </c>
      <c r="C1012" s="9" t="n">
        <v>1877080307</v>
      </c>
      <c r="D1012" s="9" t="inlineStr">
        <is>
          <t>CMNP9-20</t>
        </is>
      </c>
      <c r="E1012" s="9" t="inlineStr">
        <is>
          <t>description</t>
        </is>
      </c>
      <c r="F1012" s="10" t="n">
        <v>4824</v>
      </c>
      <c r="G1012" s="18" t="n">
        <v>28.94</v>
      </c>
      <c r="H1012" s="10">
        <f>IF(G1012="","",G1012*Ayarlar!$B$3+Ayarlar!$B$4+Ayarlar!$B$5)</f>
        <v/>
      </c>
      <c r="I1012" s="10">
        <f>IF(G1012="","",ROUNDUP(((G1012*Ayarlar!$B$3+Ayarlar!$B$4+Ayarlar!$B$5)+Ayarlar!$B$8)/((1-Ayarlar!$B$6)*(1-Ayarlar!$B$7)),0))</f>
        <v/>
      </c>
      <c r="J1012" s="10">
        <f>IF(G1012="","",ROUNDUP(((G1012*Ayarlar!$B$3+Ayarlar!$B$4+Ayarlar!$B$5)+Ayarlar!$B$8)/((1-Ayarlar!$B$6)*(1-Ayarlar!$B$7-Ayarlar!$B$9)),0))</f>
        <v/>
      </c>
      <c r="K1012" s="12">
        <f>IF(OR(G1012="",F1012=""),"",(F1012*(1-Ayarlar!$B$6)-(F1012*(1-Ayarlar!$B$6)*Ayarlar!$B$7+Ayarlar!$B$8)-(G1012*Ayarlar!$B$3+Ayarlar!$B$4+Ayarlar!$B$5))/(F1012*(1-Ayarlar!$B$6)))</f>
        <v/>
      </c>
      <c r="L1012" s="9">
        <f>IF(G1012="","GRAM EKSİK",IF(F1012&gt;30000,"FİYAT ŞÜPHELİ",IF(K1012&lt;0,"ZARARDA",IF(F1012&lt;I1012,"RİSKLİ","ok"))))</f>
        <v/>
      </c>
      <c r="M1012" s="13" t="inlineStr">
        <is>
          <t>https://www.etsy.com/listing/1877080307</t>
        </is>
      </c>
    </row>
    <row r="1013">
      <c r="A1013" s="3" t="inlineStr">
        <is>
          <t>legacy</t>
        </is>
      </c>
      <c r="B1013" s="3" t="inlineStr">
        <is>
          <t>14K Gold Miami Cuban Link Chain – Shiny CZ Box Lock Curb Cha</t>
        </is>
      </c>
      <c r="C1013" s="3" t="n">
        <v>1877080307</v>
      </c>
      <c r="D1013" s="3" t="inlineStr">
        <is>
          <t>CMNP9-22</t>
        </is>
      </c>
      <c r="E1013" s="3" t="inlineStr">
        <is>
          <t>description</t>
        </is>
      </c>
      <c r="F1013" s="14" t="n">
        <v>5306</v>
      </c>
      <c r="G1013" s="17" t="n">
        <v>31.83</v>
      </c>
      <c r="H1013" s="14">
        <f>IF(G1013="","",G1013*Ayarlar!$B$3+Ayarlar!$B$4+Ayarlar!$B$5)</f>
        <v/>
      </c>
      <c r="I1013" s="14">
        <f>IF(G1013="","",ROUNDUP(((G1013*Ayarlar!$B$3+Ayarlar!$B$4+Ayarlar!$B$5)+Ayarlar!$B$8)/((1-Ayarlar!$B$6)*(1-Ayarlar!$B$7)),0))</f>
        <v/>
      </c>
      <c r="J1013" s="14">
        <f>IF(G1013="","",ROUNDUP(((G1013*Ayarlar!$B$3+Ayarlar!$B$4+Ayarlar!$B$5)+Ayarlar!$B$8)/((1-Ayarlar!$B$6)*(1-Ayarlar!$B$7-Ayarlar!$B$9)),0))</f>
        <v/>
      </c>
      <c r="K1013" s="15">
        <f>IF(OR(G1013="",F1013=""),"",(F1013*(1-Ayarlar!$B$6)-(F1013*(1-Ayarlar!$B$6)*Ayarlar!$B$7+Ayarlar!$B$8)-(G1013*Ayarlar!$B$3+Ayarlar!$B$4+Ayarlar!$B$5))/(F1013*(1-Ayarlar!$B$6)))</f>
        <v/>
      </c>
      <c r="L1013" s="3">
        <f>IF(G1013="","GRAM EKSİK",IF(F1013&gt;30000,"FİYAT ŞÜPHELİ",IF(K1013&lt;0,"ZARARDA",IF(F1013&lt;I1013,"RİSKLİ","ok"))))</f>
        <v/>
      </c>
      <c r="M1013" s="16" t="inlineStr">
        <is>
          <t>https://www.etsy.com/listing/1877080307</t>
        </is>
      </c>
    </row>
    <row r="1014">
      <c r="A1014" s="9" t="inlineStr">
        <is>
          <t>legacy</t>
        </is>
      </c>
      <c r="B1014" s="9" t="inlineStr">
        <is>
          <t>14K Gold Miami Cuban Link Chain – Shiny CZ Box Lock Curb Cha</t>
        </is>
      </c>
      <c r="C1014" s="9" t="n">
        <v>1877080307</v>
      </c>
      <c r="D1014" s="9" t="inlineStr">
        <is>
          <t>CMNP9-24</t>
        </is>
      </c>
      <c r="E1014" s="9" t="inlineStr">
        <is>
          <t>description</t>
        </is>
      </c>
      <c r="F1014" s="10" t="n">
        <v>5788</v>
      </c>
      <c r="G1014" s="18" t="n">
        <v>34.73</v>
      </c>
      <c r="H1014" s="10">
        <f>IF(G1014="","",G1014*Ayarlar!$B$3+Ayarlar!$B$4+Ayarlar!$B$5)</f>
        <v/>
      </c>
      <c r="I1014" s="10">
        <f>IF(G1014="","",ROUNDUP(((G1014*Ayarlar!$B$3+Ayarlar!$B$4+Ayarlar!$B$5)+Ayarlar!$B$8)/((1-Ayarlar!$B$6)*(1-Ayarlar!$B$7)),0))</f>
        <v/>
      </c>
      <c r="J1014" s="10">
        <f>IF(G1014="","",ROUNDUP(((G1014*Ayarlar!$B$3+Ayarlar!$B$4+Ayarlar!$B$5)+Ayarlar!$B$8)/((1-Ayarlar!$B$6)*(1-Ayarlar!$B$7-Ayarlar!$B$9)),0))</f>
        <v/>
      </c>
      <c r="K1014" s="12">
        <f>IF(OR(G1014="",F1014=""),"",(F1014*(1-Ayarlar!$B$6)-(F1014*(1-Ayarlar!$B$6)*Ayarlar!$B$7+Ayarlar!$B$8)-(G1014*Ayarlar!$B$3+Ayarlar!$B$4+Ayarlar!$B$5))/(F1014*(1-Ayarlar!$B$6)))</f>
        <v/>
      </c>
      <c r="L1014" s="9">
        <f>IF(G1014="","GRAM EKSİK",IF(F1014&gt;30000,"FİYAT ŞÜPHELİ",IF(K1014&lt;0,"ZARARDA",IF(F1014&lt;I1014,"RİSKLİ","ok"))))</f>
        <v/>
      </c>
      <c r="M1014" s="13" t="inlineStr">
        <is>
          <t>https://www.etsy.com/listing/1877080307</t>
        </is>
      </c>
    </row>
    <row r="1015">
      <c r="A1015" s="3" t="inlineStr">
        <is>
          <t>legacy</t>
        </is>
      </c>
      <c r="B1015" s="3" t="inlineStr">
        <is>
          <t>14k Gold Miami Cuban Link Chain / Italian Curb Necklace</t>
        </is>
      </c>
      <c r="C1015" s="3" t="n">
        <v>1430538853</v>
      </c>
      <c r="D1015" s="3" t="inlineStr">
        <is>
          <t>C1430538853</t>
        </is>
      </c>
      <c r="E1015" s="3" t="inlineStr">
        <is>
          <t>—</t>
        </is>
      </c>
      <c r="F1015" s="14" t="n">
        <v>168.34</v>
      </c>
      <c r="G1015" s="11" t="n"/>
      <c r="H1015" s="14">
        <f>IF(G1015="","",G1015*Ayarlar!$B$3+Ayarlar!$B$4+Ayarlar!$B$5)</f>
        <v/>
      </c>
      <c r="I1015" s="14">
        <f>IF(G1015="","",ROUNDUP(((G1015*Ayarlar!$B$3+Ayarlar!$B$4+Ayarlar!$B$5)+Ayarlar!$B$8)/((1-Ayarlar!$B$6)*(1-Ayarlar!$B$7)),0))</f>
        <v/>
      </c>
      <c r="J1015" s="14">
        <f>IF(G1015="","",ROUNDUP(((G1015*Ayarlar!$B$3+Ayarlar!$B$4+Ayarlar!$B$5)+Ayarlar!$B$8)/((1-Ayarlar!$B$6)*(1-Ayarlar!$B$7-Ayarlar!$B$9)),0))</f>
        <v/>
      </c>
      <c r="K1015" s="15">
        <f>IF(OR(G1015="",F1015=""),"",(F1015*(1-Ayarlar!$B$6)-(F1015*(1-Ayarlar!$B$6)*Ayarlar!$B$7+Ayarlar!$B$8)-(G1015*Ayarlar!$B$3+Ayarlar!$B$4+Ayarlar!$B$5))/(F1015*(1-Ayarlar!$B$6)))</f>
        <v/>
      </c>
      <c r="L1015" s="3">
        <f>IF(G1015="","GRAM EKSİK",IF(F1015&gt;30000,"FİYAT ŞÜPHELİ",IF(K1015&lt;0,"ZARARDA",IF(F1015&lt;I1015,"RİSKLİ","ok"))))</f>
        <v/>
      </c>
      <c r="M1015" s="16" t="inlineStr">
        <is>
          <t>https://www.etsy.com/listing/1430538853</t>
        </is>
      </c>
    </row>
    <row r="1016">
      <c r="A1016" s="9" t="inlineStr">
        <is>
          <t>legacy</t>
        </is>
      </c>
      <c r="B1016" s="9" t="inlineStr">
        <is>
          <t>14K Gold Two-Tone Pave Curb Cuban Bracelet</t>
        </is>
      </c>
      <c r="C1016" s="9" t="n">
        <v>1877707029</v>
      </c>
      <c r="D1016" s="9" t="inlineStr">
        <is>
          <t>BPVCR1-7</t>
        </is>
      </c>
      <c r="E1016" s="9" t="inlineStr">
        <is>
          <t>manual</t>
        </is>
      </c>
      <c r="F1016" s="10" t="n">
        <v>542</v>
      </c>
      <c r="G1016" s="18" t="n">
        <v>3.1</v>
      </c>
      <c r="H1016" s="10">
        <f>IF(G1016="","",G1016*Ayarlar!$B$3+Ayarlar!$B$4+Ayarlar!$B$5)</f>
        <v/>
      </c>
      <c r="I1016" s="10">
        <f>IF(G1016="","",ROUNDUP(((G1016*Ayarlar!$B$3+Ayarlar!$B$4+Ayarlar!$B$5)+Ayarlar!$B$8)/((1-Ayarlar!$B$6)*(1-Ayarlar!$B$7)),0))</f>
        <v/>
      </c>
      <c r="J1016" s="10">
        <f>IF(G1016="","",ROUNDUP(((G1016*Ayarlar!$B$3+Ayarlar!$B$4+Ayarlar!$B$5)+Ayarlar!$B$8)/((1-Ayarlar!$B$6)*(1-Ayarlar!$B$7-Ayarlar!$B$9)),0))</f>
        <v/>
      </c>
      <c r="K1016" s="12">
        <f>IF(OR(G1016="",F1016=""),"",(F1016*(1-Ayarlar!$B$6)-(F1016*(1-Ayarlar!$B$6)*Ayarlar!$B$7+Ayarlar!$B$8)-(G1016*Ayarlar!$B$3+Ayarlar!$B$4+Ayarlar!$B$5))/(F1016*(1-Ayarlar!$B$6)))</f>
        <v/>
      </c>
      <c r="L1016" s="9">
        <f>IF(G1016="","GRAM EKSİK",IF(F1016&gt;30000,"FİYAT ŞÜPHELİ",IF(K1016&lt;0,"ZARARDA",IF(F1016&lt;I1016,"RİSKLİ","ok"))))</f>
        <v/>
      </c>
      <c r="M1016" s="13" t="inlineStr">
        <is>
          <t>https://www.etsy.com/listing/1877707029</t>
        </is>
      </c>
    </row>
    <row r="1017">
      <c r="A1017" s="3" t="inlineStr">
        <is>
          <t>legacy</t>
        </is>
      </c>
      <c r="B1017" s="3" t="inlineStr">
        <is>
          <t>14K Gold Two-Tone Pave Curb Cuban Bracelet</t>
        </is>
      </c>
      <c r="C1017" s="3" t="n">
        <v>1877707029</v>
      </c>
      <c r="D1017" s="3" t="inlineStr">
        <is>
          <t>BPVCR1-7.5</t>
        </is>
      </c>
      <c r="E1017" s="3" t="inlineStr">
        <is>
          <t>manual</t>
        </is>
      </c>
      <c r="F1017" s="14" t="n">
        <v>601</v>
      </c>
      <c r="G1017" s="17" t="n">
        <v>3.32</v>
      </c>
      <c r="H1017" s="14">
        <f>IF(G1017="","",G1017*Ayarlar!$B$3+Ayarlar!$B$4+Ayarlar!$B$5)</f>
        <v/>
      </c>
      <c r="I1017" s="14">
        <f>IF(G1017="","",ROUNDUP(((G1017*Ayarlar!$B$3+Ayarlar!$B$4+Ayarlar!$B$5)+Ayarlar!$B$8)/((1-Ayarlar!$B$6)*(1-Ayarlar!$B$7)),0))</f>
        <v/>
      </c>
      <c r="J1017" s="14">
        <f>IF(G1017="","",ROUNDUP(((G1017*Ayarlar!$B$3+Ayarlar!$B$4+Ayarlar!$B$5)+Ayarlar!$B$8)/((1-Ayarlar!$B$6)*(1-Ayarlar!$B$7-Ayarlar!$B$9)),0))</f>
        <v/>
      </c>
      <c r="K1017" s="15">
        <f>IF(OR(G1017="",F1017=""),"",(F1017*(1-Ayarlar!$B$6)-(F1017*(1-Ayarlar!$B$6)*Ayarlar!$B$7+Ayarlar!$B$8)-(G1017*Ayarlar!$B$3+Ayarlar!$B$4+Ayarlar!$B$5))/(F1017*(1-Ayarlar!$B$6)))</f>
        <v/>
      </c>
      <c r="L1017" s="3">
        <f>IF(G1017="","GRAM EKSİK",IF(F1017&gt;30000,"FİYAT ŞÜPHELİ",IF(K1017&lt;0,"ZARARDA",IF(F1017&lt;I1017,"RİSKLİ","ok"))))</f>
        <v/>
      </c>
      <c r="M1017" s="16" t="inlineStr">
        <is>
          <t>https://www.etsy.com/listing/1877707029</t>
        </is>
      </c>
    </row>
    <row r="1018">
      <c r="A1018" s="9" t="inlineStr">
        <is>
          <t>legacy</t>
        </is>
      </c>
      <c r="B1018" s="9" t="inlineStr">
        <is>
          <t>14K Gold Two-Tone Pave Curb Cuban Bracelet</t>
        </is>
      </c>
      <c r="C1018" s="9" t="n">
        <v>1877707029</v>
      </c>
      <c r="D1018" s="9" t="inlineStr">
        <is>
          <t>BPVCR1-8</t>
        </is>
      </c>
      <c r="E1018" s="9" t="inlineStr">
        <is>
          <t>manual</t>
        </is>
      </c>
      <c r="F1018" s="10" t="n">
        <v>661</v>
      </c>
      <c r="G1018" s="18" t="n">
        <v>3.54</v>
      </c>
      <c r="H1018" s="10">
        <f>IF(G1018="","",G1018*Ayarlar!$B$3+Ayarlar!$B$4+Ayarlar!$B$5)</f>
        <v/>
      </c>
      <c r="I1018" s="10">
        <f>IF(G1018="","",ROUNDUP(((G1018*Ayarlar!$B$3+Ayarlar!$B$4+Ayarlar!$B$5)+Ayarlar!$B$8)/((1-Ayarlar!$B$6)*(1-Ayarlar!$B$7)),0))</f>
        <v/>
      </c>
      <c r="J1018" s="10">
        <f>IF(G1018="","",ROUNDUP(((G1018*Ayarlar!$B$3+Ayarlar!$B$4+Ayarlar!$B$5)+Ayarlar!$B$8)/((1-Ayarlar!$B$6)*(1-Ayarlar!$B$7-Ayarlar!$B$9)),0))</f>
        <v/>
      </c>
      <c r="K1018" s="12">
        <f>IF(OR(G1018="",F1018=""),"",(F1018*(1-Ayarlar!$B$6)-(F1018*(1-Ayarlar!$B$6)*Ayarlar!$B$7+Ayarlar!$B$8)-(G1018*Ayarlar!$B$3+Ayarlar!$B$4+Ayarlar!$B$5))/(F1018*(1-Ayarlar!$B$6)))</f>
        <v/>
      </c>
      <c r="L1018" s="9">
        <f>IF(G1018="","GRAM EKSİK",IF(F1018&gt;30000,"FİYAT ŞÜPHELİ",IF(K1018&lt;0,"ZARARDA",IF(F1018&lt;I1018,"RİSKLİ","ok"))))</f>
        <v/>
      </c>
      <c r="M1018" s="13" t="inlineStr">
        <is>
          <t>https://www.etsy.com/listing/1877707029</t>
        </is>
      </c>
    </row>
    <row r="1019">
      <c r="A1019" s="3" t="inlineStr">
        <is>
          <t>legacy</t>
        </is>
      </c>
      <c r="B1019" s="3" t="inlineStr">
        <is>
          <t>14K Gold Two-Tone Pave Curb Cuban Bracelet</t>
        </is>
      </c>
      <c r="C1019" s="3" t="n">
        <v>1877707029</v>
      </c>
      <c r="D1019" s="3" t="inlineStr">
        <is>
          <t>BPVCR1-8.5</t>
        </is>
      </c>
      <c r="E1019" s="3" t="inlineStr">
        <is>
          <t>manual</t>
        </is>
      </c>
      <c r="F1019" s="14" t="n">
        <v>720</v>
      </c>
      <c r="G1019" s="17" t="n">
        <v>3.76</v>
      </c>
      <c r="H1019" s="14">
        <f>IF(G1019="","",G1019*Ayarlar!$B$3+Ayarlar!$B$4+Ayarlar!$B$5)</f>
        <v/>
      </c>
      <c r="I1019" s="14">
        <f>IF(G1019="","",ROUNDUP(((G1019*Ayarlar!$B$3+Ayarlar!$B$4+Ayarlar!$B$5)+Ayarlar!$B$8)/((1-Ayarlar!$B$6)*(1-Ayarlar!$B$7)),0))</f>
        <v/>
      </c>
      <c r="J1019" s="14">
        <f>IF(G1019="","",ROUNDUP(((G1019*Ayarlar!$B$3+Ayarlar!$B$4+Ayarlar!$B$5)+Ayarlar!$B$8)/((1-Ayarlar!$B$6)*(1-Ayarlar!$B$7-Ayarlar!$B$9)),0))</f>
        <v/>
      </c>
      <c r="K1019" s="15">
        <f>IF(OR(G1019="",F1019=""),"",(F1019*(1-Ayarlar!$B$6)-(F1019*(1-Ayarlar!$B$6)*Ayarlar!$B$7+Ayarlar!$B$8)-(G1019*Ayarlar!$B$3+Ayarlar!$B$4+Ayarlar!$B$5))/(F1019*(1-Ayarlar!$B$6)))</f>
        <v/>
      </c>
      <c r="L1019" s="3">
        <f>IF(G1019="","GRAM EKSİK",IF(F1019&gt;30000,"FİYAT ŞÜPHELİ",IF(K1019&lt;0,"ZARARDA",IF(F1019&lt;I1019,"RİSKLİ","ok"))))</f>
        <v/>
      </c>
      <c r="M1019" s="16" t="inlineStr">
        <is>
          <t>https://www.etsy.com/listing/1877707029</t>
        </is>
      </c>
    </row>
    <row r="1020">
      <c r="A1020" s="9" t="inlineStr">
        <is>
          <t>legacy</t>
        </is>
      </c>
      <c r="B1020" s="9" t="inlineStr">
        <is>
          <t>14K Gold Two-Tone Pave Curb Cuban Bracelet</t>
        </is>
      </c>
      <c r="C1020" s="9" t="n">
        <v>1877707029</v>
      </c>
      <c r="D1020" s="9" t="inlineStr">
        <is>
          <t>BPVCR1-9</t>
        </is>
      </c>
      <c r="E1020" s="9" t="inlineStr">
        <is>
          <t>manual</t>
        </is>
      </c>
      <c r="F1020" s="10" t="n">
        <v>780</v>
      </c>
      <c r="G1020" s="18" t="n">
        <v>3.99</v>
      </c>
      <c r="H1020" s="10">
        <f>IF(G1020="","",G1020*Ayarlar!$B$3+Ayarlar!$B$4+Ayarlar!$B$5)</f>
        <v/>
      </c>
      <c r="I1020" s="10">
        <f>IF(G1020="","",ROUNDUP(((G1020*Ayarlar!$B$3+Ayarlar!$B$4+Ayarlar!$B$5)+Ayarlar!$B$8)/((1-Ayarlar!$B$6)*(1-Ayarlar!$B$7)),0))</f>
        <v/>
      </c>
      <c r="J1020" s="10">
        <f>IF(G1020="","",ROUNDUP(((G1020*Ayarlar!$B$3+Ayarlar!$B$4+Ayarlar!$B$5)+Ayarlar!$B$8)/((1-Ayarlar!$B$6)*(1-Ayarlar!$B$7-Ayarlar!$B$9)),0))</f>
        <v/>
      </c>
      <c r="K1020" s="12">
        <f>IF(OR(G1020="",F1020=""),"",(F1020*(1-Ayarlar!$B$6)-(F1020*(1-Ayarlar!$B$6)*Ayarlar!$B$7+Ayarlar!$B$8)-(G1020*Ayarlar!$B$3+Ayarlar!$B$4+Ayarlar!$B$5))/(F1020*(1-Ayarlar!$B$6)))</f>
        <v/>
      </c>
      <c r="L1020" s="9">
        <f>IF(G1020="","GRAM EKSİK",IF(F1020&gt;30000,"FİYAT ŞÜPHELİ",IF(K1020&lt;0,"ZARARDA",IF(F1020&lt;I1020,"RİSKLİ","ok"))))</f>
        <v/>
      </c>
      <c r="M1020" s="13" t="inlineStr">
        <is>
          <t>https://www.etsy.com/listing/1877707029</t>
        </is>
      </c>
    </row>
    <row r="1021">
      <c r="A1021" s="3" t="inlineStr">
        <is>
          <t>legacy</t>
        </is>
      </c>
      <c r="B1021" s="3" t="inlineStr">
        <is>
          <t>14K Gold Two-Tone Pave Curb Cuban Bracelet</t>
        </is>
      </c>
      <c r="C1021" s="3" t="n">
        <v>1877707029</v>
      </c>
      <c r="D1021" s="3" t="inlineStr">
        <is>
          <t>BPVCR2-7</t>
        </is>
      </c>
      <c r="E1021" s="3" t="inlineStr">
        <is>
          <t>manual</t>
        </is>
      </c>
      <c r="F1021" s="14" t="n">
        <v>601</v>
      </c>
      <c r="G1021" s="17" t="n">
        <v>3.28</v>
      </c>
      <c r="H1021" s="14">
        <f>IF(G1021="","",G1021*Ayarlar!$B$3+Ayarlar!$B$4+Ayarlar!$B$5)</f>
        <v/>
      </c>
      <c r="I1021" s="14">
        <f>IF(G1021="","",ROUNDUP(((G1021*Ayarlar!$B$3+Ayarlar!$B$4+Ayarlar!$B$5)+Ayarlar!$B$8)/((1-Ayarlar!$B$6)*(1-Ayarlar!$B$7)),0))</f>
        <v/>
      </c>
      <c r="J1021" s="14">
        <f>IF(G1021="","",ROUNDUP(((G1021*Ayarlar!$B$3+Ayarlar!$B$4+Ayarlar!$B$5)+Ayarlar!$B$8)/((1-Ayarlar!$B$6)*(1-Ayarlar!$B$7-Ayarlar!$B$9)),0))</f>
        <v/>
      </c>
      <c r="K1021" s="15">
        <f>IF(OR(G1021="",F1021=""),"",(F1021*(1-Ayarlar!$B$6)-(F1021*(1-Ayarlar!$B$6)*Ayarlar!$B$7+Ayarlar!$B$8)-(G1021*Ayarlar!$B$3+Ayarlar!$B$4+Ayarlar!$B$5))/(F1021*(1-Ayarlar!$B$6)))</f>
        <v/>
      </c>
      <c r="L1021" s="3">
        <f>IF(G1021="","GRAM EKSİK",IF(F1021&gt;30000,"FİYAT ŞÜPHELİ",IF(K1021&lt;0,"ZARARDA",IF(F1021&lt;I1021,"RİSKLİ","ok"))))</f>
        <v/>
      </c>
      <c r="M1021" s="16" t="inlineStr">
        <is>
          <t>https://www.etsy.com/listing/1877707029</t>
        </is>
      </c>
    </row>
    <row r="1022">
      <c r="A1022" s="9" t="inlineStr">
        <is>
          <t>legacy</t>
        </is>
      </c>
      <c r="B1022" s="9" t="inlineStr">
        <is>
          <t>14K Gold Two-Tone Pave Curb Cuban Bracelet</t>
        </is>
      </c>
      <c r="C1022" s="9" t="n">
        <v>1877707029</v>
      </c>
      <c r="D1022" s="9" t="inlineStr">
        <is>
          <t>BPVCR2-7.5</t>
        </is>
      </c>
      <c r="E1022" s="9" t="inlineStr">
        <is>
          <t>manual</t>
        </is>
      </c>
      <c r="F1022" s="10" t="n">
        <v>632</v>
      </c>
      <c r="G1022" s="18" t="n">
        <v>3.52</v>
      </c>
      <c r="H1022" s="10">
        <f>IF(G1022="","",G1022*Ayarlar!$B$3+Ayarlar!$B$4+Ayarlar!$B$5)</f>
        <v/>
      </c>
      <c r="I1022" s="10">
        <f>IF(G1022="","",ROUNDUP(((G1022*Ayarlar!$B$3+Ayarlar!$B$4+Ayarlar!$B$5)+Ayarlar!$B$8)/((1-Ayarlar!$B$6)*(1-Ayarlar!$B$7)),0))</f>
        <v/>
      </c>
      <c r="J1022" s="10">
        <f>IF(G1022="","",ROUNDUP(((G1022*Ayarlar!$B$3+Ayarlar!$B$4+Ayarlar!$B$5)+Ayarlar!$B$8)/((1-Ayarlar!$B$6)*(1-Ayarlar!$B$7-Ayarlar!$B$9)),0))</f>
        <v/>
      </c>
      <c r="K1022" s="12">
        <f>IF(OR(G1022="",F1022=""),"",(F1022*(1-Ayarlar!$B$6)-(F1022*(1-Ayarlar!$B$6)*Ayarlar!$B$7+Ayarlar!$B$8)-(G1022*Ayarlar!$B$3+Ayarlar!$B$4+Ayarlar!$B$5))/(F1022*(1-Ayarlar!$B$6)))</f>
        <v/>
      </c>
      <c r="L1022" s="9">
        <f>IF(G1022="","GRAM EKSİK",IF(F1022&gt;30000,"FİYAT ŞÜPHELİ",IF(K1022&lt;0,"ZARARDA",IF(F1022&lt;I1022,"RİSKLİ","ok"))))</f>
        <v/>
      </c>
      <c r="M1022" s="13" t="inlineStr">
        <is>
          <t>https://www.etsy.com/listing/1877707029</t>
        </is>
      </c>
    </row>
    <row r="1023">
      <c r="A1023" s="3" t="inlineStr">
        <is>
          <t>legacy</t>
        </is>
      </c>
      <c r="B1023" s="3" t="inlineStr">
        <is>
          <t>14K Gold Two-Tone Pave Curb Cuban Bracelet</t>
        </is>
      </c>
      <c r="C1023" s="3" t="n">
        <v>1877707029</v>
      </c>
      <c r="D1023" s="3" t="inlineStr">
        <is>
          <t>BPVCR2-8</t>
        </is>
      </c>
      <c r="E1023" s="3" t="inlineStr">
        <is>
          <t>manual</t>
        </is>
      </c>
      <c r="F1023" s="14" t="n">
        <v>696</v>
      </c>
      <c r="G1023" s="17" t="n">
        <v>3.75</v>
      </c>
      <c r="H1023" s="14">
        <f>IF(G1023="","",G1023*Ayarlar!$B$3+Ayarlar!$B$4+Ayarlar!$B$5)</f>
        <v/>
      </c>
      <c r="I1023" s="14">
        <f>IF(G1023="","",ROUNDUP(((G1023*Ayarlar!$B$3+Ayarlar!$B$4+Ayarlar!$B$5)+Ayarlar!$B$8)/((1-Ayarlar!$B$6)*(1-Ayarlar!$B$7)),0))</f>
        <v/>
      </c>
      <c r="J1023" s="14">
        <f>IF(G1023="","",ROUNDUP(((G1023*Ayarlar!$B$3+Ayarlar!$B$4+Ayarlar!$B$5)+Ayarlar!$B$8)/((1-Ayarlar!$B$6)*(1-Ayarlar!$B$7-Ayarlar!$B$9)),0))</f>
        <v/>
      </c>
      <c r="K1023" s="15">
        <f>IF(OR(G1023="",F1023=""),"",(F1023*(1-Ayarlar!$B$6)-(F1023*(1-Ayarlar!$B$6)*Ayarlar!$B$7+Ayarlar!$B$8)-(G1023*Ayarlar!$B$3+Ayarlar!$B$4+Ayarlar!$B$5))/(F1023*(1-Ayarlar!$B$6)))</f>
        <v/>
      </c>
      <c r="L1023" s="3">
        <f>IF(G1023="","GRAM EKSİK",IF(F1023&gt;30000,"FİYAT ŞÜPHELİ",IF(K1023&lt;0,"ZARARDA",IF(F1023&lt;I1023,"RİSKLİ","ok"))))</f>
        <v/>
      </c>
      <c r="M1023" s="16" t="inlineStr">
        <is>
          <t>https://www.etsy.com/listing/1877707029</t>
        </is>
      </c>
    </row>
    <row r="1024">
      <c r="A1024" s="9" t="inlineStr">
        <is>
          <t>legacy</t>
        </is>
      </c>
      <c r="B1024" s="9" t="inlineStr">
        <is>
          <t>14K Gold Two-Tone Pave Curb Cuban Bracelet</t>
        </is>
      </c>
      <c r="C1024" s="9" t="n">
        <v>1877707029</v>
      </c>
      <c r="D1024" s="9" t="inlineStr">
        <is>
          <t>BPVCR2-8.5</t>
        </is>
      </c>
      <c r="E1024" s="9" t="inlineStr">
        <is>
          <t>manual</t>
        </is>
      </c>
      <c r="F1024" s="10" t="n">
        <v>751</v>
      </c>
      <c r="G1024" s="18" t="n">
        <v>3.98</v>
      </c>
      <c r="H1024" s="10">
        <f>IF(G1024="","",G1024*Ayarlar!$B$3+Ayarlar!$B$4+Ayarlar!$B$5)</f>
        <v/>
      </c>
      <c r="I1024" s="10">
        <f>IF(G1024="","",ROUNDUP(((G1024*Ayarlar!$B$3+Ayarlar!$B$4+Ayarlar!$B$5)+Ayarlar!$B$8)/((1-Ayarlar!$B$6)*(1-Ayarlar!$B$7)),0))</f>
        <v/>
      </c>
      <c r="J1024" s="10">
        <f>IF(G1024="","",ROUNDUP(((G1024*Ayarlar!$B$3+Ayarlar!$B$4+Ayarlar!$B$5)+Ayarlar!$B$8)/((1-Ayarlar!$B$6)*(1-Ayarlar!$B$7-Ayarlar!$B$9)),0))</f>
        <v/>
      </c>
      <c r="K1024" s="12">
        <f>IF(OR(G1024="",F1024=""),"",(F1024*(1-Ayarlar!$B$6)-(F1024*(1-Ayarlar!$B$6)*Ayarlar!$B$7+Ayarlar!$B$8)-(G1024*Ayarlar!$B$3+Ayarlar!$B$4+Ayarlar!$B$5))/(F1024*(1-Ayarlar!$B$6)))</f>
        <v/>
      </c>
      <c r="L1024" s="9">
        <f>IF(G1024="","GRAM EKSİK",IF(F1024&gt;30000,"FİYAT ŞÜPHELİ",IF(K1024&lt;0,"ZARARDA",IF(F1024&lt;I1024,"RİSKLİ","ok"))))</f>
        <v/>
      </c>
      <c r="M1024" s="13" t="inlineStr">
        <is>
          <t>https://www.etsy.com/listing/1877707029</t>
        </is>
      </c>
    </row>
    <row r="1025">
      <c r="A1025" s="3" t="inlineStr">
        <is>
          <t>legacy</t>
        </is>
      </c>
      <c r="B1025" s="3" t="inlineStr">
        <is>
          <t>14K Gold Two-Tone Pave Curb Cuban Bracelet</t>
        </is>
      </c>
      <c r="C1025" s="3" t="n">
        <v>1877707029</v>
      </c>
      <c r="D1025" s="3" t="inlineStr">
        <is>
          <t>BPVCR2-9</t>
        </is>
      </c>
      <c r="E1025" s="3" t="inlineStr">
        <is>
          <t>manual</t>
        </is>
      </c>
      <c r="F1025" s="14" t="n">
        <v>839</v>
      </c>
      <c r="G1025" s="17" t="n">
        <v>4.22</v>
      </c>
      <c r="H1025" s="14">
        <f>IF(G1025="","",G1025*Ayarlar!$B$3+Ayarlar!$B$4+Ayarlar!$B$5)</f>
        <v/>
      </c>
      <c r="I1025" s="14">
        <f>IF(G1025="","",ROUNDUP(((G1025*Ayarlar!$B$3+Ayarlar!$B$4+Ayarlar!$B$5)+Ayarlar!$B$8)/((1-Ayarlar!$B$6)*(1-Ayarlar!$B$7)),0))</f>
        <v/>
      </c>
      <c r="J1025" s="14">
        <f>IF(G1025="","",ROUNDUP(((G1025*Ayarlar!$B$3+Ayarlar!$B$4+Ayarlar!$B$5)+Ayarlar!$B$8)/((1-Ayarlar!$B$6)*(1-Ayarlar!$B$7-Ayarlar!$B$9)),0))</f>
        <v/>
      </c>
      <c r="K1025" s="15">
        <f>IF(OR(G1025="",F1025=""),"",(F1025*(1-Ayarlar!$B$6)-(F1025*(1-Ayarlar!$B$6)*Ayarlar!$B$7+Ayarlar!$B$8)-(G1025*Ayarlar!$B$3+Ayarlar!$B$4+Ayarlar!$B$5))/(F1025*(1-Ayarlar!$B$6)))</f>
        <v/>
      </c>
      <c r="L1025" s="3">
        <f>IF(G1025="","GRAM EKSİK",IF(F1025&gt;30000,"FİYAT ŞÜPHELİ",IF(K1025&lt;0,"ZARARDA",IF(F1025&lt;I1025,"RİSKLİ","ok"))))</f>
        <v/>
      </c>
      <c r="M1025" s="16" t="inlineStr">
        <is>
          <t>https://www.etsy.com/listing/1877707029</t>
        </is>
      </c>
    </row>
    <row r="1026">
      <c r="A1026" s="9" t="inlineStr">
        <is>
          <t>legacy</t>
        </is>
      </c>
      <c r="B1026" s="9" t="inlineStr">
        <is>
          <t>14K Gold Two-Tone Pave Curb Cuban Bracelet</t>
        </is>
      </c>
      <c r="C1026" s="9" t="n">
        <v>1877707029</v>
      </c>
      <c r="D1026" s="9" t="inlineStr">
        <is>
          <t>BPVCR3-7</t>
        </is>
      </c>
      <c r="E1026" s="9" t="inlineStr">
        <is>
          <t>—</t>
        </is>
      </c>
      <c r="F1026" s="10" t="n">
        <v>1059.41</v>
      </c>
      <c r="G1026" s="11" t="n"/>
      <c r="H1026" s="10">
        <f>IF(G1026="","",G1026*Ayarlar!$B$3+Ayarlar!$B$4+Ayarlar!$B$5)</f>
        <v/>
      </c>
      <c r="I1026" s="10">
        <f>IF(G1026="","",ROUNDUP(((G1026*Ayarlar!$B$3+Ayarlar!$B$4+Ayarlar!$B$5)+Ayarlar!$B$8)/((1-Ayarlar!$B$6)*(1-Ayarlar!$B$7)),0))</f>
        <v/>
      </c>
      <c r="J1026" s="10">
        <f>IF(G1026="","",ROUNDUP(((G1026*Ayarlar!$B$3+Ayarlar!$B$4+Ayarlar!$B$5)+Ayarlar!$B$8)/((1-Ayarlar!$B$6)*(1-Ayarlar!$B$7-Ayarlar!$B$9)),0))</f>
        <v/>
      </c>
      <c r="K1026" s="12">
        <f>IF(OR(G1026="",F1026=""),"",(F1026*(1-Ayarlar!$B$6)-(F1026*(1-Ayarlar!$B$6)*Ayarlar!$B$7+Ayarlar!$B$8)-(G1026*Ayarlar!$B$3+Ayarlar!$B$4+Ayarlar!$B$5))/(F1026*(1-Ayarlar!$B$6)))</f>
        <v/>
      </c>
      <c r="L1026" s="9">
        <f>IF(G1026="","GRAM EKSİK",IF(F1026&gt;30000,"FİYAT ŞÜPHELİ",IF(K1026&lt;0,"ZARARDA",IF(F1026&lt;I1026,"RİSKLİ","ok"))))</f>
        <v/>
      </c>
      <c r="M1026" s="13" t="inlineStr">
        <is>
          <t>https://www.etsy.com/listing/1877707029</t>
        </is>
      </c>
    </row>
    <row r="1027">
      <c r="A1027" s="3" t="inlineStr">
        <is>
          <t>legacy</t>
        </is>
      </c>
      <c r="B1027" s="3" t="inlineStr">
        <is>
          <t>14K Gold Two-Tone Pave Curb Cuban Bracelet</t>
        </is>
      </c>
      <c r="C1027" s="3" t="n">
        <v>1877707029</v>
      </c>
      <c r="D1027" s="3" t="inlineStr">
        <is>
          <t>BPVCR3-7.5</t>
        </is>
      </c>
      <c r="E1027" s="3" t="inlineStr">
        <is>
          <t>—</t>
        </is>
      </c>
      <c r="F1027" s="14" t="n">
        <v>1108.75</v>
      </c>
      <c r="G1027" s="11" t="n"/>
      <c r="H1027" s="14">
        <f>IF(G1027="","",G1027*Ayarlar!$B$3+Ayarlar!$B$4+Ayarlar!$B$5)</f>
        <v/>
      </c>
      <c r="I1027" s="14">
        <f>IF(G1027="","",ROUNDUP(((G1027*Ayarlar!$B$3+Ayarlar!$B$4+Ayarlar!$B$5)+Ayarlar!$B$8)/((1-Ayarlar!$B$6)*(1-Ayarlar!$B$7)),0))</f>
        <v/>
      </c>
      <c r="J1027" s="14">
        <f>IF(G1027="","",ROUNDUP(((G1027*Ayarlar!$B$3+Ayarlar!$B$4+Ayarlar!$B$5)+Ayarlar!$B$8)/((1-Ayarlar!$B$6)*(1-Ayarlar!$B$7-Ayarlar!$B$9)),0))</f>
        <v/>
      </c>
      <c r="K1027" s="15">
        <f>IF(OR(G1027="",F1027=""),"",(F1027*(1-Ayarlar!$B$6)-(F1027*(1-Ayarlar!$B$6)*Ayarlar!$B$7+Ayarlar!$B$8)-(G1027*Ayarlar!$B$3+Ayarlar!$B$4+Ayarlar!$B$5))/(F1027*(1-Ayarlar!$B$6)))</f>
        <v/>
      </c>
      <c r="L1027" s="3">
        <f>IF(G1027="","GRAM EKSİK",IF(F1027&gt;30000,"FİYAT ŞÜPHELİ",IF(K1027&lt;0,"ZARARDA",IF(F1027&lt;I1027,"RİSKLİ","ok"))))</f>
        <v/>
      </c>
      <c r="M1027" s="16" t="inlineStr">
        <is>
          <t>https://www.etsy.com/listing/1877707029</t>
        </is>
      </c>
    </row>
    <row r="1028">
      <c r="A1028" s="9" t="inlineStr">
        <is>
          <t>legacy</t>
        </is>
      </c>
      <c r="B1028" s="9" t="inlineStr">
        <is>
          <t>14K Gold Two-Tone Pave Curb Cuban Bracelet</t>
        </is>
      </c>
      <c r="C1028" s="9" t="n">
        <v>1877707029</v>
      </c>
      <c r="D1028" s="9" t="inlineStr">
        <is>
          <t>BPVCR3-8</t>
        </is>
      </c>
      <c r="E1028" s="9" t="inlineStr">
        <is>
          <t>manual</t>
        </is>
      </c>
      <c r="F1028" s="10" t="n">
        <v>1203</v>
      </c>
      <c r="G1028" s="18" t="n">
        <v>6.75</v>
      </c>
      <c r="H1028" s="10">
        <f>IF(G1028="","",G1028*Ayarlar!$B$3+Ayarlar!$B$4+Ayarlar!$B$5)</f>
        <v/>
      </c>
      <c r="I1028" s="10">
        <f>IF(G1028="","",ROUNDUP(((G1028*Ayarlar!$B$3+Ayarlar!$B$4+Ayarlar!$B$5)+Ayarlar!$B$8)/((1-Ayarlar!$B$6)*(1-Ayarlar!$B$7)),0))</f>
        <v/>
      </c>
      <c r="J1028" s="10">
        <f>IF(G1028="","",ROUNDUP(((G1028*Ayarlar!$B$3+Ayarlar!$B$4+Ayarlar!$B$5)+Ayarlar!$B$8)/((1-Ayarlar!$B$6)*(1-Ayarlar!$B$7-Ayarlar!$B$9)),0))</f>
        <v/>
      </c>
      <c r="K1028" s="12">
        <f>IF(OR(G1028="",F1028=""),"",(F1028*(1-Ayarlar!$B$6)-(F1028*(1-Ayarlar!$B$6)*Ayarlar!$B$7+Ayarlar!$B$8)-(G1028*Ayarlar!$B$3+Ayarlar!$B$4+Ayarlar!$B$5))/(F1028*(1-Ayarlar!$B$6)))</f>
        <v/>
      </c>
      <c r="L1028" s="9">
        <f>IF(G1028="","GRAM EKSİK",IF(F1028&gt;30000,"FİYAT ŞÜPHELİ",IF(K1028&lt;0,"ZARARDA",IF(F1028&lt;I1028,"RİSKLİ","ok"))))</f>
        <v/>
      </c>
      <c r="M1028" s="13" t="inlineStr">
        <is>
          <t>https://www.etsy.com/listing/1877707029</t>
        </is>
      </c>
    </row>
    <row r="1029">
      <c r="A1029" s="3" t="inlineStr">
        <is>
          <t>legacy</t>
        </is>
      </c>
      <c r="B1029" s="3" t="inlineStr">
        <is>
          <t>14K Gold Two-Tone Pave Curb Cuban Bracelet</t>
        </is>
      </c>
      <c r="C1029" s="3" t="n">
        <v>1877707029</v>
      </c>
      <c r="D1029" s="3" t="inlineStr">
        <is>
          <t>BPVCR3-8.5</t>
        </is>
      </c>
      <c r="E1029" s="3" t="inlineStr">
        <is>
          <t>—</t>
        </is>
      </c>
      <c r="F1029" s="14" t="n">
        <v>1207.44</v>
      </c>
      <c r="G1029" s="11" t="n"/>
      <c r="H1029" s="14">
        <f>IF(G1029="","",G1029*Ayarlar!$B$3+Ayarlar!$B$4+Ayarlar!$B$5)</f>
        <v/>
      </c>
      <c r="I1029" s="14">
        <f>IF(G1029="","",ROUNDUP(((G1029*Ayarlar!$B$3+Ayarlar!$B$4+Ayarlar!$B$5)+Ayarlar!$B$8)/((1-Ayarlar!$B$6)*(1-Ayarlar!$B$7)),0))</f>
        <v/>
      </c>
      <c r="J1029" s="14">
        <f>IF(G1029="","",ROUNDUP(((G1029*Ayarlar!$B$3+Ayarlar!$B$4+Ayarlar!$B$5)+Ayarlar!$B$8)/((1-Ayarlar!$B$6)*(1-Ayarlar!$B$7-Ayarlar!$B$9)),0))</f>
        <v/>
      </c>
      <c r="K1029" s="15">
        <f>IF(OR(G1029="",F1029=""),"",(F1029*(1-Ayarlar!$B$6)-(F1029*(1-Ayarlar!$B$6)*Ayarlar!$B$7+Ayarlar!$B$8)-(G1029*Ayarlar!$B$3+Ayarlar!$B$4+Ayarlar!$B$5))/(F1029*(1-Ayarlar!$B$6)))</f>
        <v/>
      </c>
      <c r="L1029" s="3">
        <f>IF(G1029="","GRAM EKSİK",IF(F1029&gt;30000,"FİYAT ŞÜPHELİ",IF(K1029&lt;0,"ZARARDA",IF(F1029&lt;I1029,"RİSKLİ","ok"))))</f>
        <v/>
      </c>
      <c r="M1029" s="16" t="inlineStr">
        <is>
          <t>https://www.etsy.com/listing/1877707029</t>
        </is>
      </c>
    </row>
    <row r="1030">
      <c r="A1030" s="9" t="inlineStr">
        <is>
          <t>legacy</t>
        </is>
      </c>
      <c r="B1030" s="9" t="inlineStr">
        <is>
          <t>14K Gold Two-Tone Pave Curb Cuban Bracelet</t>
        </is>
      </c>
      <c r="C1030" s="9" t="n">
        <v>1877707029</v>
      </c>
      <c r="D1030" s="9" t="inlineStr">
        <is>
          <t>BPVCR3-9</t>
        </is>
      </c>
      <c r="E1030" s="9" t="inlineStr">
        <is>
          <t>—</t>
        </is>
      </c>
      <c r="F1030" s="10" t="n">
        <v>1259.68</v>
      </c>
      <c r="G1030" s="11" t="n"/>
      <c r="H1030" s="10">
        <f>IF(G1030="","",G1030*Ayarlar!$B$3+Ayarlar!$B$4+Ayarlar!$B$5)</f>
        <v/>
      </c>
      <c r="I1030" s="10">
        <f>IF(G1030="","",ROUNDUP(((G1030*Ayarlar!$B$3+Ayarlar!$B$4+Ayarlar!$B$5)+Ayarlar!$B$8)/((1-Ayarlar!$B$6)*(1-Ayarlar!$B$7)),0))</f>
        <v/>
      </c>
      <c r="J1030" s="10">
        <f>IF(G1030="","",ROUNDUP(((G1030*Ayarlar!$B$3+Ayarlar!$B$4+Ayarlar!$B$5)+Ayarlar!$B$8)/((1-Ayarlar!$B$6)*(1-Ayarlar!$B$7-Ayarlar!$B$9)),0))</f>
        <v/>
      </c>
      <c r="K1030" s="12">
        <f>IF(OR(G1030="",F1030=""),"",(F1030*(1-Ayarlar!$B$6)-(F1030*(1-Ayarlar!$B$6)*Ayarlar!$B$7+Ayarlar!$B$8)-(G1030*Ayarlar!$B$3+Ayarlar!$B$4+Ayarlar!$B$5))/(F1030*(1-Ayarlar!$B$6)))</f>
        <v/>
      </c>
      <c r="L1030" s="9">
        <f>IF(G1030="","GRAM EKSİK",IF(F1030&gt;30000,"FİYAT ŞÜPHELİ",IF(K1030&lt;0,"ZARARDA",IF(F1030&lt;I1030,"RİSKLİ","ok"))))</f>
        <v/>
      </c>
      <c r="M1030" s="13" t="inlineStr">
        <is>
          <t>https://www.etsy.com/listing/1877707029</t>
        </is>
      </c>
    </row>
    <row r="1031">
      <c r="A1031" s="3" t="inlineStr">
        <is>
          <t>legacy</t>
        </is>
      </c>
      <c r="B1031" s="3" t="inlineStr">
        <is>
          <t>14K Gold Two-Tone Pave Curb Cuban Bracelet</t>
        </is>
      </c>
      <c r="C1031" s="3" t="n">
        <v>1877707029</v>
      </c>
      <c r="D1031" s="3" t="inlineStr">
        <is>
          <t>BPVCR4-7</t>
        </is>
      </c>
      <c r="E1031" s="3" t="inlineStr">
        <is>
          <t>—</t>
        </is>
      </c>
      <c r="F1031" s="14" t="n">
        <v>1509.3</v>
      </c>
      <c r="G1031" s="11" t="n"/>
      <c r="H1031" s="14">
        <f>IF(G1031="","",G1031*Ayarlar!$B$3+Ayarlar!$B$4+Ayarlar!$B$5)</f>
        <v/>
      </c>
      <c r="I1031" s="14">
        <f>IF(G1031="","",ROUNDUP(((G1031*Ayarlar!$B$3+Ayarlar!$B$4+Ayarlar!$B$5)+Ayarlar!$B$8)/((1-Ayarlar!$B$6)*(1-Ayarlar!$B$7)),0))</f>
        <v/>
      </c>
      <c r="J1031" s="14">
        <f>IF(G1031="","",ROUNDUP(((G1031*Ayarlar!$B$3+Ayarlar!$B$4+Ayarlar!$B$5)+Ayarlar!$B$8)/((1-Ayarlar!$B$6)*(1-Ayarlar!$B$7-Ayarlar!$B$9)),0))</f>
        <v/>
      </c>
      <c r="K1031" s="15">
        <f>IF(OR(G1031="",F1031=""),"",(F1031*(1-Ayarlar!$B$6)-(F1031*(1-Ayarlar!$B$6)*Ayarlar!$B$7+Ayarlar!$B$8)-(G1031*Ayarlar!$B$3+Ayarlar!$B$4+Ayarlar!$B$5))/(F1031*(1-Ayarlar!$B$6)))</f>
        <v/>
      </c>
      <c r="L1031" s="3">
        <f>IF(G1031="","GRAM EKSİK",IF(F1031&gt;30000,"FİYAT ŞÜPHELİ",IF(K1031&lt;0,"ZARARDA",IF(F1031&lt;I1031,"RİSKLİ","ok"))))</f>
        <v/>
      </c>
      <c r="M1031" s="16" t="inlineStr">
        <is>
          <t>https://www.etsy.com/listing/1877707029</t>
        </is>
      </c>
    </row>
    <row r="1032">
      <c r="A1032" s="9" t="inlineStr">
        <is>
          <t>legacy</t>
        </is>
      </c>
      <c r="B1032" s="9" t="inlineStr">
        <is>
          <t>14K Gold Two-Tone Pave Curb Cuban Bracelet</t>
        </is>
      </c>
      <c r="C1032" s="9" t="n">
        <v>1877707029</v>
      </c>
      <c r="D1032" s="9" t="inlineStr">
        <is>
          <t>BPVCR4-7.5</t>
        </is>
      </c>
      <c r="E1032" s="9" t="inlineStr">
        <is>
          <t>—</t>
        </is>
      </c>
      <c r="F1032" s="10" t="n">
        <v>1613.79</v>
      </c>
      <c r="G1032" s="11" t="n"/>
      <c r="H1032" s="10">
        <f>IF(G1032="","",G1032*Ayarlar!$B$3+Ayarlar!$B$4+Ayarlar!$B$5)</f>
        <v/>
      </c>
      <c r="I1032" s="10">
        <f>IF(G1032="","",ROUNDUP(((G1032*Ayarlar!$B$3+Ayarlar!$B$4+Ayarlar!$B$5)+Ayarlar!$B$8)/((1-Ayarlar!$B$6)*(1-Ayarlar!$B$7)),0))</f>
        <v/>
      </c>
      <c r="J1032" s="10">
        <f>IF(G1032="","",ROUNDUP(((G1032*Ayarlar!$B$3+Ayarlar!$B$4+Ayarlar!$B$5)+Ayarlar!$B$8)/((1-Ayarlar!$B$6)*(1-Ayarlar!$B$7-Ayarlar!$B$9)),0))</f>
        <v/>
      </c>
      <c r="K1032" s="12">
        <f>IF(OR(G1032="",F1032=""),"",(F1032*(1-Ayarlar!$B$6)-(F1032*(1-Ayarlar!$B$6)*Ayarlar!$B$7+Ayarlar!$B$8)-(G1032*Ayarlar!$B$3+Ayarlar!$B$4+Ayarlar!$B$5))/(F1032*(1-Ayarlar!$B$6)))</f>
        <v/>
      </c>
      <c r="L1032" s="9">
        <f>IF(G1032="","GRAM EKSİK",IF(F1032&gt;30000,"FİYAT ŞÜPHELİ",IF(K1032&lt;0,"ZARARDA",IF(F1032&lt;I1032,"RİSKLİ","ok"))))</f>
        <v/>
      </c>
      <c r="M1032" s="13" t="inlineStr">
        <is>
          <t>https://www.etsy.com/listing/1877707029</t>
        </is>
      </c>
    </row>
    <row r="1033">
      <c r="A1033" s="3" t="inlineStr">
        <is>
          <t>legacy</t>
        </is>
      </c>
      <c r="B1033" s="3" t="inlineStr">
        <is>
          <t>14K Gold Two-Tone Pave Curb Cuban Bracelet</t>
        </is>
      </c>
      <c r="C1033" s="3" t="n">
        <v>1877707029</v>
      </c>
      <c r="D1033" s="3" t="inlineStr">
        <is>
          <t>BPVCR4-8</t>
        </is>
      </c>
      <c r="E1033" s="3" t="inlineStr">
        <is>
          <t>—</t>
        </is>
      </c>
      <c r="F1033" s="14" t="n">
        <v>1718.28</v>
      </c>
      <c r="G1033" s="11" t="n"/>
      <c r="H1033" s="14">
        <f>IF(G1033="","",G1033*Ayarlar!$B$3+Ayarlar!$B$4+Ayarlar!$B$5)</f>
        <v/>
      </c>
      <c r="I1033" s="14">
        <f>IF(G1033="","",ROUNDUP(((G1033*Ayarlar!$B$3+Ayarlar!$B$4+Ayarlar!$B$5)+Ayarlar!$B$8)/((1-Ayarlar!$B$6)*(1-Ayarlar!$B$7)),0))</f>
        <v/>
      </c>
      <c r="J1033" s="14">
        <f>IF(G1033="","",ROUNDUP(((G1033*Ayarlar!$B$3+Ayarlar!$B$4+Ayarlar!$B$5)+Ayarlar!$B$8)/((1-Ayarlar!$B$6)*(1-Ayarlar!$B$7-Ayarlar!$B$9)),0))</f>
        <v/>
      </c>
      <c r="K1033" s="15">
        <f>IF(OR(G1033="",F1033=""),"",(F1033*(1-Ayarlar!$B$6)-(F1033*(1-Ayarlar!$B$6)*Ayarlar!$B$7+Ayarlar!$B$8)-(G1033*Ayarlar!$B$3+Ayarlar!$B$4+Ayarlar!$B$5))/(F1033*(1-Ayarlar!$B$6)))</f>
        <v/>
      </c>
      <c r="L1033" s="3">
        <f>IF(G1033="","GRAM EKSİK",IF(F1033&gt;30000,"FİYAT ŞÜPHELİ",IF(K1033&lt;0,"ZARARDA",IF(F1033&lt;I1033,"RİSKLİ","ok"))))</f>
        <v/>
      </c>
      <c r="M1033" s="16" t="inlineStr">
        <is>
          <t>https://www.etsy.com/listing/1877707029</t>
        </is>
      </c>
    </row>
    <row r="1034">
      <c r="A1034" s="9" t="inlineStr">
        <is>
          <t>legacy</t>
        </is>
      </c>
      <c r="B1034" s="9" t="inlineStr">
        <is>
          <t>14K Gold Two-Tone Pave Curb Cuban Bracelet</t>
        </is>
      </c>
      <c r="C1034" s="9" t="n">
        <v>1877707029</v>
      </c>
      <c r="D1034" s="9" t="inlineStr">
        <is>
          <t>BPVCR4-8.5</t>
        </is>
      </c>
      <c r="E1034" s="9" t="inlineStr">
        <is>
          <t>—</t>
        </is>
      </c>
      <c r="F1034" s="10" t="n">
        <v>1880.82</v>
      </c>
      <c r="G1034" s="11" t="n"/>
      <c r="H1034" s="10">
        <f>IF(G1034="","",G1034*Ayarlar!$B$3+Ayarlar!$B$4+Ayarlar!$B$5)</f>
        <v/>
      </c>
      <c r="I1034" s="10">
        <f>IF(G1034="","",ROUNDUP(((G1034*Ayarlar!$B$3+Ayarlar!$B$4+Ayarlar!$B$5)+Ayarlar!$B$8)/((1-Ayarlar!$B$6)*(1-Ayarlar!$B$7)),0))</f>
        <v/>
      </c>
      <c r="J1034" s="10">
        <f>IF(G1034="","",ROUNDUP(((G1034*Ayarlar!$B$3+Ayarlar!$B$4+Ayarlar!$B$5)+Ayarlar!$B$8)/((1-Ayarlar!$B$6)*(1-Ayarlar!$B$7-Ayarlar!$B$9)),0))</f>
        <v/>
      </c>
      <c r="K1034" s="12">
        <f>IF(OR(G1034="",F1034=""),"",(F1034*(1-Ayarlar!$B$6)-(F1034*(1-Ayarlar!$B$6)*Ayarlar!$B$7+Ayarlar!$B$8)-(G1034*Ayarlar!$B$3+Ayarlar!$B$4+Ayarlar!$B$5))/(F1034*(1-Ayarlar!$B$6)))</f>
        <v/>
      </c>
      <c r="L1034" s="9">
        <f>IF(G1034="","GRAM EKSİK",IF(F1034&gt;30000,"FİYAT ŞÜPHELİ",IF(K1034&lt;0,"ZARARDA",IF(F1034&lt;I1034,"RİSKLİ","ok"))))</f>
        <v/>
      </c>
      <c r="M1034" s="13" t="inlineStr">
        <is>
          <t>https://www.etsy.com/listing/1877707029</t>
        </is>
      </c>
    </row>
    <row r="1035">
      <c r="A1035" s="3" t="inlineStr">
        <is>
          <t>legacy</t>
        </is>
      </c>
      <c r="B1035" s="3" t="inlineStr">
        <is>
          <t>14K Gold Two-Tone Pave Curb Cuban Bracelet</t>
        </is>
      </c>
      <c r="C1035" s="3" t="n">
        <v>1877707029</v>
      </c>
      <c r="D1035" s="3" t="inlineStr">
        <is>
          <t>BPVCR4-9</t>
        </is>
      </c>
      <c r="E1035" s="3" t="inlineStr">
        <is>
          <t>—</t>
        </is>
      </c>
      <c r="F1035" s="14" t="n">
        <v>2043.36</v>
      </c>
      <c r="G1035" s="11" t="n"/>
      <c r="H1035" s="14">
        <f>IF(G1035="","",G1035*Ayarlar!$B$3+Ayarlar!$B$4+Ayarlar!$B$5)</f>
        <v/>
      </c>
      <c r="I1035" s="14">
        <f>IF(G1035="","",ROUNDUP(((G1035*Ayarlar!$B$3+Ayarlar!$B$4+Ayarlar!$B$5)+Ayarlar!$B$8)/((1-Ayarlar!$B$6)*(1-Ayarlar!$B$7)),0))</f>
        <v/>
      </c>
      <c r="J1035" s="14">
        <f>IF(G1035="","",ROUNDUP(((G1035*Ayarlar!$B$3+Ayarlar!$B$4+Ayarlar!$B$5)+Ayarlar!$B$8)/((1-Ayarlar!$B$6)*(1-Ayarlar!$B$7-Ayarlar!$B$9)),0))</f>
        <v/>
      </c>
      <c r="K1035" s="15">
        <f>IF(OR(G1035="",F1035=""),"",(F1035*(1-Ayarlar!$B$6)-(F1035*(1-Ayarlar!$B$6)*Ayarlar!$B$7+Ayarlar!$B$8)-(G1035*Ayarlar!$B$3+Ayarlar!$B$4+Ayarlar!$B$5))/(F1035*(1-Ayarlar!$B$6)))</f>
        <v/>
      </c>
      <c r="L1035" s="3">
        <f>IF(G1035="","GRAM EKSİK",IF(F1035&gt;30000,"FİYAT ŞÜPHELİ",IF(K1035&lt;0,"ZARARDA",IF(F1035&lt;I1035,"RİSKLİ","ok"))))</f>
        <v/>
      </c>
      <c r="M1035" s="16" t="inlineStr">
        <is>
          <t>https://www.etsy.com/listing/1877707029</t>
        </is>
      </c>
    </row>
    <row r="1036">
      <c r="A1036" s="9" t="inlineStr">
        <is>
          <t>legacy</t>
        </is>
      </c>
      <c r="B1036" s="9" t="inlineStr">
        <is>
          <t>14K Gold Two-Tone Pave Curb Cuban Bracelet</t>
        </is>
      </c>
      <c r="C1036" s="9" t="n">
        <v>1877707029</v>
      </c>
      <c r="D1036" s="9" t="inlineStr">
        <is>
          <t>BPVCR5-7</t>
        </is>
      </c>
      <c r="E1036" s="9" t="inlineStr">
        <is>
          <t>—</t>
        </is>
      </c>
      <c r="F1036" s="10" t="n">
        <v>1845.99</v>
      </c>
      <c r="G1036" s="11" t="n"/>
      <c r="H1036" s="10">
        <f>IF(G1036="","",G1036*Ayarlar!$B$3+Ayarlar!$B$4+Ayarlar!$B$5)</f>
        <v/>
      </c>
      <c r="I1036" s="10">
        <f>IF(G1036="","",ROUNDUP(((G1036*Ayarlar!$B$3+Ayarlar!$B$4+Ayarlar!$B$5)+Ayarlar!$B$8)/((1-Ayarlar!$B$6)*(1-Ayarlar!$B$7)),0))</f>
        <v/>
      </c>
      <c r="J1036" s="10">
        <f>IF(G1036="","",ROUNDUP(((G1036*Ayarlar!$B$3+Ayarlar!$B$4+Ayarlar!$B$5)+Ayarlar!$B$8)/((1-Ayarlar!$B$6)*(1-Ayarlar!$B$7-Ayarlar!$B$9)),0))</f>
        <v/>
      </c>
      <c r="K1036" s="12">
        <f>IF(OR(G1036="",F1036=""),"",(F1036*(1-Ayarlar!$B$6)-(F1036*(1-Ayarlar!$B$6)*Ayarlar!$B$7+Ayarlar!$B$8)-(G1036*Ayarlar!$B$3+Ayarlar!$B$4+Ayarlar!$B$5))/(F1036*(1-Ayarlar!$B$6)))</f>
        <v/>
      </c>
      <c r="L1036" s="9">
        <f>IF(G1036="","GRAM EKSİK",IF(F1036&gt;30000,"FİYAT ŞÜPHELİ",IF(K1036&lt;0,"ZARARDA",IF(F1036&lt;I1036,"RİSKLİ","ok"))))</f>
        <v/>
      </c>
      <c r="M1036" s="13" t="inlineStr">
        <is>
          <t>https://www.etsy.com/listing/1877707029</t>
        </is>
      </c>
    </row>
    <row r="1037">
      <c r="A1037" s="3" t="inlineStr">
        <is>
          <t>legacy</t>
        </is>
      </c>
      <c r="B1037" s="3" t="inlineStr">
        <is>
          <t>14K Gold Two-Tone Pave Curb Cuban Bracelet</t>
        </is>
      </c>
      <c r="C1037" s="3" t="n">
        <v>1877707029</v>
      </c>
      <c r="D1037" s="3" t="inlineStr">
        <is>
          <t>BPVCR5-7.5</t>
        </is>
      </c>
      <c r="E1037" s="3" t="inlineStr">
        <is>
          <t>—</t>
        </is>
      </c>
      <c r="F1037" s="14" t="n">
        <v>1880.82</v>
      </c>
      <c r="G1037" s="11" t="n"/>
      <c r="H1037" s="14">
        <f>IF(G1037="","",G1037*Ayarlar!$B$3+Ayarlar!$B$4+Ayarlar!$B$5)</f>
        <v/>
      </c>
      <c r="I1037" s="14">
        <f>IF(G1037="","",ROUNDUP(((G1037*Ayarlar!$B$3+Ayarlar!$B$4+Ayarlar!$B$5)+Ayarlar!$B$8)/((1-Ayarlar!$B$6)*(1-Ayarlar!$B$7)),0))</f>
        <v/>
      </c>
      <c r="J1037" s="14">
        <f>IF(G1037="","",ROUNDUP(((G1037*Ayarlar!$B$3+Ayarlar!$B$4+Ayarlar!$B$5)+Ayarlar!$B$8)/((1-Ayarlar!$B$6)*(1-Ayarlar!$B$7-Ayarlar!$B$9)),0))</f>
        <v/>
      </c>
      <c r="K1037" s="15">
        <f>IF(OR(G1037="",F1037=""),"",(F1037*(1-Ayarlar!$B$6)-(F1037*(1-Ayarlar!$B$6)*Ayarlar!$B$7+Ayarlar!$B$8)-(G1037*Ayarlar!$B$3+Ayarlar!$B$4+Ayarlar!$B$5))/(F1037*(1-Ayarlar!$B$6)))</f>
        <v/>
      </c>
      <c r="L1037" s="3">
        <f>IF(G1037="","GRAM EKSİK",IF(F1037&gt;30000,"FİYAT ŞÜPHELİ",IF(K1037&lt;0,"ZARARDA",IF(F1037&lt;I1037,"RİSKLİ","ok"))))</f>
        <v/>
      </c>
      <c r="M1037" s="16" t="inlineStr">
        <is>
          <t>https://www.etsy.com/listing/1877707029</t>
        </is>
      </c>
    </row>
    <row r="1038">
      <c r="A1038" s="9" t="inlineStr">
        <is>
          <t>legacy</t>
        </is>
      </c>
      <c r="B1038" s="9" t="inlineStr">
        <is>
          <t>14K Gold Two-Tone Pave Curb Cuban Bracelet</t>
        </is>
      </c>
      <c r="C1038" s="9" t="n">
        <v>1877707029</v>
      </c>
      <c r="D1038" s="9" t="inlineStr">
        <is>
          <t>BPVCR5-8</t>
        </is>
      </c>
      <c r="E1038" s="9" t="inlineStr">
        <is>
          <t>manual</t>
        </is>
      </c>
      <c r="F1038" s="10" t="n">
        <v>2107</v>
      </c>
      <c r="G1038" s="18" t="n">
        <v>12</v>
      </c>
      <c r="H1038" s="10">
        <f>IF(G1038="","",G1038*Ayarlar!$B$3+Ayarlar!$B$4+Ayarlar!$B$5)</f>
        <v/>
      </c>
      <c r="I1038" s="10">
        <f>IF(G1038="","",ROUNDUP(((G1038*Ayarlar!$B$3+Ayarlar!$B$4+Ayarlar!$B$5)+Ayarlar!$B$8)/((1-Ayarlar!$B$6)*(1-Ayarlar!$B$7)),0))</f>
        <v/>
      </c>
      <c r="J1038" s="10">
        <f>IF(G1038="","",ROUNDUP(((G1038*Ayarlar!$B$3+Ayarlar!$B$4+Ayarlar!$B$5)+Ayarlar!$B$8)/((1-Ayarlar!$B$6)*(1-Ayarlar!$B$7-Ayarlar!$B$9)),0))</f>
        <v/>
      </c>
      <c r="K1038" s="12">
        <f>IF(OR(G1038="",F1038=""),"",(F1038*(1-Ayarlar!$B$6)-(F1038*(1-Ayarlar!$B$6)*Ayarlar!$B$7+Ayarlar!$B$8)-(G1038*Ayarlar!$B$3+Ayarlar!$B$4+Ayarlar!$B$5))/(F1038*(1-Ayarlar!$B$6)))</f>
        <v/>
      </c>
      <c r="L1038" s="9">
        <f>IF(G1038="","GRAM EKSİK",IF(F1038&gt;30000,"FİYAT ŞÜPHELİ",IF(K1038&lt;0,"ZARARDA",IF(F1038&lt;I1038,"RİSKLİ","ok"))))</f>
        <v/>
      </c>
      <c r="M1038" s="13" t="inlineStr">
        <is>
          <t>https://www.etsy.com/listing/1877707029</t>
        </is>
      </c>
    </row>
    <row r="1039">
      <c r="A1039" s="3" t="inlineStr">
        <is>
          <t>legacy</t>
        </is>
      </c>
      <c r="B1039" s="3" t="inlineStr">
        <is>
          <t>14K Gold Two-Tone Pave Curb Cuban Bracelet</t>
        </is>
      </c>
      <c r="C1039" s="3" t="n">
        <v>1877707029</v>
      </c>
      <c r="D1039" s="3" t="inlineStr">
        <is>
          <t>BPVCR5-8.5</t>
        </is>
      </c>
      <c r="E1039" s="3" t="inlineStr">
        <is>
          <t>—</t>
        </is>
      </c>
      <c r="F1039" s="14" t="n">
        <v>2124.63</v>
      </c>
      <c r="G1039" s="11" t="n"/>
      <c r="H1039" s="14">
        <f>IF(G1039="","",G1039*Ayarlar!$B$3+Ayarlar!$B$4+Ayarlar!$B$5)</f>
        <v/>
      </c>
      <c r="I1039" s="14">
        <f>IF(G1039="","",ROUNDUP(((G1039*Ayarlar!$B$3+Ayarlar!$B$4+Ayarlar!$B$5)+Ayarlar!$B$8)/((1-Ayarlar!$B$6)*(1-Ayarlar!$B$7)),0))</f>
        <v/>
      </c>
      <c r="J1039" s="14">
        <f>IF(G1039="","",ROUNDUP(((G1039*Ayarlar!$B$3+Ayarlar!$B$4+Ayarlar!$B$5)+Ayarlar!$B$8)/((1-Ayarlar!$B$6)*(1-Ayarlar!$B$7-Ayarlar!$B$9)),0))</f>
        <v/>
      </c>
      <c r="K1039" s="15">
        <f>IF(OR(G1039="",F1039=""),"",(F1039*(1-Ayarlar!$B$6)-(F1039*(1-Ayarlar!$B$6)*Ayarlar!$B$7+Ayarlar!$B$8)-(G1039*Ayarlar!$B$3+Ayarlar!$B$4+Ayarlar!$B$5))/(F1039*(1-Ayarlar!$B$6)))</f>
        <v/>
      </c>
      <c r="L1039" s="3">
        <f>IF(G1039="","GRAM EKSİK",IF(F1039&gt;30000,"FİYAT ŞÜPHELİ",IF(K1039&lt;0,"ZARARDA",IF(F1039&lt;I1039,"RİSKLİ","ok"))))</f>
        <v/>
      </c>
      <c r="M1039" s="16" t="inlineStr">
        <is>
          <t>https://www.etsy.com/listing/1877707029</t>
        </is>
      </c>
    </row>
    <row r="1040">
      <c r="A1040" s="9" t="inlineStr">
        <is>
          <t>legacy</t>
        </is>
      </c>
      <c r="B1040" s="9" t="inlineStr">
        <is>
          <t>14K Gold Two-Tone Pave Curb Cuban Bracelet</t>
        </is>
      </c>
      <c r="C1040" s="9" t="n">
        <v>1877707029</v>
      </c>
      <c r="D1040" s="9" t="inlineStr">
        <is>
          <t>BPVCR5-9</t>
        </is>
      </c>
      <c r="E1040" s="9" t="inlineStr">
        <is>
          <t>—</t>
        </is>
      </c>
      <c r="F1040" s="10" t="n">
        <v>2159.46</v>
      </c>
      <c r="G1040" s="11" t="n"/>
      <c r="H1040" s="10">
        <f>IF(G1040="","",G1040*Ayarlar!$B$3+Ayarlar!$B$4+Ayarlar!$B$5)</f>
        <v/>
      </c>
      <c r="I1040" s="10">
        <f>IF(G1040="","",ROUNDUP(((G1040*Ayarlar!$B$3+Ayarlar!$B$4+Ayarlar!$B$5)+Ayarlar!$B$8)/((1-Ayarlar!$B$6)*(1-Ayarlar!$B$7)),0))</f>
        <v/>
      </c>
      <c r="J1040" s="10">
        <f>IF(G1040="","",ROUNDUP(((G1040*Ayarlar!$B$3+Ayarlar!$B$4+Ayarlar!$B$5)+Ayarlar!$B$8)/((1-Ayarlar!$B$6)*(1-Ayarlar!$B$7-Ayarlar!$B$9)),0))</f>
        <v/>
      </c>
      <c r="K1040" s="12">
        <f>IF(OR(G1040="",F1040=""),"",(F1040*(1-Ayarlar!$B$6)-(F1040*(1-Ayarlar!$B$6)*Ayarlar!$B$7+Ayarlar!$B$8)-(G1040*Ayarlar!$B$3+Ayarlar!$B$4+Ayarlar!$B$5))/(F1040*(1-Ayarlar!$B$6)))</f>
        <v/>
      </c>
      <c r="L1040" s="9">
        <f>IF(G1040="","GRAM EKSİK",IF(F1040&gt;30000,"FİYAT ŞÜPHELİ",IF(K1040&lt;0,"ZARARDA",IF(F1040&lt;I1040,"RİSKLİ","ok"))))</f>
        <v/>
      </c>
      <c r="M1040" s="13" t="inlineStr">
        <is>
          <t>https://www.etsy.com/listing/1877707029</t>
        </is>
      </c>
    </row>
    <row r="1041">
      <c r="A1041" s="3" t="inlineStr">
        <is>
          <t>legacy</t>
        </is>
      </c>
      <c r="B1041" s="3" t="inlineStr">
        <is>
          <t>14K Gold Two-Tone Pave Curb Cuban Bracelet</t>
        </is>
      </c>
      <c r="C1041" s="3" t="n">
        <v>1877707029</v>
      </c>
      <c r="D1041" s="3" t="inlineStr">
        <is>
          <t>BPVCR6-7</t>
        </is>
      </c>
      <c r="E1041" s="3" t="inlineStr">
        <is>
          <t>—</t>
        </is>
      </c>
      <c r="F1041" s="14" t="n">
        <v>2322</v>
      </c>
      <c r="G1041" s="11" t="n"/>
      <c r="H1041" s="14">
        <f>IF(G1041="","",G1041*Ayarlar!$B$3+Ayarlar!$B$4+Ayarlar!$B$5)</f>
        <v/>
      </c>
      <c r="I1041" s="14">
        <f>IF(G1041="","",ROUNDUP(((G1041*Ayarlar!$B$3+Ayarlar!$B$4+Ayarlar!$B$5)+Ayarlar!$B$8)/((1-Ayarlar!$B$6)*(1-Ayarlar!$B$7)),0))</f>
        <v/>
      </c>
      <c r="J1041" s="14">
        <f>IF(G1041="","",ROUNDUP(((G1041*Ayarlar!$B$3+Ayarlar!$B$4+Ayarlar!$B$5)+Ayarlar!$B$8)/((1-Ayarlar!$B$6)*(1-Ayarlar!$B$7-Ayarlar!$B$9)),0))</f>
        <v/>
      </c>
      <c r="K1041" s="15">
        <f>IF(OR(G1041="",F1041=""),"",(F1041*(1-Ayarlar!$B$6)-(F1041*(1-Ayarlar!$B$6)*Ayarlar!$B$7+Ayarlar!$B$8)-(G1041*Ayarlar!$B$3+Ayarlar!$B$4+Ayarlar!$B$5))/(F1041*(1-Ayarlar!$B$6)))</f>
        <v/>
      </c>
      <c r="L1041" s="3">
        <f>IF(G1041="","GRAM EKSİK",IF(F1041&gt;30000,"FİYAT ŞÜPHELİ",IF(K1041&lt;0,"ZARARDA",IF(F1041&lt;I1041,"RİSKLİ","ok"))))</f>
        <v/>
      </c>
      <c r="M1041" s="16" t="inlineStr">
        <is>
          <t>https://www.etsy.com/listing/1877707029</t>
        </is>
      </c>
    </row>
    <row r="1042">
      <c r="A1042" s="9" t="inlineStr">
        <is>
          <t>legacy</t>
        </is>
      </c>
      <c r="B1042" s="9" t="inlineStr">
        <is>
          <t>14K Gold Two-Tone Pave Curb Cuban Bracelet</t>
        </is>
      </c>
      <c r="C1042" s="9" t="n">
        <v>1877707029</v>
      </c>
      <c r="D1042" s="9" t="inlineStr">
        <is>
          <t>BPVCR6-7.5</t>
        </is>
      </c>
      <c r="E1042" s="9" t="inlineStr">
        <is>
          <t>—</t>
        </is>
      </c>
      <c r="F1042" s="10" t="n">
        <v>2554.2</v>
      </c>
      <c r="G1042" s="11" t="n"/>
      <c r="H1042" s="10">
        <f>IF(G1042="","",G1042*Ayarlar!$B$3+Ayarlar!$B$4+Ayarlar!$B$5)</f>
        <v/>
      </c>
      <c r="I1042" s="10">
        <f>IF(G1042="","",ROUNDUP(((G1042*Ayarlar!$B$3+Ayarlar!$B$4+Ayarlar!$B$5)+Ayarlar!$B$8)/((1-Ayarlar!$B$6)*(1-Ayarlar!$B$7)),0))</f>
        <v/>
      </c>
      <c r="J1042" s="10">
        <f>IF(G1042="","",ROUNDUP(((G1042*Ayarlar!$B$3+Ayarlar!$B$4+Ayarlar!$B$5)+Ayarlar!$B$8)/((1-Ayarlar!$B$6)*(1-Ayarlar!$B$7-Ayarlar!$B$9)),0))</f>
        <v/>
      </c>
      <c r="K1042" s="12">
        <f>IF(OR(G1042="",F1042=""),"",(F1042*(1-Ayarlar!$B$6)-(F1042*(1-Ayarlar!$B$6)*Ayarlar!$B$7+Ayarlar!$B$8)-(G1042*Ayarlar!$B$3+Ayarlar!$B$4+Ayarlar!$B$5))/(F1042*(1-Ayarlar!$B$6)))</f>
        <v/>
      </c>
      <c r="L1042" s="9">
        <f>IF(G1042="","GRAM EKSİK",IF(F1042&gt;30000,"FİYAT ŞÜPHELİ",IF(K1042&lt;0,"ZARARDA",IF(F1042&lt;I1042,"RİSKLİ","ok"))))</f>
        <v/>
      </c>
      <c r="M1042" s="13" t="inlineStr">
        <is>
          <t>https://www.etsy.com/listing/1877707029</t>
        </is>
      </c>
    </row>
    <row r="1043">
      <c r="A1043" s="3" t="inlineStr">
        <is>
          <t>legacy</t>
        </is>
      </c>
      <c r="B1043" s="3" t="inlineStr">
        <is>
          <t>14K Gold Two-Tone Pave Curb Cuban Bracelet</t>
        </is>
      </c>
      <c r="C1043" s="3" t="n">
        <v>1877707029</v>
      </c>
      <c r="D1043" s="3" t="inlineStr">
        <is>
          <t>BPVCR6-8</t>
        </is>
      </c>
      <c r="E1043" s="3" t="inlineStr">
        <is>
          <t>—</t>
        </is>
      </c>
      <c r="F1043" s="14" t="n">
        <v>2670.3</v>
      </c>
      <c r="G1043" s="11" t="n"/>
      <c r="H1043" s="14">
        <f>IF(G1043="","",G1043*Ayarlar!$B$3+Ayarlar!$B$4+Ayarlar!$B$5)</f>
        <v/>
      </c>
      <c r="I1043" s="14">
        <f>IF(G1043="","",ROUNDUP(((G1043*Ayarlar!$B$3+Ayarlar!$B$4+Ayarlar!$B$5)+Ayarlar!$B$8)/((1-Ayarlar!$B$6)*(1-Ayarlar!$B$7)),0))</f>
        <v/>
      </c>
      <c r="J1043" s="14">
        <f>IF(G1043="","",ROUNDUP(((G1043*Ayarlar!$B$3+Ayarlar!$B$4+Ayarlar!$B$5)+Ayarlar!$B$8)/((1-Ayarlar!$B$6)*(1-Ayarlar!$B$7-Ayarlar!$B$9)),0))</f>
        <v/>
      </c>
      <c r="K1043" s="15">
        <f>IF(OR(G1043="",F1043=""),"",(F1043*(1-Ayarlar!$B$6)-(F1043*(1-Ayarlar!$B$6)*Ayarlar!$B$7+Ayarlar!$B$8)-(G1043*Ayarlar!$B$3+Ayarlar!$B$4+Ayarlar!$B$5))/(F1043*(1-Ayarlar!$B$6)))</f>
        <v/>
      </c>
      <c r="L1043" s="3">
        <f>IF(G1043="","GRAM EKSİK",IF(F1043&gt;30000,"FİYAT ŞÜPHELİ",IF(K1043&lt;0,"ZARARDA",IF(F1043&lt;I1043,"RİSKLİ","ok"))))</f>
        <v/>
      </c>
      <c r="M1043" s="16" t="inlineStr">
        <is>
          <t>https://www.etsy.com/listing/1877707029</t>
        </is>
      </c>
    </row>
    <row r="1044">
      <c r="A1044" s="9" t="inlineStr">
        <is>
          <t>legacy</t>
        </is>
      </c>
      <c r="B1044" s="9" t="inlineStr">
        <is>
          <t>14K Gold Two-Tone Pave Curb Cuban Bracelet</t>
        </is>
      </c>
      <c r="C1044" s="9" t="n">
        <v>1877707029</v>
      </c>
      <c r="D1044" s="9" t="inlineStr">
        <is>
          <t>BPVCR6-8.5</t>
        </is>
      </c>
      <c r="E1044" s="9" t="inlineStr">
        <is>
          <t>—</t>
        </is>
      </c>
      <c r="F1044" s="10" t="n">
        <v>2786.4</v>
      </c>
      <c r="G1044" s="11" t="n"/>
      <c r="H1044" s="10">
        <f>IF(G1044="","",G1044*Ayarlar!$B$3+Ayarlar!$B$4+Ayarlar!$B$5)</f>
        <v/>
      </c>
      <c r="I1044" s="10">
        <f>IF(G1044="","",ROUNDUP(((G1044*Ayarlar!$B$3+Ayarlar!$B$4+Ayarlar!$B$5)+Ayarlar!$B$8)/((1-Ayarlar!$B$6)*(1-Ayarlar!$B$7)),0))</f>
        <v/>
      </c>
      <c r="J1044" s="10">
        <f>IF(G1044="","",ROUNDUP(((G1044*Ayarlar!$B$3+Ayarlar!$B$4+Ayarlar!$B$5)+Ayarlar!$B$8)/((1-Ayarlar!$B$6)*(1-Ayarlar!$B$7-Ayarlar!$B$9)),0))</f>
        <v/>
      </c>
      <c r="K1044" s="12">
        <f>IF(OR(G1044="",F1044=""),"",(F1044*(1-Ayarlar!$B$6)-(F1044*(1-Ayarlar!$B$6)*Ayarlar!$B$7+Ayarlar!$B$8)-(G1044*Ayarlar!$B$3+Ayarlar!$B$4+Ayarlar!$B$5))/(F1044*(1-Ayarlar!$B$6)))</f>
        <v/>
      </c>
      <c r="L1044" s="9">
        <f>IF(G1044="","GRAM EKSİK",IF(F1044&gt;30000,"FİYAT ŞÜPHELİ",IF(K1044&lt;0,"ZARARDA",IF(F1044&lt;I1044,"RİSKLİ","ok"))))</f>
        <v/>
      </c>
      <c r="M1044" s="13" t="inlineStr">
        <is>
          <t>https://www.etsy.com/listing/1877707029</t>
        </is>
      </c>
    </row>
    <row r="1045">
      <c r="A1045" s="3" t="inlineStr">
        <is>
          <t>legacy</t>
        </is>
      </c>
      <c r="B1045" s="3" t="inlineStr">
        <is>
          <t>14K Gold Two-Tone Pave Curb Cuban Bracelet</t>
        </is>
      </c>
      <c r="C1045" s="3" t="n">
        <v>1877707029</v>
      </c>
      <c r="D1045" s="3" t="inlineStr">
        <is>
          <t>BPVCR6-9</t>
        </is>
      </c>
      <c r="E1045" s="3" t="inlineStr">
        <is>
          <t>manual</t>
        </is>
      </c>
      <c r="F1045" s="14" t="n">
        <v>3607</v>
      </c>
      <c r="G1045" s="17" t="n">
        <v>19.9</v>
      </c>
      <c r="H1045" s="14">
        <f>IF(G1045="","",G1045*Ayarlar!$B$3+Ayarlar!$B$4+Ayarlar!$B$5)</f>
        <v/>
      </c>
      <c r="I1045" s="14">
        <f>IF(G1045="","",ROUNDUP(((G1045*Ayarlar!$B$3+Ayarlar!$B$4+Ayarlar!$B$5)+Ayarlar!$B$8)/((1-Ayarlar!$B$6)*(1-Ayarlar!$B$7)),0))</f>
        <v/>
      </c>
      <c r="J1045" s="14">
        <f>IF(G1045="","",ROUNDUP(((G1045*Ayarlar!$B$3+Ayarlar!$B$4+Ayarlar!$B$5)+Ayarlar!$B$8)/((1-Ayarlar!$B$6)*(1-Ayarlar!$B$7-Ayarlar!$B$9)),0))</f>
        <v/>
      </c>
      <c r="K1045" s="15">
        <f>IF(OR(G1045="",F1045=""),"",(F1045*(1-Ayarlar!$B$6)-(F1045*(1-Ayarlar!$B$6)*Ayarlar!$B$7+Ayarlar!$B$8)-(G1045*Ayarlar!$B$3+Ayarlar!$B$4+Ayarlar!$B$5))/(F1045*(1-Ayarlar!$B$6)))</f>
        <v/>
      </c>
      <c r="L1045" s="3">
        <f>IF(G1045="","GRAM EKSİK",IF(F1045&gt;30000,"FİYAT ŞÜPHELİ",IF(K1045&lt;0,"ZARARDA",IF(F1045&lt;I1045,"RİSKLİ","ok"))))</f>
        <v/>
      </c>
      <c r="M1045" s="16" t="inlineStr">
        <is>
          <t>https://www.etsy.com/listing/1877707029</t>
        </is>
      </c>
    </row>
    <row r="1046">
      <c r="A1046" s="9" t="inlineStr">
        <is>
          <t>legacy</t>
        </is>
      </c>
      <c r="B1046" s="9" t="inlineStr">
        <is>
          <t>14K Real Gold Mariner Link Chain / Puffed Anchor Necklace</t>
        </is>
      </c>
      <c r="C1046" s="9" t="n">
        <v>1390701590</v>
      </c>
      <c r="D1046" s="9" t="inlineStr">
        <is>
          <t>CPUG2F-16</t>
        </is>
      </c>
      <c r="E1046" s="9" t="inlineStr">
        <is>
          <t>—</t>
        </is>
      </c>
      <c r="F1046" s="10" t="n">
        <v>1941.5</v>
      </c>
      <c r="G1046" s="11" t="n"/>
      <c r="H1046" s="10">
        <f>IF(G1046="","",G1046*Ayarlar!$B$3+Ayarlar!$B$4+Ayarlar!$B$5)</f>
        <v/>
      </c>
      <c r="I1046" s="10">
        <f>IF(G1046="","",ROUNDUP(((G1046*Ayarlar!$B$3+Ayarlar!$B$4+Ayarlar!$B$5)+Ayarlar!$B$8)/((1-Ayarlar!$B$6)*(1-Ayarlar!$B$7)),0))</f>
        <v/>
      </c>
      <c r="J1046" s="10">
        <f>IF(G1046="","",ROUNDUP(((G1046*Ayarlar!$B$3+Ayarlar!$B$4+Ayarlar!$B$5)+Ayarlar!$B$8)/((1-Ayarlar!$B$6)*(1-Ayarlar!$B$7-Ayarlar!$B$9)),0))</f>
        <v/>
      </c>
      <c r="K1046" s="12">
        <f>IF(OR(G1046="",F1046=""),"",(F1046*(1-Ayarlar!$B$6)-(F1046*(1-Ayarlar!$B$6)*Ayarlar!$B$7+Ayarlar!$B$8)-(G1046*Ayarlar!$B$3+Ayarlar!$B$4+Ayarlar!$B$5))/(F1046*(1-Ayarlar!$B$6)))</f>
        <v/>
      </c>
      <c r="L1046" s="9">
        <f>IF(G1046="","GRAM EKSİK",IF(F1046&gt;30000,"FİYAT ŞÜPHELİ",IF(K1046&lt;0,"ZARARDA",IF(F1046&lt;I1046,"RİSKLİ","ok"))))</f>
        <v/>
      </c>
      <c r="M1046" s="13" t="inlineStr">
        <is>
          <t>https://www.etsy.com/listing/1390701590</t>
        </is>
      </c>
    </row>
    <row r="1047">
      <c r="A1047" s="3" t="inlineStr">
        <is>
          <t>legacy</t>
        </is>
      </c>
      <c r="B1047" s="3" t="inlineStr">
        <is>
          <t>14K Real Gold Mariner Link Chain / Puffed Anchor Necklace</t>
        </is>
      </c>
      <c r="C1047" s="3" t="n">
        <v>1390701590</v>
      </c>
      <c r="D1047" s="3" t="inlineStr">
        <is>
          <t>CPUG2F-18</t>
        </is>
      </c>
      <c r="E1047" s="3" t="inlineStr">
        <is>
          <t>—</t>
        </is>
      </c>
      <c r="F1047" s="14" t="n">
        <v>2273.7</v>
      </c>
      <c r="G1047" s="11" t="n"/>
      <c r="H1047" s="14">
        <f>IF(G1047="","",G1047*Ayarlar!$B$3+Ayarlar!$B$4+Ayarlar!$B$5)</f>
        <v/>
      </c>
      <c r="I1047" s="14">
        <f>IF(G1047="","",ROUNDUP(((G1047*Ayarlar!$B$3+Ayarlar!$B$4+Ayarlar!$B$5)+Ayarlar!$B$8)/((1-Ayarlar!$B$6)*(1-Ayarlar!$B$7)),0))</f>
        <v/>
      </c>
      <c r="J1047" s="14">
        <f>IF(G1047="","",ROUNDUP(((G1047*Ayarlar!$B$3+Ayarlar!$B$4+Ayarlar!$B$5)+Ayarlar!$B$8)/((1-Ayarlar!$B$6)*(1-Ayarlar!$B$7-Ayarlar!$B$9)),0))</f>
        <v/>
      </c>
      <c r="K1047" s="15">
        <f>IF(OR(G1047="",F1047=""),"",(F1047*(1-Ayarlar!$B$6)-(F1047*(1-Ayarlar!$B$6)*Ayarlar!$B$7+Ayarlar!$B$8)-(G1047*Ayarlar!$B$3+Ayarlar!$B$4+Ayarlar!$B$5))/(F1047*(1-Ayarlar!$B$6)))</f>
        <v/>
      </c>
      <c r="L1047" s="3">
        <f>IF(G1047="","GRAM EKSİK",IF(F1047&gt;30000,"FİYAT ŞÜPHELİ",IF(K1047&lt;0,"ZARARDA",IF(F1047&lt;I1047,"RİSKLİ","ok"))))</f>
        <v/>
      </c>
      <c r="M1047" s="16" t="inlineStr">
        <is>
          <t>https://www.etsy.com/listing/1390701590</t>
        </is>
      </c>
    </row>
    <row r="1048">
      <c r="A1048" s="9" t="inlineStr">
        <is>
          <t>legacy</t>
        </is>
      </c>
      <c r="B1048" s="9" t="inlineStr">
        <is>
          <t>14K Real Gold Mariner Link Chain / Puffed Anchor Necklace</t>
        </is>
      </c>
      <c r="C1048" s="9" t="n">
        <v>1390701590</v>
      </c>
      <c r="D1048" s="9" t="inlineStr">
        <is>
          <t>CPUG2F-20</t>
        </is>
      </c>
      <c r="E1048" s="9" t="inlineStr">
        <is>
          <t>—</t>
        </is>
      </c>
      <c r="F1048" s="10" t="n">
        <v>2405.9</v>
      </c>
      <c r="G1048" s="11" t="n"/>
      <c r="H1048" s="10">
        <f>IF(G1048="","",G1048*Ayarlar!$B$3+Ayarlar!$B$4+Ayarlar!$B$5)</f>
        <v/>
      </c>
      <c r="I1048" s="10">
        <f>IF(G1048="","",ROUNDUP(((G1048*Ayarlar!$B$3+Ayarlar!$B$4+Ayarlar!$B$5)+Ayarlar!$B$8)/((1-Ayarlar!$B$6)*(1-Ayarlar!$B$7)),0))</f>
        <v/>
      </c>
      <c r="J1048" s="10">
        <f>IF(G1048="","",ROUNDUP(((G1048*Ayarlar!$B$3+Ayarlar!$B$4+Ayarlar!$B$5)+Ayarlar!$B$8)/((1-Ayarlar!$B$6)*(1-Ayarlar!$B$7-Ayarlar!$B$9)),0))</f>
        <v/>
      </c>
      <c r="K1048" s="12">
        <f>IF(OR(G1048="",F1048=""),"",(F1048*(1-Ayarlar!$B$6)-(F1048*(1-Ayarlar!$B$6)*Ayarlar!$B$7+Ayarlar!$B$8)-(G1048*Ayarlar!$B$3+Ayarlar!$B$4+Ayarlar!$B$5))/(F1048*(1-Ayarlar!$B$6)))</f>
        <v/>
      </c>
      <c r="L1048" s="9">
        <f>IF(G1048="","GRAM EKSİK",IF(F1048&gt;30000,"FİYAT ŞÜPHELİ",IF(K1048&lt;0,"ZARARDA",IF(F1048&lt;I1048,"RİSKLİ","ok"))))</f>
        <v/>
      </c>
      <c r="M1048" s="13" t="inlineStr">
        <is>
          <t>https://www.etsy.com/listing/1390701590</t>
        </is>
      </c>
    </row>
    <row r="1049">
      <c r="A1049" s="3" t="inlineStr">
        <is>
          <t>legacy</t>
        </is>
      </c>
      <c r="B1049" s="3" t="inlineStr">
        <is>
          <t>14K Real Gold Mariner Link Chain / Puffed Anchor Necklace</t>
        </is>
      </c>
      <c r="C1049" s="3" t="n">
        <v>1390701590</v>
      </c>
      <c r="D1049" s="3" t="inlineStr">
        <is>
          <t>CPUG2F-22</t>
        </is>
      </c>
      <c r="E1049" s="3" t="inlineStr">
        <is>
          <t>—</t>
        </is>
      </c>
      <c r="F1049" s="14" t="n">
        <v>2638.1</v>
      </c>
      <c r="G1049" s="11" t="n"/>
      <c r="H1049" s="14">
        <f>IF(G1049="","",G1049*Ayarlar!$B$3+Ayarlar!$B$4+Ayarlar!$B$5)</f>
        <v/>
      </c>
      <c r="I1049" s="14">
        <f>IF(G1049="","",ROUNDUP(((G1049*Ayarlar!$B$3+Ayarlar!$B$4+Ayarlar!$B$5)+Ayarlar!$B$8)/((1-Ayarlar!$B$6)*(1-Ayarlar!$B$7)),0))</f>
        <v/>
      </c>
      <c r="J1049" s="14">
        <f>IF(G1049="","",ROUNDUP(((G1049*Ayarlar!$B$3+Ayarlar!$B$4+Ayarlar!$B$5)+Ayarlar!$B$8)/((1-Ayarlar!$B$6)*(1-Ayarlar!$B$7-Ayarlar!$B$9)),0))</f>
        <v/>
      </c>
      <c r="K1049" s="15">
        <f>IF(OR(G1049="",F1049=""),"",(F1049*(1-Ayarlar!$B$6)-(F1049*(1-Ayarlar!$B$6)*Ayarlar!$B$7+Ayarlar!$B$8)-(G1049*Ayarlar!$B$3+Ayarlar!$B$4+Ayarlar!$B$5))/(F1049*(1-Ayarlar!$B$6)))</f>
        <v/>
      </c>
      <c r="L1049" s="3">
        <f>IF(G1049="","GRAM EKSİK",IF(F1049&gt;30000,"FİYAT ŞÜPHELİ",IF(K1049&lt;0,"ZARARDA",IF(F1049&lt;I1049,"RİSKLİ","ok"))))</f>
        <v/>
      </c>
      <c r="M1049" s="16" t="inlineStr">
        <is>
          <t>https://www.etsy.com/listing/1390701590</t>
        </is>
      </c>
    </row>
    <row r="1050">
      <c r="A1050" s="9" t="inlineStr">
        <is>
          <t>legacy</t>
        </is>
      </c>
      <c r="B1050" s="9" t="inlineStr">
        <is>
          <t>14K Real Gold Mariner Link Chain / Puffed Anchor Necklace</t>
        </is>
      </c>
      <c r="C1050" s="9" t="n">
        <v>1390701590</v>
      </c>
      <c r="D1050" s="9" t="inlineStr">
        <is>
          <t>CPUG2F-24</t>
        </is>
      </c>
      <c r="E1050" s="9" t="inlineStr">
        <is>
          <t>—</t>
        </is>
      </c>
      <c r="F1050" s="10" t="n">
        <v>2870.3</v>
      </c>
      <c r="G1050" s="11" t="n"/>
      <c r="H1050" s="10">
        <f>IF(G1050="","",G1050*Ayarlar!$B$3+Ayarlar!$B$4+Ayarlar!$B$5)</f>
        <v/>
      </c>
      <c r="I1050" s="10">
        <f>IF(G1050="","",ROUNDUP(((G1050*Ayarlar!$B$3+Ayarlar!$B$4+Ayarlar!$B$5)+Ayarlar!$B$8)/((1-Ayarlar!$B$6)*(1-Ayarlar!$B$7)),0))</f>
        <v/>
      </c>
      <c r="J1050" s="10">
        <f>IF(G1050="","",ROUNDUP(((G1050*Ayarlar!$B$3+Ayarlar!$B$4+Ayarlar!$B$5)+Ayarlar!$B$8)/((1-Ayarlar!$B$6)*(1-Ayarlar!$B$7-Ayarlar!$B$9)),0))</f>
        <v/>
      </c>
      <c r="K1050" s="12">
        <f>IF(OR(G1050="",F1050=""),"",(F1050*(1-Ayarlar!$B$6)-(F1050*(1-Ayarlar!$B$6)*Ayarlar!$B$7+Ayarlar!$B$8)-(G1050*Ayarlar!$B$3+Ayarlar!$B$4+Ayarlar!$B$5))/(F1050*(1-Ayarlar!$B$6)))</f>
        <v/>
      </c>
      <c r="L1050" s="9">
        <f>IF(G1050="","GRAM EKSİK",IF(F1050&gt;30000,"FİYAT ŞÜPHELİ",IF(K1050&lt;0,"ZARARDA",IF(F1050&lt;I1050,"RİSKLİ","ok"))))</f>
        <v/>
      </c>
      <c r="M1050" s="13" t="inlineStr">
        <is>
          <t>https://www.etsy.com/listing/1390701590</t>
        </is>
      </c>
    </row>
    <row r="1051">
      <c r="A1051" s="3" t="inlineStr">
        <is>
          <t>legacy</t>
        </is>
      </c>
      <c r="B1051" s="3" t="inlineStr">
        <is>
          <t>14K Real Gold Mariner Link Chain / Puffed Anchor Necklace</t>
        </is>
      </c>
      <c r="C1051" s="3" t="n">
        <v>1390701590</v>
      </c>
      <c r="D1051" s="3" t="inlineStr">
        <is>
          <t>CPUG4F-16</t>
        </is>
      </c>
      <c r="E1051" s="3" t="inlineStr">
        <is>
          <t>—</t>
        </is>
      </c>
      <c r="F1051" s="14" t="n">
        <v>2322</v>
      </c>
      <c r="G1051" s="11" t="n"/>
      <c r="H1051" s="14">
        <f>IF(G1051="","",G1051*Ayarlar!$B$3+Ayarlar!$B$4+Ayarlar!$B$5)</f>
        <v/>
      </c>
      <c r="I1051" s="14">
        <f>IF(G1051="","",ROUNDUP(((G1051*Ayarlar!$B$3+Ayarlar!$B$4+Ayarlar!$B$5)+Ayarlar!$B$8)/((1-Ayarlar!$B$6)*(1-Ayarlar!$B$7)),0))</f>
        <v/>
      </c>
      <c r="J1051" s="14">
        <f>IF(G1051="","",ROUNDUP(((G1051*Ayarlar!$B$3+Ayarlar!$B$4+Ayarlar!$B$5)+Ayarlar!$B$8)/((1-Ayarlar!$B$6)*(1-Ayarlar!$B$7-Ayarlar!$B$9)),0))</f>
        <v/>
      </c>
      <c r="K1051" s="15">
        <f>IF(OR(G1051="",F1051=""),"",(F1051*(1-Ayarlar!$B$6)-(F1051*(1-Ayarlar!$B$6)*Ayarlar!$B$7+Ayarlar!$B$8)-(G1051*Ayarlar!$B$3+Ayarlar!$B$4+Ayarlar!$B$5))/(F1051*(1-Ayarlar!$B$6)))</f>
        <v/>
      </c>
      <c r="L1051" s="3">
        <f>IF(G1051="","GRAM EKSİK",IF(F1051&gt;30000,"FİYAT ŞÜPHELİ",IF(K1051&lt;0,"ZARARDA",IF(F1051&lt;I1051,"RİSKLİ","ok"))))</f>
        <v/>
      </c>
      <c r="M1051" s="16" t="inlineStr">
        <is>
          <t>https://www.etsy.com/listing/1390701590</t>
        </is>
      </c>
    </row>
    <row r="1052">
      <c r="A1052" s="9" t="inlineStr">
        <is>
          <t>legacy</t>
        </is>
      </c>
      <c r="B1052" s="9" t="inlineStr">
        <is>
          <t>14K Real Gold Mariner Link Chain / Puffed Anchor Necklace</t>
        </is>
      </c>
      <c r="C1052" s="9" t="n">
        <v>1390701590</v>
      </c>
      <c r="D1052" s="9" t="inlineStr">
        <is>
          <t>CPUG4F-18</t>
        </is>
      </c>
      <c r="E1052" s="9" t="inlineStr">
        <is>
          <t>—</t>
        </is>
      </c>
      <c r="F1052" s="10" t="n">
        <v>2554.2</v>
      </c>
      <c r="G1052" s="11" t="n"/>
      <c r="H1052" s="10">
        <f>IF(G1052="","",G1052*Ayarlar!$B$3+Ayarlar!$B$4+Ayarlar!$B$5)</f>
        <v/>
      </c>
      <c r="I1052" s="10">
        <f>IF(G1052="","",ROUNDUP(((G1052*Ayarlar!$B$3+Ayarlar!$B$4+Ayarlar!$B$5)+Ayarlar!$B$8)/((1-Ayarlar!$B$6)*(1-Ayarlar!$B$7)),0))</f>
        <v/>
      </c>
      <c r="J1052" s="10">
        <f>IF(G1052="","",ROUNDUP(((G1052*Ayarlar!$B$3+Ayarlar!$B$4+Ayarlar!$B$5)+Ayarlar!$B$8)/((1-Ayarlar!$B$6)*(1-Ayarlar!$B$7-Ayarlar!$B$9)),0))</f>
        <v/>
      </c>
      <c r="K1052" s="12">
        <f>IF(OR(G1052="",F1052=""),"",(F1052*(1-Ayarlar!$B$6)-(F1052*(1-Ayarlar!$B$6)*Ayarlar!$B$7+Ayarlar!$B$8)-(G1052*Ayarlar!$B$3+Ayarlar!$B$4+Ayarlar!$B$5))/(F1052*(1-Ayarlar!$B$6)))</f>
        <v/>
      </c>
      <c r="L1052" s="9">
        <f>IF(G1052="","GRAM EKSİK",IF(F1052&gt;30000,"FİYAT ŞÜPHELİ",IF(K1052&lt;0,"ZARARDA",IF(F1052&lt;I1052,"RİSKLİ","ok"))))</f>
        <v/>
      </c>
      <c r="M1052" s="13" t="inlineStr">
        <is>
          <t>https://www.etsy.com/listing/1390701590</t>
        </is>
      </c>
    </row>
    <row r="1053">
      <c r="A1053" s="3" t="inlineStr">
        <is>
          <t>legacy</t>
        </is>
      </c>
      <c r="B1053" s="3" t="inlineStr">
        <is>
          <t>14K Real Gold Mariner Link Chain / Puffed Anchor Necklace</t>
        </is>
      </c>
      <c r="C1053" s="3" t="n">
        <v>1390701590</v>
      </c>
      <c r="D1053" s="3" t="inlineStr">
        <is>
          <t>CPUG4F-20</t>
        </is>
      </c>
      <c r="E1053" s="3" t="inlineStr">
        <is>
          <t>—</t>
        </is>
      </c>
      <c r="F1053" s="14" t="n">
        <v>2786.4</v>
      </c>
      <c r="G1053" s="11" t="n"/>
      <c r="H1053" s="14">
        <f>IF(G1053="","",G1053*Ayarlar!$B$3+Ayarlar!$B$4+Ayarlar!$B$5)</f>
        <v/>
      </c>
      <c r="I1053" s="14">
        <f>IF(G1053="","",ROUNDUP(((G1053*Ayarlar!$B$3+Ayarlar!$B$4+Ayarlar!$B$5)+Ayarlar!$B$8)/((1-Ayarlar!$B$6)*(1-Ayarlar!$B$7)),0))</f>
        <v/>
      </c>
      <c r="J1053" s="14">
        <f>IF(G1053="","",ROUNDUP(((G1053*Ayarlar!$B$3+Ayarlar!$B$4+Ayarlar!$B$5)+Ayarlar!$B$8)/((1-Ayarlar!$B$6)*(1-Ayarlar!$B$7-Ayarlar!$B$9)),0))</f>
        <v/>
      </c>
      <c r="K1053" s="15">
        <f>IF(OR(G1053="",F1053=""),"",(F1053*(1-Ayarlar!$B$6)-(F1053*(1-Ayarlar!$B$6)*Ayarlar!$B$7+Ayarlar!$B$8)-(G1053*Ayarlar!$B$3+Ayarlar!$B$4+Ayarlar!$B$5))/(F1053*(1-Ayarlar!$B$6)))</f>
        <v/>
      </c>
      <c r="L1053" s="3">
        <f>IF(G1053="","GRAM EKSİK",IF(F1053&gt;30000,"FİYAT ŞÜPHELİ",IF(K1053&lt;0,"ZARARDA",IF(F1053&lt;I1053,"RİSKLİ","ok"))))</f>
        <v/>
      </c>
      <c r="M1053" s="16" t="inlineStr">
        <is>
          <t>https://www.etsy.com/listing/1390701590</t>
        </is>
      </c>
    </row>
    <row r="1054">
      <c r="A1054" s="9" t="inlineStr">
        <is>
          <t>legacy</t>
        </is>
      </c>
      <c r="B1054" s="9" t="inlineStr">
        <is>
          <t>14K Real Gold Mariner Link Chain / Puffed Anchor Necklace</t>
        </is>
      </c>
      <c r="C1054" s="9" t="n">
        <v>1390701590</v>
      </c>
      <c r="D1054" s="9" t="inlineStr">
        <is>
          <t>CPUG4F-22</t>
        </is>
      </c>
      <c r="E1054" s="9" t="inlineStr">
        <is>
          <t>—</t>
        </is>
      </c>
      <c r="F1054" s="10" t="n">
        <v>3018.6</v>
      </c>
      <c r="G1054" s="11" t="n"/>
      <c r="H1054" s="10">
        <f>IF(G1054="","",G1054*Ayarlar!$B$3+Ayarlar!$B$4+Ayarlar!$B$5)</f>
        <v/>
      </c>
      <c r="I1054" s="10">
        <f>IF(G1054="","",ROUNDUP(((G1054*Ayarlar!$B$3+Ayarlar!$B$4+Ayarlar!$B$5)+Ayarlar!$B$8)/((1-Ayarlar!$B$6)*(1-Ayarlar!$B$7)),0))</f>
        <v/>
      </c>
      <c r="J1054" s="10">
        <f>IF(G1054="","",ROUNDUP(((G1054*Ayarlar!$B$3+Ayarlar!$B$4+Ayarlar!$B$5)+Ayarlar!$B$8)/((1-Ayarlar!$B$6)*(1-Ayarlar!$B$7-Ayarlar!$B$9)),0))</f>
        <v/>
      </c>
      <c r="K1054" s="12">
        <f>IF(OR(G1054="",F1054=""),"",(F1054*(1-Ayarlar!$B$6)-(F1054*(1-Ayarlar!$B$6)*Ayarlar!$B$7+Ayarlar!$B$8)-(G1054*Ayarlar!$B$3+Ayarlar!$B$4+Ayarlar!$B$5))/(F1054*(1-Ayarlar!$B$6)))</f>
        <v/>
      </c>
      <c r="L1054" s="9">
        <f>IF(G1054="","GRAM EKSİK",IF(F1054&gt;30000,"FİYAT ŞÜPHELİ",IF(K1054&lt;0,"ZARARDA",IF(F1054&lt;I1054,"RİSKLİ","ok"))))</f>
        <v/>
      </c>
      <c r="M1054" s="13" t="inlineStr">
        <is>
          <t>https://www.etsy.com/listing/1390701590</t>
        </is>
      </c>
    </row>
    <row r="1055">
      <c r="A1055" s="3" t="inlineStr">
        <is>
          <t>legacy</t>
        </is>
      </c>
      <c r="B1055" s="3" t="inlineStr">
        <is>
          <t>14K Real Gold Mariner Link Chain / Puffed Anchor Necklace</t>
        </is>
      </c>
      <c r="C1055" s="3" t="n">
        <v>1390701590</v>
      </c>
      <c r="D1055" s="3" t="inlineStr">
        <is>
          <t>CPUG4F-24</t>
        </is>
      </c>
      <c r="E1055" s="3" t="inlineStr">
        <is>
          <t>—</t>
        </is>
      </c>
      <c r="F1055" s="14" t="n">
        <v>3192.75</v>
      </c>
      <c r="G1055" s="11" t="n"/>
      <c r="H1055" s="14">
        <f>IF(G1055="","",G1055*Ayarlar!$B$3+Ayarlar!$B$4+Ayarlar!$B$5)</f>
        <v/>
      </c>
      <c r="I1055" s="14">
        <f>IF(G1055="","",ROUNDUP(((G1055*Ayarlar!$B$3+Ayarlar!$B$4+Ayarlar!$B$5)+Ayarlar!$B$8)/((1-Ayarlar!$B$6)*(1-Ayarlar!$B$7)),0))</f>
        <v/>
      </c>
      <c r="J1055" s="14">
        <f>IF(G1055="","",ROUNDUP(((G1055*Ayarlar!$B$3+Ayarlar!$B$4+Ayarlar!$B$5)+Ayarlar!$B$8)/((1-Ayarlar!$B$6)*(1-Ayarlar!$B$7-Ayarlar!$B$9)),0))</f>
        <v/>
      </c>
      <c r="K1055" s="15">
        <f>IF(OR(G1055="",F1055=""),"",(F1055*(1-Ayarlar!$B$6)-(F1055*(1-Ayarlar!$B$6)*Ayarlar!$B$7+Ayarlar!$B$8)-(G1055*Ayarlar!$B$3+Ayarlar!$B$4+Ayarlar!$B$5))/(F1055*(1-Ayarlar!$B$6)))</f>
        <v/>
      </c>
      <c r="L1055" s="3">
        <f>IF(G1055="","GRAM EKSİK",IF(F1055&gt;30000,"FİYAT ŞÜPHELİ",IF(K1055&lt;0,"ZARARDA",IF(F1055&lt;I1055,"RİSKLİ","ok"))))</f>
        <v/>
      </c>
      <c r="M1055" s="16" t="inlineStr">
        <is>
          <t>https://www.etsy.com/listing/1390701590</t>
        </is>
      </c>
    </row>
    <row r="1056">
      <c r="A1056" s="9" t="inlineStr">
        <is>
          <t>legacy</t>
        </is>
      </c>
      <c r="B1056" s="9" t="inlineStr">
        <is>
          <t>14K Real Gold Mariner Link Chain / Puffed Anchor Necklace</t>
        </is>
      </c>
      <c r="C1056" s="9" t="n">
        <v>1390701590</v>
      </c>
      <c r="D1056" s="9" t="inlineStr">
        <is>
          <t>CPUG5F-16</t>
        </is>
      </c>
      <c r="E1056" s="9" t="inlineStr">
        <is>
          <t>inferred</t>
        </is>
      </c>
      <c r="F1056" s="10" t="n">
        <v>3244</v>
      </c>
      <c r="G1056" s="18" t="n">
        <v>17.67</v>
      </c>
      <c r="H1056" s="10">
        <f>IF(G1056="","",G1056*Ayarlar!$B$3+Ayarlar!$B$4+Ayarlar!$B$5)</f>
        <v/>
      </c>
      <c r="I1056" s="10">
        <f>IF(G1056="","",ROUNDUP(((G1056*Ayarlar!$B$3+Ayarlar!$B$4+Ayarlar!$B$5)+Ayarlar!$B$8)/((1-Ayarlar!$B$6)*(1-Ayarlar!$B$7)),0))</f>
        <v/>
      </c>
      <c r="J1056" s="10">
        <f>IF(G1056="","",ROUNDUP(((G1056*Ayarlar!$B$3+Ayarlar!$B$4+Ayarlar!$B$5)+Ayarlar!$B$8)/((1-Ayarlar!$B$6)*(1-Ayarlar!$B$7-Ayarlar!$B$9)),0))</f>
        <v/>
      </c>
      <c r="K1056" s="12">
        <f>IF(OR(G1056="",F1056=""),"",(F1056*(1-Ayarlar!$B$6)-(F1056*(1-Ayarlar!$B$6)*Ayarlar!$B$7+Ayarlar!$B$8)-(G1056*Ayarlar!$B$3+Ayarlar!$B$4+Ayarlar!$B$5))/(F1056*(1-Ayarlar!$B$6)))</f>
        <v/>
      </c>
      <c r="L1056" s="9">
        <f>IF(G1056="","GRAM EKSİK",IF(F1056&gt;30000,"FİYAT ŞÜPHELİ",IF(K1056&lt;0,"ZARARDA",IF(F1056&lt;I1056,"RİSKLİ","ok"))))</f>
        <v/>
      </c>
      <c r="M1056" s="13" t="inlineStr">
        <is>
          <t>https://www.etsy.com/listing/1390701590</t>
        </is>
      </c>
    </row>
    <row r="1057">
      <c r="A1057" s="3" t="inlineStr">
        <is>
          <t>legacy</t>
        </is>
      </c>
      <c r="B1057" s="3" t="inlineStr">
        <is>
          <t>14K Real Gold Mariner Link Chain / Puffed Anchor Necklace</t>
        </is>
      </c>
      <c r="C1057" s="3" t="n">
        <v>1390701590</v>
      </c>
      <c r="D1057" s="3" t="inlineStr">
        <is>
          <t>CPUG5F-18</t>
        </is>
      </c>
      <c r="E1057" s="3" t="inlineStr">
        <is>
          <t>inferred</t>
        </is>
      </c>
      <c r="F1057" s="14" t="n">
        <v>3491</v>
      </c>
      <c r="G1057" s="17" t="n">
        <v>19.88</v>
      </c>
      <c r="H1057" s="14">
        <f>IF(G1057="","",G1057*Ayarlar!$B$3+Ayarlar!$B$4+Ayarlar!$B$5)</f>
        <v/>
      </c>
      <c r="I1057" s="14">
        <f>IF(G1057="","",ROUNDUP(((G1057*Ayarlar!$B$3+Ayarlar!$B$4+Ayarlar!$B$5)+Ayarlar!$B$8)/((1-Ayarlar!$B$6)*(1-Ayarlar!$B$7)),0))</f>
        <v/>
      </c>
      <c r="J1057" s="14">
        <f>IF(G1057="","",ROUNDUP(((G1057*Ayarlar!$B$3+Ayarlar!$B$4+Ayarlar!$B$5)+Ayarlar!$B$8)/((1-Ayarlar!$B$6)*(1-Ayarlar!$B$7-Ayarlar!$B$9)),0))</f>
        <v/>
      </c>
      <c r="K1057" s="15">
        <f>IF(OR(G1057="",F1057=""),"",(F1057*(1-Ayarlar!$B$6)-(F1057*(1-Ayarlar!$B$6)*Ayarlar!$B$7+Ayarlar!$B$8)-(G1057*Ayarlar!$B$3+Ayarlar!$B$4+Ayarlar!$B$5))/(F1057*(1-Ayarlar!$B$6)))</f>
        <v/>
      </c>
      <c r="L1057" s="3">
        <f>IF(G1057="","GRAM EKSİK",IF(F1057&gt;30000,"FİYAT ŞÜPHELİ",IF(K1057&lt;0,"ZARARDA",IF(F1057&lt;I1057,"RİSKLİ","ok"))))</f>
        <v/>
      </c>
      <c r="M1057" s="16" t="inlineStr">
        <is>
          <t>https://www.etsy.com/listing/1390701590</t>
        </is>
      </c>
    </row>
    <row r="1058">
      <c r="A1058" s="9" t="inlineStr">
        <is>
          <t>legacy</t>
        </is>
      </c>
      <c r="B1058" s="9" t="inlineStr">
        <is>
          <t>14K Real Gold Mariner Link Chain / Puffed Anchor Necklace</t>
        </is>
      </c>
      <c r="C1058" s="9" t="n">
        <v>1390701590</v>
      </c>
      <c r="D1058" s="9" t="inlineStr">
        <is>
          <t>CPUG5F-20</t>
        </is>
      </c>
      <c r="E1058" s="9" t="inlineStr">
        <is>
          <t>inferred</t>
        </is>
      </c>
      <c r="F1058" s="10" t="n">
        <v>3736</v>
      </c>
      <c r="G1058" s="18" t="n">
        <v>22.08</v>
      </c>
      <c r="H1058" s="10">
        <f>IF(G1058="","",G1058*Ayarlar!$B$3+Ayarlar!$B$4+Ayarlar!$B$5)</f>
        <v/>
      </c>
      <c r="I1058" s="10">
        <f>IF(G1058="","",ROUNDUP(((G1058*Ayarlar!$B$3+Ayarlar!$B$4+Ayarlar!$B$5)+Ayarlar!$B$8)/((1-Ayarlar!$B$6)*(1-Ayarlar!$B$7)),0))</f>
        <v/>
      </c>
      <c r="J1058" s="10">
        <f>IF(G1058="","",ROUNDUP(((G1058*Ayarlar!$B$3+Ayarlar!$B$4+Ayarlar!$B$5)+Ayarlar!$B$8)/((1-Ayarlar!$B$6)*(1-Ayarlar!$B$7-Ayarlar!$B$9)),0))</f>
        <v/>
      </c>
      <c r="K1058" s="12">
        <f>IF(OR(G1058="",F1058=""),"",(F1058*(1-Ayarlar!$B$6)-(F1058*(1-Ayarlar!$B$6)*Ayarlar!$B$7+Ayarlar!$B$8)-(G1058*Ayarlar!$B$3+Ayarlar!$B$4+Ayarlar!$B$5))/(F1058*(1-Ayarlar!$B$6)))</f>
        <v/>
      </c>
      <c r="L1058" s="9">
        <f>IF(G1058="","GRAM EKSİK",IF(F1058&gt;30000,"FİYAT ŞÜPHELİ",IF(K1058&lt;0,"ZARARDA",IF(F1058&lt;I1058,"RİSKLİ","ok"))))</f>
        <v/>
      </c>
      <c r="M1058" s="13" t="inlineStr">
        <is>
          <t>https://www.etsy.com/listing/1390701590</t>
        </is>
      </c>
    </row>
    <row r="1059">
      <c r="A1059" s="3" t="inlineStr">
        <is>
          <t>legacy</t>
        </is>
      </c>
      <c r="B1059" s="3" t="inlineStr">
        <is>
          <t>14K Real Gold Mariner Link Chain / Puffed Anchor Necklace</t>
        </is>
      </c>
      <c r="C1059" s="3" t="n">
        <v>1390701590</v>
      </c>
      <c r="D1059" s="3" t="inlineStr">
        <is>
          <t>CPUG5F-22</t>
        </is>
      </c>
      <c r="E1059" s="3" t="inlineStr">
        <is>
          <t>inferred</t>
        </is>
      </c>
      <c r="F1059" s="14" t="n">
        <v>4026</v>
      </c>
      <c r="G1059" s="17" t="n">
        <v>24.29</v>
      </c>
      <c r="H1059" s="14">
        <f>IF(G1059="","",G1059*Ayarlar!$B$3+Ayarlar!$B$4+Ayarlar!$B$5)</f>
        <v/>
      </c>
      <c r="I1059" s="14">
        <f>IF(G1059="","",ROUNDUP(((G1059*Ayarlar!$B$3+Ayarlar!$B$4+Ayarlar!$B$5)+Ayarlar!$B$8)/((1-Ayarlar!$B$6)*(1-Ayarlar!$B$7)),0))</f>
        <v/>
      </c>
      <c r="J1059" s="14">
        <f>IF(G1059="","",ROUNDUP(((G1059*Ayarlar!$B$3+Ayarlar!$B$4+Ayarlar!$B$5)+Ayarlar!$B$8)/((1-Ayarlar!$B$6)*(1-Ayarlar!$B$7-Ayarlar!$B$9)),0))</f>
        <v/>
      </c>
      <c r="K1059" s="15">
        <f>IF(OR(G1059="",F1059=""),"",(F1059*(1-Ayarlar!$B$6)-(F1059*(1-Ayarlar!$B$6)*Ayarlar!$B$7+Ayarlar!$B$8)-(G1059*Ayarlar!$B$3+Ayarlar!$B$4+Ayarlar!$B$5))/(F1059*(1-Ayarlar!$B$6)))</f>
        <v/>
      </c>
      <c r="L1059" s="3">
        <f>IF(G1059="","GRAM EKSİK",IF(F1059&gt;30000,"FİYAT ŞÜPHELİ",IF(K1059&lt;0,"ZARARDA",IF(F1059&lt;I1059,"RİSKLİ","ok"))))</f>
        <v/>
      </c>
      <c r="M1059" s="16" t="inlineStr">
        <is>
          <t>https://www.etsy.com/listing/1390701590</t>
        </is>
      </c>
    </row>
    <row r="1060">
      <c r="A1060" s="9" t="inlineStr">
        <is>
          <t>legacy</t>
        </is>
      </c>
      <c r="B1060" s="9" t="inlineStr">
        <is>
          <t>14K Real Gold Mariner Link Chain / Puffed Anchor Necklace</t>
        </is>
      </c>
      <c r="C1060" s="9" t="n">
        <v>1390701590</v>
      </c>
      <c r="D1060" s="9" t="inlineStr">
        <is>
          <t>CPUG5F-24</t>
        </is>
      </c>
      <c r="E1060" s="9" t="inlineStr">
        <is>
          <t>shipstation</t>
        </is>
      </c>
      <c r="F1060" s="10" t="n">
        <v>4228</v>
      </c>
      <c r="G1060" s="18" t="n">
        <v>26.5</v>
      </c>
      <c r="H1060" s="10">
        <f>IF(G1060="","",G1060*Ayarlar!$B$3+Ayarlar!$B$4+Ayarlar!$B$5)</f>
        <v/>
      </c>
      <c r="I1060" s="10">
        <f>IF(G1060="","",ROUNDUP(((G1060*Ayarlar!$B$3+Ayarlar!$B$4+Ayarlar!$B$5)+Ayarlar!$B$8)/((1-Ayarlar!$B$6)*(1-Ayarlar!$B$7)),0))</f>
        <v/>
      </c>
      <c r="J1060" s="10">
        <f>IF(G1060="","",ROUNDUP(((G1060*Ayarlar!$B$3+Ayarlar!$B$4+Ayarlar!$B$5)+Ayarlar!$B$8)/((1-Ayarlar!$B$6)*(1-Ayarlar!$B$7-Ayarlar!$B$9)),0))</f>
        <v/>
      </c>
      <c r="K1060" s="12">
        <f>IF(OR(G1060="",F1060=""),"",(F1060*(1-Ayarlar!$B$6)-(F1060*(1-Ayarlar!$B$6)*Ayarlar!$B$7+Ayarlar!$B$8)-(G1060*Ayarlar!$B$3+Ayarlar!$B$4+Ayarlar!$B$5))/(F1060*(1-Ayarlar!$B$6)))</f>
        <v/>
      </c>
      <c r="L1060" s="9">
        <f>IF(G1060="","GRAM EKSİK",IF(F1060&gt;30000,"FİYAT ŞÜPHELİ",IF(K1060&lt;0,"ZARARDA",IF(F1060&lt;I1060,"RİSKLİ","ok"))))</f>
        <v/>
      </c>
      <c r="M1060" s="13" t="inlineStr">
        <is>
          <t>https://www.etsy.com/listing/1390701590</t>
        </is>
      </c>
    </row>
    <row r="1061">
      <c r="A1061" s="3" t="inlineStr">
        <is>
          <t>legacy</t>
        </is>
      </c>
      <c r="B1061" s="3" t="inlineStr">
        <is>
          <t>14K Real Gold Mariner Link Chain / Puffed Anchor Necklace</t>
        </is>
      </c>
      <c r="C1061" s="3" t="n">
        <v>1390701590</v>
      </c>
      <c r="D1061" s="3" t="inlineStr">
        <is>
          <t>CPUG6F-16</t>
        </is>
      </c>
      <c r="E1061" s="3" t="inlineStr">
        <is>
          <t>—</t>
        </is>
      </c>
      <c r="F1061" s="14" t="n">
        <v>3424.95</v>
      </c>
      <c r="G1061" s="11" t="n"/>
      <c r="H1061" s="14">
        <f>IF(G1061="","",G1061*Ayarlar!$B$3+Ayarlar!$B$4+Ayarlar!$B$5)</f>
        <v/>
      </c>
      <c r="I1061" s="14">
        <f>IF(G1061="","",ROUNDUP(((G1061*Ayarlar!$B$3+Ayarlar!$B$4+Ayarlar!$B$5)+Ayarlar!$B$8)/((1-Ayarlar!$B$6)*(1-Ayarlar!$B$7)),0))</f>
        <v/>
      </c>
      <c r="J1061" s="14">
        <f>IF(G1061="","",ROUNDUP(((G1061*Ayarlar!$B$3+Ayarlar!$B$4+Ayarlar!$B$5)+Ayarlar!$B$8)/((1-Ayarlar!$B$6)*(1-Ayarlar!$B$7-Ayarlar!$B$9)),0))</f>
        <v/>
      </c>
      <c r="K1061" s="15">
        <f>IF(OR(G1061="",F1061=""),"",(F1061*(1-Ayarlar!$B$6)-(F1061*(1-Ayarlar!$B$6)*Ayarlar!$B$7+Ayarlar!$B$8)-(G1061*Ayarlar!$B$3+Ayarlar!$B$4+Ayarlar!$B$5))/(F1061*(1-Ayarlar!$B$6)))</f>
        <v/>
      </c>
      <c r="L1061" s="3">
        <f>IF(G1061="","GRAM EKSİK",IF(F1061&gt;30000,"FİYAT ŞÜPHELİ",IF(K1061&lt;0,"ZARARDA",IF(F1061&lt;I1061,"RİSKLİ","ok"))))</f>
        <v/>
      </c>
      <c r="M1061" s="16" t="inlineStr">
        <is>
          <t>https://www.etsy.com/listing/1390701590</t>
        </is>
      </c>
    </row>
    <row r="1062">
      <c r="A1062" s="9" t="inlineStr">
        <is>
          <t>legacy</t>
        </is>
      </c>
      <c r="B1062" s="9" t="inlineStr">
        <is>
          <t>14K Real Gold Mariner Link Chain / Puffed Anchor Necklace</t>
        </is>
      </c>
      <c r="C1062" s="9" t="n">
        <v>1390701590</v>
      </c>
      <c r="D1062" s="9" t="inlineStr">
        <is>
          <t>CPUG6F-18</t>
        </is>
      </c>
      <c r="E1062" s="9" t="inlineStr">
        <is>
          <t>—</t>
        </is>
      </c>
      <c r="F1062" s="10" t="n">
        <v>3831.3</v>
      </c>
      <c r="G1062" s="11" t="n"/>
      <c r="H1062" s="10">
        <f>IF(G1062="","",G1062*Ayarlar!$B$3+Ayarlar!$B$4+Ayarlar!$B$5)</f>
        <v/>
      </c>
      <c r="I1062" s="10">
        <f>IF(G1062="","",ROUNDUP(((G1062*Ayarlar!$B$3+Ayarlar!$B$4+Ayarlar!$B$5)+Ayarlar!$B$8)/((1-Ayarlar!$B$6)*(1-Ayarlar!$B$7)),0))</f>
        <v/>
      </c>
      <c r="J1062" s="10">
        <f>IF(G1062="","",ROUNDUP(((G1062*Ayarlar!$B$3+Ayarlar!$B$4+Ayarlar!$B$5)+Ayarlar!$B$8)/((1-Ayarlar!$B$6)*(1-Ayarlar!$B$7-Ayarlar!$B$9)),0))</f>
        <v/>
      </c>
      <c r="K1062" s="12">
        <f>IF(OR(G1062="",F1062=""),"",(F1062*(1-Ayarlar!$B$6)-(F1062*(1-Ayarlar!$B$6)*Ayarlar!$B$7+Ayarlar!$B$8)-(G1062*Ayarlar!$B$3+Ayarlar!$B$4+Ayarlar!$B$5))/(F1062*(1-Ayarlar!$B$6)))</f>
        <v/>
      </c>
      <c r="L1062" s="9">
        <f>IF(G1062="","GRAM EKSİK",IF(F1062&gt;30000,"FİYAT ŞÜPHELİ",IF(K1062&lt;0,"ZARARDA",IF(F1062&lt;I1062,"RİSKLİ","ok"))))</f>
        <v/>
      </c>
      <c r="M1062" s="13" t="inlineStr">
        <is>
          <t>https://www.etsy.com/listing/1390701590</t>
        </is>
      </c>
    </row>
    <row r="1063">
      <c r="A1063" s="3" t="inlineStr">
        <is>
          <t>legacy</t>
        </is>
      </c>
      <c r="B1063" s="3" t="inlineStr">
        <is>
          <t>14K Real Gold Mariner Link Chain / Puffed Anchor Necklace</t>
        </is>
      </c>
      <c r="C1063" s="3" t="n">
        <v>1390701590</v>
      </c>
      <c r="D1063" s="3" t="inlineStr">
        <is>
          <t>CPUG6F-20</t>
        </is>
      </c>
      <c r="E1063" s="3" t="inlineStr">
        <is>
          <t>—</t>
        </is>
      </c>
      <c r="F1063" s="14" t="n">
        <v>4237.65</v>
      </c>
      <c r="G1063" s="11" t="n"/>
      <c r="H1063" s="14">
        <f>IF(G1063="","",G1063*Ayarlar!$B$3+Ayarlar!$B$4+Ayarlar!$B$5)</f>
        <v/>
      </c>
      <c r="I1063" s="14">
        <f>IF(G1063="","",ROUNDUP(((G1063*Ayarlar!$B$3+Ayarlar!$B$4+Ayarlar!$B$5)+Ayarlar!$B$8)/((1-Ayarlar!$B$6)*(1-Ayarlar!$B$7)),0))</f>
        <v/>
      </c>
      <c r="J1063" s="14">
        <f>IF(G1063="","",ROUNDUP(((G1063*Ayarlar!$B$3+Ayarlar!$B$4+Ayarlar!$B$5)+Ayarlar!$B$8)/((1-Ayarlar!$B$6)*(1-Ayarlar!$B$7-Ayarlar!$B$9)),0))</f>
        <v/>
      </c>
      <c r="K1063" s="15">
        <f>IF(OR(G1063="",F1063=""),"",(F1063*(1-Ayarlar!$B$6)-(F1063*(1-Ayarlar!$B$6)*Ayarlar!$B$7+Ayarlar!$B$8)-(G1063*Ayarlar!$B$3+Ayarlar!$B$4+Ayarlar!$B$5))/(F1063*(1-Ayarlar!$B$6)))</f>
        <v/>
      </c>
      <c r="L1063" s="3">
        <f>IF(G1063="","GRAM EKSİK",IF(F1063&gt;30000,"FİYAT ŞÜPHELİ",IF(K1063&lt;0,"ZARARDA",IF(F1063&lt;I1063,"RİSKLİ","ok"))))</f>
        <v/>
      </c>
      <c r="M1063" s="16" t="inlineStr">
        <is>
          <t>https://www.etsy.com/listing/1390701590</t>
        </is>
      </c>
    </row>
    <row r="1064">
      <c r="A1064" s="9" t="inlineStr">
        <is>
          <t>legacy</t>
        </is>
      </c>
      <c r="B1064" s="9" t="inlineStr">
        <is>
          <t>14K Real Gold Mariner Link Chain / Puffed Anchor Necklace</t>
        </is>
      </c>
      <c r="C1064" s="9" t="n">
        <v>1390701590</v>
      </c>
      <c r="D1064" s="9" t="inlineStr">
        <is>
          <t>CPUG6F-22</t>
        </is>
      </c>
      <c r="E1064" s="9" t="inlineStr">
        <is>
          <t>—</t>
        </is>
      </c>
      <c r="F1064" s="10" t="n">
        <v>4585.95</v>
      </c>
      <c r="G1064" s="11" t="n"/>
      <c r="H1064" s="10">
        <f>IF(G1064="","",G1064*Ayarlar!$B$3+Ayarlar!$B$4+Ayarlar!$B$5)</f>
        <v/>
      </c>
      <c r="I1064" s="10">
        <f>IF(G1064="","",ROUNDUP(((G1064*Ayarlar!$B$3+Ayarlar!$B$4+Ayarlar!$B$5)+Ayarlar!$B$8)/((1-Ayarlar!$B$6)*(1-Ayarlar!$B$7)),0))</f>
        <v/>
      </c>
      <c r="J1064" s="10">
        <f>IF(G1064="","",ROUNDUP(((G1064*Ayarlar!$B$3+Ayarlar!$B$4+Ayarlar!$B$5)+Ayarlar!$B$8)/((1-Ayarlar!$B$6)*(1-Ayarlar!$B$7-Ayarlar!$B$9)),0))</f>
        <v/>
      </c>
      <c r="K1064" s="12">
        <f>IF(OR(G1064="",F1064=""),"",(F1064*(1-Ayarlar!$B$6)-(F1064*(1-Ayarlar!$B$6)*Ayarlar!$B$7+Ayarlar!$B$8)-(G1064*Ayarlar!$B$3+Ayarlar!$B$4+Ayarlar!$B$5))/(F1064*(1-Ayarlar!$B$6)))</f>
        <v/>
      </c>
      <c r="L1064" s="9">
        <f>IF(G1064="","GRAM EKSİK",IF(F1064&gt;30000,"FİYAT ŞÜPHELİ",IF(K1064&lt;0,"ZARARDA",IF(F1064&lt;I1064,"RİSKLİ","ok"))))</f>
        <v/>
      </c>
      <c r="M1064" s="13" t="inlineStr">
        <is>
          <t>https://www.etsy.com/listing/1390701590</t>
        </is>
      </c>
    </row>
    <row r="1065">
      <c r="A1065" s="3" t="inlineStr">
        <is>
          <t>legacy</t>
        </is>
      </c>
      <c r="B1065" s="3" t="inlineStr">
        <is>
          <t>14K Real Gold Mariner Link Chain / Puffed Anchor Necklace</t>
        </is>
      </c>
      <c r="C1065" s="3" t="n">
        <v>1390701590</v>
      </c>
      <c r="D1065" s="3" t="inlineStr">
        <is>
          <t>CPUG6F-24</t>
        </is>
      </c>
      <c r="E1065" s="3" t="inlineStr">
        <is>
          <t>—</t>
        </is>
      </c>
      <c r="F1065" s="14" t="n">
        <v>5050.35</v>
      </c>
      <c r="G1065" s="11" t="n"/>
      <c r="H1065" s="14">
        <f>IF(G1065="","",G1065*Ayarlar!$B$3+Ayarlar!$B$4+Ayarlar!$B$5)</f>
        <v/>
      </c>
      <c r="I1065" s="14">
        <f>IF(G1065="","",ROUNDUP(((G1065*Ayarlar!$B$3+Ayarlar!$B$4+Ayarlar!$B$5)+Ayarlar!$B$8)/((1-Ayarlar!$B$6)*(1-Ayarlar!$B$7)),0))</f>
        <v/>
      </c>
      <c r="J1065" s="14">
        <f>IF(G1065="","",ROUNDUP(((G1065*Ayarlar!$B$3+Ayarlar!$B$4+Ayarlar!$B$5)+Ayarlar!$B$8)/((1-Ayarlar!$B$6)*(1-Ayarlar!$B$7-Ayarlar!$B$9)),0))</f>
        <v/>
      </c>
      <c r="K1065" s="15">
        <f>IF(OR(G1065="",F1065=""),"",(F1065*(1-Ayarlar!$B$6)-(F1065*(1-Ayarlar!$B$6)*Ayarlar!$B$7+Ayarlar!$B$8)-(G1065*Ayarlar!$B$3+Ayarlar!$B$4+Ayarlar!$B$5))/(F1065*(1-Ayarlar!$B$6)))</f>
        <v/>
      </c>
      <c r="L1065" s="3">
        <f>IF(G1065="","GRAM EKSİK",IF(F1065&gt;30000,"FİYAT ŞÜPHELİ",IF(K1065&lt;0,"ZARARDA",IF(F1065&lt;I1065,"RİSKLİ","ok"))))</f>
        <v/>
      </c>
      <c r="M1065" s="16" t="inlineStr">
        <is>
          <t>https://www.etsy.com/listing/1390701590</t>
        </is>
      </c>
    </row>
    <row r="1066">
      <c r="A1066" s="9" t="inlineStr">
        <is>
          <t>legacy</t>
        </is>
      </c>
      <c r="B1066" s="9" t="inlineStr">
        <is>
          <t>14K Real Gold Mariner Link Chain / Puffed Anchor Necklace</t>
        </is>
      </c>
      <c r="C1066" s="9" t="n">
        <v>1390701590</v>
      </c>
      <c r="D1066" s="9" t="inlineStr">
        <is>
          <t>CPUG7F-16</t>
        </is>
      </c>
      <c r="E1066" s="9" t="inlineStr">
        <is>
          <t>inferred</t>
        </is>
      </c>
      <c r="F1066" s="10" t="n">
        <v>5269</v>
      </c>
      <c r="G1066" s="18" t="n">
        <v>25.82</v>
      </c>
      <c r="H1066" s="10">
        <f>IF(G1066="","",G1066*Ayarlar!$B$3+Ayarlar!$B$4+Ayarlar!$B$5)</f>
        <v/>
      </c>
      <c r="I1066" s="10">
        <f>IF(G1066="","",ROUNDUP(((G1066*Ayarlar!$B$3+Ayarlar!$B$4+Ayarlar!$B$5)+Ayarlar!$B$8)/((1-Ayarlar!$B$6)*(1-Ayarlar!$B$7)),0))</f>
        <v/>
      </c>
      <c r="J1066" s="10">
        <f>IF(G1066="","",ROUNDUP(((G1066*Ayarlar!$B$3+Ayarlar!$B$4+Ayarlar!$B$5)+Ayarlar!$B$8)/((1-Ayarlar!$B$6)*(1-Ayarlar!$B$7-Ayarlar!$B$9)),0))</f>
        <v/>
      </c>
      <c r="K1066" s="12">
        <f>IF(OR(G1066="",F1066=""),"",(F1066*(1-Ayarlar!$B$6)-(F1066*(1-Ayarlar!$B$6)*Ayarlar!$B$7+Ayarlar!$B$8)-(G1066*Ayarlar!$B$3+Ayarlar!$B$4+Ayarlar!$B$5))/(F1066*(1-Ayarlar!$B$6)))</f>
        <v/>
      </c>
      <c r="L1066" s="9">
        <f>IF(G1066="","GRAM EKSİK",IF(F1066&gt;30000,"FİYAT ŞÜPHELİ",IF(K1066&lt;0,"ZARARDA",IF(F1066&lt;I1066,"RİSKLİ","ok"))))</f>
        <v/>
      </c>
      <c r="M1066" s="13" t="inlineStr">
        <is>
          <t>https://www.etsy.com/listing/1390701590</t>
        </is>
      </c>
    </row>
    <row r="1067">
      <c r="A1067" s="3" t="inlineStr">
        <is>
          <t>legacy</t>
        </is>
      </c>
      <c r="B1067" s="3" t="inlineStr">
        <is>
          <t>14K Real Gold Mariner Link Chain / Puffed Anchor Necklace</t>
        </is>
      </c>
      <c r="C1067" s="3" t="n">
        <v>1390701590</v>
      </c>
      <c r="D1067" s="3" t="inlineStr">
        <is>
          <t>CPUG7F-18</t>
        </is>
      </c>
      <c r="E1067" s="3" t="inlineStr">
        <is>
          <t>inferred</t>
        </is>
      </c>
      <c r="F1067" s="14" t="n">
        <v>5928</v>
      </c>
      <c r="G1067" s="17" t="n">
        <v>29.05</v>
      </c>
      <c r="H1067" s="14">
        <f>IF(G1067="","",G1067*Ayarlar!$B$3+Ayarlar!$B$4+Ayarlar!$B$5)</f>
        <v/>
      </c>
      <c r="I1067" s="14">
        <f>IF(G1067="","",ROUNDUP(((G1067*Ayarlar!$B$3+Ayarlar!$B$4+Ayarlar!$B$5)+Ayarlar!$B$8)/((1-Ayarlar!$B$6)*(1-Ayarlar!$B$7)),0))</f>
        <v/>
      </c>
      <c r="J1067" s="14">
        <f>IF(G1067="","",ROUNDUP(((G1067*Ayarlar!$B$3+Ayarlar!$B$4+Ayarlar!$B$5)+Ayarlar!$B$8)/((1-Ayarlar!$B$6)*(1-Ayarlar!$B$7-Ayarlar!$B$9)),0))</f>
        <v/>
      </c>
      <c r="K1067" s="15">
        <f>IF(OR(G1067="",F1067=""),"",(F1067*(1-Ayarlar!$B$6)-(F1067*(1-Ayarlar!$B$6)*Ayarlar!$B$7+Ayarlar!$B$8)-(G1067*Ayarlar!$B$3+Ayarlar!$B$4+Ayarlar!$B$5))/(F1067*(1-Ayarlar!$B$6)))</f>
        <v/>
      </c>
      <c r="L1067" s="3">
        <f>IF(G1067="","GRAM EKSİK",IF(F1067&gt;30000,"FİYAT ŞÜPHELİ",IF(K1067&lt;0,"ZARARDA",IF(F1067&lt;I1067,"RİSKLİ","ok"))))</f>
        <v/>
      </c>
      <c r="M1067" s="16" t="inlineStr">
        <is>
          <t>https://www.etsy.com/listing/1390701590</t>
        </is>
      </c>
    </row>
    <row r="1068">
      <c r="A1068" s="9" t="inlineStr">
        <is>
          <t>legacy</t>
        </is>
      </c>
      <c r="B1068" s="9" t="inlineStr">
        <is>
          <t>14K Real Gold Mariner Link Chain / Puffed Anchor Necklace</t>
        </is>
      </c>
      <c r="C1068" s="9" t="n">
        <v>1390701590</v>
      </c>
      <c r="D1068" s="9" t="inlineStr">
        <is>
          <t>CPUG7F-20</t>
        </is>
      </c>
      <c r="E1068" s="9" t="inlineStr">
        <is>
          <t>shipstation</t>
        </is>
      </c>
      <c r="F1068" s="10" t="n">
        <v>6528</v>
      </c>
      <c r="G1068" s="18" t="n">
        <v>32.28</v>
      </c>
      <c r="H1068" s="10">
        <f>IF(G1068="","",G1068*Ayarlar!$B$3+Ayarlar!$B$4+Ayarlar!$B$5)</f>
        <v/>
      </c>
      <c r="I1068" s="10">
        <f>IF(G1068="","",ROUNDUP(((G1068*Ayarlar!$B$3+Ayarlar!$B$4+Ayarlar!$B$5)+Ayarlar!$B$8)/((1-Ayarlar!$B$6)*(1-Ayarlar!$B$7)),0))</f>
        <v/>
      </c>
      <c r="J1068" s="10">
        <f>IF(G1068="","",ROUNDUP(((G1068*Ayarlar!$B$3+Ayarlar!$B$4+Ayarlar!$B$5)+Ayarlar!$B$8)/((1-Ayarlar!$B$6)*(1-Ayarlar!$B$7-Ayarlar!$B$9)),0))</f>
        <v/>
      </c>
      <c r="K1068" s="12">
        <f>IF(OR(G1068="",F1068=""),"",(F1068*(1-Ayarlar!$B$6)-(F1068*(1-Ayarlar!$B$6)*Ayarlar!$B$7+Ayarlar!$B$8)-(G1068*Ayarlar!$B$3+Ayarlar!$B$4+Ayarlar!$B$5))/(F1068*(1-Ayarlar!$B$6)))</f>
        <v/>
      </c>
      <c r="L1068" s="9">
        <f>IF(G1068="","GRAM EKSİK",IF(F1068&gt;30000,"FİYAT ŞÜPHELİ",IF(K1068&lt;0,"ZARARDA",IF(F1068&lt;I1068,"RİSKLİ","ok"))))</f>
        <v/>
      </c>
      <c r="M1068" s="13" t="inlineStr">
        <is>
          <t>https://www.etsy.com/listing/1390701590</t>
        </is>
      </c>
    </row>
    <row r="1069">
      <c r="A1069" s="3" t="inlineStr">
        <is>
          <t>legacy</t>
        </is>
      </c>
      <c r="B1069" s="3" t="inlineStr">
        <is>
          <t>14K Real Gold Mariner Link Chain / Puffed Anchor Necklace</t>
        </is>
      </c>
      <c r="C1069" s="3" t="n">
        <v>1390701590</v>
      </c>
      <c r="D1069" s="3" t="inlineStr">
        <is>
          <t>CPUG7F-22</t>
        </is>
      </c>
      <c r="E1069" s="3" t="inlineStr">
        <is>
          <t>inferred</t>
        </is>
      </c>
      <c r="F1069" s="14" t="n">
        <v>7128</v>
      </c>
      <c r="G1069" s="17" t="n">
        <v>35.51</v>
      </c>
      <c r="H1069" s="14">
        <f>IF(G1069="","",G1069*Ayarlar!$B$3+Ayarlar!$B$4+Ayarlar!$B$5)</f>
        <v/>
      </c>
      <c r="I1069" s="14">
        <f>IF(G1069="","",ROUNDUP(((G1069*Ayarlar!$B$3+Ayarlar!$B$4+Ayarlar!$B$5)+Ayarlar!$B$8)/((1-Ayarlar!$B$6)*(1-Ayarlar!$B$7)),0))</f>
        <v/>
      </c>
      <c r="J1069" s="14">
        <f>IF(G1069="","",ROUNDUP(((G1069*Ayarlar!$B$3+Ayarlar!$B$4+Ayarlar!$B$5)+Ayarlar!$B$8)/((1-Ayarlar!$B$6)*(1-Ayarlar!$B$7-Ayarlar!$B$9)),0))</f>
        <v/>
      </c>
      <c r="K1069" s="15">
        <f>IF(OR(G1069="",F1069=""),"",(F1069*(1-Ayarlar!$B$6)-(F1069*(1-Ayarlar!$B$6)*Ayarlar!$B$7+Ayarlar!$B$8)-(G1069*Ayarlar!$B$3+Ayarlar!$B$4+Ayarlar!$B$5))/(F1069*(1-Ayarlar!$B$6)))</f>
        <v/>
      </c>
      <c r="L1069" s="3">
        <f>IF(G1069="","GRAM EKSİK",IF(F1069&gt;30000,"FİYAT ŞÜPHELİ",IF(K1069&lt;0,"ZARARDA",IF(F1069&lt;I1069,"RİSKLİ","ok"))))</f>
        <v/>
      </c>
      <c r="M1069" s="16" t="inlineStr">
        <is>
          <t>https://www.etsy.com/listing/1390701590</t>
        </is>
      </c>
    </row>
    <row r="1070">
      <c r="A1070" s="9" t="inlineStr">
        <is>
          <t>legacy</t>
        </is>
      </c>
      <c r="B1070" s="9" t="inlineStr">
        <is>
          <t>14K Real Gold Mariner Link Chain / Puffed Anchor Necklace</t>
        </is>
      </c>
      <c r="C1070" s="9" t="n">
        <v>1390701590</v>
      </c>
      <c r="D1070" s="9" t="inlineStr">
        <is>
          <t>CPUG7F-24</t>
        </is>
      </c>
      <c r="E1070" s="9" t="inlineStr">
        <is>
          <t>inferred</t>
        </is>
      </c>
      <c r="F1070" s="10" t="n">
        <v>7729</v>
      </c>
      <c r="G1070" s="18" t="n">
        <v>38.74</v>
      </c>
      <c r="H1070" s="10">
        <f>IF(G1070="","",G1070*Ayarlar!$B$3+Ayarlar!$B$4+Ayarlar!$B$5)</f>
        <v/>
      </c>
      <c r="I1070" s="10">
        <f>IF(G1070="","",ROUNDUP(((G1070*Ayarlar!$B$3+Ayarlar!$B$4+Ayarlar!$B$5)+Ayarlar!$B$8)/((1-Ayarlar!$B$6)*(1-Ayarlar!$B$7)),0))</f>
        <v/>
      </c>
      <c r="J1070" s="10">
        <f>IF(G1070="","",ROUNDUP(((G1070*Ayarlar!$B$3+Ayarlar!$B$4+Ayarlar!$B$5)+Ayarlar!$B$8)/((1-Ayarlar!$B$6)*(1-Ayarlar!$B$7-Ayarlar!$B$9)),0))</f>
        <v/>
      </c>
      <c r="K1070" s="12">
        <f>IF(OR(G1070="",F1070=""),"",(F1070*(1-Ayarlar!$B$6)-(F1070*(1-Ayarlar!$B$6)*Ayarlar!$B$7+Ayarlar!$B$8)-(G1070*Ayarlar!$B$3+Ayarlar!$B$4+Ayarlar!$B$5))/(F1070*(1-Ayarlar!$B$6)))</f>
        <v/>
      </c>
      <c r="L1070" s="9">
        <f>IF(G1070="","GRAM EKSİK",IF(F1070&gt;30000,"FİYAT ŞÜPHELİ",IF(K1070&lt;0,"ZARARDA",IF(F1070&lt;I1070,"RİSKLİ","ok"))))</f>
        <v/>
      </c>
      <c r="M1070" s="13" t="inlineStr">
        <is>
          <t>https://www.etsy.com/listing/1390701590</t>
        </is>
      </c>
    </row>
    <row r="1071">
      <c r="A1071" s="3" t="inlineStr">
        <is>
          <t>legacy</t>
        </is>
      </c>
      <c r="B1071" s="3" t="inlineStr">
        <is>
          <t>14K Real Gold Mariner Link Chain / Puffed Anchor Necklace</t>
        </is>
      </c>
      <c r="C1071" s="3" t="n">
        <v>1390701590</v>
      </c>
      <c r="D1071" s="3" t="inlineStr">
        <is>
          <t>CPUG8F-16</t>
        </is>
      </c>
      <c r="E1071" s="3" t="inlineStr">
        <is>
          <t>—</t>
        </is>
      </c>
      <c r="F1071" s="14" t="n">
        <v>5688.9</v>
      </c>
      <c r="G1071" s="11" t="n"/>
      <c r="H1071" s="14">
        <f>IF(G1071="","",G1071*Ayarlar!$B$3+Ayarlar!$B$4+Ayarlar!$B$5)</f>
        <v/>
      </c>
      <c r="I1071" s="14">
        <f>IF(G1071="","",ROUNDUP(((G1071*Ayarlar!$B$3+Ayarlar!$B$4+Ayarlar!$B$5)+Ayarlar!$B$8)/((1-Ayarlar!$B$6)*(1-Ayarlar!$B$7)),0))</f>
        <v/>
      </c>
      <c r="J1071" s="14">
        <f>IF(G1071="","",ROUNDUP(((G1071*Ayarlar!$B$3+Ayarlar!$B$4+Ayarlar!$B$5)+Ayarlar!$B$8)/((1-Ayarlar!$B$6)*(1-Ayarlar!$B$7-Ayarlar!$B$9)),0))</f>
        <v/>
      </c>
      <c r="K1071" s="15">
        <f>IF(OR(G1071="",F1071=""),"",(F1071*(1-Ayarlar!$B$6)-(F1071*(1-Ayarlar!$B$6)*Ayarlar!$B$7+Ayarlar!$B$8)-(G1071*Ayarlar!$B$3+Ayarlar!$B$4+Ayarlar!$B$5))/(F1071*(1-Ayarlar!$B$6)))</f>
        <v/>
      </c>
      <c r="L1071" s="3">
        <f>IF(G1071="","GRAM EKSİK",IF(F1071&gt;30000,"FİYAT ŞÜPHELİ",IF(K1071&lt;0,"ZARARDA",IF(F1071&lt;I1071,"RİSKLİ","ok"))))</f>
        <v/>
      </c>
      <c r="M1071" s="16" t="inlineStr">
        <is>
          <t>https://www.etsy.com/listing/1390701590</t>
        </is>
      </c>
    </row>
    <row r="1072">
      <c r="A1072" s="9" t="inlineStr">
        <is>
          <t>legacy</t>
        </is>
      </c>
      <c r="B1072" s="9" t="inlineStr">
        <is>
          <t>14K Real Gold Mariner Link Chain / Puffed Anchor Necklace</t>
        </is>
      </c>
      <c r="C1072" s="9" t="n">
        <v>1390701590</v>
      </c>
      <c r="D1072" s="9" t="inlineStr">
        <is>
          <t>CPUG8F-18</t>
        </is>
      </c>
      <c r="E1072" s="9" t="inlineStr">
        <is>
          <t>—</t>
        </is>
      </c>
      <c r="F1072" s="10" t="n">
        <v>6153.3</v>
      </c>
      <c r="G1072" s="11" t="n"/>
      <c r="H1072" s="10">
        <f>IF(G1072="","",G1072*Ayarlar!$B$3+Ayarlar!$B$4+Ayarlar!$B$5)</f>
        <v/>
      </c>
      <c r="I1072" s="10">
        <f>IF(G1072="","",ROUNDUP(((G1072*Ayarlar!$B$3+Ayarlar!$B$4+Ayarlar!$B$5)+Ayarlar!$B$8)/((1-Ayarlar!$B$6)*(1-Ayarlar!$B$7)),0))</f>
        <v/>
      </c>
      <c r="J1072" s="10">
        <f>IF(G1072="","",ROUNDUP(((G1072*Ayarlar!$B$3+Ayarlar!$B$4+Ayarlar!$B$5)+Ayarlar!$B$8)/((1-Ayarlar!$B$6)*(1-Ayarlar!$B$7-Ayarlar!$B$9)),0))</f>
        <v/>
      </c>
      <c r="K1072" s="12">
        <f>IF(OR(G1072="",F1072=""),"",(F1072*(1-Ayarlar!$B$6)-(F1072*(1-Ayarlar!$B$6)*Ayarlar!$B$7+Ayarlar!$B$8)-(G1072*Ayarlar!$B$3+Ayarlar!$B$4+Ayarlar!$B$5))/(F1072*(1-Ayarlar!$B$6)))</f>
        <v/>
      </c>
      <c r="L1072" s="9">
        <f>IF(G1072="","GRAM EKSİK",IF(F1072&gt;30000,"FİYAT ŞÜPHELİ",IF(K1072&lt;0,"ZARARDA",IF(F1072&lt;I1072,"RİSKLİ","ok"))))</f>
        <v/>
      </c>
      <c r="M1072" s="13" t="inlineStr">
        <is>
          <t>https://www.etsy.com/listing/1390701590</t>
        </is>
      </c>
    </row>
    <row r="1073">
      <c r="A1073" s="3" t="inlineStr">
        <is>
          <t>legacy</t>
        </is>
      </c>
      <c r="B1073" s="3" t="inlineStr">
        <is>
          <t>14K Real Gold Mariner Link Chain / Puffed Anchor Necklace</t>
        </is>
      </c>
      <c r="C1073" s="3" t="n">
        <v>1390701590</v>
      </c>
      <c r="D1073" s="3" t="inlineStr">
        <is>
          <t>CPUG8F-20</t>
        </is>
      </c>
      <c r="E1073" s="3" t="inlineStr">
        <is>
          <t>—</t>
        </is>
      </c>
      <c r="F1073" s="14" t="n">
        <v>6664.14</v>
      </c>
      <c r="G1073" s="11" t="n"/>
      <c r="H1073" s="14">
        <f>IF(G1073="","",G1073*Ayarlar!$B$3+Ayarlar!$B$4+Ayarlar!$B$5)</f>
        <v/>
      </c>
      <c r="I1073" s="14">
        <f>IF(G1073="","",ROUNDUP(((G1073*Ayarlar!$B$3+Ayarlar!$B$4+Ayarlar!$B$5)+Ayarlar!$B$8)/((1-Ayarlar!$B$6)*(1-Ayarlar!$B$7)),0))</f>
        <v/>
      </c>
      <c r="J1073" s="14">
        <f>IF(G1073="","",ROUNDUP(((G1073*Ayarlar!$B$3+Ayarlar!$B$4+Ayarlar!$B$5)+Ayarlar!$B$8)/((1-Ayarlar!$B$6)*(1-Ayarlar!$B$7-Ayarlar!$B$9)),0))</f>
        <v/>
      </c>
      <c r="K1073" s="15">
        <f>IF(OR(G1073="",F1073=""),"",(F1073*(1-Ayarlar!$B$6)-(F1073*(1-Ayarlar!$B$6)*Ayarlar!$B$7+Ayarlar!$B$8)-(G1073*Ayarlar!$B$3+Ayarlar!$B$4+Ayarlar!$B$5))/(F1073*(1-Ayarlar!$B$6)))</f>
        <v/>
      </c>
      <c r="L1073" s="3">
        <f>IF(G1073="","GRAM EKSİK",IF(F1073&gt;30000,"FİYAT ŞÜPHELİ",IF(K1073&lt;0,"ZARARDA",IF(F1073&lt;I1073,"RİSKLİ","ok"))))</f>
        <v/>
      </c>
      <c r="M1073" s="16" t="inlineStr">
        <is>
          <t>https://www.etsy.com/listing/1390701590</t>
        </is>
      </c>
    </row>
    <row r="1074">
      <c r="A1074" s="9" t="inlineStr">
        <is>
          <t>legacy</t>
        </is>
      </c>
      <c r="B1074" s="9" t="inlineStr">
        <is>
          <t>14K Real Gold Mariner Link Chain / Puffed Anchor Necklace</t>
        </is>
      </c>
      <c r="C1074" s="9" t="n">
        <v>1390701590</v>
      </c>
      <c r="D1074" s="9" t="inlineStr">
        <is>
          <t>CPUG8F-22</t>
        </is>
      </c>
      <c r="E1074" s="9" t="inlineStr">
        <is>
          <t>—</t>
        </is>
      </c>
      <c r="F1074" s="10" t="n">
        <v>7140.15</v>
      </c>
      <c r="G1074" s="11" t="n"/>
      <c r="H1074" s="10">
        <f>IF(G1074="","",G1074*Ayarlar!$B$3+Ayarlar!$B$4+Ayarlar!$B$5)</f>
        <v/>
      </c>
      <c r="I1074" s="10">
        <f>IF(G1074="","",ROUNDUP(((G1074*Ayarlar!$B$3+Ayarlar!$B$4+Ayarlar!$B$5)+Ayarlar!$B$8)/((1-Ayarlar!$B$6)*(1-Ayarlar!$B$7)),0))</f>
        <v/>
      </c>
      <c r="J1074" s="10">
        <f>IF(G1074="","",ROUNDUP(((G1074*Ayarlar!$B$3+Ayarlar!$B$4+Ayarlar!$B$5)+Ayarlar!$B$8)/((1-Ayarlar!$B$6)*(1-Ayarlar!$B$7-Ayarlar!$B$9)),0))</f>
        <v/>
      </c>
      <c r="K1074" s="12">
        <f>IF(OR(G1074="",F1074=""),"",(F1074*(1-Ayarlar!$B$6)-(F1074*(1-Ayarlar!$B$6)*Ayarlar!$B$7+Ayarlar!$B$8)-(G1074*Ayarlar!$B$3+Ayarlar!$B$4+Ayarlar!$B$5))/(F1074*(1-Ayarlar!$B$6)))</f>
        <v/>
      </c>
      <c r="L1074" s="9">
        <f>IF(G1074="","GRAM EKSİK",IF(F1074&gt;30000,"FİYAT ŞÜPHELİ",IF(K1074&lt;0,"ZARARDA",IF(F1074&lt;I1074,"RİSKLİ","ok"))))</f>
        <v/>
      </c>
      <c r="M1074" s="13" t="inlineStr">
        <is>
          <t>https://www.etsy.com/listing/1390701590</t>
        </is>
      </c>
    </row>
    <row r="1075">
      <c r="A1075" s="3" t="inlineStr">
        <is>
          <t>legacy</t>
        </is>
      </c>
      <c r="B1075" s="3" t="inlineStr">
        <is>
          <t>14K Real Gold Mariner Link Chain / Puffed Anchor Necklace</t>
        </is>
      </c>
      <c r="C1075" s="3" t="n">
        <v>1390701590</v>
      </c>
      <c r="D1075" s="3" t="inlineStr">
        <is>
          <t>CPUG8F-24</t>
        </is>
      </c>
      <c r="E1075" s="3" t="inlineStr">
        <is>
          <t>—</t>
        </is>
      </c>
      <c r="F1075" s="14" t="n">
        <v>7691.62</v>
      </c>
      <c r="G1075" s="11" t="n"/>
      <c r="H1075" s="14">
        <f>IF(G1075="","",G1075*Ayarlar!$B$3+Ayarlar!$B$4+Ayarlar!$B$5)</f>
        <v/>
      </c>
      <c r="I1075" s="14">
        <f>IF(G1075="","",ROUNDUP(((G1075*Ayarlar!$B$3+Ayarlar!$B$4+Ayarlar!$B$5)+Ayarlar!$B$8)/((1-Ayarlar!$B$6)*(1-Ayarlar!$B$7)),0))</f>
        <v/>
      </c>
      <c r="J1075" s="14">
        <f>IF(G1075="","",ROUNDUP(((G1075*Ayarlar!$B$3+Ayarlar!$B$4+Ayarlar!$B$5)+Ayarlar!$B$8)/((1-Ayarlar!$B$6)*(1-Ayarlar!$B$7-Ayarlar!$B$9)),0))</f>
        <v/>
      </c>
      <c r="K1075" s="15">
        <f>IF(OR(G1075="",F1075=""),"",(F1075*(1-Ayarlar!$B$6)-(F1075*(1-Ayarlar!$B$6)*Ayarlar!$B$7+Ayarlar!$B$8)-(G1075*Ayarlar!$B$3+Ayarlar!$B$4+Ayarlar!$B$5))/(F1075*(1-Ayarlar!$B$6)))</f>
        <v/>
      </c>
      <c r="L1075" s="3">
        <f>IF(G1075="","GRAM EKSİK",IF(F1075&gt;30000,"FİYAT ŞÜPHELİ",IF(K1075&lt;0,"ZARARDA",IF(F1075&lt;I1075,"RİSKLİ","ok"))))</f>
        <v/>
      </c>
      <c r="M1075" s="16" t="inlineStr">
        <is>
          <t>https://www.etsy.com/listing/1390701590</t>
        </is>
      </c>
    </row>
    <row r="1076">
      <c r="A1076" s="9" t="inlineStr">
        <is>
          <t>legacy</t>
        </is>
      </c>
      <c r="B1076" s="9" t="inlineStr">
        <is>
          <t>14K Solid Gold Curb Bracelet – Miami Cuban Chain Link</t>
        </is>
      </c>
      <c r="C1076" s="9" t="n">
        <v>1359195369</v>
      </c>
      <c r="D1076" s="9" t="inlineStr">
        <is>
          <t>BCB1-7</t>
        </is>
      </c>
      <c r="E1076" s="9" t="inlineStr">
        <is>
          <t>description</t>
        </is>
      </c>
      <c r="F1076" s="10" t="n">
        <v>1409</v>
      </c>
      <c r="G1076" s="18" t="n">
        <v>6.05</v>
      </c>
      <c r="H1076" s="10">
        <f>IF(G1076="","",G1076*Ayarlar!$B$3+Ayarlar!$B$4+Ayarlar!$B$5)</f>
        <v/>
      </c>
      <c r="I1076" s="10">
        <f>IF(G1076="","",ROUNDUP(((G1076*Ayarlar!$B$3+Ayarlar!$B$4+Ayarlar!$B$5)+Ayarlar!$B$8)/((1-Ayarlar!$B$6)*(1-Ayarlar!$B$7)),0))</f>
        <v/>
      </c>
      <c r="J1076" s="10">
        <f>IF(G1076="","",ROUNDUP(((G1076*Ayarlar!$B$3+Ayarlar!$B$4+Ayarlar!$B$5)+Ayarlar!$B$8)/((1-Ayarlar!$B$6)*(1-Ayarlar!$B$7-Ayarlar!$B$9)),0))</f>
        <v/>
      </c>
      <c r="K1076" s="12">
        <f>IF(OR(G1076="",F1076=""),"",(F1076*(1-Ayarlar!$B$6)-(F1076*(1-Ayarlar!$B$6)*Ayarlar!$B$7+Ayarlar!$B$8)-(G1076*Ayarlar!$B$3+Ayarlar!$B$4+Ayarlar!$B$5))/(F1076*(1-Ayarlar!$B$6)))</f>
        <v/>
      </c>
      <c r="L1076" s="9">
        <f>IF(G1076="","GRAM EKSİK",IF(F1076&gt;30000,"FİYAT ŞÜPHELİ",IF(K1076&lt;0,"ZARARDA",IF(F1076&lt;I1076,"RİSKLİ","ok"))))</f>
        <v/>
      </c>
      <c r="M1076" s="13" t="inlineStr">
        <is>
          <t>https://www.etsy.com/listing/1359195369</t>
        </is>
      </c>
    </row>
    <row r="1077">
      <c r="A1077" s="3" t="inlineStr">
        <is>
          <t>legacy</t>
        </is>
      </c>
      <c r="B1077" s="3" t="inlineStr">
        <is>
          <t>14K Solid Gold Curb Bracelet – Miami Cuban Chain Link</t>
        </is>
      </c>
      <c r="C1077" s="3" t="n">
        <v>1359195369</v>
      </c>
      <c r="D1077" s="3" t="inlineStr">
        <is>
          <t>BCB1-7.5</t>
        </is>
      </c>
      <c r="E1077" s="3" t="inlineStr">
        <is>
          <t>description</t>
        </is>
      </c>
      <c r="F1077" s="14" t="n">
        <v>1490</v>
      </c>
      <c r="G1077" s="17" t="n">
        <v>6.48</v>
      </c>
      <c r="H1077" s="14">
        <f>IF(G1077="","",G1077*Ayarlar!$B$3+Ayarlar!$B$4+Ayarlar!$B$5)</f>
        <v/>
      </c>
      <c r="I1077" s="14">
        <f>IF(G1077="","",ROUNDUP(((G1077*Ayarlar!$B$3+Ayarlar!$B$4+Ayarlar!$B$5)+Ayarlar!$B$8)/((1-Ayarlar!$B$6)*(1-Ayarlar!$B$7)),0))</f>
        <v/>
      </c>
      <c r="J1077" s="14">
        <f>IF(G1077="","",ROUNDUP(((G1077*Ayarlar!$B$3+Ayarlar!$B$4+Ayarlar!$B$5)+Ayarlar!$B$8)/((1-Ayarlar!$B$6)*(1-Ayarlar!$B$7-Ayarlar!$B$9)),0))</f>
        <v/>
      </c>
      <c r="K1077" s="15">
        <f>IF(OR(G1077="",F1077=""),"",(F1077*(1-Ayarlar!$B$6)-(F1077*(1-Ayarlar!$B$6)*Ayarlar!$B$7+Ayarlar!$B$8)-(G1077*Ayarlar!$B$3+Ayarlar!$B$4+Ayarlar!$B$5))/(F1077*(1-Ayarlar!$B$6)))</f>
        <v/>
      </c>
      <c r="L1077" s="3">
        <f>IF(G1077="","GRAM EKSİK",IF(F1077&gt;30000,"FİYAT ŞÜPHELİ",IF(K1077&lt;0,"ZARARDA",IF(F1077&lt;I1077,"RİSKLİ","ok"))))</f>
        <v/>
      </c>
      <c r="M1077" s="16" t="inlineStr">
        <is>
          <t>https://www.etsy.com/listing/1359195369</t>
        </is>
      </c>
    </row>
    <row r="1078">
      <c r="A1078" s="9" t="inlineStr">
        <is>
          <t>legacy</t>
        </is>
      </c>
      <c r="B1078" s="9" t="inlineStr">
        <is>
          <t>14K Solid Gold Curb Bracelet – Miami Cuban Chain Link</t>
        </is>
      </c>
      <c r="C1078" s="9" t="n">
        <v>1359195369</v>
      </c>
      <c r="D1078" s="9" t="inlineStr">
        <is>
          <t>BCB1-8</t>
        </is>
      </c>
      <c r="E1078" s="9" t="inlineStr">
        <is>
          <t>description</t>
        </is>
      </c>
      <c r="F1078" s="10" t="n">
        <v>1610</v>
      </c>
      <c r="G1078" s="18" t="n">
        <v>6.91</v>
      </c>
      <c r="H1078" s="10">
        <f>IF(G1078="","",G1078*Ayarlar!$B$3+Ayarlar!$B$4+Ayarlar!$B$5)</f>
        <v/>
      </c>
      <c r="I1078" s="10">
        <f>IF(G1078="","",ROUNDUP(((G1078*Ayarlar!$B$3+Ayarlar!$B$4+Ayarlar!$B$5)+Ayarlar!$B$8)/((1-Ayarlar!$B$6)*(1-Ayarlar!$B$7)),0))</f>
        <v/>
      </c>
      <c r="J1078" s="10">
        <f>IF(G1078="","",ROUNDUP(((G1078*Ayarlar!$B$3+Ayarlar!$B$4+Ayarlar!$B$5)+Ayarlar!$B$8)/((1-Ayarlar!$B$6)*(1-Ayarlar!$B$7-Ayarlar!$B$9)),0))</f>
        <v/>
      </c>
      <c r="K1078" s="12">
        <f>IF(OR(G1078="",F1078=""),"",(F1078*(1-Ayarlar!$B$6)-(F1078*(1-Ayarlar!$B$6)*Ayarlar!$B$7+Ayarlar!$B$8)-(G1078*Ayarlar!$B$3+Ayarlar!$B$4+Ayarlar!$B$5))/(F1078*(1-Ayarlar!$B$6)))</f>
        <v/>
      </c>
      <c r="L1078" s="9">
        <f>IF(G1078="","GRAM EKSİK",IF(F1078&gt;30000,"FİYAT ŞÜPHELİ",IF(K1078&lt;0,"ZARARDA",IF(F1078&lt;I1078,"RİSKLİ","ok"))))</f>
        <v/>
      </c>
      <c r="M1078" s="13" t="inlineStr">
        <is>
          <t>https://www.etsy.com/listing/1359195369</t>
        </is>
      </c>
    </row>
    <row r="1079">
      <c r="A1079" s="3" t="inlineStr">
        <is>
          <t>legacy</t>
        </is>
      </c>
      <c r="B1079" s="3" t="inlineStr">
        <is>
          <t>14K Solid Gold Curb Bracelet – Miami Cuban Chain Link</t>
        </is>
      </c>
      <c r="C1079" s="3" t="n">
        <v>1359195369</v>
      </c>
      <c r="D1079" s="3" t="inlineStr">
        <is>
          <t>BCB1-8.5</t>
        </is>
      </c>
      <c r="E1079" s="3" t="inlineStr">
        <is>
          <t>description</t>
        </is>
      </c>
      <c r="F1079" s="14" t="n">
        <v>1730</v>
      </c>
      <c r="G1079" s="17" t="n">
        <v>7.34</v>
      </c>
      <c r="H1079" s="14">
        <f>IF(G1079="","",G1079*Ayarlar!$B$3+Ayarlar!$B$4+Ayarlar!$B$5)</f>
        <v/>
      </c>
      <c r="I1079" s="14">
        <f>IF(G1079="","",ROUNDUP(((G1079*Ayarlar!$B$3+Ayarlar!$B$4+Ayarlar!$B$5)+Ayarlar!$B$8)/((1-Ayarlar!$B$6)*(1-Ayarlar!$B$7)),0))</f>
        <v/>
      </c>
      <c r="J1079" s="14">
        <f>IF(G1079="","",ROUNDUP(((G1079*Ayarlar!$B$3+Ayarlar!$B$4+Ayarlar!$B$5)+Ayarlar!$B$8)/((1-Ayarlar!$B$6)*(1-Ayarlar!$B$7-Ayarlar!$B$9)),0))</f>
        <v/>
      </c>
      <c r="K1079" s="15">
        <f>IF(OR(G1079="",F1079=""),"",(F1079*(1-Ayarlar!$B$6)-(F1079*(1-Ayarlar!$B$6)*Ayarlar!$B$7+Ayarlar!$B$8)-(G1079*Ayarlar!$B$3+Ayarlar!$B$4+Ayarlar!$B$5))/(F1079*(1-Ayarlar!$B$6)))</f>
        <v/>
      </c>
      <c r="L1079" s="3">
        <f>IF(G1079="","GRAM EKSİK",IF(F1079&gt;30000,"FİYAT ŞÜPHELİ",IF(K1079&lt;0,"ZARARDA",IF(F1079&lt;I1079,"RİSKLİ","ok"))))</f>
        <v/>
      </c>
      <c r="M1079" s="16" t="inlineStr">
        <is>
          <t>https://www.etsy.com/listing/1359195369</t>
        </is>
      </c>
    </row>
    <row r="1080">
      <c r="A1080" s="9" t="inlineStr">
        <is>
          <t>legacy</t>
        </is>
      </c>
      <c r="B1080" s="9" t="inlineStr">
        <is>
          <t>14K Solid Gold Curb Bracelet – Miami Cuban Chain Link</t>
        </is>
      </c>
      <c r="C1080" s="9" t="n">
        <v>1359195369</v>
      </c>
      <c r="D1080" s="9" t="inlineStr">
        <is>
          <t>BCB2-7</t>
        </is>
      </c>
      <c r="E1080" s="9" t="inlineStr">
        <is>
          <t>description</t>
        </is>
      </c>
      <c r="F1080" s="10" t="n">
        <v>2171</v>
      </c>
      <c r="G1080" s="18" t="n">
        <v>8.82</v>
      </c>
      <c r="H1080" s="10">
        <f>IF(G1080="","",G1080*Ayarlar!$B$3+Ayarlar!$B$4+Ayarlar!$B$5)</f>
        <v/>
      </c>
      <c r="I1080" s="10">
        <f>IF(G1080="","",ROUNDUP(((G1080*Ayarlar!$B$3+Ayarlar!$B$4+Ayarlar!$B$5)+Ayarlar!$B$8)/((1-Ayarlar!$B$6)*(1-Ayarlar!$B$7)),0))</f>
        <v/>
      </c>
      <c r="J1080" s="10">
        <f>IF(G1080="","",ROUNDUP(((G1080*Ayarlar!$B$3+Ayarlar!$B$4+Ayarlar!$B$5)+Ayarlar!$B$8)/((1-Ayarlar!$B$6)*(1-Ayarlar!$B$7-Ayarlar!$B$9)),0))</f>
        <v/>
      </c>
      <c r="K1080" s="12">
        <f>IF(OR(G1080="",F1080=""),"",(F1080*(1-Ayarlar!$B$6)-(F1080*(1-Ayarlar!$B$6)*Ayarlar!$B$7+Ayarlar!$B$8)-(G1080*Ayarlar!$B$3+Ayarlar!$B$4+Ayarlar!$B$5))/(F1080*(1-Ayarlar!$B$6)))</f>
        <v/>
      </c>
      <c r="L1080" s="9">
        <f>IF(G1080="","GRAM EKSİK",IF(F1080&gt;30000,"FİYAT ŞÜPHELİ",IF(K1080&lt;0,"ZARARDA",IF(F1080&lt;I1080,"RİSKLİ","ok"))))</f>
        <v/>
      </c>
      <c r="M1080" s="13" t="inlineStr">
        <is>
          <t>https://www.etsy.com/listing/1359195369</t>
        </is>
      </c>
    </row>
    <row r="1081">
      <c r="A1081" s="3" t="inlineStr">
        <is>
          <t>legacy</t>
        </is>
      </c>
      <c r="B1081" s="3" t="inlineStr">
        <is>
          <t>14K Solid Gold Curb Bracelet – Miami Cuban Chain Link</t>
        </is>
      </c>
      <c r="C1081" s="3" t="n">
        <v>1359195369</v>
      </c>
      <c r="D1081" s="3" t="inlineStr">
        <is>
          <t>BCB2-7.5</t>
        </is>
      </c>
      <c r="E1081" s="3" t="inlineStr">
        <is>
          <t>description</t>
        </is>
      </c>
      <c r="F1081" s="14" t="n">
        <v>2293</v>
      </c>
      <c r="G1081" s="17" t="n">
        <v>9.449999999999999</v>
      </c>
      <c r="H1081" s="14">
        <f>IF(G1081="","",G1081*Ayarlar!$B$3+Ayarlar!$B$4+Ayarlar!$B$5)</f>
        <v/>
      </c>
      <c r="I1081" s="14">
        <f>IF(G1081="","",ROUNDUP(((G1081*Ayarlar!$B$3+Ayarlar!$B$4+Ayarlar!$B$5)+Ayarlar!$B$8)/((1-Ayarlar!$B$6)*(1-Ayarlar!$B$7)),0))</f>
        <v/>
      </c>
      <c r="J1081" s="14">
        <f>IF(G1081="","",ROUNDUP(((G1081*Ayarlar!$B$3+Ayarlar!$B$4+Ayarlar!$B$5)+Ayarlar!$B$8)/((1-Ayarlar!$B$6)*(1-Ayarlar!$B$7-Ayarlar!$B$9)),0))</f>
        <v/>
      </c>
      <c r="K1081" s="15">
        <f>IF(OR(G1081="",F1081=""),"",(F1081*(1-Ayarlar!$B$6)-(F1081*(1-Ayarlar!$B$6)*Ayarlar!$B$7+Ayarlar!$B$8)-(G1081*Ayarlar!$B$3+Ayarlar!$B$4+Ayarlar!$B$5))/(F1081*(1-Ayarlar!$B$6)))</f>
        <v/>
      </c>
      <c r="L1081" s="3">
        <f>IF(G1081="","GRAM EKSİK",IF(F1081&gt;30000,"FİYAT ŞÜPHELİ",IF(K1081&lt;0,"ZARARDA",IF(F1081&lt;I1081,"RİSKLİ","ok"))))</f>
        <v/>
      </c>
      <c r="M1081" s="16" t="inlineStr">
        <is>
          <t>https://www.etsy.com/listing/1359195369</t>
        </is>
      </c>
    </row>
    <row r="1082">
      <c r="A1082" s="9" t="inlineStr">
        <is>
          <t>legacy</t>
        </is>
      </c>
      <c r="B1082" s="9" t="inlineStr">
        <is>
          <t>14K Solid Gold Curb Bracelet – Miami Cuban Chain Link</t>
        </is>
      </c>
      <c r="C1082" s="9" t="n">
        <v>1359195369</v>
      </c>
      <c r="D1082" s="9" t="inlineStr">
        <is>
          <t>BCB2-8</t>
        </is>
      </c>
      <c r="E1082" s="9" t="inlineStr">
        <is>
          <t>description</t>
        </is>
      </c>
      <c r="F1082" s="10" t="n">
        <v>2414</v>
      </c>
      <c r="G1082" s="18" t="n">
        <v>10.08</v>
      </c>
      <c r="H1082" s="10">
        <f>IF(G1082="","",G1082*Ayarlar!$B$3+Ayarlar!$B$4+Ayarlar!$B$5)</f>
        <v/>
      </c>
      <c r="I1082" s="10">
        <f>IF(G1082="","",ROUNDUP(((G1082*Ayarlar!$B$3+Ayarlar!$B$4+Ayarlar!$B$5)+Ayarlar!$B$8)/((1-Ayarlar!$B$6)*(1-Ayarlar!$B$7)),0))</f>
        <v/>
      </c>
      <c r="J1082" s="10">
        <f>IF(G1082="","",ROUNDUP(((G1082*Ayarlar!$B$3+Ayarlar!$B$4+Ayarlar!$B$5)+Ayarlar!$B$8)/((1-Ayarlar!$B$6)*(1-Ayarlar!$B$7-Ayarlar!$B$9)),0))</f>
        <v/>
      </c>
      <c r="K1082" s="12">
        <f>IF(OR(G1082="",F1082=""),"",(F1082*(1-Ayarlar!$B$6)-(F1082*(1-Ayarlar!$B$6)*Ayarlar!$B$7+Ayarlar!$B$8)-(G1082*Ayarlar!$B$3+Ayarlar!$B$4+Ayarlar!$B$5))/(F1082*(1-Ayarlar!$B$6)))</f>
        <v/>
      </c>
      <c r="L1082" s="9">
        <f>IF(G1082="","GRAM EKSİK",IF(F1082&gt;30000,"FİYAT ŞÜPHELİ",IF(K1082&lt;0,"ZARARDA",IF(F1082&lt;I1082,"RİSKLİ","ok"))))</f>
        <v/>
      </c>
      <c r="M1082" s="13" t="inlineStr">
        <is>
          <t>https://www.etsy.com/listing/1359195369</t>
        </is>
      </c>
    </row>
    <row r="1083">
      <c r="A1083" s="3" t="inlineStr">
        <is>
          <t>legacy</t>
        </is>
      </c>
      <c r="B1083" s="3" t="inlineStr">
        <is>
          <t>14K Solid Gold Curb Bracelet – Miami Cuban Chain Link</t>
        </is>
      </c>
      <c r="C1083" s="3" t="n">
        <v>1359195369</v>
      </c>
      <c r="D1083" s="3" t="inlineStr">
        <is>
          <t>BCB2-8.5</t>
        </is>
      </c>
      <c r="E1083" s="3" t="inlineStr">
        <is>
          <t>description</t>
        </is>
      </c>
      <c r="F1083" s="14" t="n">
        <v>2535</v>
      </c>
      <c r="G1083" s="17" t="n">
        <v>10.71</v>
      </c>
      <c r="H1083" s="14">
        <f>IF(G1083="","",G1083*Ayarlar!$B$3+Ayarlar!$B$4+Ayarlar!$B$5)</f>
        <v/>
      </c>
      <c r="I1083" s="14">
        <f>IF(G1083="","",ROUNDUP(((G1083*Ayarlar!$B$3+Ayarlar!$B$4+Ayarlar!$B$5)+Ayarlar!$B$8)/((1-Ayarlar!$B$6)*(1-Ayarlar!$B$7)),0))</f>
        <v/>
      </c>
      <c r="J1083" s="14">
        <f>IF(G1083="","",ROUNDUP(((G1083*Ayarlar!$B$3+Ayarlar!$B$4+Ayarlar!$B$5)+Ayarlar!$B$8)/((1-Ayarlar!$B$6)*(1-Ayarlar!$B$7-Ayarlar!$B$9)),0))</f>
        <v/>
      </c>
      <c r="K1083" s="15">
        <f>IF(OR(G1083="",F1083=""),"",(F1083*(1-Ayarlar!$B$6)-(F1083*(1-Ayarlar!$B$6)*Ayarlar!$B$7+Ayarlar!$B$8)-(G1083*Ayarlar!$B$3+Ayarlar!$B$4+Ayarlar!$B$5))/(F1083*(1-Ayarlar!$B$6)))</f>
        <v/>
      </c>
      <c r="L1083" s="3">
        <f>IF(G1083="","GRAM EKSİK",IF(F1083&gt;30000,"FİYAT ŞÜPHELİ",IF(K1083&lt;0,"ZARARDA",IF(F1083&lt;I1083,"RİSKLİ","ok"))))</f>
        <v/>
      </c>
      <c r="M1083" s="16" t="inlineStr">
        <is>
          <t>https://www.etsy.com/listing/1359195369</t>
        </is>
      </c>
    </row>
    <row r="1084">
      <c r="A1084" s="9" t="inlineStr">
        <is>
          <t>legacy</t>
        </is>
      </c>
      <c r="B1084" s="9" t="inlineStr">
        <is>
          <t>14K Solid Gold Curb Bracelet – Miami Cuban Chain Link</t>
        </is>
      </c>
      <c r="C1084" s="9" t="n">
        <v>1359195369</v>
      </c>
      <c r="D1084" s="9" t="inlineStr">
        <is>
          <t>BCB3-7</t>
        </is>
      </c>
      <c r="E1084" s="9" t="inlineStr">
        <is>
          <t>description</t>
        </is>
      </c>
      <c r="F1084" s="10" t="n">
        <v>3620</v>
      </c>
      <c r="G1084" s="18" t="n">
        <v>15</v>
      </c>
      <c r="H1084" s="10">
        <f>IF(G1084="","",G1084*Ayarlar!$B$3+Ayarlar!$B$4+Ayarlar!$B$5)</f>
        <v/>
      </c>
      <c r="I1084" s="10">
        <f>IF(G1084="","",ROUNDUP(((G1084*Ayarlar!$B$3+Ayarlar!$B$4+Ayarlar!$B$5)+Ayarlar!$B$8)/((1-Ayarlar!$B$6)*(1-Ayarlar!$B$7)),0))</f>
        <v/>
      </c>
      <c r="J1084" s="10">
        <f>IF(G1084="","",ROUNDUP(((G1084*Ayarlar!$B$3+Ayarlar!$B$4+Ayarlar!$B$5)+Ayarlar!$B$8)/((1-Ayarlar!$B$6)*(1-Ayarlar!$B$7-Ayarlar!$B$9)),0))</f>
        <v/>
      </c>
      <c r="K1084" s="12">
        <f>IF(OR(G1084="",F1084=""),"",(F1084*(1-Ayarlar!$B$6)-(F1084*(1-Ayarlar!$B$6)*Ayarlar!$B$7+Ayarlar!$B$8)-(G1084*Ayarlar!$B$3+Ayarlar!$B$4+Ayarlar!$B$5))/(F1084*(1-Ayarlar!$B$6)))</f>
        <v/>
      </c>
      <c r="L1084" s="9">
        <f>IF(G1084="","GRAM EKSİK",IF(F1084&gt;30000,"FİYAT ŞÜPHELİ",IF(K1084&lt;0,"ZARARDA",IF(F1084&lt;I1084,"RİSKLİ","ok"))))</f>
        <v/>
      </c>
      <c r="M1084" s="13" t="inlineStr">
        <is>
          <t>https://www.etsy.com/listing/1359195369</t>
        </is>
      </c>
    </row>
    <row r="1085">
      <c r="A1085" s="3" t="inlineStr">
        <is>
          <t>legacy</t>
        </is>
      </c>
      <c r="B1085" s="3" t="inlineStr">
        <is>
          <t>14K Solid Gold Curb Bracelet – Miami Cuban Chain Link</t>
        </is>
      </c>
      <c r="C1085" s="3" t="n">
        <v>1359195369</v>
      </c>
      <c r="D1085" s="3" t="inlineStr">
        <is>
          <t>BCB3-7.5</t>
        </is>
      </c>
      <c r="E1085" s="3" t="inlineStr">
        <is>
          <t>description</t>
        </is>
      </c>
      <c r="F1085" s="14" t="n">
        <v>4018</v>
      </c>
      <c r="G1085" s="17" t="n">
        <v>16.08</v>
      </c>
      <c r="H1085" s="14">
        <f>IF(G1085="","",G1085*Ayarlar!$B$3+Ayarlar!$B$4+Ayarlar!$B$5)</f>
        <v/>
      </c>
      <c r="I1085" s="14">
        <f>IF(G1085="","",ROUNDUP(((G1085*Ayarlar!$B$3+Ayarlar!$B$4+Ayarlar!$B$5)+Ayarlar!$B$8)/((1-Ayarlar!$B$6)*(1-Ayarlar!$B$7)),0))</f>
        <v/>
      </c>
      <c r="J1085" s="14">
        <f>IF(G1085="","",ROUNDUP(((G1085*Ayarlar!$B$3+Ayarlar!$B$4+Ayarlar!$B$5)+Ayarlar!$B$8)/((1-Ayarlar!$B$6)*(1-Ayarlar!$B$7-Ayarlar!$B$9)),0))</f>
        <v/>
      </c>
      <c r="K1085" s="15">
        <f>IF(OR(G1085="",F1085=""),"",(F1085*(1-Ayarlar!$B$6)-(F1085*(1-Ayarlar!$B$6)*Ayarlar!$B$7+Ayarlar!$B$8)-(G1085*Ayarlar!$B$3+Ayarlar!$B$4+Ayarlar!$B$5))/(F1085*(1-Ayarlar!$B$6)))</f>
        <v/>
      </c>
      <c r="L1085" s="3">
        <f>IF(G1085="","GRAM EKSİK",IF(F1085&gt;30000,"FİYAT ŞÜPHELİ",IF(K1085&lt;0,"ZARARDA",IF(F1085&lt;I1085,"RİSKLİ","ok"))))</f>
        <v/>
      </c>
      <c r="M1085" s="16" t="inlineStr">
        <is>
          <t>https://www.etsy.com/listing/1359195369</t>
        </is>
      </c>
    </row>
    <row r="1086">
      <c r="A1086" s="9" t="inlineStr">
        <is>
          <t>legacy</t>
        </is>
      </c>
      <c r="B1086" s="9" t="inlineStr">
        <is>
          <t>14K Solid Gold Curb Bracelet – Miami Cuban Chain Link</t>
        </is>
      </c>
      <c r="C1086" s="9" t="n">
        <v>1359195369</v>
      </c>
      <c r="D1086" s="9" t="inlineStr">
        <is>
          <t>BCB3-8</t>
        </is>
      </c>
      <c r="E1086" s="9" t="inlineStr">
        <is>
          <t>description</t>
        </is>
      </c>
      <c r="F1086" s="10" t="n">
        <v>4416</v>
      </c>
      <c r="G1086" s="18" t="n">
        <v>17.15</v>
      </c>
      <c r="H1086" s="10">
        <f>IF(G1086="","",G1086*Ayarlar!$B$3+Ayarlar!$B$4+Ayarlar!$B$5)</f>
        <v/>
      </c>
      <c r="I1086" s="10">
        <f>IF(G1086="","",ROUNDUP(((G1086*Ayarlar!$B$3+Ayarlar!$B$4+Ayarlar!$B$5)+Ayarlar!$B$8)/((1-Ayarlar!$B$6)*(1-Ayarlar!$B$7)),0))</f>
        <v/>
      </c>
      <c r="J1086" s="10">
        <f>IF(G1086="","",ROUNDUP(((G1086*Ayarlar!$B$3+Ayarlar!$B$4+Ayarlar!$B$5)+Ayarlar!$B$8)/((1-Ayarlar!$B$6)*(1-Ayarlar!$B$7-Ayarlar!$B$9)),0))</f>
        <v/>
      </c>
      <c r="K1086" s="12">
        <f>IF(OR(G1086="",F1086=""),"",(F1086*(1-Ayarlar!$B$6)-(F1086*(1-Ayarlar!$B$6)*Ayarlar!$B$7+Ayarlar!$B$8)-(G1086*Ayarlar!$B$3+Ayarlar!$B$4+Ayarlar!$B$5))/(F1086*(1-Ayarlar!$B$6)))</f>
        <v/>
      </c>
      <c r="L1086" s="9">
        <f>IF(G1086="","GRAM EKSİK",IF(F1086&gt;30000,"FİYAT ŞÜPHELİ",IF(K1086&lt;0,"ZARARDA",IF(F1086&lt;I1086,"RİSKLİ","ok"))))</f>
        <v/>
      </c>
      <c r="M1086" s="13" t="inlineStr">
        <is>
          <t>https://www.etsy.com/listing/1359195369</t>
        </is>
      </c>
    </row>
    <row r="1087">
      <c r="A1087" s="3" t="inlineStr">
        <is>
          <t>legacy</t>
        </is>
      </c>
      <c r="B1087" s="3" t="inlineStr">
        <is>
          <t>14K Solid Gold Curb Bracelet – Miami Cuban Chain Link</t>
        </is>
      </c>
      <c r="C1087" s="3" t="n">
        <v>1359195369</v>
      </c>
      <c r="D1087" s="3" t="inlineStr">
        <is>
          <t>BCB3-8.5</t>
        </is>
      </c>
      <c r="E1087" s="3" t="inlineStr">
        <is>
          <t>description</t>
        </is>
      </c>
      <c r="F1087" s="14" t="n">
        <v>4816</v>
      </c>
      <c r="G1087" s="17" t="n">
        <v>18.22</v>
      </c>
      <c r="H1087" s="14">
        <f>IF(G1087="","",G1087*Ayarlar!$B$3+Ayarlar!$B$4+Ayarlar!$B$5)</f>
        <v/>
      </c>
      <c r="I1087" s="14">
        <f>IF(G1087="","",ROUNDUP(((G1087*Ayarlar!$B$3+Ayarlar!$B$4+Ayarlar!$B$5)+Ayarlar!$B$8)/((1-Ayarlar!$B$6)*(1-Ayarlar!$B$7)),0))</f>
        <v/>
      </c>
      <c r="J1087" s="14">
        <f>IF(G1087="","",ROUNDUP(((G1087*Ayarlar!$B$3+Ayarlar!$B$4+Ayarlar!$B$5)+Ayarlar!$B$8)/((1-Ayarlar!$B$6)*(1-Ayarlar!$B$7-Ayarlar!$B$9)),0))</f>
        <v/>
      </c>
      <c r="K1087" s="15">
        <f>IF(OR(G1087="",F1087=""),"",(F1087*(1-Ayarlar!$B$6)-(F1087*(1-Ayarlar!$B$6)*Ayarlar!$B$7+Ayarlar!$B$8)-(G1087*Ayarlar!$B$3+Ayarlar!$B$4+Ayarlar!$B$5))/(F1087*(1-Ayarlar!$B$6)))</f>
        <v/>
      </c>
      <c r="L1087" s="3">
        <f>IF(G1087="","GRAM EKSİK",IF(F1087&gt;30000,"FİYAT ŞÜPHELİ",IF(K1087&lt;0,"ZARARDA",IF(F1087&lt;I1087,"RİSKLİ","ok"))))</f>
        <v/>
      </c>
      <c r="M1087" s="16" t="inlineStr">
        <is>
          <t>https://www.etsy.com/listing/1359195369</t>
        </is>
      </c>
    </row>
    <row r="1088">
      <c r="A1088" s="9" t="inlineStr">
        <is>
          <t>legacy</t>
        </is>
      </c>
      <c r="B1088" s="9" t="inlineStr">
        <is>
          <t>14K Solid Gold Ice Out Chain / Two Tone Diamond Cut Cylinder</t>
        </is>
      </c>
      <c r="C1088" s="9" t="n">
        <v>1862675181</v>
      </c>
      <c r="D1088" s="9" t="inlineStr">
        <is>
          <t>CICEY1-16</t>
        </is>
      </c>
      <c r="E1088" s="9" t="inlineStr">
        <is>
          <t>description</t>
        </is>
      </c>
      <c r="F1088" s="10" t="n">
        <v>1514</v>
      </c>
      <c r="G1088" s="18" t="n">
        <v>8.35</v>
      </c>
      <c r="H1088" s="10">
        <f>IF(G1088="","",G1088*Ayarlar!$B$3+Ayarlar!$B$4+Ayarlar!$B$5)</f>
        <v/>
      </c>
      <c r="I1088" s="10">
        <f>IF(G1088="","",ROUNDUP(((G1088*Ayarlar!$B$3+Ayarlar!$B$4+Ayarlar!$B$5)+Ayarlar!$B$8)/((1-Ayarlar!$B$6)*(1-Ayarlar!$B$7)),0))</f>
        <v/>
      </c>
      <c r="J1088" s="10">
        <f>IF(G1088="","",ROUNDUP(((G1088*Ayarlar!$B$3+Ayarlar!$B$4+Ayarlar!$B$5)+Ayarlar!$B$8)/((1-Ayarlar!$B$6)*(1-Ayarlar!$B$7-Ayarlar!$B$9)),0))</f>
        <v/>
      </c>
      <c r="K1088" s="12">
        <f>IF(OR(G1088="",F1088=""),"",(F1088*(1-Ayarlar!$B$6)-(F1088*(1-Ayarlar!$B$6)*Ayarlar!$B$7+Ayarlar!$B$8)-(G1088*Ayarlar!$B$3+Ayarlar!$B$4+Ayarlar!$B$5))/(F1088*(1-Ayarlar!$B$6)))</f>
        <v/>
      </c>
      <c r="L1088" s="9">
        <f>IF(G1088="","GRAM EKSİK",IF(F1088&gt;30000,"FİYAT ŞÜPHELİ",IF(K1088&lt;0,"ZARARDA",IF(F1088&lt;I1088,"RİSKLİ","ok"))))</f>
        <v/>
      </c>
      <c r="M1088" s="13" t="inlineStr">
        <is>
          <t>https://www.etsy.com/listing/1862675181</t>
        </is>
      </c>
    </row>
    <row r="1089">
      <c r="A1089" s="3" t="inlineStr">
        <is>
          <t>legacy</t>
        </is>
      </c>
      <c r="B1089" s="3" t="inlineStr">
        <is>
          <t>14K Solid Gold Ice Out Chain / Two Tone Diamond Cut Cylinder</t>
        </is>
      </c>
      <c r="C1089" s="3" t="n">
        <v>1862675181</v>
      </c>
      <c r="D1089" s="3" t="inlineStr">
        <is>
          <t>CICEY1-18</t>
        </is>
      </c>
      <c r="E1089" s="3" t="inlineStr">
        <is>
          <t>description</t>
        </is>
      </c>
      <c r="F1089" s="14" t="n">
        <v>1692</v>
      </c>
      <c r="G1089" s="17" t="n">
        <v>9.390000000000001</v>
      </c>
      <c r="H1089" s="14">
        <f>IF(G1089="","",G1089*Ayarlar!$B$3+Ayarlar!$B$4+Ayarlar!$B$5)</f>
        <v/>
      </c>
      <c r="I1089" s="14">
        <f>IF(G1089="","",ROUNDUP(((G1089*Ayarlar!$B$3+Ayarlar!$B$4+Ayarlar!$B$5)+Ayarlar!$B$8)/((1-Ayarlar!$B$6)*(1-Ayarlar!$B$7)),0))</f>
        <v/>
      </c>
      <c r="J1089" s="14">
        <f>IF(G1089="","",ROUNDUP(((G1089*Ayarlar!$B$3+Ayarlar!$B$4+Ayarlar!$B$5)+Ayarlar!$B$8)/((1-Ayarlar!$B$6)*(1-Ayarlar!$B$7-Ayarlar!$B$9)),0))</f>
        <v/>
      </c>
      <c r="K1089" s="15">
        <f>IF(OR(G1089="",F1089=""),"",(F1089*(1-Ayarlar!$B$6)-(F1089*(1-Ayarlar!$B$6)*Ayarlar!$B$7+Ayarlar!$B$8)-(G1089*Ayarlar!$B$3+Ayarlar!$B$4+Ayarlar!$B$5))/(F1089*(1-Ayarlar!$B$6)))</f>
        <v/>
      </c>
      <c r="L1089" s="3">
        <f>IF(G1089="","GRAM EKSİK",IF(F1089&gt;30000,"FİYAT ŞÜPHELİ",IF(K1089&lt;0,"ZARARDA",IF(F1089&lt;I1089,"RİSKLİ","ok"))))</f>
        <v/>
      </c>
      <c r="M1089" s="16" t="inlineStr">
        <is>
          <t>https://www.etsy.com/listing/1862675181</t>
        </is>
      </c>
    </row>
    <row r="1090">
      <c r="A1090" s="9" t="inlineStr">
        <is>
          <t>legacy</t>
        </is>
      </c>
      <c r="B1090" s="9" t="inlineStr">
        <is>
          <t>14K Solid Gold Ice Out Chain / Two Tone Diamond Cut Cylinder</t>
        </is>
      </c>
      <c r="C1090" s="9" t="n">
        <v>1862675181</v>
      </c>
      <c r="D1090" s="9" t="inlineStr">
        <is>
          <t>CICEY1-20</t>
        </is>
      </c>
      <c r="E1090" s="9" t="inlineStr">
        <is>
          <t>description</t>
        </is>
      </c>
      <c r="F1090" s="10" t="n">
        <v>1871</v>
      </c>
      <c r="G1090" s="18" t="n">
        <v>10.44</v>
      </c>
      <c r="H1090" s="10">
        <f>IF(G1090="","",G1090*Ayarlar!$B$3+Ayarlar!$B$4+Ayarlar!$B$5)</f>
        <v/>
      </c>
      <c r="I1090" s="10">
        <f>IF(G1090="","",ROUNDUP(((G1090*Ayarlar!$B$3+Ayarlar!$B$4+Ayarlar!$B$5)+Ayarlar!$B$8)/((1-Ayarlar!$B$6)*(1-Ayarlar!$B$7)),0))</f>
        <v/>
      </c>
      <c r="J1090" s="10">
        <f>IF(G1090="","",ROUNDUP(((G1090*Ayarlar!$B$3+Ayarlar!$B$4+Ayarlar!$B$5)+Ayarlar!$B$8)/((1-Ayarlar!$B$6)*(1-Ayarlar!$B$7-Ayarlar!$B$9)),0))</f>
        <v/>
      </c>
      <c r="K1090" s="12">
        <f>IF(OR(G1090="",F1090=""),"",(F1090*(1-Ayarlar!$B$6)-(F1090*(1-Ayarlar!$B$6)*Ayarlar!$B$7+Ayarlar!$B$8)-(G1090*Ayarlar!$B$3+Ayarlar!$B$4+Ayarlar!$B$5))/(F1090*(1-Ayarlar!$B$6)))</f>
        <v/>
      </c>
      <c r="L1090" s="9">
        <f>IF(G1090="","GRAM EKSİK",IF(F1090&gt;30000,"FİYAT ŞÜPHELİ",IF(K1090&lt;0,"ZARARDA",IF(F1090&lt;I1090,"RİSKLİ","ok"))))</f>
        <v/>
      </c>
      <c r="M1090" s="13" t="inlineStr">
        <is>
          <t>https://www.etsy.com/listing/1862675181</t>
        </is>
      </c>
    </row>
    <row r="1091">
      <c r="A1091" s="3" t="inlineStr">
        <is>
          <t>legacy</t>
        </is>
      </c>
      <c r="B1091" s="3" t="inlineStr">
        <is>
          <t>14K Solid Gold Ice Out Chain / Two Tone Diamond Cut Cylinder</t>
        </is>
      </c>
      <c r="C1091" s="3" t="n">
        <v>1862675181</v>
      </c>
      <c r="D1091" s="3" t="inlineStr">
        <is>
          <t>CICEY1-22</t>
        </is>
      </c>
      <c r="E1091" s="3" t="inlineStr">
        <is>
          <t>description</t>
        </is>
      </c>
      <c r="F1091" s="14" t="n">
        <v>2049</v>
      </c>
      <c r="G1091" s="17" t="n">
        <v>11.48</v>
      </c>
      <c r="H1091" s="14">
        <f>IF(G1091="","",G1091*Ayarlar!$B$3+Ayarlar!$B$4+Ayarlar!$B$5)</f>
        <v/>
      </c>
      <c r="I1091" s="14">
        <f>IF(G1091="","",ROUNDUP(((G1091*Ayarlar!$B$3+Ayarlar!$B$4+Ayarlar!$B$5)+Ayarlar!$B$8)/((1-Ayarlar!$B$6)*(1-Ayarlar!$B$7)),0))</f>
        <v/>
      </c>
      <c r="J1091" s="14">
        <f>IF(G1091="","",ROUNDUP(((G1091*Ayarlar!$B$3+Ayarlar!$B$4+Ayarlar!$B$5)+Ayarlar!$B$8)/((1-Ayarlar!$B$6)*(1-Ayarlar!$B$7-Ayarlar!$B$9)),0))</f>
        <v/>
      </c>
      <c r="K1091" s="15">
        <f>IF(OR(G1091="",F1091=""),"",(F1091*(1-Ayarlar!$B$6)-(F1091*(1-Ayarlar!$B$6)*Ayarlar!$B$7+Ayarlar!$B$8)-(G1091*Ayarlar!$B$3+Ayarlar!$B$4+Ayarlar!$B$5))/(F1091*(1-Ayarlar!$B$6)))</f>
        <v/>
      </c>
      <c r="L1091" s="3">
        <f>IF(G1091="","GRAM EKSİK",IF(F1091&gt;30000,"FİYAT ŞÜPHELİ",IF(K1091&lt;0,"ZARARDA",IF(F1091&lt;I1091,"RİSKLİ","ok"))))</f>
        <v/>
      </c>
      <c r="M1091" s="16" t="inlineStr">
        <is>
          <t>https://www.etsy.com/listing/1862675181</t>
        </is>
      </c>
    </row>
    <row r="1092">
      <c r="A1092" s="9" t="inlineStr">
        <is>
          <t>legacy</t>
        </is>
      </c>
      <c r="B1092" s="9" t="inlineStr">
        <is>
          <t>14K Solid Gold Ice Out Chain / Two Tone Diamond Cut Cylinder</t>
        </is>
      </c>
      <c r="C1092" s="9" t="n">
        <v>1862675181</v>
      </c>
      <c r="D1092" s="9" t="inlineStr">
        <is>
          <t>CICEY1-24</t>
        </is>
      </c>
      <c r="E1092" s="9" t="inlineStr">
        <is>
          <t>description</t>
        </is>
      </c>
      <c r="F1092" s="10" t="n">
        <v>2228</v>
      </c>
      <c r="G1092" s="18" t="n">
        <v>12.53</v>
      </c>
      <c r="H1092" s="10">
        <f>IF(G1092="","",G1092*Ayarlar!$B$3+Ayarlar!$B$4+Ayarlar!$B$5)</f>
        <v/>
      </c>
      <c r="I1092" s="10">
        <f>IF(G1092="","",ROUNDUP(((G1092*Ayarlar!$B$3+Ayarlar!$B$4+Ayarlar!$B$5)+Ayarlar!$B$8)/((1-Ayarlar!$B$6)*(1-Ayarlar!$B$7)),0))</f>
        <v/>
      </c>
      <c r="J1092" s="10">
        <f>IF(G1092="","",ROUNDUP(((G1092*Ayarlar!$B$3+Ayarlar!$B$4+Ayarlar!$B$5)+Ayarlar!$B$8)/((1-Ayarlar!$B$6)*(1-Ayarlar!$B$7-Ayarlar!$B$9)),0))</f>
        <v/>
      </c>
      <c r="K1092" s="12">
        <f>IF(OR(G1092="",F1092=""),"",(F1092*(1-Ayarlar!$B$6)-(F1092*(1-Ayarlar!$B$6)*Ayarlar!$B$7+Ayarlar!$B$8)-(G1092*Ayarlar!$B$3+Ayarlar!$B$4+Ayarlar!$B$5))/(F1092*(1-Ayarlar!$B$6)))</f>
        <v/>
      </c>
      <c r="L1092" s="9">
        <f>IF(G1092="","GRAM EKSİK",IF(F1092&gt;30000,"FİYAT ŞÜPHELİ",IF(K1092&lt;0,"ZARARDA",IF(F1092&lt;I1092,"RİSKLİ","ok"))))</f>
        <v/>
      </c>
      <c r="M1092" s="13" t="inlineStr">
        <is>
          <t>https://www.etsy.com/listing/1862675181</t>
        </is>
      </c>
    </row>
    <row r="1093">
      <c r="A1093" s="3" t="inlineStr">
        <is>
          <t>legacy</t>
        </is>
      </c>
      <c r="B1093" s="3" t="inlineStr">
        <is>
          <t>14K Solid Gold Ice Out Chain / Two Tone Diamond Cut Cylinder</t>
        </is>
      </c>
      <c r="C1093" s="3" t="n">
        <v>1862675181</v>
      </c>
      <c r="D1093" s="3" t="inlineStr">
        <is>
          <t>CICEY2-16</t>
        </is>
      </c>
      <c r="E1093" s="3" t="inlineStr">
        <is>
          <t>description</t>
        </is>
      </c>
      <c r="F1093" s="14" t="n">
        <v>1981</v>
      </c>
      <c r="G1093" s="17" t="n">
        <v>10.95</v>
      </c>
      <c r="H1093" s="14">
        <f>IF(G1093="","",G1093*Ayarlar!$B$3+Ayarlar!$B$4+Ayarlar!$B$5)</f>
        <v/>
      </c>
      <c r="I1093" s="14">
        <f>IF(G1093="","",ROUNDUP(((G1093*Ayarlar!$B$3+Ayarlar!$B$4+Ayarlar!$B$5)+Ayarlar!$B$8)/((1-Ayarlar!$B$6)*(1-Ayarlar!$B$7)),0))</f>
        <v/>
      </c>
      <c r="J1093" s="14">
        <f>IF(G1093="","",ROUNDUP(((G1093*Ayarlar!$B$3+Ayarlar!$B$4+Ayarlar!$B$5)+Ayarlar!$B$8)/((1-Ayarlar!$B$6)*(1-Ayarlar!$B$7-Ayarlar!$B$9)),0))</f>
        <v/>
      </c>
      <c r="K1093" s="15">
        <f>IF(OR(G1093="",F1093=""),"",(F1093*(1-Ayarlar!$B$6)-(F1093*(1-Ayarlar!$B$6)*Ayarlar!$B$7+Ayarlar!$B$8)-(G1093*Ayarlar!$B$3+Ayarlar!$B$4+Ayarlar!$B$5))/(F1093*(1-Ayarlar!$B$6)))</f>
        <v/>
      </c>
      <c r="L1093" s="3">
        <f>IF(G1093="","GRAM EKSİK",IF(F1093&gt;30000,"FİYAT ŞÜPHELİ",IF(K1093&lt;0,"ZARARDA",IF(F1093&lt;I1093,"RİSKLİ","ok"))))</f>
        <v/>
      </c>
      <c r="M1093" s="16" t="inlineStr">
        <is>
          <t>https://www.etsy.com/listing/1862675181</t>
        </is>
      </c>
    </row>
    <row r="1094">
      <c r="A1094" s="9" t="inlineStr">
        <is>
          <t>legacy</t>
        </is>
      </c>
      <c r="B1094" s="9" t="inlineStr">
        <is>
          <t>14K Solid Gold Ice Out Chain / Two Tone Diamond Cut Cylinder</t>
        </is>
      </c>
      <c r="C1094" s="9" t="n">
        <v>1862675181</v>
      </c>
      <c r="D1094" s="9" t="inlineStr">
        <is>
          <t>CICEY2-18</t>
        </is>
      </c>
      <c r="E1094" s="9" t="inlineStr">
        <is>
          <t>description</t>
        </is>
      </c>
      <c r="F1094" s="10" t="n">
        <v>2205</v>
      </c>
      <c r="G1094" s="18" t="n">
        <v>12.32</v>
      </c>
      <c r="H1094" s="10">
        <f>IF(G1094="","",G1094*Ayarlar!$B$3+Ayarlar!$B$4+Ayarlar!$B$5)</f>
        <v/>
      </c>
      <c r="I1094" s="10">
        <f>IF(G1094="","",ROUNDUP(((G1094*Ayarlar!$B$3+Ayarlar!$B$4+Ayarlar!$B$5)+Ayarlar!$B$8)/((1-Ayarlar!$B$6)*(1-Ayarlar!$B$7)),0))</f>
        <v/>
      </c>
      <c r="J1094" s="10">
        <f>IF(G1094="","",ROUNDUP(((G1094*Ayarlar!$B$3+Ayarlar!$B$4+Ayarlar!$B$5)+Ayarlar!$B$8)/((1-Ayarlar!$B$6)*(1-Ayarlar!$B$7-Ayarlar!$B$9)),0))</f>
        <v/>
      </c>
      <c r="K1094" s="12">
        <f>IF(OR(G1094="",F1094=""),"",(F1094*(1-Ayarlar!$B$6)-(F1094*(1-Ayarlar!$B$6)*Ayarlar!$B$7+Ayarlar!$B$8)-(G1094*Ayarlar!$B$3+Ayarlar!$B$4+Ayarlar!$B$5))/(F1094*(1-Ayarlar!$B$6)))</f>
        <v/>
      </c>
      <c r="L1094" s="9">
        <f>IF(G1094="","GRAM EKSİK",IF(F1094&gt;30000,"FİYAT ŞÜPHELİ",IF(K1094&lt;0,"ZARARDA",IF(F1094&lt;I1094,"RİSKLİ","ok"))))</f>
        <v/>
      </c>
      <c r="M1094" s="13" t="inlineStr">
        <is>
          <t>https://www.etsy.com/listing/1862675181</t>
        </is>
      </c>
    </row>
    <row r="1095">
      <c r="A1095" s="3" t="inlineStr">
        <is>
          <t>legacy</t>
        </is>
      </c>
      <c r="B1095" s="3" t="inlineStr">
        <is>
          <t>14K Solid Gold Ice Out Chain / Two Tone Diamond Cut Cylinder</t>
        </is>
      </c>
      <c r="C1095" s="3" t="n">
        <v>1862675181</v>
      </c>
      <c r="D1095" s="3" t="inlineStr">
        <is>
          <t>CICEY2-20</t>
        </is>
      </c>
      <c r="E1095" s="3" t="inlineStr">
        <is>
          <t>description</t>
        </is>
      </c>
      <c r="F1095" s="14" t="n">
        <v>2430</v>
      </c>
      <c r="G1095" s="17" t="n">
        <v>13.69</v>
      </c>
      <c r="H1095" s="14">
        <f>IF(G1095="","",G1095*Ayarlar!$B$3+Ayarlar!$B$4+Ayarlar!$B$5)</f>
        <v/>
      </c>
      <c r="I1095" s="14">
        <f>IF(G1095="","",ROUNDUP(((G1095*Ayarlar!$B$3+Ayarlar!$B$4+Ayarlar!$B$5)+Ayarlar!$B$8)/((1-Ayarlar!$B$6)*(1-Ayarlar!$B$7)),0))</f>
        <v/>
      </c>
      <c r="J1095" s="14">
        <f>IF(G1095="","",ROUNDUP(((G1095*Ayarlar!$B$3+Ayarlar!$B$4+Ayarlar!$B$5)+Ayarlar!$B$8)/((1-Ayarlar!$B$6)*(1-Ayarlar!$B$7-Ayarlar!$B$9)),0))</f>
        <v/>
      </c>
      <c r="K1095" s="15">
        <f>IF(OR(G1095="",F1095=""),"",(F1095*(1-Ayarlar!$B$6)-(F1095*(1-Ayarlar!$B$6)*Ayarlar!$B$7+Ayarlar!$B$8)-(G1095*Ayarlar!$B$3+Ayarlar!$B$4+Ayarlar!$B$5))/(F1095*(1-Ayarlar!$B$6)))</f>
        <v/>
      </c>
      <c r="L1095" s="3">
        <f>IF(G1095="","GRAM EKSİK",IF(F1095&gt;30000,"FİYAT ŞÜPHELİ",IF(K1095&lt;0,"ZARARDA",IF(F1095&lt;I1095,"RİSKLİ","ok"))))</f>
        <v/>
      </c>
      <c r="M1095" s="16" t="inlineStr">
        <is>
          <t>https://www.etsy.com/listing/1862675181</t>
        </is>
      </c>
    </row>
    <row r="1096">
      <c r="A1096" s="9" t="inlineStr">
        <is>
          <t>legacy</t>
        </is>
      </c>
      <c r="B1096" s="9" t="inlineStr">
        <is>
          <t>14K Solid Gold Ice Out Chain / Two Tone Diamond Cut Cylinder</t>
        </is>
      </c>
      <c r="C1096" s="9" t="n">
        <v>1862675181</v>
      </c>
      <c r="D1096" s="9" t="inlineStr">
        <is>
          <t>CICEY2-22</t>
        </is>
      </c>
      <c r="E1096" s="9" t="inlineStr">
        <is>
          <t>description</t>
        </is>
      </c>
      <c r="F1096" s="10" t="n">
        <v>2674</v>
      </c>
      <c r="G1096" s="18" t="n">
        <v>15.06</v>
      </c>
      <c r="H1096" s="10">
        <f>IF(G1096="","",G1096*Ayarlar!$B$3+Ayarlar!$B$4+Ayarlar!$B$5)</f>
        <v/>
      </c>
      <c r="I1096" s="10">
        <f>IF(G1096="","",ROUNDUP(((G1096*Ayarlar!$B$3+Ayarlar!$B$4+Ayarlar!$B$5)+Ayarlar!$B$8)/((1-Ayarlar!$B$6)*(1-Ayarlar!$B$7)),0))</f>
        <v/>
      </c>
      <c r="J1096" s="10">
        <f>IF(G1096="","",ROUNDUP(((G1096*Ayarlar!$B$3+Ayarlar!$B$4+Ayarlar!$B$5)+Ayarlar!$B$8)/((1-Ayarlar!$B$6)*(1-Ayarlar!$B$7-Ayarlar!$B$9)),0))</f>
        <v/>
      </c>
      <c r="K1096" s="12">
        <f>IF(OR(G1096="",F1096=""),"",(F1096*(1-Ayarlar!$B$6)-(F1096*(1-Ayarlar!$B$6)*Ayarlar!$B$7+Ayarlar!$B$8)-(G1096*Ayarlar!$B$3+Ayarlar!$B$4+Ayarlar!$B$5))/(F1096*(1-Ayarlar!$B$6)))</f>
        <v/>
      </c>
      <c r="L1096" s="9">
        <f>IF(G1096="","GRAM EKSİK",IF(F1096&gt;30000,"FİYAT ŞÜPHELİ",IF(K1096&lt;0,"ZARARDA",IF(F1096&lt;I1096,"RİSKLİ","ok"))))</f>
        <v/>
      </c>
      <c r="M1096" s="13" t="inlineStr">
        <is>
          <t>https://www.etsy.com/listing/1862675181</t>
        </is>
      </c>
    </row>
    <row r="1097">
      <c r="A1097" s="3" t="inlineStr">
        <is>
          <t>legacy</t>
        </is>
      </c>
      <c r="B1097" s="3" t="inlineStr">
        <is>
          <t>14K Solid Gold Ice Out Chain / Two Tone Diamond Cut Cylinder</t>
        </is>
      </c>
      <c r="C1097" s="3" t="n">
        <v>1862675181</v>
      </c>
      <c r="D1097" s="3" t="inlineStr">
        <is>
          <t>CICEY2-24</t>
        </is>
      </c>
      <c r="E1097" s="3" t="inlineStr">
        <is>
          <t>description</t>
        </is>
      </c>
      <c r="F1097" s="14" t="n">
        <v>2919</v>
      </c>
      <c r="G1097" s="17" t="n">
        <v>16.43</v>
      </c>
      <c r="H1097" s="14">
        <f>IF(G1097="","",G1097*Ayarlar!$B$3+Ayarlar!$B$4+Ayarlar!$B$5)</f>
        <v/>
      </c>
      <c r="I1097" s="14">
        <f>IF(G1097="","",ROUNDUP(((G1097*Ayarlar!$B$3+Ayarlar!$B$4+Ayarlar!$B$5)+Ayarlar!$B$8)/((1-Ayarlar!$B$6)*(1-Ayarlar!$B$7)),0))</f>
        <v/>
      </c>
      <c r="J1097" s="14">
        <f>IF(G1097="","",ROUNDUP(((G1097*Ayarlar!$B$3+Ayarlar!$B$4+Ayarlar!$B$5)+Ayarlar!$B$8)/((1-Ayarlar!$B$6)*(1-Ayarlar!$B$7-Ayarlar!$B$9)),0))</f>
        <v/>
      </c>
      <c r="K1097" s="15">
        <f>IF(OR(G1097="",F1097=""),"",(F1097*(1-Ayarlar!$B$6)-(F1097*(1-Ayarlar!$B$6)*Ayarlar!$B$7+Ayarlar!$B$8)-(G1097*Ayarlar!$B$3+Ayarlar!$B$4+Ayarlar!$B$5))/(F1097*(1-Ayarlar!$B$6)))</f>
        <v/>
      </c>
      <c r="L1097" s="3">
        <f>IF(G1097="","GRAM EKSİK",IF(F1097&gt;30000,"FİYAT ŞÜPHELİ",IF(K1097&lt;0,"ZARARDA",IF(F1097&lt;I1097,"RİSKLİ","ok"))))</f>
        <v/>
      </c>
      <c r="M1097" s="16" t="inlineStr">
        <is>
          <t>https://www.etsy.com/listing/1862675181</t>
        </is>
      </c>
    </row>
    <row r="1098">
      <c r="A1098" s="9" t="inlineStr">
        <is>
          <t>legacy</t>
        </is>
      </c>
      <c r="B1098" s="9" t="inlineStr">
        <is>
          <t>14K Solid Gold Ice Out Chain / Two Tone Diamond Cut Cylinder</t>
        </is>
      </c>
      <c r="C1098" s="9" t="n">
        <v>1862675181</v>
      </c>
      <c r="D1098" s="9" t="inlineStr">
        <is>
          <t>CICEY3-16</t>
        </is>
      </c>
      <c r="E1098" s="9" t="inlineStr">
        <is>
          <t>description</t>
        </is>
      </c>
      <c r="F1098" s="10" t="n">
        <v>2406</v>
      </c>
      <c r="G1098" s="18" t="n">
        <v>13.62</v>
      </c>
      <c r="H1098" s="10">
        <f>IF(G1098="","",G1098*Ayarlar!$B$3+Ayarlar!$B$4+Ayarlar!$B$5)</f>
        <v/>
      </c>
      <c r="I1098" s="10">
        <f>IF(G1098="","",ROUNDUP(((G1098*Ayarlar!$B$3+Ayarlar!$B$4+Ayarlar!$B$5)+Ayarlar!$B$8)/((1-Ayarlar!$B$6)*(1-Ayarlar!$B$7)),0))</f>
        <v/>
      </c>
      <c r="J1098" s="10">
        <f>IF(G1098="","",ROUNDUP(((G1098*Ayarlar!$B$3+Ayarlar!$B$4+Ayarlar!$B$5)+Ayarlar!$B$8)/((1-Ayarlar!$B$6)*(1-Ayarlar!$B$7-Ayarlar!$B$9)),0))</f>
        <v/>
      </c>
      <c r="K1098" s="12">
        <f>IF(OR(G1098="",F1098=""),"",(F1098*(1-Ayarlar!$B$6)-(F1098*(1-Ayarlar!$B$6)*Ayarlar!$B$7+Ayarlar!$B$8)-(G1098*Ayarlar!$B$3+Ayarlar!$B$4+Ayarlar!$B$5))/(F1098*(1-Ayarlar!$B$6)))</f>
        <v/>
      </c>
      <c r="L1098" s="9">
        <f>IF(G1098="","GRAM EKSİK",IF(F1098&gt;30000,"FİYAT ŞÜPHELİ",IF(K1098&lt;0,"ZARARDA",IF(F1098&lt;I1098,"RİSKLİ","ok"))))</f>
        <v/>
      </c>
      <c r="M1098" s="13" t="inlineStr">
        <is>
          <t>https://www.etsy.com/listing/1862675181</t>
        </is>
      </c>
    </row>
    <row r="1099">
      <c r="A1099" s="3" t="inlineStr">
        <is>
          <t>legacy</t>
        </is>
      </c>
      <c r="B1099" s="3" t="inlineStr">
        <is>
          <t>14K Solid Gold Ice Out Chain / Two Tone Diamond Cut Cylinder</t>
        </is>
      </c>
      <c r="C1099" s="3" t="n">
        <v>1862675181</v>
      </c>
      <c r="D1099" s="3" t="inlineStr">
        <is>
          <t>CICEY3-18</t>
        </is>
      </c>
      <c r="E1099" s="3" t="inlineStr">
        <is>
          <t>shipstation</t>
        </is>
      </c>
      <c r="F1099" s="14" t="n">
        <v>2678</v>
      </c>
      <c r="G1099" s="17" t="n">
        <v>15.7</v>
      </c>
      <c r="H1099" s="14">
        <f>IF(G1099="","",G1099*Ayarlar!$B$3+Ayarlar!$B$4+Ayarlar!$B$5)</f>
        <v/>
      </c>
      <c r="I1099" s="14">
        <f>IF(G1099="","",ROUNDUP(((G1099*Ayarlar!$B$3+Ayarlar!$B$4+Ayarlar!$B$5)+Ayarlar!$B$8)/((1-Ayarlar!$B$6)*(1-Ayarlar!$B$7)),0))</f>
        <v/>
      </c>
      <c r="J1099" s="14">
        <f>IF(G1099="","",ROUNDUP(((G1099*Ayarlar!$B$3+Ayarlar!$B$4+Ayarlar!$B$5)+Ayarlar!$B$8)/((1-Ayarlar!$B$6)*(1-Ayarlar!$B$7-Ayarlar!$B$9)),0))</f>
        <v/>
      </c>
      <c r="K1099" s="15">
        <f>IF(OR(G1099="",F1099=""),"",(F1099*(1-Ayarlar!$B$6)-(F1099*(1-Ayarlar!$B$6)*Ayarlar!$B$7+Ayarlar!$B$8)-(G1099*Ayarlar!$B$3+Ayarlar!$B$4+Ayarlar!$B$5))/(F1099*(1-Ayarlar!$B$6)))</f>
        <v/>
      </c>
      <c r="L1099" s="3">
        <f>IF(G1099="","GRAM EKSİK",IF(F1099&gt;30000,"FİYAT ŞÜPHELİ",IF(K1099&lt;0,"ZARARDA",IF(F1099&lt;I1099,"RİSKLİ","ok"))))</f>
        <v/>
      </c>
      <c r="M1099" s="16" t="inlineStr">
        <is>
          <t>https://www.etsy.com/listing/1862675181</t>
        </is>
      </c>
    </row>
    <row r="1100">
      <c r="A1100" s="9" t="inlineStr">
        <is>
          <t>legacy</t>
        </is>
      </c>
      <c r="B1100" s="9" t="inlineStr">
        <is>
          <t>14K Solid Gold Ice Out Chain / Two Tone Diamond Cut Cylinder</t>
        </is>
      </c>
      <c r="C1100" s="9" t="n">
        <v>1862675181</v>
      </c>
      <c r="D1100" s="9" t="inlineStr">
        <is>
          <t>CICEY3-20</t>
        </is>
      </c>
      <c r="E1100" s="9" t="inlineStr">
        <is>
          <t>description</t>
        </is>
      </c>
      <c r="F1100" s="10" t="n">
        <v>2943</v>
      </c>
      <c r="G1100" s="18" t="n">
        <v>17.03</v>
      </c>
      <c r="H1100" s="10">
        <f>IF(G1100="","",G1100*Ayarlar!$B$3+Ayarlar!$B$4+Ayarlar!$B$5)</f>
        <v/>
      </c>
      <c r="I1100" s="10">
        <f>IF(G1100="","",ROUNDUP(((G1100*Ayarlar!$B$3+Ayarlar!$B$4+Ayarlar!$B$5)+Ayarlar!$B$8)/((1-Ayarlar!$B$6)*(1-Ayarlar!$B$7)),0))</f>
        <v/>
      </c>
      <c r="J1100" s="10">
        <f>IF(G1100="","",ROUNDUP(((G1100*Ayarlar!$B$3+Ayarlar!$B$4+Ayarlar!$B$5)+Ayarlar!$B$8)/((1-Ayarlar!$B$6)*(1-Ayarlar!$B$7-Ayarlar!$B$9)),0))</f>
        <v/>
      </c>
      <c r="K1100" s="12">
        <f>IF(OR(G1100="",F1100=""),"",(F1100*(1-Ayarlar!$B$6)-(F1100*(1-Ayarlar!$B$6)*Ayarlar!$B$7+Ayarlar!$B$8)-(G1100*Ayarlar!$B$3+Ayarlar!$B$4+Ayarlar!$B$5))/(F1100*(1-Ayarlar!$B$6)))</f>
        <v/>
      </c>
      <c r="L1100" s="9">
        <f>IF(G1100="","GRAM EKSİK",IF(F1100&gt;30000,"FİYAT ŞÜPHELİ",IF(K1100&lt;0,"ZARARDA",IF(F1100&lt;I1100,"RİSKLİ","ok"))))</f>
        <v/>
      </c>
      <c r="M1100" s="13" t="inlineStr">
        <is>
          <t>https://www.etsy.com/listing/1862675181</t>
        </is>
      </c>
    </row>
    <row r="1101">
      <c r="A1101" s="3" t="inlineStr">
        <is>
          <t>legacy</t>
        </is>
      </c>
      <c r="B1101" s="3" t="inlineStr">
        <is>
          <t>14K Solid Gold Ice Out Chain / Two Tone Diamond Cut Cylinder</t>
        </is>
      </c>
      <c r="C1101" s="3" t="n">
        <v>1862675181</v>
      </c>
      <c r="D1101" s="3" t="inlineStr">
        <is>
          <t>CICEY3-22</t>
        </is>
      </c>
      <c r="E1101" s="3" t="inlineStr">
        <is>
          <t>shipstation</t>
        </is>
      </c>
      <c r="F1101" s="14" t="n">
        <v>3209</v>
      </c>
      <c r="G1101" s="17" t="n">
        <v>18.2</v>
      </c>
      <c r="H1101" s="14">
        <f>IF(G1101="","",G1101*Ayarlar!$B$3+Ayarlar!$B$4+Ayarlar!$B$5)</f>
        <v/>
      </c>
      <c r="I1101" s="14">
        <f>IF(G1101="","",ROUNDUP(((G1101*Ayarlar!$B$3+Ayarlar!$B$4+Ayarlar!$B$5)+Ayarlar!$B$8)/((1-Ayarlar!$B$6)*(1-Ayarlar!$B$7)),0))</f>
        <v/>
      </c>
      <c r="J1101" s="14">
        <f>IF(G1101="","",ROUNDUP(((G1101*Ayarlar!$B$3+Ayarlar!$B$4+Ayarlar!$B$5)+Ayarlar!$B$8)/((1-Ayarlar!$B$6)*(1-Ayarlar!$B$7-Ayarlar!$B$9)),0))</f>
        <v/>
      </c>
      <c r="K1101" s="15">
        <f>IF(OR(G1101="",F1101=""),"",(F1101*(1-Ayarlar!$B$6)-(F1101*(1-Ayarlar!$B$6)*Ayarlar!$B$7+Ayarlar!$B$8)-(G1101*Ayarlar!$B$3+Ayarlar!$B$4+Ayarlar!$B$5))/(F1101*(1-Ayarlar!$B$6)))</f>
        <v/>
      </c>
      <c r="L1101" s="3">
        <f>IF(G1101="","GRAM EKSİK",IF(F1101&gt;30000,"FİYAT ŞÜPHELİ",IF(K1101&lt;0,"ZARARDA",IF(F1101&lt;I1101,"RİSKLİ","ok"))))</f>
        <v/>
      </c>
      <c r="M1101" s="16" t="inlineStr">
        <is>
          <t>https://www.etsy.com/listing/1862675181</t>
        </is>
      </c>
    </row>
    <row r="1102">
      <c r="A1102" s="9" t="inlineStr">
        <is>
          <t>legacy</t>
        </is>
      </c>
      <c r="B1102" s="9" t="inlineStr">
        <is>
          <t>14K Solid Gold Ice Out Chain / Two Tone Diamond Cut Cylinder</t>
        </is>
      </c>
      <c r="C1102" s="9" t="n">
        <v>1862675181</v>
      </c>
      <c r="D1102" s="9" t="inlineStr">
        <is>
          <t>CICEY3-24</t>
        </is>
      </c>
      <c r="E1102" s="9" t="inlineStr">
        <is>
          <t>description</t>
        </is>
      </c>
      <c r="F1102" s="10" t="n">
        <v>3481</v>
      </c>
      <c r="G1102" s="18" t="n">
        <v>20.44</v>
      </c>
      <c r="H1102" s="10">
        <f>IF(G1102="","",G1102*Ayarlar!$B$3+Ayarlar!$B$4+Ayarlar!$B$5)</f>
        <v/>
      </c>
      <c r="I1102" s="10">
        <f>IF(G1102="","",ROUNDUP(((G1102*Ayarlar!$B$3+Ayarlar!$B$4+Ayarlar!$B$5)+Ayarlar!$B$8)/((1-Ayarlar!$B$6)*(1-Ayarlar!$B$7)),0))</f>
        <v/>
      </c>
      <c r="J1102" s="10">
        <f>IF(G1102="","",ROUNDUP(((G1102*Ayarlar!$B$3+Ayarlar!$B$4+Ayarlar!$B$5)+Ayarlar!$B$8)/((1-Ayarlar!$B$6)*(1-Ayarlar!$B$7-Ayarlar!$B$9)),0))</f>
        <v/>
      </c>
      <c r="K1102" s="12">
        <f>IF(OR(G1102="",F1102=""),"",(F1102*(1-Ayarlar!$B$6)-(F1102*(1-Ayarlar!$B$6)*Ayarlar!$B$7+Ayarlar!$B$8)-(G1102*Ayarlar!$B$3+Ayarlar!$B$4+Ayarlar!$B$5))/(F1102*(1-Ayarlar!$B$6)))</f>
        <v/>
      </c>
      <c r="L1102" s="9">
        <f>IF(G1102="","GRAM EKSİK",IF(F1102&gt;30000,"FİYAT ŞÜPHELİ",IF(K1102&lt;0,"ZARARDA",IF(F1102&lt;I1102,"RİSKLİ","ok"))))</f>
        <v/>
      </c>
      <c r="M1102" s="13" t="inlineStr">
        <is>
          <t>https://www.etsy.com/listing/1862675181</t>
        </is>
      </c>
    </row>
    <row r="1103">
      <c r="A1103" s="3" t="inlineStr">
        <is>
          <t>legacy</t>
        </is>
      </c>
      <c r="B1103" s="3" t="inlineStr">
        <is>
          <t>14K Solid Gold Ice Out Chain / Two Tone Diamond Cut Cylinder</t>
        </is>
      </c>
      <c r="C1103" s="3" t="n">
        <v>1862675181</v>
      </c>
      <c r="D1103" s="3" t="inlineStr">
        <is>
          <t>CICEY4-16</t>
        </is>
      </c>
      <c r="E1103" s="3" t="inlineStr">
        <is>
          <t>description</t>
        </is>
      </c>
      <c r="F1103" s="14" t="n">
        <v>2939</v>
      </c>
      <c r="G1103" s="17" t="n">
        <v>16.27</v>
      </c>
      <c r="H1103" s="14">
        <f>IF(G1103="","",G1103*Ayarlar!$B$3+Ayarlar!$B$4+Ayarlar!$B$5)</f>
        <v/>
      </c>
      <c r="I1103" s="14">
        <f>IF(G1103="","",ROUNDUP(((G1103*Ayarlar!$B$3+Ayarlar!$B$4+Ayarlar!$B$5)+Ayarlar!$B$8)/((1-Ayarlar!$B$6)*(1-Ayarlar!$B$7)),0))</f>
        <v/>
      </c>
      <c r="J1103" s="14">
        <f>IF(G1103="","",ROUNDUP(((G1103*Ayarlar!$B$3+Ayarlar!$B$4+Ayarlar!$B$5)+Ayarlar!$B$8)/((1-Ayarlar!$B$6)*(1-Ayarlar!$B$7-Ayarlar!$B$9)),0))</f>
        <v/>
      </c>
      <c r="K1103" s="15">
        <f>IF(OR(G1103="",F1103=""),"",(F1103*(1-Ayarlar!$B$6)-(F1103*(1-Ayarlar!$B$6)*Ayarlar!$B$7+Ayarlar!$B$8)-(G1103*Ayarlar!$B$3+Ayarlar!$B$4+Ayarlar!$B$5))/(F1103*(1-Ayarlar!$B$6)))</f>
        <v/>
      </c>
      <c r="L1103" s="3">
        <f>IF(G1103="","GRAM EKSİK",IF(F1103&gt;30000,"FİYAT ŞÜPHELİ",IF(K1103&lt;0,"ZARARDA",IF(F1103&lt;I1103,"RİSKLİ","ok"))))</f>
        <v/>
      </c>
      <c r="M1103" s="16" t="inlineStr">
        <is>
          <t>https://www.etsy.com/listing/1862675181</t>
        </is>
      </c>
    </row>
    <row r="1104">
      <c r="A1104" s="9" t="inlineStr">
        <is>
          <t>legacy</t>
        </is>
      </c>
      <c r="B1104" s="9" t="inlineStr">
        <is>
          <t>14K Solid Gold Ice Out Chain / Two Tone Diamond Cut Cylinder</t>
        </is>
      </c>
      <c r="C1104" s="9" t="n">
        <v>1862675181</v>
      </c>
      <c r="D1104" s="9" t="inlineStr">
        <is>
          <t>CICEY4-18</t>
        </is>
      </c>
      <c r="E1104" s="9" t="inlineStr">
        <is>
          <t>description</t>
        </is>
      </c>
      <c r="F1104" s="10" t="n">
        <v>3296</v>
      </c>
      <c r="G1104" s="18" t="n">
        <v>18.3</v>
      </c>
      <c r="H1104" s="10">
        <f>IF(G1104="","",G1104*Ayarlar!$B$3+Ayarlar!$B$4+Ayarlar!$B$5)</f>
        <v/>
      </c>
      <c r="I1104" s="10">
        <f>IF(G1104="","",ROUNDUP(((G1104*Ayarlar!$B$3+Ayarlar!$B$4+Ayarlar!$B$5)+Ayarlar!$B$8)/((1-Ayarlar!$B$6)*(1-Ayarlar!$B$7)),0))</f>
        <v/>
      </c>
      <c r="J1104" s="10">
        <f>IF(G1104="","",ROUNDUP(((G1104*Ayarlar!$B$3+Ayarlar!$B$4+Ayarlar!$B$5)+Ayarlar!$B$8)/((1-Ayarlar!$B$6)*(1-Ayarlar!$B$7-Ayarlar!$B$9)),0))</f>
        <v/>
      </c>
      <c r="K1104" s="12">
        <f>IF(OR(G1104="",F1104=""),"",(F1104*(1-Ayarlar!$B$6)-(F1104*(1-Ayarlar!$B$6)*Ayarlar!$B$7+Ayarlar!$B$8)-(G1104*Ayarlar!$B$3+Ayarlar!$B$4+Ayarlar!$B$5))/(F1104*(1-Ayarlar!$B$6)))</f>
        <v/>
      </c>
      <c r="L1104" s="9">
        <f>IF(G1104="","GRAM EKSİK",IF(F1104&gt;30000,"FİYAT ŞÜPHELİ",IF(K1104&lt;0,"ZARARDA",IF(F1104&lt;I1104,"RİSKLİ","ok"))))</f>
        <v/>
      </c>
      <c r="M1104" s="13" t="inlineStr">
        <is>
          <t>https://www.etsy.com/listing/1862675181</t>
        </is>
      </c>
    </row>
    <row r="1105">
      <c r="A1105" s="3" t="inlineStr">
        <is>
          <t>legacy</t>
        </is>
      </c>
      <c r="B1105" s="3" t="inlineStr">
        <is>
          <t>14K Solid Gold Ice Out Chain / Two Tone Diamond Cut Cylinder</t>
        </is>
      </c>
      <c r="C1105" s="3" t="n">
        <v>1862675181</v>
      </c>
      <c r="D1105" s="3" t="inlineStr">
        <is>
          <t>CICEY4-20</t>
        </is>
      </c>
      <c r="E1105" s="3" t="inlineStr">
        <is>
          <t>description</t>
        </is>
      </c>
      <c r="F1105" s="14" t="n">
        <v>3652</v>
      </c>
      <c r="G1105" s="17" t="n">
        <v>20.34</v>
      </c>
      <c r="H1105" s="14">
        <f>IF(G1105="","",G1105*Ayarlar!$B$3+Ayarlar!$B$4+Ayarlar!$B$5)</f>
        <v/>
      </c>
      <c r="I1105" s="14">
        <f>IF(G1105="","",ROUNDUP(((G1105*Ayarlar!$B$3+Ayarlar!$B$4+Ayarlar!$B$5)+Ayarlar!$B$8)/((1-Ayarlar!$B$6)*(1-Ayarlar!$B$7)),0))</f>
        <v/>
      </c>
      <c r="J1105" s="14">
        <f>IF(G1105="","",ROUNDUP(((G1105*Ayarlar!$B$3+Ayarlar!$B$4+Ayarlar!$B$5)+Ayarlar!$B$8)/((1-Ayarlar!$B$6)*(1-Ayarlar!$B$7-Ayarlar!$B$9)),0))</f>
        <v/>
      </c>
      <c r="K1105" s="15">
        <f>IF(OR(G1105="",F1105=""),"",(F1105*(1-Ayarlar!$B$6)-(F1105*(1-Ayarlar!$B$6)*Ayarlar!$B$7+Ayarlar!$B$8)-(G1105*Ayarlar!$B$3+Ayarlar!$B$4+Ayarlar!$B$5))/(F1105*(1-Ayarlar!$B$6)))</f>
        <v/>
      </c>
      <c r="L1105" s="3">
        <f>IF(G1105="","GRAM EKSİK",IF(F1105&gt;30000,"FİYAT ŞÜPHELİ",IF(K1105&lt;0,"ZARARDA",IF(F1105&lt;I1105,"RİSKLİ","ok"))))</f>
        <v/>
      </c>
      <c r="M1105" s="16" t="inlineStr">
        <is>
          <t>https://www.etsy.com/listing/1862675181</t>
        </is>
      </c>
    </row>
    <row r="1106">
      <c r="A1106" s="9" t="inlineStr">
        <is>
          <t>legacy</t>
        </is>
      </c>
      <c r="B1106" s="9" t="inlineStr">
        <is>
          <t>14K Solid Gold Ice Out Chain / Two Tone Diamond Cut Cylinder</t>
        </is>
      </c>
      <c r="C1106" s="9" t="n">
        <v>1862675181</v>
      </c>
      <c r="D1106" s="9" t="inlineStr">
        <is>
          <t>CICEY4-22</t>
        </is>
      </c>
      <c r="E1106" s="9" t="inlineStr">
        <is>
          <t>description</t>
        </is>
      </c>
      <c r="F1106" s="10" t="n">
        <v>4009</v>
      </c>
      <c r="G1106" s="18" t="n">
        <v>22.37</v>
      </c>
      <c r="H1106" s="10">
        <f>IF(G1106="","",G1106*Ayarlar!$B$3+Ayarlar!$B$4+Ayarlar!$B$5)</f>
        <v/>
      </c>
      <c r="I1106" s="10">
        <f>IF(G1106="","",ROUNDUP(((G1106*Ayarlar!$B$3+Ayarlar!$B$4+Ayarlar!$B$5)+Ayarlar!$B$8)/((1-Ayarlar!$B$6)*(1-Ayarlar!$B$7)),0))</f>
        <v/>
      </c>
      <c r="J1106" s="10">
        <f>IF(G1106="","",ROUNDUP(((G1106*Ayarlar!$B$3+Ayarlar!$B$4+Ayarlar!$B$5)+Ayarlar!$B$8)/((1-Ayarlar!$B$6)*(1-Ayarlar!$B$7-Ayarlar!$B$9)),0))</f>
        <v/>
      </c>
      <c r="K1106" s="12">
        <f>IF(OR(G1106="",F1106=""),"",(F1106*(1-Ayarlar!$B$6)-(F1106*(1-Ayarlar!$B$6)*Ayarlar!$B$7+Ayarlar!$B$8)-(G1106*Ayarlar!$B$3+Ayarlar!$B$4+Ayarlar!$B$5))/(F1106*(1-Ayarlar!$B$6)))</f>
        <v/>
      </c>
      <c r="L1106" s="9">
        <f>IF(G1106="","GRAM EKSİK",IF(F1106&gt;30000,"FİYAT ŞÜPHELİ",IF(K1106&lt;0,"ZARARDA",IF(F1106&lt;I1106,"RİSKLİ","ok"))))</f>
        <v/>
      </c>
      <c r="M1106" s="13" t="inlineStr">
        <is>
          <t>https://www.etsy.com/listing/1862675181</t>
        </is>
      </c>
    </row>
    <row r="1107">
      <c r="A1107" s="3" t="inlineStr">
        <is>
          <t>legacy</t>
        </is>
      </c>
      <c r="B1107" s="3" t="inlineStr">
        <is>
          <t>14K Solid Gold Ice Out Chain / Two Tone Diamond Cut Cylinder</t>
        </is>
      </c>
      <c r="C1107" s="3" t="n">
        <v>1862675181</v>
      </c>
      <c r="D1107" s="3" t="inlineStr">
        <is>
          <t>CICEY4-24</t>
        </is>
      </c>
      <c r="E1107" s="3" t="inlineStr">
        <is>
          <t>shipstation</t>
        </is>
      </c>
      <c r="F1107" s="14" t="n">
        <v>4366</v>
      </c>
      <c r="G1107" s="17" t="n">
        <v>24.5</v>
      </c>
      <c r="H1107" s="14">
        <f>IF(G1107="","",G1107*Ayarlar!$B$3+Ayarlar!$B$4+Ayarlar!$B$5)</f>
        <v/>
      </c>
      <c r="I1107" s="14">
        <f>IF(G1107="","",ROUNDUP(((G1107*Ayarlar!$B$3+Ayarlar!$B$4+Ayarlar!$B$5)+Ayarlar!$B$8)/((1-Ayarlar!$B$6)*(1-Ayarlar!$B$7)),0))</f>
        <v/>
      </c>
      <c r="J1107" s="14">
        <f>IF(G1107="","",ROUNDUP(((G1107*Ayarlar!$B$3+Ayarlar!$B$4+Ayarlar!$B$5)+Ayarlar!$B$8)/((1-Ayarlar!$B$6)*(1-Ayarlar!$B$7-Ayarlar!$B$9)),0))</f>
        <v/>
      </c>
      <c r="K1107" s="15">
        <f>IF(OR(G1107="",F1107=""),"",(F1107*(1-Ayarlar!$B$6)-(F1107*(1-Ayarlar!$B$6)*Ayarlar!$B$7+Ayarlar!$B$8)-(G1107*Ayarlar!$B$3+Ayarlar!$B$4+Ayarlar!$B$5))/(F1107*(1-Ayarlar!$B$6)))</f>
        <v/>
      </c>
      <c r="L1107" s="3">
        <f>IF(G1107="","GRAM EKSİK",IF(F1107&gt;30000,"FİYAT ŞÜPHELİ",IF(K1107&lt;0,"ZARARDA",IF(F1107&lt;I1107,"RİSKLİ","ok"))))</f>
        <v/>
      </c>
      <c r="M1107" s="16" t="inlineStr">
        <is>
          <t>https://www.etsy.com/listing/1862675181</t>
        </is>
      </c>
    </row>
    <row r="1108">
      <c r="A1108" s="9" t="inlineStr">
        <is>
          <t>legacy</t>
        </is>
      </c>
      <c r="B1108" s="9" t="inlineStr">
        <is>
          <t>14K Solid Gold Ice Out Chain / Two Tone Diamond Cut Cylinder</t>
        </is>
      </c>
      <c r="C1108" s="9" t="n">
        <v>1862675181</v>
      </c>
      <c r="D1108" s="9" t="inlineStr">
        <is>
          <t>CICEY5-16</t>
        </is>
      </c>
      <c r="E1108" s="9" t="inlineStr">
        <is>
          <t>description</t>
        </is>
      </c>
      <c r="F1108" s="10" t="n">
        <v>3846</v>
      </c>
      <c r="G1108" s="18" t="n">
        <v>23.84</v>
      </c>
      <c r="H1108" s="10">
        <f>IF(G1108="","",G1108*Ayarlar!$B$3+Ayarlar!$B$4+Ayarlar!$B$5)</f>
        <v/>
      </c>
      <c r="I1108" s="10">
        <f>IF(G1108="","",ROUNDUP(((G1108*Ayarlar!$B$3+Ayarlar!$B$4+Ayarlar!$B$5)+Ayarlar!$B$8)/((1-Ayarlar!$B$6)*(1-Ayarlar!$B$7)),0))</f>
        <v/>
      </c>
      <c r="J1108" s="10">
        <f>IF(G1108="","",ROUNDUP(((G1108*Ayarlar!$B$3+Ayarlar!$B$4+Ayarlar!$B$5)+Ayarlar!$B$8)/((1-Ayarlar!$B$6)*(1-Ayarlar!$B$7-Ayarlar!$B$9)),0))</f>
        <v/>
      </c>
      <c r="K1108" s="12">
        <f>IF(OR(G1108="",F1108=""),"",(F1108*(1-Ayarlar!$B$6)-(F1108*(1-Ayarlar!$B$6)*Ayarlar!$B$7+Ayarlar!$B$8)-(G1108*Ayarlar!$B$3+Ayarlar!$B$4+Ayarlar!$B$5))/(F1108*(1-Ayarlar!$B$6)))</f>
        <v/>
      </c>
      <c r="L1108" s="9">
        <f>IF(G1108="","GRAM EKSİK",IF(F1108&gt;30000,"FİYAT ŞÜPHELİ",IF(K1108&lt;0,"ZARARDA",IF(F1108&lt;I1108,"RİSKLİ","ok"))))</f>
        <v/>
      </c>
      <c r="M1108" s="13" t="inlineStr">
        <is>
          <t>https://www.etsy.com/listing/1862675181</t>
        </is>
      </c>
    </row>
    <row r="1109">
      <c r="A1109" s="3" t="inlineStr">
        <is>
          <t>legacy</t>
        </is>
      </c>
      <c r="B1109" s="3" t="inlineStr">
        <is>
          <t>14K Solid Gold Ice Out Chain / Two Tone Diamond Cut Cylinder</t>
        </is>
      </c>
      <c r="C1109" s="3" t="n">
        <v>1862675181</v>
      </c>
      <c r="D1109" s="3" t="inlineStr">
        <is>
          <t>CICEY5-18</t>
        </is>
      </c>
      <c r="E1109" s="3" t="inlineStr">
        <is>
          <t>description</t>
        </is>
      </c>
      <c r="F1109" s="14" t="n">
        <v>4294</v>
      </c>
      <c r="G1109" s="17" t="n">
        <v>26.82</v>
      </c>
      <c r="H1109" s="14">
        <f>IF(G1109="","",G1109*Ayarlar!$B$3+Ayarlar!$B$4+Ayarlar!$B$5)</f>
        <v/>
      </c>
      <c r="I1109" s="14">
        <f>IF(G1109="","",ROUNDUP(((G1109*Ayarlar!$B$3+Ayarlar!$B$4+Ayarlar!$B$5)+Ayarlar!$B$8)/((1-Ayarlar!$B$6)*(1-Ayarlar!$B$7)),0))</f>
        <v/>
      </c>
      <c r="J1109" s="14">
        <f>IF(G1109="","",ROUNDUP(((G1109*Ayarlar!$B$3+Ayarlar!$B$4+Ayarlar!$B$5)+Ayarlar!$B$8)/((1-Ayarlar!$B$6)*(1-Ayarlar!$B$7-Ayarlar!$B$9)),0))</f>
        <v/>
      </c>
      <c r="K1109" s="15">
        <f>IF(OR(G1109="",F1109=""),"",(F1109*(1-Ayarlar!$B$6)-(F1109*(1-Ayarlar!$B$6)*Ayarlar!$B$7+Ayarlar!$B$8)-(G1109*Ayarlar!$B$3+Ayarlar!$B$4+Ayarlar!$B$5))/(F1109*(1-Ayarlar!$B$6)))</f>
        <v/>
      </c>
      <c r="L1109" s="3">
        <f>IF(G1109="","GRAM EKSİK",IF(F1109&gt;30000,"FİYAT ŞÜPHELİ",IF(K1109&lt;0,"ZARARDA",IF(F1109&lt;I1109,"RİSKLİ","ok"))))</f>
        <v/>
      </c>
      <c r="M1109" s="16" t="inlineStr">
        <is>
          <t>https://www.etsy.com/listing/1862675181</t>
        </is>
      </c>
    </row>
    <row r="1110">
      <c r="A1110" s="9" t="inlineStr">
        <is>
          <t>legacy</t>
        </is>
      </c>
      <c r="B1110" s="9" t="inlineStr">
        <is>
          <t>14K Solid Gold Ice Out Chain / Two Tone Diamond Cut Cylinder</t>
        </is>
      </c>
      <c r="C1110" s="9" t="n">
        <v>1862675181</v>
      </c>
      <c r="D1110" s="9" t="inlineStr">
        <is>
          <t>CICEY5-20</t>
        </is>
      </c>
      <c r="E1110" s="9" t="inlineStr">
        <is>
          <t>description</t>
        </is>
      </c>
      <c r="F1110" s="10" t="n">
        <v>4743</v>
      </c>
      <c r="G1110" s="18" t="n">
        <v>29.8</v>
      </c>
      <c r="H1110" s="10">
        <f>IF(G1110="","",G1110*Ayarlar!$B$3+Ayarlar!$B$4+Ayarlar!$B$5)</f>
        <v/>
      </c>
      <c r="I1110" s="10">
        <f>IF(G1110="","",ROUNDUP(((G1110*Ayarlar!$B$3+Ayarlar!$B$4+Ayarlar!$B$5)+Ayarlar!$B$8)/((1-Ayarlar!$B$6)*(1-Ayarlar!$B$7)),0))</f>
        <v/>
      </c>
      <c r="J1110" s="10">
        <f>IF(G1110="","",ROUNDUP(((G1110*Ayarlar!$B$3+Ayarlar!$B$4+Ayarlar!$B$5)+Ayarlar!$B$8)/((1-Ayarlar!$B$6)*(1-Ayarlar!$B$7-Ayarlar!$B$9)),0))</f>
        <v/>
      </c>
      <c r="K1110" s="12">
        <f>IF(OR(G1110="",F1110=""),"",(F1110*(1-Ayarlar!$B$6)-(F1110*(1-Ayarlar!$B$6)*Ayarlar!$B$7+Ayarlar!$B$8)-(G1110*Ayarlar!$B$3+Ayarlar!$B$4+Ayarlar!$B$5))/(F1110*(1-Ayarlar!$B$6)))</f>
        <v/>
      </c>
      <c r="L1110" s="9">
        <f>IF(G1110="","GRAM EKSİK",IF(F1110&gt;30000,"FİYAT ŞÜPHELİ",IF(K1110&lt;0,"ZARARDA",IF(F1110&lt;I1110,"RİSKLİ","ok"))))</f>
        <v/>
      </c>
      <c r="M1110" s="13" t="inlineStr">
        <is>
          <t>https://www.etsy.com/listing/1862675181</t>
        </is>
      </c>
    </row>
    <row r="1111">
      <c r="A1111" s="3" t="inlineStr">
        <is>
          <t>legacy</t>
        </is>
      </c>
      <c r="B1111" s="3" t="inlineStr">
        <is>
          <t>14K Solid Gold Ice Out Chain / Two Tone Diamond Cut Cylinder</t>
        </is>
      </c>
      <c r="C1111" s="3" t="n">
        <v>1862675181</v>
      </c>
      <c r="D1111" s="3" t="inlineStr">
        <is>
          <t>CICEY5-22</t>
        </is>
      </c>
      <c r="E1111" s="3" t="inlineStr">
        <is>
          <t>description</t>
        </is>
      </c>
      <c r="F1111" s="14" t="n">
        <v>5192</v>
      </c>
      <c r="G1111" s="17" t="n">
        <v>32.78</v>
      </c>
      <c r="H1111" s="14">
        <f>IF(G1111="","",G1111*Ayarlar!$B$3+Ayarlar!$B$4+Ayarlar!$B$5)</f>
        <v/>
      </c>
      <c r="I1111" s="14">
        <f>IF(G1111="","",ROUNDUP(((G1111*Ayarlar!$B$3+Ayarlar!$B$4+Ayarlar!$B$5)+Ayarlar!$B$8)/((1-Ayarlar!$B$6)*(1-Ayarlar!$B$7)),0))</f>
        <v/>
      </c>
      <c r="J1111" s="14">
        <f>IF(G1111="","",ROUNDUP(((G1111*Ayarlar!$B$3+Ayarlar!$B$4+Ayarlar!$B$5)+Ayarlar!$B$8)/((1-Ayarlar!$B$6)*(1-Ayarlar!$B$7-Ayarlar!$B$9)),0))</f>
        <v/>
      </c>
      <c r="K1111" s="15">
        <f>IF(OR(G1111="",F1111=""),"",(F1111*(1-Ayarlar!$B$6)-(F1111*(1-Ayarlar!$B$6)*Ayarlar!$B$7+Ayarlar!$B$8)-(G1111*Ayarlar!$B$3+Ayarlar!$B$4+Ayarlar!$B$5))/(F1111*(1-Ayarlar!$B$6)))</f>
        <v/>
      </c>
      <c r="L1111" s="3">
        <f>IF(G1111="","GRAM EKSİK",IF(F1111&gt;30000,"FİYAT ŞÜPHELİ",IF(K1111&lt;0,"ZARARDA",IF(F1111&lt;I1111,"RİSKLİ","ok"))))</f>
        <v/>
      </c>
      <c r="M1111" s="16" t="inlineStr">
        <is>
          <t>https://www.etsy.com/listing/1862675181</t>
        </is>
      </c>
    </row>
    <row r="1112">
      <c r="A1112" s="9" t="inlineStr">
        <is>
          <t>legacy</t>
        </is>
      </c>
      <c r="B1112" s="9" t="inlineStr">
        <is>
          <t>14K Solid Gold Ice Out Chain / Two Tone Diamond Cut Cylinder</t>
        </is>
      </c>
      <c r="C1112" s="9" t="n">
        <v>1862675181</v>
      </c>
      <c r="D1112" s="9" t="inlineStr">
        <is>
          <t>CICEY5-24</t>
        </is>
      </c>
      <c r="E1112" s="9" t="inlineStr">
        <is>
          <t>description</t>
        </is>
      </c>
      <c r="F1112" s="10" t="n">
        <v>5684</v>
      </c>
      <c r="G1112" s="18" t="n">
        <v>35.76</v>
      </c>
      <c r="H1112" s="10">
        <f>IF(G1112="","",G1112*Ayarlar!$B$3+Ayarlar!$B$4+Ayarlar!$B$5)</f>
        <v/>
      </c>
      <c r="I1112" s="10">
        <f>IF(G1112="","",ROUNDUP(((G1112*Ayarlar!$B$3+Ayarlar!$B$4+Ayarlar!$B$5)+Ayarlar!$B$8)/((1-Ayarlar!$B$6)*(1-Ayarlar!$B$7)),0))</f>
        <v/>
      </c>
      <c r="J1112" s="10">
        <f>IF(G1112="","",ROUNDUP(((G1112*Ayarlar!$B$3+Ayarlar!$B$4+Ayarlar!$B$5)+Ayarlar!$B$8)/((1-Ayarlar!$B$6)*(1-Ayarlar!$B$7-Ayarlar!$B$9)),0))</f>
        <v/>
      </c>
      <c r="K1112" s="12">
        <f>IF(OR(G1112="",F1112=""),"",(F1112*(1-Ayarlar!$B$6)-(F1112*(1-Ayarlar!$B$6)*Ayarlar!$B$7+Ayarlar!$B$8)-(G1112*Ayarlar!$B$3+Ayarlar!$B$4+Ayarlar!$B$5))/(F1112*(1-Ayarlar!$B$6)))</f>
        <v/>
      </c>
      <c r="L1112" s="9">
        <f>IF(G1112="","GRAM EKSİK",IF(F1112&gt;30000,"FİYAT ŞÜPHELİ",IF(K1112&lt;0,"ZARARDA",IF(F1112&lt;I1112,"RİSKLİ","ok"))))</f>
        <v/>
      </c>
      <c r="M1112" s="13" t="inlineStr">
        <is>
          <t>https://www.etsy.com/listing/1862675181</t>
        </is>
      </c>
    </row>
    <row r="1113">
      <c r="A1113" s="3" t="inlineStr">
        <is>
          <t>legacy</t>
        </is>
      </c>
      <c r="B1113" s="3" t="inlineStr">
        <is>
          <t>14K White Gold Franco Box Chain / Solid Gold Necklace</t>
        </is>
      </c>
      <c r="C1113" s="3" t="n">
        <v>1756910876</v>
      </c>
      <c r="D1113" s="3" t="inlineStr">
        <is>
          <t>CSFR1-16</t>
        </is>
      </c>
      <c r="E1113" s="3" t="inlineStr">
        <is>
          <t>description</t>
        </is>
      </c>
      <c r="F1113" s="14" t="n">
        <v>540</v>
      </c>
      <c r="G1113" s="17" t="n">
        <v>2.92</v>
      </c>
      <c r="H1113" s="14">
        <f>IF(G1113="","",G1113*Ayarlar!$B$3+Ayarlar!$B$4+Ayarlar!$B$5)</f>
        <v/>
      </c>
      <c r="I1113" s="14">
        <f>IF(G1113="","",ROUNDUP(((G1113*Ayarlar!$B$3+Ayarlar!$B$4+Ayarlar!$B$5)+Ayarlar!$B$8)/((1-Ayarlar!$B$6)*(1-Ayarlar!$B$7)),0))</f>
        <v/>
      </c>
      <c r="J1113" s="14">
        <f>IF(G1113="","",ROUNDUP(((G1113*Ayarlar!$B$3+Ayarlar!$B$4+Ayarlar!$B$5)+Ayarlar!$B$8)/((1-Ayarlar!$B$6)*(1-Ayarlar!$B$7-Ayarlar!$B$9)),0))</f>
        <v/>
      </c>
      <c r="K1113" s="15">
        <f>IF(OR(G1113="",F1113=""),"",(F1113*(1-Ayarlar!$B$6)-(F1113*(1-Ayarlar!$B$6)*Ayarlar!$B$7+Ayarlar!$B$8)-(G1113*Ayarlar!$B$3+Ayarlar!$B$4+Ayarlar!$B$5))/(F1113*(1-Ayarlar!$B$6)))</f>
        <v/>
      </c>
      <c r="L1113" s="3">
        <f>IF(G1113="","GRAM EKSİK",IF(F1113&gt;30000,"FİYAT ŞÜPHELİ",IF(K1113&lt;0,"ZARARDA",IF(F1113&lt;I1113,"RİSKLİ","ok"))))</f>
        <v/>
      </c>
      <c r="M1113" s="16" t="inlineStr">
        <is>
          <t>https://www.etsy.com/listing/1756910876</t>
        </is>
      </c>
    </row>
    <row r="1114">
      <c r="A1114" s="9" t="inlineStr">
        <is>
          <t>legacy</t>
        </is>
      </c>
      <c r="B1114" s="9" t="inlineStr">
        <is>
          <t>14K White Gold Franco Box Chain / Solid Gold Necklace</t>
        </is>
      </c>
      <c r="C1114" s="9" t="n">
        <v>1756910876</v>
      </c>
      <c r="D1114" s="9" t="inlineStr">
        <is>
          <t>CSFR1-18</t>
        </is>
      </c>
      <c r="E1114" s="9" t="inlineStr">
        <is>
          <t>description-scaled</t>
        </is>
      </c>
      <c r="F1114" s="10" t="n">
        <v>601</v>
      </c>
      <c r="G1114" s="18" t="n">
        <v>3.29</v>
      </c>
      <c r="H1114" s="10">
        <f>IF(G1114="","",G1114*Ayarlar!$B$3+Ayarlar!$B$4+Ayarlar!$B$5)</f>
        <v/>
      </c>
      <c r="I1114" s="10">
        <f>IF(G1114="","",ROUNDUP(((G1114*Ayarlar!$B$3+Ayarlar!$B$4+Ayarlar!$B$5)+Ayarlar!$B$8)/((1-Ayarlar!$B$6)*(1-Ayarlar!$B$7)),0))</f>
        <v/>
      </c>
      <c r="J1114" s="10">
        <f>IF(G1114="","",ROUNDUP(((G1114*Ayarlar!$B$3+Ayarlar!$B$4+Ayarlar!$B$5)+Ayarlar!$B$8)/((1-Ayarlar!$B$6)*(1-Ayarlar!$B$7-Ayarlar!$B$9)),0))</f>
        <v/>
      </c>
      <c r="K1114" s="12">
        <f>IF(OR(G1114="",F1114=""),"",(F1114*(1-Ayarlar!$B$6)-(F1114*(1-Ayarlar!$B$6)*Ayarlar!$B$7+Ayarlar!$B$8)-(G1114*Ayarlar!$B$3+Ayarlar!$B$4+Ayarlar!$B$5))/(F1114*(1-Ayarlar!$B$6)))</f>
        <v/>
      </c>
      <c r="L1114" s="9">
        <f>IF(G1114="","GRAM EKSİK",IF(F1114&gt;30000,"FİYAT ŞÜPHELİ",IF(K1114&lt;0,"ZARARDA",IF(F1114&lt;I1114,"RİSKLİ","ok"))))</f>
        <v/>
      </c>
      <c r="M1114" s="13" t="inlineStr">
        <is>
          <t>https://www.etsy.com/listing/1756910876</t>
        </is>
      </c>
    </row>
    <row r="1115">
      <c r="A1115" s="3" t="inlineStr">
        <is>
          <t>legacy</t>
        </is>
      </c>
      <c r="B1115" s="3" t="inlineStr">
        <is>
          <t>14K White Gold Franco Box Chain / Solid Gold Necklace</t>
        </is>
      </c>
      <c r="C1115" s="3" t="n">
        <v>1756910876</v>
      </c>
      <c r="D1115" s="3" t="inlineStr">
        <is>
          <t>CSFR1-20</t>
        </is>
      </c>
      <c r="E1115" s="3" t="inlineStr">
        <is>
          <t>description-scaled</t>
        </is>
      </c>
      <c r="F1115" s="14" t="n">
        <v>661</v>
      </c>
      <c r="G1115" s="17" t="n">
        <v>3.65</v>
      </c>
      <c r="H1115" s="14">
        <f>IF(G1115="","",G1115*Ayarlar!$B$3+Ayarlar!$B$4+Ayarlar!$B$5)</f>
        <v/>
      </c>
      <c r="I1115" s="14">
        <f>IF(G1115="","",ROUNDUP(((G1115*Ayarlar!$B$3+Ayarlar!$B$4+Ayarlar!$B$5)+Ayarlar!$B$8)/((1-Ayarlar!$B$6)*(1-Ayarlar!$B$7)),0))</f>
        <v/>
      </c>
      <c r="J1115" s="14">
        <f>IF(G1115="","",ROUNDUP(((G1115*Ayarlar!$B$3+Ayarlar!$B$4+Ayarlar!$B$5)+Ayarlar!$B$8)/((1-Ayarlar!$B$6)*(1-Ayarlar!$B$7-Ayarlar!$B$9)),0))</f>
        <v/>
      </c>
      <c r="K1115" s="15">
        <f>IF(OR(G1115="",F1115=""),"",(F1115*(1-Ayarlar!$B$6)-(F1115*(1-Ayarlar!$B$6)*Ayarlar!$B$7+Ayarlar!$B$8)-(G1115*Ayarlar!$B$3+Ayarlar!$B$4+Ayarlar!$B$5))/(F1115*(1-Ayarlar!$B$6)))</f>
        <v/>
      </c>
      <c r="L1115" s="3">
        <f>IF(G1115="","GRAM EKSİK",IF(F1115&gt;30000,"FİYAT ŞÜPHELİ",IF(K1115&lt;0,"ZARARDA",IF(F1115&lt;I1115,"RİSKLİ","ok"))))</f>
        <v/>
      </c>
      <c r="M1115" s="16" t="inlineStr">
        <is>
          <t>https://www.etsy.com/listing/1756910876</t>
        </is>
      </c>
    </row>
    <row r="1116">
      <c r="A1116" s="9" t="inlineStr">
        <is>
          <t>legacy</t>
        </is>
      </c>
      <c r="B1116" s="9" t="inlineStr">
        <is>
          <t>14K White Gold Franco Box Chain / Solid Gold Necklace</t>
        </is>
      </c>
      <c r="C1116" s="9" t="n">
        <v>1756910876</v>
      </c>
      <c r="D1116" s="9" t="inlineStr">
        <is>
          <t>CSFR1-22</t>
        </is>
      </c>
      <c r="E1116" s="9" t="inlineStr">
        <is>
          <t>description-scaled</t>
        </is>
      </c>
      <c r="F1116" s="10" t="n">
        <v>722</v>
      </c>
      <c r="G1116" s="18" t="n">
        <v>4.01</v>
      </c>
      <c r="H1116" s="10">
        <f>IF(G1116="","",G1116*Ayarlar!$B$3+Ayarlar!$B$4+Ayarlar!$B$5)</f>
        <v/>
      </c>
      <c r="I1116" s="10">
        <f>IF(G1116="","",ROUNDUP(((G1116*Ayarlar!$B$3+Ayarlar!$B$4+Ayarlar!$B$5)+Ayarlar!$B$8)/((1-Ayarlar!$B$6)*(1-Ayarlar!$B$7)),0))</f>
        <v/>
      </c>
      <c r="J1116" s="10">
        <f>IF(G1116="","",ROUNDUP(((G1116*Ayarlar!$B$3+Ayarlar!$B$4+Ayarlar!$B$5)+Ayarlar!$B$8)/((1-Ayarlar!$B$6)*(1-Ayarlar!$B$7-Ayarlar!$B$9)),0))</f>
        <v/>
      </c>
      <c r="K1116" s="12">
        <f>IF(OR(G1116="",F1116=""),"",(F1116*(1-Ayarlar!$B$6)-(F1116*(1-Ayarlar!$B$6)*Ayarlar!$B$7+Ayarlar!$B$8)-(G1116*Ayarlar!$B$3+Ayarlar!$B$4+Ayarlar!$B$5))/(F1116*(1-Ayarlar!$B$6)))</f>
        <v/>
      </c>
      <c r="L1116" s="9">
        <f>IF(G1116="","GRAM EKSİK",IF(F1116&gt;30000,"FİYAT ŞÜPHELİ",IF(K1116&lt;0,"ZARARDA",IF(F1116&lt;I1116,"RİSKLİ","ok"))))</f>
        <v/>
      </c>
      <c r="M1116" s="13" t="inlineStr">
        <is>
          <t>https://www.etsy.com/listing/1756910876</t>
        </is>
      </c>
    </row>
    <row r="1117">
      <c r="A1117" s="3" t="inlineStr">
        <is>
          <t>legacy</t>
        </is>
      </c>
      <c r="B1117" s="3" t="inlineStr">
        <is>
          <t>14K White Gold Franco Box Chain / Solid Gold Necklace</t>
        </is>
      </c>
      <c r="C1117" s="3" t="n">
        <v>1756910876</v>
      </c>
      <c r="D1117" s="3" t="inlineStr">
        <is>
          <t>CSFR1-24</t>
        </is>
      </c>
      <c r="E1117" s="3" t="inlineStr">
        <is>
          <t>description-scaled</t>
        </is>
      </c>
      <c r="F1117" s="14" t="n">
        <v>782</v>
      </c>
      <c r="G1117" s="17" t="n">
        <v>4.38</v>
      </c>
      <c r="H1117" s="14">
        <f>IF(G1117="","",G1117*Ayarlar!$B$3+Ayarlar!$B$4+Ayarlar!$B$5)</f>
        <v/>
      </c>
      <c r="I1117" s="14">
        <f>IF(G1117="","",ROUNDUP(((G1117*Ayarlar!$B$3+Ayarlar!$B$4+Ayarlar!$B$5)+Ayarlar!$B$8)/((1-Ayarlar!$B$6)*(1-Ayarlar!$B$7)),0))</f>
        <v/>
      </c>
      <c r="J1117" s="14">
        <f>IF(G1117="","",ROUNDUP(((G1117*Ayarlar!$B$3+Ayarlar!$B$4+Ayarlar!$B$5)+Ayarlar!$B$8)/((1-Ayarlar!$B$6)*(1-Ayarlar!$B$7-Ayarlar!$B$9)),0))</f>
        <v/>
      </c>
      <c r="K1117" s="15">
        <f>IF(OR(G1117="",F1117=""),"",(F1117*(1-Ayarlar!$B$6)-(F1117*(1-Ayarlar!$B$6)*Ayarlar!$B$7+Ayarlar!$B$8)-(G1117*Ayarlar!$B$3+Ayarlar!$B$4+Ayarlar!$B$5))/(F1117*(1-Ayarlar!$B$6)))</f>
        <v/>
      </c>
      <c r="L1117" s="3">
        <f>IF(G1117="","GRAM EKSİK",IF(F1117&gt;30000,"FİYAT ŞÜPHELİ",IF(K1117&lt;0,"ZARARDA",IF(F1117&lt;I1117,"RİSKLİ","ok"))))</f>
        <v/>
      </c>
      <c r="M1117" s="16" t="inlineStr">
        <is>
          <t>https://www.etsy.com/listing/1756910876</t>
        </is>
      </c>
    </row>
    <row r="1118">
      <c r="A1118" s="9" t="inlineStr">
        <is>
          <t>legacy</t>
        </is>
      </c>
      <c r="B1118" s="9" t="inlineStr">
        <is>
          <t>14K White Gold Franco Box Chain / Solid Gold Necklace</t>
        </is>
      </c>
      <c r="C1118" s="9" t="n">
        <v>1756910876</v>
      </c>
      <c r="D1118" s="9" t="inlineStr">
        <is>
          <t>CSFR2-16</t>
        </is>
      </c>
      <c r="E1118" s="9" t="inlineStr">
        <is>
          <t>description-scaled</t>
        </is>
      </c>
      <c r="F1118" s="10" t="n">
        <v>1082</v>
      </c>
      <c r="G1118" s="18" t="n">
        <v>5.99</v>
      </c>
      <c r="H1118" s="10">
        <f>IF(G1118="","",G1118*Ayarlar!$B$3+Ayarlar!$B$4+Ayarlar!$B$5)</f>
        <v/>
      </c>
      <c r="I1118" s="10">
        <f>IF(G1118="","",ROUNDUP(((G1118*Ayarlar!$B$3+Ayarlar!$B$4+Ayarlar!$B$5)+Ayarlar!$B$8)/((1-Ayarlar!$B$6)*(1-Ayarlar!$B$7)),0))</f>
        <v/>
      </c>
      <c r="J1118" s="10">
        <f>IF(G1118="","",ROUNDUP(((G1118*Ayarlar!$B$3+Ayarlar!$B$4+Ayarlar!$B$5)+Ayarlar!$B$8)/((1-Ayarlar!$B$6)*(1-Ayarlar!$B$7-Ayarlar!$B$9)),0))</f>
        <v/>
      </c>
      <c r="K1118" s="12">
        <f>IF(OR(G1118="",F1118=""),"",(F1118*(1-Ayarlar!$B$6)-(F1118*(1-Ayarlar!$B$6)*Ayarlar!$B$7+Ayarlar!$B$8)-(G1118*Ayarlar!$B$3+Ayarlar!$B$4+Ayarlar!$B$5))/(F1118*(1-Ayarlar!$B$6)))</f>
        <v/>
      </c>
      <c r="L1118" s="9">
        <f>IF(G1118="","GRAM EKSİK",IF(F1118&gt;30000,"FİYAT ŞÜPHELİ",IF(K1118&lt;0,"ZARARDA",IF(F1118&lt;I1118,"RİSKLİ","ok"))))</f>
        <v/>
      </c>
      <c r="M1118" s="13" t="inlineStr">
        <is>
          <t>https://www.etsy.com/listing/1756910876</t>
        </is>
      </c>
    </row>
    <row r="1119">
      <c r="A1119" s="3" t="inlineStr">
        <is>
          <t>legacy</t>
        </is>
      </c>
      <c r="B1119" s="3" t="inlineStr">
        <is>
          <t>14K White Gold Franco Box Chain / Solid Gold Necklace</t>
        </is>
      </c>
      <c r="C1119" s="3" t="n">
        <v>1756910876</v>
      </c>
      <c r="D1119" s="3" t="inlineStr">
        <is>
          <t>CSFR2-18</t>
        </is>
      </c>
      <c r="E1119" s="3" t="inlineStr">
        <is>
          <t>description</t>
        </is>
      </c>
      <c r="F1119" s="14" t="n">
        <v>1203</v>
      </c>
      <c r="G1119" s="17" t="n">
        <v>6.74</v>
      </c>
      <c r="H1119" s="14">
        <f>IF(G1119="","",G1119*Ayarlar!$B$3+Ayarlar!$B$4+Ayarlar!$B$5)</f>
        <v/>
      </c>
      <c r="I1119" s="14">
        <f>IF(G1119="","",ROUNDUP(((G1119*Ayarlar!$B$3+Ayarlar!$B$4+Ayarlar!$B$5)+Ayarlar!$B$8)/((1-Ayarlar!$B$6)*(1-Ayarlar!$B$7)),0))</f>
        <v/>
      </c>
      <c r="J1119" s="14">
        <f>IF(G1119="","",ROUNDUP(((G1119*Ayarlar!$B$3+Ayarlar!$B$4+Ayarlar!$B$5)+Ayarlar!$B$8)/((1-Ayarlar!$B$6)*(1-Ayarlar!$B$7-Ayarlar!$B$9)),0))</f>
        <v/>
      </c>
      <c r="K1119" s="15">
        <f>IF(OR(G1119="",F1119=""),"",(F1119*(1-Ayarlar!$B$6)-(F1119*(1-Ayarlar!$B$6)*Ayarlar!$B$7+Ayarlar!$B$8)-(G1119*Ayarlar!$B$3+Ayarlar!$B$4+Ayarlar!$B$5))/(F1119*(1-Ayarlar!$B$6)))</f>
        <v/>
      </c>
      <c r="L1119" s="3">
        <f>IF(G1119="","GRAM EKSİK",IF(F1119&gt;30000,"FİYAT ŞÜPHELİ",IF(K1119&lt;0,"ZARARDA",IF(F1119&lt;I1119,"RİSKLİ","ok"))))</f>
        <v/>
      </c>
      <c r="M1119" s="16" t="inlineStr">
        <is>
          <t>https://www.etsy.com/listing/1756910876</t>
        </is>
      </c>
    </row>
    <row r="1120">
      <c r="A1120" s="9" t="inlineStr">
        <is>
          <t>legacy</t>
        </is>
      </c>
      <c r="B1120" s="9" t="inlineStr">
        <is>
          <t>14K White Gold Franco Box Chain / Solid Gold Necklace</t>
        </is>
      </c>
      <c r="C1120" s="9" t="n">
        <v>1756910876</v>
      </c>
      <c r="D1120" s="9" t="inlineStr">
        <is>
          <t>CSFR2-20</t>
        </is>
      </c>
      <c r="E1120" s="9" t="inlineStr">
        <is>
          <t>description-scaled</t>
        </is>
      </c>
      <c r="F1120" s="10" t="n">
        <v>1324</v>
      </c>
      <c r="G1120" s="18" t="n">
        <v>7.49</v>
      </c>
      <c r="H1120" s="10">
        <f>IF(G1120="","",G1120*Ayarlar!$B$3+Ayarlar!$B$4+Ayarlar!$B$5)</f>
        <v/>
      </c>
      <c r="I1120" s="10">
        <f>IF(G1120="","",ROUNDUP(((G1120*Ayarlar!$B$3+Ayarlar!$B$4+Ayarlar!$B$5)+Ayarlar!$B$8)/((1-Ayarlar!$B$6)*(1-Ayarlar!$B$7)),0))</f>
        <v/>
      </c>
      <c r="J1120" s="10">
        <f>IF(G1120="","",ROUNDUP(((G1120*Ayarlar!$B$3+Ayarlar!$B$4+Ayarlar!$B$5)+Ayarlar!$B$8)/((1-Ayarlar!$B$6)*(1-Ayarlar!$B$7-Ayarlar!$B$9)),0))</f>
        <v/>
      </c>
      <c r="K1120" s="12">
        <f>IF(OR(G1120="",F1120=""),"",(F1120*(1-Ayarlar!$B$6)-(F1120*(1-Ayarlar!$B$6)*Ayarlar!$B$7+Ayarlar!$B$8)-(G1120*Ayarlar!$B$3+Ayarlar!$B$4+Ayarlar!$B$5))/(F1120*(1-Ayarlar!$B$6)))</f>
        <v/>
      </c>
      <c r="L1120" s="9">
        <f>IF(G1120="","GRAM EKSİK",IF(F1120&gt;30000,"FİYAT ŞÜPHELİ",IF(K1120&lt;0,"ZARARDA",IF(F1120&lt;I1120,"RİSKLİ","ok"))))</f>
        <v/>
      </c>
      <c r="M1120" s="13" t="inlineStr">
        <is>
          <t>https://www.etsy.com/listing/1756910876</t>
        </is>
      </c>
    </row>
    <row r="1121">
      <c r="A1121" s="3" t="inlineStr">
        <is>
          <t>legacy</t>
        </is>
      </c>
      <c r="B1121" s="3" t="inlineStr">
        <is>
          <t>14K White Gold Franco Box Chain / Solid Gold Necklace</t>
        </is>
      </c>
      <c r="C1121" s="3" t="n">
        <v>1756910876</v>
      </c>
      <c r="D1121" s="3" t="inlineStr">
        <is>
          <t>CSFR2-22</t>
        </is>
      </c>
      <c r="E1121" s="3" t="inlineStr">
        <is>
          <t>description-scaled</t>
        </is>
      </c>
      <c r="F1121" s="14" t="n">
        <v>1503</v>
      </c>
      <c r="G1121" s="17" t="n">
        <v>8.24</v>
      </c>
      <c r="H1121" s="14">
        <f>IF(G1121="","",G1121*Ayarlar!$B$3+Ayarlar!$B$4+Ayarlar!$B$5)</f>
        <v/>
      </c>
      <c r="I1121" s="14">
        <f>IF(G1121="","",ROUNDUP(((G1121*Ayarlar!$B$3+Ayarlar!$B$4+Ayarlar!$B$5)+Ayarlar!$B$8)/((1-Ayarlar!$B$6)*(1-Ayarlar!$B$7)),0))</f>
        <v/>
      </c>
      <c r="J1121" s="14">
        <f>IF(G1121="","",ROUNDUP(((G1121*Ayarlar!$B$3+Ayarlar!$B$4+Ayarlar!$B$5)+Ayarlar!$B$8)/((1-Ayarlar!$B$6)*(1-Ayarlar!$B$7-Ayarlar!$B$9)),0))</f>
        <v/>
      </c>
      <c r="K1121" s="15">
        <f>IF(OR(G1121="",F1121=""),"",(F1121*(1-Ayarlar!$B$6)-(F1121*(1-Ayarlar!$B$6)*Ayarlar!$B$7+Ayarlar!$B$8)-(G1121*Ayarlar!$B$3+Ayarlar!$B$4+Ayarlar!$B$5))/(F1121*(1-Ayarlar!$B$6)))</f>
        <v/>
      </c>
      <c r="L1121" s="3">
        <f>IF(G1121="","GRAM EKSİK",IF(F1121&gt;30000,"FİYAT ŞÜPHELİ",IF(K1121&lt;0,"ZARARDA",IF(F1121&lt;I1121,"RİSKLİ","ok"))))</f>
        <v/>
      </c>
      <c r="M1121" s="16" t="inlineStr">
        <is>
          <t>https://www.etsy.com/listing/1756910876</t>
        </is>
      </c>
    </row>
    <row r="1122">
      <c r="A1122" s="9" t="inlineStr">
        <is>
          <t>legacy</t>
        </is>
      </c>
      <c r="B1122" s="9" t="inlineStr">
        <is>
          <t>14K White Gold Franco Box Chain / Solid Gold Necklace</t>
        </is>
      </c>
      <c r="C1122" s="9" t="n">
        <v>1756910876</v>
      </c>
      <c r="D1122" s="9" t="inlineStr">
        <is>
          <t>CSFR2-24</t>
        </is>
      </c>
      <c r="E1122" s="9" t="inlineStr">
        <is>
          <t>description-scaled</t>
        </is>
      </c>
      <c r="F1122" s="10" t="n">
        <v>1797</v>
      </c>
      <c r="G1122" s="18" t="n">
        <v>8.99</v>
      </c>
      <c r="H1122" s="10">
        <f>IF(G1122="","",G1122*Ayarlar!$B$3+Ayarlar!$B$4+Ayarlar!$B$5)</f>
        <v/>
      </c>
      <c r="I1122" s="10">
        <f>IF(G1122="","",ROUNDUP(((G1122*Ayarlar!$B$3+Ayarlar!$B$4+Ayarlar!$B$5)+Ayarlar!$B$8)/((1-Ayarlar!$B$6)*(1-Ayarlar!$B$7)),0))</f>
        <v/>
      </c>
      <c r="J1122" s="10">
        <f>IF(G1122="","",ROUNDUP(((G1122*Ayarlar!$B$3+Ayarlar!$B$4+Ayarlar!$B$5)+Ayarlar!$B$8)/((1-Ayarlar!$B$6)*(1-Ayarlar!$B$7-Ayarlar!$B$9)),0))</f>
        <v/>
      </c>
      <c r="K1122" s="12">
        <f>IF(OR(G1122="",F1122=""),"",(F1122*(1-Ayarlar!$B$6)-(F1122*(1-Ayarlar!$B$6)*Ayarlar!$B$7+Ayarlar!$B$8)-(G1122*Ayarlar!$B$3+Ayarlar!$B$4+Ayarlar!$B$5))/(F1122*(1-Ayarlar!$B$6)))</f>
        <v/>
      </c>
      <c r="L1122" s="9">
        <f>IF(G1122="","GRAM EKSİK",IF(F1122&gt;30000,"FİYAT ŞÜPHELİ",IF(K1122&lt;0,"ZARARDA",IF(F1122&lt;I1122,"RİSKLİ","ok"))))</f>
        <v/>
      </c>
      <c r="M1122" s="13" t="inlineStr">
        <is>
          <t>https://www.etsy.com/listing/1756910876</t>
        </is>
      </c>
    </row>
    <row r="1123">
      <c r="A1123" s="3" t="inlineStr">
        <is>
          <t>legacy</t>
        </is>
      </c>
      <c r="B1123" s="3" t="inlineStr">
        <is>
          <t>14K White Gold Franco Box Chain / Solid Gold Necklace</t>
        </is>
      </c>
      <c r="C1123" s="3" t="n">
        <v>1756910876</v>
      </c>
      <c r="D1123" s="3" t="inlineStr">
        <is>
          <t>CSFR3-16</t>
        </is>
      </c>
      <c r="E1123" s="3" t="inlineStr">
        <is>
          <t>inferred</t>
        </is>
      </c>
      <c r="F1123" s="14" t="n">
        <v>1503</v>
      </c>
      <c r="G1123" s="17" t="n">
        <v>8.27</v>
      </c>
      <c r="H1123" s="14">
        <f>IF(G1123="","",G1123*Ayarlar!$B$3+Ayarlar!$B$4+Ayarlar!$B$5)</f>
        <v/>
      </c>
      <c r="I1123" s="14">
        <f>IF(G1123="","",ROUNDUP(((G1123*Ayarlar!$B$3+Ayarlar!$B$4+Ayarlar!$B$5)+Ayarlar!$B$8)/((1-Ayarlar!$B$6)*(1-Ayarlar!$B$7)),0))</f>
        <v/>
      </c>
      <c r="J1123" s="14">
        <f>IF(G1123="","",ROUNDUP(((G1123*Ayarlar!$B$3+Ayarlar!$B$4+Ayarlar!$B$5)+Ayarlar!$B$8)/((1-Ayarlar!$B$6)*(1-Ayarlar!$B$7-Ayarlar!$B$9)),0))</f>
        <v/>
      </c>
      <c r="K1123" s="15">
        <f>IF(OR(G1123="",F1123=""),"",(F1123*(1-Ayarlar!$B$6)-(F1123*(1-Ayarlar!$B$6)*Ayarlar!$B$7+Ayarlar!$B$8)-(G1123*Ayarlar!$B$3+Ayarlar!$B$4+Ayarlar!$B$5))/(F1123*(1-Ayarlar!$B$6)))</f>
        <v/>
      </c>
      <c r="L1123" s="3">
        <f>IF(G1123="","GRAM EKSİK",IF(F1123&gt;30000,"FİYAT ŞÜPHELİ",IF(K1123&lt;0,"ZARARDA",IF(F1123&lt;I1123,"RİSKLİ","ok"))))</f>
        <v/>
      </c>
      <c r="M1123" s="16" t="inlineStr">
        <is>
          <t>https://www.etsy.com/listing/1756910876</t>
        </is>
      </c>
    </row>
    <row r="1124">
      <c r="A1124" s="9" t="inlineStr">
        <is>
          <t>legacy</t>
        </is>
      </c>
      <c r="B1124" s="9" t="inlineStr">
        <is>
          <t>14K White Gold Franco Box Chain / Solid Gold Necklace</t>
        </is>
      </c>
      <c r="C1124" s="9" t="n">
        <v>1756910876</v>
      </c>
      <c r="D1124" s="9" t="inlineStr">
        <is>
          <t>CSFR3-18</t>
        </is>
      </c>
      <c r="E1124" s="9" t="inlineStr">
        <is>
          <t>inferred</t>
        </is>
      </c>
      <c r="F1124" s="10" t="n">
        <v>1683</v>
      </c>
      <c r="G1124" s="18" t="n">
        <v>9.300000000000001</v>
      </c>
      <c r="H1124" s="10">
        <f>IF(G1124="","",G1124*Ayarlar!$B$3+Ayarlar!$B$4+Ayarlar!$B$5)</f>
        <v/>
      </c>
      <c r="I1124" s="10">
        <f>IF(G1124="","",ROUNDUP(((G1124*Ayarlar!$B$3+Ayarlar!$B$4+Ayarlar!$B$5)+Ayarlar!$B$8)/((1-Ayarlar!$B$6)*(1-Ayarlar!$B$7)),0))</f>
        <v/>
      </c>
      <c r="J1124" s="10">
        <f>IF(G1124="","",ROUNDUP(((G1124*Ayarlar!$B$3+Ayarlar!$B$4+Ayarlar!$B$5)+Ayarlar!$B$8)/((1-Ayarlar!$B$6)*(1-Ayarlar!$B$7-Ayarlar!$B$9)),0))</f>
        <v/>
      </c>
      <c r="K1124" s="12">
        <f>IF(OR(G1124="",F1124=""),"",(F1124*(1-Ayarlar!$B$6)-(F1124*(1-Ayarlar!$B$6)*Ayarlar!$B$7+Ayarlar!$B$8)-(G1124*Ayarlar!$B$3+Ayarlar!$B$4+Ayarlar!$B$5))/(F1124*(1-Ayarlar!$B$6)))</f>
        <v/>
      </c>
      <c r="L1124" s="9">
        <f>IF(G1124="","GRAM EKSİK",IF(F1124&gt;30000,"FİYAT ŞÜPHELİ",IF(K1124&lt;0,"ZARARDA",IF(F1124&lt;I1124,"RİSKLİ","ok"))))</f>
        <v/>
      </c>
      <c r="M1124" s="13" t="inlineStr">
        <is>
          <t>https://www.etsy.com/listing/1756910876</t>
        </is>
      </c>
    </row>
    <row r="1125">
      <c r="A1125" s="3" t="inlineStr">
        <is>
          <t>legacy</t>
        </is>
      </c>
      <c r="B1125" s="3" t="inlineStr">
        <is>
          <t>14K White Gold Franco Box Chain / Solid Gold Necklace</t>
        </is>
      </c>
      <c r="C1125" s="3" t="n">
        <v>1756910876</v>
      </c>
      <c r="D1125" s="3" t="inlineStr">
        <is>
          <t>CSFR3-20</t>
        </is>
      </c>
      <c r="E1125" s="3" t="inlineStr">
        <is>
          <t>inferred</t>
        </is>
      </c>
      <c r="F1125" s="14" t="n">
        <v>1922</v>
      </c>
      <c r="G1125" s="17" t="n">
        <v>10.33</v>
      </c>
      <c r="H1125" s="14">
        <f>IF(G1125="","",G1125*Ayarlar!$B$3+Ayarlar!$B$4+Ayarlar!$B$5)</f>
        <v/>
      </c>
      <c r="I1125" s="14">
        <f>IF(G1125="","",ROUNDUP(((G1125*Ayarlar!$B$3+Ayarlar!$B$4+Ayarlar!$B$5)+Ayarlar!$B$8)/((1-Ayarlar!$B$6)*(1-Ayarlar!$B$7)),0))</f>
        <v/>
      </c>
      <c r="J1125" s="14">
        <f>IF(G1125="","",ROUNDUP(((G1125*Ayarlar!$B$3+Ayarlar!$B$4+Ayarlar!$B$5)+Ayarlar!$B$8)/((1-Ayarlar!$B$6)*(1-Ayarlar!$B$7-Ayarlar!$B$9)),0))</f>
        <v/>
      </c>
      <c r="K1125" s="15">
        <f>IF(OR(G1125="",F1125=""),"",(F1125*(1-Ayarlar!$B$6)-(F1125*(1-Ayarlar!$B$6)*Ayarlar!$B$7+Ayarlar!$B$8)-(G1125*Ayarlar!$B$3+Ayarlar!$B$4+Ayarlar!$B$5))/(F1125*(1-Ayarlar!$B$6)))</f>
        <v/>
      </c>
      <c r="L1125" s="3">
        <f>IF(G1125="","GRAM EKSİK",IF(F1125&gt;30000,"FİYAT ŞÜPHELİ",IF(K1125&lt;0,"ZARARDA",IF(F1125&lt;I1125,"RİSKLİ","ok"))))</f>
        <v/>
      </c>
      <c r="M1125" s="16" t="inlineStr">
        <is>
          <t>https://www.etsy.com/listing/1756910876</t>
        </is>
      </c>
    </row>
    <row r="1126">
      <c r="A1126" s="9" t="inlineStr">
        <is>
          <t>legacy</t>
        </is>
      </c>
      <c r="B1126" s="9" t="inlineStr">
        <is>
          <t>14K White Gold Franco Box Chain / Solid Gold Necklace</t>
        </is>
      </c>
      <c r="C1126" s="9" t="n">
        <v>1756910876</v>
      </c>
      <c r="D1126" s="9" t="inlineStr">
        <is>
          <t>CSFR3-22</t>
        </is>
      </c>
      <c r="E1126" s="9" t="inlineStr">
        <is>
          <t>inferred</t>
        </is>
      </c>
      <c r="F1126" s="10" t="n">
        <v>2045</v>
      </c>
      <c r="G1126" s="18" t="n">
        <v>11.37</v>
      </c>
      <c r="H1126" s="10">
        <f>IF(G1126="","",G1126*Ayarlar!$B$3+Ayarlar!$B$4+Ayarlar!$B$5)</f>
        <v/>
      </c>
      <c r="I1126" s="10">
        <f>IF(G1126="","",ROUNDUP(((G1126*Ayarlar!$B$3+Ayarlar!$B$4+Ayarlar!$B$5)+Ayarlar!$B$8)/((1-Ayarlar!$B$6)*(1-Ayarlar!$B$7)),0))</f>
        <v/>
      </c>
      <c r="J1126" s="10">
        <f>IF(G1126="","",ROUNDUP(((G1126*Ayarlar!$B$3+Ayarlar!$B$4+Ayarlar!$B$5)+Ayarlar!$B$8)/((1-Ayarlar!$B$6)*(1-Ayarlar!$B$7-Ayarlar!$B$9)),0))</f>
        <v/>
      </c>
      <c r="K1126" s="12">
        <f>IF(OR(G1126="",F1126=""),"",(F1126*(1-Ayarlar!$B$6)-(F1126*(1-Ayarlar!$B$6)*Ayarlar!$B$7+Ayarlar!$B$8)-(G1126*Ayarlar!$B$3+Ayarlar!$B$4+Ayarlar!$B$5))/(F1126*(1-Ayarlar!$B$6)))</f>
        <v/>
      </c>
      <c r="L1126" s="9">
        <f>IF(G1126="","GRAM EKSİK",IF(F1126&gt;30000,"FİYAT ŞÜPHELİ",IF(K1126&lt;0,"ZARARDA",IF(F1126&lt;I1126,"RİSKLİ","ok"))))</f>
        <v/>
      </c>
      <c r="M1126" s="13" t="inlineStr">
        <is>
          <t>https://www.etsy.com/listing/1756910876</t>
        </is>
      </c>
    </row>
    <row r="1127">
      <c r="A1127" s="3" t="inlineStr">
        <is>
          <t>legacy</t>
        </is>
      </c>
      <c r="B1127" s="3" t="inlineStr">
        <is>
          <t>14K White Gold Franco Box Chain / Solid Gold Necklace</t>
        </is>
      </c>
      <c r="C1127" s="3" t="n">
        <v>1756910876</v>
      </c>
      <c r="D1127" s="3" t="inlineStr">
        <is>
          <t>CSFR3-24</t>
        </is>
      </c>
      <c r="E1127" s="3" t="inlineStr">
        <is>
          <t>shipstation</t>
        </is>
      </c>
      <c r="F1127" s="14" t="n">
        <v>2282</v>
      </c>
      <c r="G1127" s="17" t="n">
        <v>12.4</v>
      </c>
      <c r="H1127" s="14">
        <f>IF(G1127="","",G1127*Ayarlar!$B$3+Ayarlar!$B$4+Ayarlar!$B$5)</f>
        <v/>
      </c>
      <c r="I1127" s="14">
        <f>IF(G1127="","",ROUNDUP(((G1127*Ayarlar!$B$3+Ayarlar!$B$4+Ayarlar!$B$5)+Ayarlar!$B$8)/((1-Ayarlar!$B$6)*(1-Ayarlar!$B$7)),0))</f>
        <v/>
      </c>
      <c r="J1127" s="14">
        <f>IF(G1127="","",ROUNDUP(((G1127*Ayarlar!$B$3+Ayarlar!$B$4+Ayarlar!$B$5)+Ayarlar!$B$8)/((1-Ayarlar!$B$6)*(1-Ayarlar!$B$7-Ayarlar!$B$9)),0))</f>
        <v/>
      </c>
      <c r="K1127" s="15">
        <f>IF(OR(G1127="",F1127=""),"",(F1127*(1-Ayarlar!$B$6)-(F1127*(1-Ayarlar!$B$6)*Ayarlar!$B$7+Ayarlar!$B$8)-(G1127*Ayarlar!$B$3+Ayarlar!$B$4+Ayarlar!$B$5))/(F1127*(1-Ayarlar!$B$6)))</f>
        <v/>
      </c>
      <c r="L1127" s="3">
        <f>IF(G1127="","GRAM EKSİK",IF(F1127&gt;30000,"FİYAT ŞÜPHELİ",IF(K1127&lt;0,"ZARARDA",IF(F1127&lt;I1127,"RİSKLİ","ok"))))</f>
        <v/>
      </c>
      <c r="M1127" s="16" t="inlineStr">
        <is>
          <t>https://www.etsy.com/listing/1756910876</t>
        </is>
      </c>
    </row>
    <row r="1128">
      <c r="A1128" s="9" t="inlineStr">
        <is>
          <t>legacy</t>
        </is>
      </c>
      <c r="B1128" s="9" t="inlineStr">
        <is>
          <t>14K White Gold Franco Box Chain / Solid Gold Necklace</t>
        </is>
      </c>
      <c r="C1128" s="9" t="n">
        <v>1756910876</v>
      </c>
      <c r="D1128" s="9" t="inlineStr">
        <is>
          <t>CSFR4-16</t>
        </is>
      </c>
      <c r="E1128" s="9" t="inlineStr">
        <is>
          <t>description-scaled</t>
        </is>
      </c>
      <c r="F1128" s="10" t="n">
        <v>2646</v>
      </c>
      <c r="G1128" s="18" t="n">
        <v>14.87</v>
      </c>
      <c r="H1128" s="10">
        <f>IF(G1128="","",G1128*Ayarlar!$B$3+Ayarlar!$B$4+Ayarlar!$B$5)</f>
        <v/>
      </c>
      <c r="I1128" s="10">
        <f>IF(G1128="","",ROUNDUP(((G1128*Ayarlar!$B$3+Ayarlar!$B$4+Ayarlar!$B$5)+Ayarlar!$B$8)/((1-Ayarlar!$B$6)*(1-Ayarlar!$B$7)),0))</f>
        <v/>
      </c>
      <c r="J1128" s="10">
        <f>IF(G1128="","",ROUNDUP(((G1128*Ayarlar!$B$3+Ayarlar!$B$4+Ayarlar!$B$5)+Ayarlar!$B$8)/((1-Ayarlar!$B$6)*(1-Ayarlar!$B$7-Ayarlar!$B$9)),0))</f>
        <v/>
      </c>
      <c r="K1128" s="12">
        <f>IF(OR(G1128="",F1128=""),"",(F1128*(1-Ayarlar!$B$6)-(F1128*(1-Ayarlar!$B$6)*Ayarlar!$B$7+Ayarlar!$B$8)-(G1128*Ayarlar!$B$3+Ayarlar!$B$4+Ayarlar!$B$5))/(F1128*(1-Ayarlar!$B$6)))</f>
        <v/>
      </c>
      <c r="L1128" s="9">
        <f>IF(G1128="","GRAM EKSİK",IF(F1128&gt;30000,"FİYAT ŞÜPHELİ",IF(K1128&lt;0,"ZARARDA",IF(F1128&lt;I1128,"RİSKLİ","ok"))))</f>
        <v/>
      </c>
      <c r="M1128" s="13" t="inlineStr">
        <is>
          <t>https://www.etsy.com/listing/1756910876</t>
        </is>
      </c>
    </row>
    <row r="1129">
      <c r="A1129" s="3" t="inlineStr">
        <is>
          <t>legacy</t>
        </is>
      </c>
      <c r="B1129" s="3" t="inlineStr">
        <is>
          <t>14K White Gold Franco Box Chain / Solid Gold Necklace</t>
        </is>
      </c>
      <c r="C1129" s="3" t="n">
        <v>1756910876</v>
      </c>
      <c r="D1129" s="3" t="inlineStr">
        <is>
          <t>CSFR4-18</t>
        </is>
      </c>
      <c r="E1129" s="3" t="inlineStr">
        <is>
          <t>description-scaled</t>
        </is>
      </c>
      <c r="F1129" s="14" t="n">
        <v>2949</v>
      </c>
      <c r="G1129" s="17" t="n">
        <v>16.73</v>
      </c>
      <c r="H1129" s="14">
        <f>IF(G1129="","",G1129*Ayarlar!$B$3+Ayarlar!$B$4+Ayarlar!$B$5)</f>
        <v/>
      </c>
      <c r="I1129" s="14">
        <f>IF(G1129="","",ROUNDUP(((G1129*Ayarlar!$B$3+Ayarlar!$B$4+Ayarlar!$B$5)+Ayarlar!$B$8)/((1-Ayarlar!$B$6)*(1-Ayarlar!$B$7)),0))</f>
        <v/>
      </c>
      <c r="J1129" s="14">
        <f>IF(G1129="","",ROUNDUP(((G1129*Ayarlar!$B$3+Ayarlar!$B$4+Ayarlar!$B$5)+Ayarlar!$B$8)/((1-Ayarlar!$B$6)*(1-Ayarlar!$B$7-Ayarlar!$B$9)),0))</f>
        <v/>
      </c>
      <c r="K1129" s="15">
        <f>IF(OR(G1129="",F1129=""),"",(F1129*(1-Ayarlar!$B$6)-(F1129*(1-Ayarlar!$B$6)*Ayarlar!$B$7+Ayarlar!$B$8)-(G1129*Ayarlar!$B$3+Ayarlar!$B$4+Ayarlar!$B$5))/(F1129*(1-Ayarlar!$B$6)))</f>
        <v/>
      </c>
      <c r="L1129" s="3">
        <f>IF(G1129="","GRAM EKSİK",IF(F1129&gt;30000,"FİYAT ŞÜPHELİ",IF(K1129&lt;0,"ZARARDA",IF(F1129&lt;I1129,"RİSKLİ","ok"))))</f>
        <v/>
      </c>
      <c r="M1129" s="16" t="inlineStr">
        <is>
          <t>https://www.etsy.com/listing/1756910876</t>
        </is>
      </c>
    </row>
    <row r="1130">
      <c r="A1130" s="9" t="inlineStr">
        <is>
          <t>legacy</t>
        </is>
      </c>
      <c r="B1130" s="9" t="inlineStr">
        <is>
          <t>14K White Gold Franco Box Chain / Solid Gold Necklace</t>
        </is>
      </c>
      <c r="C1130" s="9" t="n">
        <v>1756910876</v>
      </c>
      <c r="D1130" s="9" t="inlineStr">
        <is>
          <t>CSFR4-20</t>
        </is>
      </c>
      <c r="E1130" s="9" t="inlineStr">
        <is>
          <t>description-scaled</t>
        </is>
      </c>
      <c r="F1130" s="10" t="n">
        <v>3309</v>
      </c>
      <c r="G1130" s="18" t="n">
        <v>18.58</v>
      </c>
      <c r="H1130" s="10">
        <f>IF(G1130="","",G1130*Ayarlar!$B$3+Ayarlar!$B$4+Ayarlar!$B$5)</f>
        <v/>
      </c>
      <c r="I1130" s="10">
        <f>IF(G1130="","",ROUNDUP(((G1130*Ayarlar!$B$3+Ayarlar!$B$4+Ayarlar!$B$5)+Ayarlar!$B$8)/((1-Ayarlar!$B$6)*(1-Ayarlar!$B$7)),0))</f>
        <v/>
      </c>
      <c r="J1130" s="10">
        <f>IF(G1130="","",ROUNDUP(((G1130*Ayarlar!$B$3+Ayarlar!$B$4+Ayarlar!$B$5)+Ayarlar!$B$8)/((1-Ayarlar!$B$6)*(1-Ayarlar!$B$7-Ayarlar!$B$9)),0))</f>
        <v/>
      </c>
      <c r="K1130" s="12">
        <f>IF(OR(G1130="",F1130=""),"",(F1130*(1-Ayarlar!$B$6)-(F1130*(1-Ayarlar!$B$6)*Ayarlar!$B$7+Ayarlar!$B$8)-(G1130*Ayarlar!$B$3+Ayarlar!$B$4+Ayarlar!$B$5))/(F1130*(1-Ayarlar!$B$6)))</f>
        <v/>
      </c>
      <c r="L1130" s="9">
        <f>IF(G1130="","GRAM EKSİK",IF(F1130&gt;30000,"FİYAT ŞÜPHELİ",IF(K1130&lt;0,"ZARARDA",IF(F1130&lt;I1130,"RİSKLİ","ok"))))</f>
        <v/>
      </c>
      <c r="M1130" s="13" t="inlineStr">
        <is>
          <t>https://www.etsy.com/listing/1756910876</t>
        </is>
      </c>
    </row>
    <row r="1131">
      <c r="A1131" s="3" t="inlineStr">
        <is>
          <t>legacy</t>
        </is>
      </c>
      <c r="B1131" s="3" t="inlineStr">
        <is>
          <t>14K White Gold Franco Box Chain / Solid Gold Necklace</t>
        </is>
      </c>
      <c r="C1131" s="3" t="n">
        <v>1756910876</v>
      </c>
      <c r="D1131" s="3" t="inlineStr">
        <is>
          <t>CSFR4-22</t>
        </is>
      </c>
      <c r="E1131" s="3" t="inlineStr">
        <is>
          <t>description-scaled</t>
        </is>
      </c>
      <c r="F1131" s="14" t="n">
        <v>3900</v>
      </c>
      <c r="G1131" s="17" t="n">
        <v>20.44</v>
      </c>
      <c r="H1131" s="14">
        <f>IF(G1131="","",G1131*Ayarlar!$B$3+Ayarlar!$B$4+Ayarlar!$B$5)</f>
        <v/>
      </c>
      <c r="I1131" s="14">
        <f>IF(G1131="","",ROUNDUP(((G1131*Ayarlar!$B$3+Ayarlar!$B$4+Ayarlar!$B$5)+Ayarlar!$B$8)/((1-Ayarlar!$B$6)*(1-Ayarlar!$B$7)),0))</f>
        <v/>
      </c>
      <c r="J1131" s="14">
        <f>IF(G1131="","",ROUNDUP(((G1131*Ayarlar!$B$3+Ayarlar!$B$4+Ayarlar!$B$5)+Ayarlar!$B$8)/((1-Ayarlar!$B$6)*(1-Ayarlar!$B$7-Ayarlar!$B$9)),0))</f>
        <v/>
      </c>
      <c r="K1131" s="15">
        <f>IF(OR(G1131="",F1131=""),"",(F1131*(1-Ayarlar!$B$6)-(F1131*(1-Ayarlar!$B$6)*Ayarlar!$B$7+Ayarlar!$B$8)-(G1131*Ayarlar!$B$3+Ayarlar!$B$4+Ayarlar!$B$5))/(F1131*(1-Ayarlar!$B$6)))</f>
        <v/>
      </c>
      <c r="L1131" s="3">
        <f>IF(G1131="","GRAM EKSİK",IF(F1131&gt;30000,"FİYAT ŞÜPHELİ",IF(K1131&lt;0,"ZARARDA",IF(F1131&lt;I1131,"RİSKLİ","ok"))))</f>
        <v/>
      </c>
      <c r="M1131" s="16" t="inlineStr">
        <is>
          <t>https://www.etsy.com/listing/1756910876</t>
        </is>
      </c>
    </row>
    <row r="1132">
      <c r="A1132" s="9" t="inlineStr">
        <is>
          <t>legacy</t>
        </is>
      </c>
      <c r="B1132" s="9" t="inlineStr">
        <is>
          <t>14K White Gold Franco Box Chain / Solid Gold Necklace</t>
        </is>
      </c>
      <c r="C1132" s="9" t="n">
        <v>1756910876</v>
      </c>
      <c r="D1132" s="9" t="inlineStr">
        <is>
          <t>CSFR4-24</t>
        </is>
      </c>
      <c r="E1132" s="9" t="inlineStr">
        <is>
          <t>description</t>
        </is>
      </c>
      <c r="F1132" s="10" t="n">
        <v>4086</v>
      </c>
      <c r="G1132" s="18" t="n">
        <v>22.3</v>
      </c>
      <c r="H1132" s="10">
        <f>IF(G1132="","",G1132*Ayarlar!$B$3+Ayarlar!$B$4+Ayarlar!$B$5)</f>
        <v/>
      </c>
      <c r="I1132" s="10">
        <f>IF(G1132="","",ROUNDUP(((G1132*Ayarlar!$B$3+Ayarlar!$B$4+Ayarlar!$B$5)+Ayarlar!$B$8)/((1-Ayarlar!$B$6)*(1-Ayarlar!$B$7)),0))</f>
        <v/>
      </c>
      <c r="J1132" s="10">
        <f>IF(G1132="","",ROUNDUP(((G1132*Ayarlar!$B$3+Ayarlar!$B$4+Ayarlar!$B$5)+Ayarlar!$B$8)/((1-Ayarlar!$B$6)*(1-Ayarlar!$B$7-Ayarlar!$B$9)),0))</f>
        <v/>
      </c>
      <c r="K1132" s="12">
        <f>IF(OR(G1132="",F1132=""),"",(F1132*(1-Ayarlar!$B$6)-(F1132*(1-Ayarlar!$B$6)*Ayarlar!$B$7+Ayarlar!$B$8)-(G1132*Ayarlar!$B$3+Ayarlar!$B$4+Ayarlar!$B$5))/(F1132*(1-Ayarlar!$B$6)))</f>
        <v/>
      </c>
      <c r="L1132" s="9">
        <f>IF(G1132="","GRAM EKSİK",IF(F1132&gt;30000,"FİYAT ŞÜPHELİ",IF(K1132&lt;0,"ZARARDA",IF(F1132&lt;I1132,"RİSKLİ","ok"))))</f>
        <v/>
      </c>
      <c r="M1132" s="13" t="inlineStr">
        <is>
          <t>https://www.etsy.com/listing/1756910876</t>
        </is>
      </c>
    </row>
    <row r="1133">
      <c r="A1133" s="3" t="inlineStr">
        <is>
          <t>legacy</t>
        </is>
      </c>
      <c r="B1133" s="3" t="inlineStr">
        <is>
          <t>14K White Gold Franco Box Chain / Solid Gold Necklace</t>
        </is>
      </c>
      <c r="C1133" s="3" t="n">
        <v>1756910876</v>
      </c>
      <c r="D1133" s="3" t="inlineStr">
        <is>
          <t>CSFR5-16</t>
        </is>
      </c>
      <c r="E1133" s="3" t="inlineStr">
        <is>
          <t>description-scaled</t>
        </is>
      </c>
      <c r="F1133" s="14" t="n">
        <v>3610</v>
      </c>
      <c r="G1133" s="17" t="n">
        <v>20.4</v>
      </c>
      <c r="H1133" s="14">
        <f>IF(G1133="","",G1133*Ayarlar!$B$3+Ayarlar!$B$4+Ayarlar!$B$5)</f>
        <v/>
      </c>
      <c r="I1133" s="14">
        <f>IF(G1133="","",ROUNDUP(((G1133*Ayarlar!$B$3+Ayarlar!$B$4+Ayarlar!$B$5)+Ayarlar!$B$8)/((1-Ayarlar!$B$6)*(1-Ayarlar!$B$7)),0))</f>
        <v/>
      </c>
      <c r="J1133" s="14">
        <f>IF(G1133="","",ROUNDUP(((G1133*Ayarlar!$B$3+Ayarlar!$B$4+Ayarlar!$B$5)+Ayarlar!$B$8)/((1-Ayarlar!$B$6)*(1-Ayarlar!$B$7-Ayarlar!$B$9)),0))</f>
        <v/>
      </c>
      <c r="K1133" s="15">
        <f>IF(OR(G1133="",F1133=""),"",(F1133*(1-Ayarlar!$B$6)-(F1133*(1-Ayarlar!$B$6)*Ayarlar!$B$7+Ayarlar!$B$8)-(G1133*Ayarlar!$B$3+Ayarlar!$B$4+Ayarlar!$B$5))/(F1133*(1-Ayarlar!$B$6)))</f>
        <v/>
      </c>
      <c r="L1133" s="3">
        <f>IF(G1133="","GRAM EKSİK",IF(F1133&gt;30000,"FİYAT ŞÜPHELİ",IF(K1133&lt;0,"ZARARDA",IF(F1133&lt;I1133,"RİSKLİ","ok"))))</f>
        <v/>
      </c>
      <c r="M1133" s="16" t="inlineStr">
        <is>
          <t>https://www.etsy.com/listing/1756910876</t>
        </is>
      </c>
    </row>
    <row r="1134">
      <c r="A1134" s="9" t="inlineStr">
        <is>
          <t>legacy</t>
        </is>
      </c>
      <c r="B1134" s="9" t="inlineStr">
        <is>
          <t>14K White Gold Franco Box Chain / Solid Gold Necklace</t>
        </is>
      </c>
      <c r="C1134" s="9" t="n">
        <v>1756910876</v>
      </c>
      <c r="D1134" s="9" t="inlineStr">
        <is>
          <t>CSFR5-18</t>
        </is>
      </c>
      <c r="E1134" s="9" t="inlineStr">
        <is>
          <t>description-scaled</t>
        </is>
      </c>
      <c r="F1134" s="10" t="n">
        <v>4032</v>
      </c>
      <c r="G1134" s="18" t="n">
        <v>22.95</v>
      </c>
      <c r="H1134" s="10">
        <f>IF(G1134="","",G1134*Ayarlar!$B$3+Ayarlar!$B$4+Ayarlar!$B$5)</f>
        <v/>
      </c>
      <c r="I1134" s="10">
        <f>IF(G1134="","",ROUNDUP(((G1134*Ayarlar!$B$3+Ayarlar!$B$4+Ayarlar!$B$5)+Ayarlar!$B$8)/((1-Ayarlar!$B$6)*(1-Ayarlar!$B$7)),0))</f>
        <v/>
      </c>
      <c r="J1134" s="10">
        <f>IF(G1134="","",ROUNDUP(((G1134*Ayarlar!$B$3+Ayarlar!$B$4+Ayarlar!$B$5)+Ayarlar!$B$8)/((1-Ayarlar!$B$6)*(1-Ayarlar!$B$7-Ayarlar!$B$9)),0))</f>
        <v/>
      </c>
      <c r="K1134" s="12">
        <f>IF(OR(G1134="",F1134=""),"",(F1134*(1-Ayarlar!$B$6)-(F1134*(1-Ayarlar!$B$6)*Ayarlar!$B$7+Ayarlar!$B$8)-(G1134*Ayarlar!$B$3+Ayarlar!$B$4+Ayarlar!$B$5))/(F1134*(1-Ayarlar!$B$6)))</f>
        <v/>
      </c>
      <c r="L1134" s="9">
        <f>IF(G1134="","GRAM EKSİK",IF(F1134&gt;30000,"FİYAT ŞÜPHELİ",IF(K1134&lt;0,"ZARARDA",IF(F1134&lt;I1134,"RİSKLİ","ok"))))</f>
        <v/>
      </c>
      <c r="M1134" s="13" t="inlineStr">
        <is>
          <t>https://www.etsy.com/listing/1756910876</t>
        </is>
      </c>
    </row>
    <row r="1135">
      <c r="A1135" s="3" t="inlineStr">
        <is>
          <t>legacy</t>
        </is>
      </c>
      <c r="B1135" s="3" t="inlineStr">
        <is>
          <t>14K White Gold Franco Box Chain / Solid Gold Necklace</t>
        </is>
      </c>
      <c r="C1135" s="3" t="n">
        <v>1756910876</v>
      </c>
      <c r="D1135" s="3" t="inlineStr">
        <is>
          <t>CSFR5-20</t>
        </is>
      </c>
      <c r="E1135" s="3" t="inlineStr">
        <is>
          <t>description-scaled</t>
        </is>
      </c>
      <c r="F1135" s="14" t="n">
        <v>4512</v>
      </c>
      <c r="G1135" s="17" t="n">
        <v>25.5</v>
      </c>
      <c r="H1135" s="14">
        <f>IF(G1135="","",G1135*Ayarlar!$B$3+Ayarlar!$B$4+Ayarlar!$B$5)</f>
        <v/>
      </c>
      <c r="I1135" s="14">
        <f>IF(G1135="","",ROUNDUP(((G1135*Ayarlar!$B$3+Ayarlar!$B$4+Ayarlar!$B$5)+Ayarlar!$B$8)/((1-Ayarlar!$B$6)*(1-Ayarlar!$B$7)),0))</f>
        <v/>
      </c>
      <c r="J1135" s="14">
        <f>IF(G1135="","",ROUNDUP(((G1135*Ayarlar!$B$3+Ayarlar!$B$4+Ayarlar!$B$5)+Ayarlar!$B$8)/((1-Ayarlar!$B$6)*(1-Ayarlar!$B$7-Ayarlar!$B$9)),0))</f>
        <v/>
      </c>
      <c r="K1135" s="15">
        <f>IF(OR(G1135="",F1135=""),"",(F1135*(1-Ayarlar!$B$6)-(F1135*(1-Ayarlar!$B$6)*Ayarlar!$B$7+Ayarlar!$B$8)-(G1135*Ayarlar!$B$3+Ayarlar!$B$4+Ayarlar!$B$5))/(F1135*(1-Ayarlar!$B$6)))</f>
        <v/>
      </c>
      <c r="L1135" s="3">
        <f>IF(G1135="","GRAM EKSİK",IF(F1135&gt;30000,"FİYAT ŞÜPHELİ",IF(K1135&lt;0,"ZARARDA",IF(F1135&lt;I1135,"RİSKLİ","ok"))))</f>
        <v/>
      </c>
      <c r="M1135" s="16" t="inlineStr">
        <is>
          <t>https://www.etsy.com/listing/1756910876</t>
        </is>
      </c>
    </row>
    <row r="1136">
      <c r="A1136" s="9" t="inlineStr">
        <is>
          <t>legacy</t>
        </is>
      </c>
      <c r="B1136" s="9" t="inlineStr">
        <is>
          <t>14K White Gold Franco Box Chain / Solid Gold Necklace</t>
        </is>
      </c>
      <c r="C1136" s="9" t="n">
        <v>1756910876</v>
      </c>
      <c r="D1136" s="9" t="inlineStr">
        <is>
          <t>CSFR5-22</t>
        </is>
      </c>
      <c r="E1136" s="9" t="inlineStr">
        <is>
          <t>description-scaled</t>
        </is>
      </c>
      <c r="F1136" s="10" t="n">
        <v>4963</v>
      </c>
      <c r="G1136" s="18" t="n">
        <v>28.05</v>
      </c>
      <c r="H1136" s="10">
        <f>IF(G1136="","",G1136*Ayarlar!$B$3+Ayarlar!$B$4+Ayarlar!$B$5)</f>
        <v/>
      </c>
      <c r="I1136" s="10">
        <f>IF(G1136="","",ROUNDUP(((G1136*Ayarlar!$B$3+Ayarlar!$B$4+Ayarlar!$B$5)+Ayarlar!$B$8)/((1-Ayarlar!$B$6)*(1-Ayarlar!$B$7)),0))</f>
        <v/>
      </c>
      <c r="J1136" s="10">
        <f>IF(G1136="","",ROUNDUP(((G1136*Ayarlar!$B$3+Ayarlar!$B$4+Ayarlar!$B$5)+Ayarlar!$B$8)/((1-Ayarlar!$B$6)*(1-Ayarlar!$B$7-Ayarlar!$B$9)),0))</f>
        <v/>
      </c>
      <c r="K1136" s="12">
        <f>IF(OR(G1136="",F1136=""),"",(F1136*(1-Ayarlar!$B$6)-(F1136*(1-Ayarlar!$B$6)*Ayarlar!$B$7+Ayarlar!$B$8)-(G1136*Ayarlar!$B$3+Ayarlar!$B$4+Ayarlar!$B$5))/(F1136*(1-Ayarlar!$B$6)))</f>
        <v/>
      </c>
      <c r="L1136" s="9">
        <f>IF(G1136="","GRAM EKSİK",IF(F1136&gt;30000,"FİYAT ŞÜPHELİ",IF(K1136&lt;0,"ZARARDA",IF(F1136&lt;I1136,"RİSKLİ","ok"))))</f>
        <v/>
      </c>
      <c r="M1136" s="13" t="inlineStr">
        <is>
          <t>https://www.etsy.com/listing/1756910876</t>
        </is>
      </c>
    </row>
    <row r="1137">
      <c r="A1137" s="3" t="inlineStr">
        <is>
          <t>legacy</t>
        </is>
      </c>
      <c r="B1137" s="3" t="inlineStr">
        <is>
          <t>14K White Gold Franco Box Chain / Solid Gold Necklace</t>
        </is>
      </c>
      <c r="C1137" s="3" t="n">
        <v>1756910876</v>
      </c>
      <c r="D1137" s="3" t="inlineStr">
        <is>
          <t>CSFR5-24</t>
        </is>
      </c>
      <c r="E1137" s="3" t="inlineStr">
        <is>
          <t>description</t>
        </is>
      </c>
      <c r="F1137" s="14" t="n">
        <v>5415</v>
      </c>
      <c r="G1137" s="17" t="n">
        <v>30.6</v>
      </c>
      <c r="H1137" s="14">
        <f>IF(G1137="","",G1137*Ayarlar!$B$3+Ayarlar!$B$4+Ayarlar!$B$5)</f>
        <v/>
      </c>
      <c r="I1137" s="14">
        <f>IF(G1137="","",ROUNDUP(((G1137*Ayarlar!$B$3+Ayarlar!$B$4+Ayarlar!$B$5)+Ayarlar!$B$8)/((1-Ayarlar!$B$6)*(1-Ayarlar!$B$7)),0))</f>
        <v/>
      </c>
      <c r="J1137" s="14">
        <f>IF(G1137="","",ROUNDUP(((G1137*Ayarlar!$B$3+Ayarlar!$B$4+Ayarlar!$B$5)+Ayarlar!$B$8)/((1-Ayarlar!$B$6)*(1-Ayarlar!$B$7-Ayarlar!$B$9)),0))</f>
        <v/>
      </c>
      <c r="K1137" s="15">
        <f>IF(OR(G1137="",F1137=""),"",(F1137*(1-Ayarlar!$B$6)-(F1137*(1-Ayarlar!$B$6)*Ayarlar!$B$7+Ayarlar!$B$8)-(G1137*Ayarlar!$B$3+Ayarlar!$B$4+Ayarlar!$B$5))/(F1137*(1-Ayarlar!$B$6)))</f>
        <v/>
      </c>
      <c r="L1137" s="3">
        <f>IF(G1137="","GRAM EKSİK",IF(F1137&gt;30000,"FİYAT ŞÜPHELİ",IF(K1137&lt;0,"ZARARDA",IF(F1137&lt;I1137,"RİSKLİ","ok"))))</f>
        <v/>
      </c>
      <c r="M1137" s="16" t="inlineStr">
        <is>
          <t>https://www.etsy.com/listing/1756910876</t>
        </is>
      </c>
    </row>
    <row r="1138">
      <c r="A1138" s="9" t="inlineStr">
        <is>
          <t>legacy</t>
        </is>
      </c>
      <c r="B1138" s="9" t="inlineStr">
        <is>
          <t>14K White Gold Franco Box Chain / Solid Gold Necklace</t>
        </is>
      </c>
      <c r="C1138" s="9" t="n">
        <v>1756910876</v>
      </c>
      <c r="D1138" s="9" t="inlineStr">
        <is>
          <t>CSFR6-16</t>
        </is>
      </c>
      <c r="E1138" s="9" t="inlineStr">
        <is>
          <t>description-scaled</t>
        </is>
      </c>
      <c r="F1138" s="10" t="n">
        <v>6018</v>
      </c>
      <c r="G1138" s="18" t="n">
        <v>34.27</v>
      </c>
      <c r="H1138" s="10">
        <f>IF(G1138="","",G1138*Ayarlar!$B$3+Ayarlar!$B$4+Ayarlar!$B$5)</f>
        <v/>
      </c>
      <c r="I1138" s="10">
        <f>IF(G1138="","",ROUNDUP(((G1138*Ayarlar!$B$3+Ayarlar!$B$4+Ayarlar!$B$5)+Ayarlar!$B$8)/((1-Ayarlar!$B$6)*(1-Ayarlar!$B$7)),0))</f>
        <v/>
      </c>
      <c r="J1138" s="10">
        <f>IF(G1138="","",ROUNDUP(((G1138*Ayarlar!$B$3+Ayarlar!$B$4+Ayarlar!$B$5)+Ayarlar!$B$8)/((1-Ayarlar!$B$6)*(1-Ayarlar!$B$7-Ayarlar!$B$9)),0))</f>
        <v/>
      </c>
      <c r="K1138" s="12">
        <f>IF(OR(G1138="",F1138=""),"",(F1138*(1-Ayarlar!$B$6)-(F1138*(1-Ayarlar!$B$6)*Ayarlar!$B$7+Ayarlar!$B$8)-(G1138*Ayarlar!$B$3+Ayarlar!$B$4+Ayarlar!$B$5))/(F1138*(1-Ayarlar!$B$6)))</f>
        <v/>
      </c>
      <c r="L1138" s="9">
        <f>IF(G1138="","GRAM EKSİK",IF(F1138&gt;30000,"FİYAT ŞÜPHELİ",IF(K1138&lt;0,"ZARARDA",IF(F1138&lt;I1138,"RİSKLİ","ok"))))</f>
        <v/>
      </c>
      <c r="M1138" s="13" t="inlineStr">
        <is>
          <t>https://www.etsy.com/listing/1756910876</t>
        </is>
      </c>
    </row>
    <row r="1139">
      <c r="A1139" s="3" t="inlineStr">
        <is>
          <t>legacy</t>
        </is>
      </c>
      <c r="B1139" s="3" t="inlineStr">
        <is>
          <t>14K White Gold Franco Box Chain / Solid Gold Necklace</t>
        </is>
      </c>
      <c r="C1139" s="3" t="n">
        <v>1756910876</v>
      </c>
      <c r="D1139" s="3" t="inlineStr">
        <is>
          <t>CSFR6-18</t>
        </is>
      </c>
      <c r="E1139" s="3" t="inlineStr">
        <is>
          <t>description-scaled</t>
        </is>
      </c>
      <c r="F1139" s="14" t="n">
        <v>6770</v>
      </c>
      <c r="G1139" s="17" t="n">
        <v>38.55</v>
      </c>
      <c r="H1139" s="14">
        <f>IF(G1139="","",G1139*Ayarlar!$B$3+Ayarlar!$B$4+Ayarlar!$B$5)</f>
        <v/>
      </c>
      <c r="I1139" s="14">
        <f>IF(G1139="","",ROUNDUP(((G1139*Ayarlar!$B$3+Ayarlar!$B$4+Ayarlar!$B$5)+Ayarlar!$B$8)/((1-Ayarlar!$B$6)*(1-Ayarlar!$B$7)),0))</f>
        <v/>
      </c>
      <c r="J1139" s="14">
        <f>IF(G1139="","",ROUNDUP(((G1139*Ayarlar!$B$3+Ayarlar!$B$4+Ayarlar!$B$5)+Ayarlar!$B$8)/((1-Ayarlar!$B$6)*(1-Ayarlar!$B$7-Ayarlar!$B$9)),0))</f>
        <v/>
      </c>
      <c r="K1139" s="15">
        <f>IF(OR(G1139="",F1139=""),"",(F1139*(1-Ayarlar!$B$6)-(F1139*(1-Ayarlar!$B$6)*Ayarlar!$B$7+Ayarlar!$B$8)-(G1139*Ayarlar!$B$3+Ayarlar!$B$4+Ayarlar!$B$5))/(F1139*(1-Ayarlar!$B$6)))</f>
        <v/>
      </c>
      <c r="L1139" s="3">
        <f>IF(G1139="","GRAM EKSİK",IF(F1139&gt;30000,"FİYAT ŞÜPHELİ",IF(K1139&lt;0,"ZARARDA",IF(F1139&lt;I1139,"RİSKLİ","ok"))))</f>
        <v/>
      </c>
      <c r="M1139" s="16" t="inlineStr">
        <is>
          <t>https://www.etsy.com/listing/1756910876</t>
        </is>
      </c>
    </row>
    <row r="1140">
      <c r="A1140" s="9" t="inlineStr">
        <is>
          <t>legacy</t>
        </is>
      </c>
      <c r="B1140" s="9" t="inlineStr">
        <is>
          <t>14K White Gold Franco Box Chain / Solid Gold Necklace</t>
        </is>
      </c>
      <c r="C1140" s="9" t="n">
        <v>1756910876</v>
      </c>
      <c r="D1140" s="9" t="inlineStr">
        <is>
          <t>CSFR6-20</t>
        </is>
      </c>
      <c r="E1140" s="9" t="inlineStr">
        <is>
          <t>description-scaled</t>
        </is>
      </c>
      <c r="F1140" s="10" t="n">
        <v>7523</v>
      </c>
      <c r="G1140" s="18" t="n">
        <v>42.83</v>
      </c>
      <c r="H1140" s="10">
        <f>IF(G1140="","",G1140*Ayarlar!$B$3+Ayarlar!$B$4+Ayarlar!$B$5)</f>
        <v/>
      </c>
      <c r="I1140" s="10">
        <f>IF(G1140="","",ROUNDUP(((G1140*Ayarlar!$B$3+Ayarlar!$B$4+Ayarlar!$B$5)+Ayarlar!$B$8)/((1-Ayarlar!$B$6)*(1-Ayarlar!$B$7)),0))</f>
        <v/>
      </c>
      <c r="J1140" s="10">
        <f>IF(G1140="","",ROUNDUP(((G1140*Ayarlar!$B$3+Ayarlar!$B$4+Ayarlar!$B$5)+Ayarlar!$B$8)/((1-Ayarlar!$B$6)*(1-Ayarlar!$B$7-Ayarlar!$B$9)),0))</f>
        <v/>
      </c>
      <c r="K1140" s="12">
        <f>IF(OR(G1140="",F1140=""),"",(F1140*(1-Ayarlar!$B$6)-(F1140*(1-Ayarlar!$B$6)*Ayarlar!$B$7+Ayarlar!$B$8)-(G1140*Ayarlar!$B$3+Ayarlar!$B$4+Ayarlar!$B$5))/(F1140*(1-Ayarlar!$B$6)))</f>
        <v/>
      </c>
      <c r="L1140" s="9">
        <f>IF(G1140="","GRAM EKSİK",IF(F1140&gt;30000,"FİYAT ŞÜPHELİ",IF(K1140&lt;0,"ZARARDA",IF(F1140&lt;I1140,"RİSKLİ","ok"))))</f>
        <v/>
      </c>
      <c r="M1140" s="13" t="inlineStr">
        <is>
          <t>https://www.etsy.com/listing/1756910876</t>
        </is>
      </c>
    </row>
    <row r="1141">
      <c r="A1141" s="3" t="inlineStr">
        <is>
          <t>legacy</t>
        </is>
      </c>
      <c r="B1141" s="3" t="inlineStr">
        <is>
          <t>14K White Gold Franco Box Chain / Solid Gold Necklace</t>
        </is>
      </c>
      <c r="C1141" s="3" t="n">
        <v>1756910876</v>
      </c>
      <c r="D1141" s="3" t="inlineStr">
        <is>
          <t>CSFR6-22</t>
        </is>
      </c>
      <c r="E1141" s="3" t="inlineStr">
        <is>
          <t>description-scaled</t>
        </is>
      </c>
      <c r="F1141" s="14" t="n">
        <v>8246</v>
      </c>
      <c r="G1141" s="17" t="n">
        <v>47.12</v>
      </c>
      <c r="H1141" s="14">
        <f>IF(G1141="","",G1141*Ayarlar!$B$3+Ayarlar!$B$4+Ayarlar!$B$5)</f>
        <v/>
      </c>
      <c r="I1141" s="14">
        <f>IF(G1141="","",ROUNDUP(((G1141*Ayarlar!$B$3+Ayarlar!$B$4+Ayarlar!$B$5)+Ayarlar!$B$8)/((1-Ayarlar!$B$6)*(1-Ayarlar!$B$7)),0))</f>
        <v/>
      </c>
      <c r="J1141" s="14">
        <f>IF(G1141="","",ROUNDUP(((G1141*Ayarlar!$B$3+Ayarlar!$B$4+Ayarlar!$B$5)+Ayarlar!$B$8)/((1-Ayarlar!$B$6)*(1-Ayarlar!$B$7-Ayarlar!$B$9)),0))</f>
        <v/>
      </c>
      <c r="K1141" s="15">
        <f>IF(OR(G1141="",F1141=""),"",(F1141*(1-Ayarlar!$B$6)-(F1141*(1-Ayarlar!$B$6)*Ayarlar!$B$7+Ayarlar!$B$8)-(G1141*Ayarlar!$B$3+Ayarlar!$B$4+Ayarlar!$B$5))/(F1141*(1-Ayarlar!$B$6)))</f>
        <v/>
      </c>
      <c r="L1141" s="3">
        <f>IF(G1141="","GRAM EKSİK",IF(F1141&gt;30000,"FİYAT ŞÜPHELİ",IF(K1141&lt;0,"ZARARDA",IF(F1141&lt;I1141,"RİSKLİ","ok"))))</f>
        <v/>
      </c>
      <c r="M1141" s="16" t="inlineStr">
        <is>
          <t>https://www.etsy.com/listing/1756910876</t>
        </is>
      </c>
    </row>
    <row r="1142">
      <c r="A1142" s="9" t="inlineStr">
        <is>
          <t>legacy</t>
        </is>
      </c>
      <c r="B1142" s="9" t="inlineStr">
        <is>
          <t>14K White Gold Franco Box Chain / Solid Gold Necklace</t>
        </is>
      </c>
      <c r="C1142" s="9" t="n">
        <v>1756910876</v>
      </c>
      <c r="D1142" s="9" t="inlineStr">
        <is>
          <t>CSFR6-24</t>
        </is>
      </c>
      <c r="E1142" s="9" t="inlineStr">
        <is>
          <t>description</t>
        </is>
      </c>
      <c r="F1142" s="10" t="n">
        <v>8911</v>
      </c>
      <c r="G1142" s="18" t="n">
        <v>51.4</v>
      </c>
      <c r="H1142" s="10">
        <f>IF(G1142="","",G1142*Ayarlar!$B$3+Ayarlar!$B$4+Ayarlar!$B$5)</f>
        <v/>
      </c>
      <c r="I1142" s="10">
        <f>IF(G1142="","",ROUNDUP(((G1142*Ayarlar!$B$3+Ayarlar!$B$4+Ayarlar!$B$5)+Ayarlar!$B$8)/((1-Ayarlar!$B$6)*(1-Ayarlar!$B$7)),0))</f>
        <v/>
      </c>
      <c r="J1142" s="10">
        <f>IF(G1142="","",ROUNDUP(((G1142*Ayarlar!$B$3+Ayarlar!$B$4+Ayarlar!$B$5)+Ayarlar!$B$8)/((1-Ayarlar!$B$6)*(1-Ayarlar!$B$7-Ayarlar!$B$9)),0))</f>
        <v/>
      </c>
      <c r="K1142" s="12">
        <f>IF(OR(G1142="",F1142=""),"",(F1142*(1-Ayarlar!$B$6)-(F1142*(1-Ayarlar!$B$6)*Ayarlar!$B$7+Ayarlar!$B$8)-(G1142*Ayarlar!$B$3+Ayarlar!$B$4+Ayarlar!$B$5))/(F1142*(1-Ayarlar!$B$6)))</f>
        <v/>
      </c>
      <c r="L1142" s="9">
        <f>IF(G1142="","GRAM EKSİK",IF(F1142&gt;30000,"FİYAT ŞÜPHELİ",IF(K1142&lt;0,"ZARARDA",IF(F1142&lt;I1142,"RİSKLİ","ok"))))</f>
        <v/>
      </c>
      <c r="M1142" s="13" t="inlineStr">
        <is>
          <t>https://www.etsy.com/listing/1756910876</t>
        </is>
      </c>
    </row>
    <row r="1143">
      <c r="A1143" s="3" t="inlineStr">
        <is>
          <t>legacy</t>
        </is>
      </c>
      <c r="B1143" s="3" t="inlineStr">
        <is>
          <t>14K White Gold Franco Box Chain / Solid Gold Necklace</t>
        </is>
      </c>
      <c r="C1143" s="3" t="n">
        <v>1756910876</v>
      </c>
      <c r="D1143" s="3" t="inlineStr">
        <is>
          <t>CSFR7-16</t>
        </is>
      </c>
      <c r="E1143" s="3" t="inlineStr">
        <is>
          <t>description-scaled</t>
        </is>
      </c>
      <c r="F1143" s="14" t="n">
        <v>17186</v>
      </c>
      <c r="G1143" s="17" t="n">
        <v>50.03</v>
      </c>
      <c r="H1143" s="14">
        <f>IF(G1143="","",G1143*Ayarlar!$B$3+Ayarlar!$B$4+Ayarlar!$B$5)</f>
        <v/>
      </c>
      <c r="I1143" s="14">
        <f>IF(G1143="","",ROUNDUP(((G1143*Ayarlar!$B$3+Ayarlar!$B$4+Ayarlar!$B$5)+Ayarlar!$B$8)/((1-Ayarlar!$B$6)*(1-Ayarlar!$B$7)),0))</f>
        <v/>
      </c>
      <c r="J1143" s="14">
        <f>IF(G1143="","",ROUNDUP(((G1143*Ayarlar!$B$3+Ayarlar!$B$4+Ayarlar!$B$5)+Ayarlar!$B$8)/((1-Ayarlar!$B$6)*(1-Ayarlar!$B$7-Ayarlar!$B$9)),0))</f>
        <v/>
      </c>
      <c r="K1143" s="15">
        <f>IF(OR(G1143="",F1143=""),"",(F1143*(1-Ayarlar!$B$6)-(F1143*(1-Ayarlar!$B$6)*Ayarlar!$B$7+Ayarlar!$B$8)-(G1143*Ayarlar!$B$3+Ayarlar!$B$4+Ayarlar!$B$5))/(F1143*(1-Ayarlar!$B$6)))</f>
        <v/>
      </c>
      <c r="L1143" s="3">
        <f>IF(G1143="","GRAM EKSİK",IF(F1143&gt;30000,"FİYAT ŞÜPHELİ",IF(K1143&lt;0,"ZARARDA",IF(F1143&lt;I1143,"RİSKLİ","ok"))))</f>
        <v/>
      </c>
      <c r="M1143" s="16" t="inlineStr">
        <is>
          <t>https://www.etsy.com/listing/1756910876</t>
        </is>
      </c>
    </row>
    <row r="1144">
      <c r="A1144" s="9" t="inlineStr">
        <is>
          <t>legacy</t>
        </is>
      </c>
      <c r="B1144" s="9" t="inlineStr">
        <is>
          <t>14K White Gold Franco Box Chain / Solid Gold Necklace</t>
        </is>
      </c>
      <c r="C1144" s="9" t="n">
        <v>1756910876</v>
      </c>
      <c r="D1144" s="9" t="inlineStr">
        <is>
          <t>CSFR7-18</t>
        </is>
      </c>
      <c r="E1144" s="9" t="inlineStr">
        <is>
          <t>description-scaled</t>
        </is>
      </c>
      <c r="F1144" s="10" t="n">
        <v>9696</v>
      </c>
      <c r="G1144" s="18" t="n">
        <v>56.29</v>
      </c>
      <c r="H1144" s="10">
        <f>IF(G1144="","",G1144*Ayarlar!$B$3+Ayarlar!$B$4+Ayarlar!$B$5)</f>
        <v/>
      </c>
      <c r="I1144" s="10">
        <f>IF(G1144="","",ROUNDUP(((G1144*Ayarlar!$B$3+Ayarlar!$B$4+Ayarlar!$B$5)+Ayarlar!$B$8)/((1-Ayarlar!$B$6)*(1-Ayarlar!$B$7)),0))</f>
        <v/>
      </c>
      <c r="J1144" s="10">
        <f>IF(G1144="","",ROUNDUP(((G1144*Ayarlar!$B$3+Ayarlar!$B$4+Ayarlar!$B$5)+Ayarlar!$B$8)/((1-Ayarlar!$B$6)*(1-Ayarlar!$B$7-Ayarlar!$B$9)),0))</f>
        <v/>
      </c>
      <c r="K1144" s="12">
        <f>IF(OR(G1144="",F1144=""),"",(F1144*(1-Ayarlar!$B$6)-(F1144*(1-Ayarlar!$B$6)*Ayarlar!$B$7+Ayarlar!$B$8)-(G1144*Ayarlar!$B$3+Ayarlar!$B$4+Ayarlar!$B$5))/(F1144*(1-Ayarlar!$B$6)))</f>
        <v/>
      </c>
      <c r="L1144" s="9">
        <f>IF(G1144="","GRAM EKSİK",IF(F1144&gt;30000,"FİYAT ŞÜPHELİ",IF(K1144&lt;0,"ZARARDA",IF(F1144&lt;I1144,"RİSKLİ","ok"))))</f>
        <v/>
      </c>
      <c r="M1144" s="13" t="inlineStr">
        <is>
          <t>https://www.etsy.com/listing/1756910876</t>
        </is>
      </c>
    </row>
    <row r="1145">
      <c r="A1145" s="3" t="inlineStr">
        <is>
          <t>legacy</t>
        </is>
      </c>
      <c r="B1145" s="3" t="inlineStr">
        <is>
          <t>14K White Gold Franco Box Chain / Solid Gold Necklace</t>
        </is>
      </c>
      <c r="C1145" s="3" t="n">
        <v>1756910876</v>
      </c>
      <c r="D1145" s="3" t="inlineStr">
        <is>
          <t>CSFR7-20</t>
        </is>
      </c>
      <c r="E1145" s="3" t="inlineStr">
        <is>
          <t>description-scaled</t>
        </is>
      </c>
      <c r="F1145" s="14" t="n">
        <v>10315</v>
      </c>
      <c r="G1145" s="17" t="n">
        <v>62.54</v>
      </c>
      <c r="H1145" s="14">
        <f>IF(G1145="","",G1145*Ayarlar!$B$3+Ayarlar!$B$4+Ayarlar!$B$5)</f>
        <v/>
      </c>
      <c r="I1145" s="14">
        <f>IF(G1145="","",ROUNDUP(((G1145*Ayarlar!$B$3+Ayarlar!$B$4+Ayarlar!$B$5)+Ayarlar!$B$8)/((1-Ayarlar!$B$6)*(1-Ayarlar!$B$7)),0))</f>
        <v/>
      </c>
      <c r="J1145" s="14">
        <f>IF(G1145="","",ROUNDUP(((G1145*Ayarlar!$B$3+Ayarlar!$B$4+Ayarlar!$B$5)+Ayarlar!$B$8)/((1-Ayarlar!$B$6)*(1-Ayarlar!$B$7-Ayarlar!$B$9)),0))</f>
        <v/>
      </c>
      <c r="K1145" s="15">
        <f>IF(OR(G1145="",F1145=""),"",(F1145*(1-Ayarlar!$B$6)-(F1145*(1-Ayarlar!$B$6)*Ayarlar!$B$7+Ayarlar!$B$8)-(G1145*Ayarlar!$B$3+Ayarlar!$B$4+Ayarlar!$B$5))/(F1145*(1-Ayarlar!$B$6)))</f>
        <v/>
      </c>
      <c r="L1145" s="3">
        <f>IF(G1145="","GRAM EKSİK",IF(F1145&gt;30000,"FİYAT ŞÜPHELİ",IF(K1145&lt;0,"ZARARDA",IF(F1145&lt;I1145,"RİSKLİ","ok"))))</f>
        <v/>
      </c>
      <c r="M1145" s="16" t="inlineStr">
        <is>
          <t>https://www.etsy.com/listing/1756910876</t>
        </is>
      </c>
    </row>
    <row r="1146">
      <c r="A1146" s="9" t="inlineStr">
        <is>
          <t>legacy</t>
        </is>
      </c>
      <c r="B1146" s="9" t="inlineStr">
        <is>
          <t>14K White Gold Franco Box Chain / Solid Gold Necklace</t>
        </is>
      </c>
      <c r="C1146" s="9" t="n">
        <v>1756910876</v>
      </c>
      <c r="D1146" s="9" t="inlineStr">
        <is>
          <t>CSFR7-22</t>
        </is>
      </c>
      <c r="E1146" s="9" t="inlineStr">
        <is>
          <t>description-scaled</t>
        </is>
      </c>
      <c r="F1146" s="10" t="n">
        <v>10934</v>
      </c>
      <c r="G1146" s="18" t="n">
        <v>68.8</v>
      </c>
      <c r="H1146" s="10">
        <f>IF(G1146="","",G1146*Ayarlar!$B$3+Ayarlar!$B$4+Ayarlar!$B$5)</f>
        <v/>
      </c>
      <c r="I1146" s="10">
        <f>IF(G1146="","",ROUNDUP(((G1146*Ayarlar!$B$3+Ayarlar!$B$4+Ayarlar!$B$5)+Ayarlar!$B$8)/((1-Ayarlar!$B$6)*(1-Ayarlar!$B$7)),0))</f>
        <v/>
      </c>
      <c r="J1146" s="10">
        <f>IF(G1146="","",ROUNDUP(((G1146*Ayarlar!$B$3+Ayarlar!$B$4+Ayarlar!$B$5)+Ayarlar!$B$8)/((1-Ayarlar!$B$6)*(1-Ayarlar!$B$7-Ayarlar!$B$9)),0))</f>
        <v/>
      </c>
      <c r="K1146" s="12">
        <f>IF(OR(G1146="",F1146=""),"",(F1146*(1-Ayarlar!$B$6)-(F1146*(1-Ayarlar!$B$6)*Ayarlar!$B$7+Ayarlar!$B$8)-(G1146*Ayarlar!$B$3+Ayarlar!$B$4+Ayarlar!$B$5))/(F1146*(1-Ayarlar!$B$6)))</f>
        <v/>
      </c>
      <c r="L1146" s="9">
        <f>IF(G1146="","GRAM EKSİK",IF(F1146&gt;30000,"FİYAT ŞÜPHELİ",IF(K1146&lt;0,"ZARARDA",IF(F1146&lt;I1146,"RİSKLİ","ok"))))</f>
        <v/>
      </c>
      <c r="M1146" s="13" t="inlineStr">
        <is>
          <t>https://www.etsy.com/listing/1756910876</t>
        </is>
      </c>
    </row>
    <row r="1147">
      <c r="A1147" s="3" t="inlineStr">
        <is>
          <t>legacy</t>
        </is>
      </c>
      <c r="B1147" s="3" t="inlineStr">
        <is>
          <t>14K White Gold Franco Box Chain / Solid Gold Necklace</t>
        </is>
      </c>
      <c r="C1147" s="3" t="n">
        <v>1756910876</v>
      </c>
      <c r="D1147" s="3" t="inlineStr">
        <is>
          <t>CSFR7-24</t>
        </is>
      </c>
      <c r="E1147" s="3" t="inlineStr">
        <is>
          <t>description</t>
        </is>
      </c>
      <c r="F1147" s="14" t="n">
        <v>11554</v>
      </c>
      <c r="G1147" s="17" t="n">
        <v>75.05</v>
      </c>
      <c r="H1147" s="14">
        <f>IF(G1147="","",G1147*Ayarlar!$B$3+Ayarlar!$B$4+Ayarlar!$B$5)</f>
        <v/>
      </c>
      <c r="I1147" s="14">
        <f>IF(G1147="","",ROUNDUP(((G1147*Ayarlar!$B$3+Ayarlar!$B$4+Ayarlar!$B$5)+Ayarlar!$B$8)/((1-Ayarlar!$B$6)*(1-Ayarlar!$B$7)),0))</f>
        <v/>
      </c>
      <c r="J1147" s="14">
        <f>IF(G1147="","",ROUNDUP(((G1147*Ayarlar!$B$3+Ayarlar!$B$4+Ayarlar!$B$5)+Ayarlar!$B$8)/((1-Ayarlar!$B$6)*(1-Ayarlar!$B$7-Ayarlar!$B$9)),0))</f>
        <v/>
      </c>
      <c r="K1147" s="15">
        <f>IF(OR(G1147="",F1147=""),"",(F1147*(1-Ayarlar!$B$6)-(F1147*(1-Ayarlar!$B$6)*Ayarlar!$B$7+Ayarlar!$B$8)-(G1147*Ayarlar!$B$3+Ayarlar!$B$4+Ayarlar!$B$5))/(F1147*(1-Ayarlar!$B$6)))</f>
        <v/>
      </c>
      <c r="L1147" s="3">
        <f>IF(G1147="","GRAM EKSİK",IF(F1147&gt;30000,"FİYAT ŞÜPHELİ",IF(K1147&lt;0,"ZARARDA",IF(F1147&lt;I1147,"RİSKLİ","ok"))))</f>
        <v/>
      </c>
      <c r="M1147" s="16" t="inlineStr">
        <is>
          <t>https://www.etsy.com/listing/1756910876</t>
        </is>
      </c>
    </row>
    <row r="1148">
      <c r="A1148" s="9" t="inlineStr">
        <is>
          <t>legacy</t>
        </is>
      </c>
      <c r="B1148" s="9" t="inlineStr">
        <is>
          <t>14K White Gold Ice Out Chain / Diamond Cut Cylinder Link</t>
        </is>
      </c>
      <c r="C1148" s="9" t="n">
        <v>1863059407</v>
      </c>
      <c r="D1148" s="9" t="inlineStr">
        <is>
          <t>CICEW1-16</t>
        </is>
      </c>
      <c r="E1148" s="9" t="inlineStr">
        <is>
          <t>description</t>
        </is>
      </c>
      <c r="F1148" s="10" t="n">
        <v>1512</v>
      </c>
      <c r="G1148" s="18" t="n">
        <v>8.15</v>
      </c>
      <c r="H1148" s="10">
        <f>IF(G1148="","",G1148*Ayarlar!$B$3+Ayarlar!$B$4+Ayarlar!$B$5)</f>
        <v/>
      </c>
      <c r="I1148" s="10">
        <f>IF(G1148="","",ROUNDUP(((G1148*Ayarlar!$B$3+Ayarlar!$B$4+Ayarlar!$B$5)+Ayarlar!$B$8)/((1-Ayarlar!$B$6)*(1-Ayarlar!$B$7)),0))</f>
        <v/>
      </c>
      <c r="J1148" s="10">
        <f>IF(G1148="","",ROUNDUP(((G1148*Ayarlar!$B$3+Ayarlar!$B$4+Ayarlar!$B$5)+Ayarlar!$B$8)/((1-Ayarlar!$B$6)*(1-Ayarlar!$B$7-Ayarlar!$B$9)),0))</f>
        <v/>
      </c>
      <c r="K1148" s="12">
        <f>IF(OR(G1148="",F1148=""),"",(F1148*(1-Ayarlar!$B$6)-(F1148*(1-Ayarlar!$B$6)*Ayarlar!$B$7+Ayarlar!$B$8)-(G1148*Ayarlar!$B$3+Ayarlar!$B$4+Ayarlar!$B$5))/(F1148*(1-Ayarlar!$B$6)))</f>
        <v/>
      </c>
      <c r="L1148" s="9">
        <f>IF(G1148="","GRAM EKSİK",IF(F1148&gt;30000,"FİYAT ŞÜPHELİ",IF(K1148&lt;0,"ZARARDA",IF(F1148&lt;I1148,"RİSKLİ","ok"))))</f>
        <v/>
      </c>
      <c r="M1148" s="13" t="inlineStr">
        <is>
          <t>https://www.etsy.com/listing/1863059407</t>
        </is>
      </c>
    </row>
    <row r="1149">
      <c r="A1149" s="3" t="inlineStr">
        <is>
          <t>legacy</t>
        </is>
      </c>
      <c r="B1149" s="3" t="inlineStr">
        <is>
          <t>14K White Gold Ice Out Chain / Diamond Cut Cylinder Link</t>
        </is>
      </c>
      <c r="C1149" s="3" t="n">
        <v>1863059407</v>
      </c>
      <c r="D1149" s="3" t="inlineStr">
        <is>
          <t>CICEW1-18</t>
        </is>
      </c>
      <c r="E1149" s="3" t="inlineStr">
        <is>
          <t>description</t>
        </is>
      </c>
      <c r="F1149" s="14" t="n">
        <v>1690</v>
      </c>
      <c r="G1149" s="17" t="n">
        <v>9.17</v>
      </c>
      <c r="H1149" s="14">
        <f>IF(G1149="","",G1149*Ayarlar!$B$3+Ayarlar!$B$4+Ayarlar!$B$5)</f>
        <v/>
      </c>
      <c r="I1149" s="14">
        <f>IF(G1149="","",ROUNDUP(((G1149*Ayarlar!$B$3+Ayarlar!$B$4+Ayarlar!$B$5)+Ayarlar!$B$8)/((1-Ayarlar!$B$6)*(1-Ayarlar!$B$7)),0))</f>
        <v/>
      </c>
      <c r="J1149" s="14">
        <f>IF(G1149="","",ROUNDUP(((G1149*Ayarlar!$B$3+Ayarlar!$B$4+Ayarlar!$B$5)+Ayarlar!$B$8)/((1-Ayarlar!$B$6)*(1-Ayarlar!$B$7-Ayarlar!$B$9)),0))</f>
        <v/>
      </c>
      <c r="K1149" s="15">
        <f>IF(OR(G1149="",F1149=""),"",(F1149*(1-Ayarlar!$B$6)-(F1149*(1-Ayarlar!$B$6)*Ayarlar!$B$7+Ayarlar!$B$8)-(G1149*Ayarlar!$B$3+Ayarlar!$B$4+Ayarlar!$B$5))/(F1149*(1-Ayarlar!$B$6)))</f>
        <v/>
      </c>
      <c r="L1149" s="3">
        <f>IF(G1149="","GRAM EKSİK",IF(F1149&gt;30000,"FİYAT ŞÜPHELİ",IF(K1149&lt;0,"ZARARDA",IF(F1149&lt;I1149,"RİSKLİ","ok"))))</f>
        <v/>
      </c>
      <c r="M1149" s="16" t="inlineStr">
        <is>
          <t>https://www.etsy.com/listing/1863059407</t>
        </is>
      </c>
    </row>
    <row r="1150">
      <c r="A1150" s="9" t="inlineStr">
        <is>
          <t>legacy</t>
        </is>
      </c>
      <c r="B1150" s="9" t="inlineStr">
        <is>
          <t>14K White Gold Ice Out Chain / Diamond Cut Cylinder Link</t>
        </is>
      </c>
      <c r="C1150" s="9" t="n">
        <v>1863059407</v>
      </c>
      <c r="D1150" s="9" t="inlineStr">
        <is>
          <t>CICEW1-20</t>
        </is>
      </c>
      <c r="E1150" s="9" t="inlineStr">
        <is>
          <t>description</t>
        </is>
      </c>
      <c r="F1150" s="10" t="n">
        <v>1870</v>
      </c>
      <c r="G1150" s="18" t="n">
        <v>10.19</v>
      </c>
      <c r="H1150" s="10">
        <f>IF(G1150="","",G1150*Ayarlar!$B$3+Ayarlar!$B$4+Ayarlar!$B$5)</f>
        <v/>
      </c>
      <c r="I1150" s="10">
        <f>IF(G1150="","",ROUNDUP(((G1150*Ayarlar!$B$3+Ayarlar!$B$4+Ayarlar!$B$5)+Ayarlar!$B$8)/((1-Ayarlar!$B$6)*(1-Ayarlar!$B$7)),0))</f>
        <v/>
      </c>
      <c r="J1150" s="10">
        <f>IF(G1150="","",ROUNDUP(((G1150*Ayarlar!$B$3+Ayarlar!$B$4+Ayarlar!$B$5)+Ayarlar!$B$8)/((1-Ayarlar!$B$6)*(1-Ayarlar!$B$7-Ayarlar!$B$9)),0))</f>
        <v/>
      </c>
      <c r="K1150" s="12">
        <f>IF(OR(G1150="",F1150=""),"",(F1150*(1-Ayarlar!$B$6)-(F1150*(1-Ayarlar!$B$6)*Ayarlar!$B$7+Ayarlar!$B$8)-(G1150*Ayarlar!$B$3+Ayarlar!$B$4+Ayarlar!$B$5))/(F1150*(1-Ayarlar!$B$6)))</f>
        <v/>
      </c>
      <c r="L1150" s="9">
        <f>IF(G1150="","GRAM EKSİK",IF(F1150&gt;30000,"FİYAT ŞÜPHELİ",IF(K1150&lt;0,"ZARARDA",IF(F1150&lt;I1150,"RİSKLİ","ok"))))</f>
        <v/>
      </c>
      <c r="M1150" s="13" t="inlineStr">
        <is>
          <t>https://www.etsy.com/listing/1863059407</t>
        </is>
      </c>
    </row>
    <row r="1151">
      <c r="A1151" s="3" t="inlineStr">
        <is>
          <t>legacy</t>
        </is>
      </c>
      <c r="B1151" s="3" t="inlineStr">
        <is>
          <t>14K White Gold Ice Out Chain / Diamond Cut Cylinder Link</t>
        </is>
      </c>
      <c r="C1151" s="3" t="n">
        <v>1863059407</v>
      </c>
      <c r="D1151" s="3" t="inlineStr">
        <is>
          <t>CICEW1-22</t>
        </is>
      </c>
      <c r="E1151" s="3" t="inlineStr">
        <is>
          <t>description</t>
        </is>
      </c>
      <c r="F1151" s="14" t="n">
        <v>2047</v>
      </c>
      <c r="G1151" s="17" t="n">
        <v>11.21</v>
      </c>
      <c r="H1151" s="14">
        <f>IF(G1151="","",G1151*Ayarlar!$B$3+Ayarlar!$B$4+Ayarlar!$B$5)</f>
        <v/>
      </c>
      <c r="I1151" s="14">
        <f>IF(G1151="","",ROUNDUP(((G1151*Ayarlar!$B$3+Ayarlar!$B$4+Ayarlar!$B$5)+Ayarlar!$B$8)/((1-Ayarlar!$B$6)*(1-Ayarlar!$B$7)),0))</f>
        <v/>
      </c>
      <c r="J1151" s="14">
        <f>IF(G1151="","",ROUNDUP(((G1151*Ayarlar!$B$3+Ayarlar!$B$4+Ayarlar!$B$5)+Ayarlar!$B$8)/((1-Ayarlar!$B$6)*(1-Ayarlar!$B$7-Ayarlar!$B$9)),0))</f>
        <v/>
      </c>
      <c r="K1151" s="15">
        <f>IF(OR(G1151="",F1151=""),"",(F1151*(1-Ayarlar!$B$6)-(F1151*(1-Ayarlar!$B$6)*Ayarlar!$B$7+Ayarlar!$B$8)-(G1151*Ayarlar!$B$3+Ayarlar!$B$4+Ayarlar!$B$5))/(F1151*(1-Ayarlar!$B$6)))</f>
        <v/>
      </c>
      <c r="L1151" s="3">
        <f>IF(G1151="","GRAM EKSİK",IF(F1151&gt;30000,"FİYAT ŞÜPHELİ",IF(K1151&lt;0,"ZARARDA",IF(F1151&lt;I1151,"RİSKLİ","ok"))))</f>
        <v/>
      </c>
      <c r="M1151" s="16" t="inlineStr">
        <is>
          <t>https://www.etsy.com/listing/1863059407</t>
        </is>
      </c>
    </row>
    <row r="1152">
      <c r="A1152" s="9" t="inlineStr">
        <is>
          <t>legacy</t>
        </is>
      </c>
      <c r="B1152" s="9" t="inlineStr">
        <is>
          <t>14K White Gold Ice Out Chain / Diamond Cut Cylinder Link</t>
        </is>
      </c>
      <c r="C1152" s="9" t="n">
        <v>1863059407</v>
      </c>
      <c r="D1152" s="9" t="inlineStr">
        <is>
          <t>CICEW1-24</t>
        </is>
      </c>
      <c r="E1152" s="9" t="inlineStr">
        <is>
          <t>description</t>
        </is>
      </c>
      <c r="F1152" s="10" t="n">
        <v>2226</v>
      </c>
      <c r="G1152" s="18" t="n">
        <v>12.23</v>
      </c>
      <c r="H1152" s="10">
        <f>IF(G1152="","",G1152*Ayarlar!$B$3+Ayarlar!$B$4+Ayarlar!$B$5)</f>
        <v/>
      </c>
      <c r="I1152" s="10">
        <f>IF(G1152="","",ROUNDUP(((G1152*Ayarlar!$B$3+Ayarlar!$B$4+Ayarlar!$B$5)+Ayarlar!$B$8)/((1-Ayarlar!$B$6)*(1-Ayarlar!$B$7)),0))</f>
        <v/>
      </c>
      <c r="J1152" s="10">
        <f>IF(G1152="","",ROUNDUP(((G1152*Ayarlar!$B$3+Ayarlar!$B$4+Ayarlar!$B$5)+Ayarlar!$B$8)/((1-Ayarlar!$B$6)*(1-Ayarlar!$B$7-Ayarlar!$B$9)),0))</f>
        <v/>
      </c>
      <c r="K1152" s="12">
        <f>IF(OR(G1152="",F1152=""),"",(F1152*(1-Ayarlar!$B$6)-(F1152*(1-Ayarlar!$B$6)*Ayarlar!$B$7+Ayarlar!$B$8)-(G1152*Ayarlar!$B$3+Ayarlar!$B$4+Ayarlar!$B$5))/(F1152*(1-Ayarlar!$B$6)))</f>
        <v/>
      </c>
      <c r="L1152" s="9">
        <f>IF(G1152="","GRAM EKSİK",IF(F1152&gt;30000,"FİYAT ŞÜPHELİ",IF(K1152&lt;0,"ZARARDA",IF(F1152&lt;I1152,"RİSKLİ","ok"))))</f>
        <v/>
      </c>
      <c r="M1152" s="13" t="inlineStr">
        <is>
          <t>https://www.etsy.com/listing/1863059407</t>
        </is>
      </c>
    </row>
    <row r="1153">
      <c r="A1153" s="3" t="inlineStr">
        <is>
          <t>legacy</t>
        </is>
      </c>
      <c r="B1153" s="3" t="inlineStr">
        <is>
          <t>14K White Gold Ice Out Chain / Diamond Cut Cylinder Link</t>
        </is>
      </c>
      <c r="C1153" s="3" t="n">
        <v>1863059407</v>
      </c>
      <c r="D1153" s="3" t="inlineStr">
        <is>
          <t>CICEW2-16</t>
        </is>
      </c>
      <c r="E1153" s="3" t="inlineStr">
        <is>
          <t>description</t>
        </is>
      </c>
      <c r="F1153" s="14" t="n">
        <v>1997</v>
      </c>
      <c r="G1153" s="17" t="n">
        <v>13.64</v>
      </c>
      <c r="H1153" s="14">
        <f>IF(G1153="","",G1153*Ayarlar!$B$3+Ayarlar!$B$4+Ayarlar!$B$5)</f>
        <v/>
      </c>
      <c r="I1153" s="14">
        <f>IF(G1153="","",ROUNDUP(((G1153*Ayarlar!$B$3+Ayarlar!$B$4+Ayarlar!$B$5)+Ayarlar!$B$8)/((1-Ayarlar!$B$6)*(1-Ayarlar!$B$7)),0))</f>
        <v/>
      </c>
      <c r="J1153" s="14">
        <f>IF(G1153="","",ROUNDUP(((G1153*Ayarlar!$B$3+Ayarlar!$B$4+Ayarlar!$B$5)+Ayarlar!$B$8)/((1-Ayarlar!$B$6)*(1-Ayarlar!$B$7-Ayarlar!$B$9)),0))</f>
        <v/>
      </c>
      <c r="K1153" s="15">
        <f>IF(OR(G1153="",F1153=""),"",(F1153*(1-Ayarlar!$B$6)-(F1153*(1-Ayarlar!$B$6)*Ayarlar!$B$7+Ayarlar!$B$8)-(G1153*Ayarlar!$B$3+Ayarlar!$B$4+Ayarlar!$B$5))/(F1153*(1-Ayarlar!$B$6)))</f>
        <v/>
      </c>
      <c r="L1153" s="3">
        <f>IF(G1153="","GRAM EKSİK",IF(F1153&gt;30000,"FİYAT ŞÜPHELİ",IF(K1153&lt;0,"ZARARDA",IF(F1153&lt;I1153,"RİSKLİ","ok"))))</f>
        <v/>
      </c>
      <c r="M1153" s="16" t="inlineStr">
        <is>
          <t>https://www.etsy.com/listing/1863059407</t>
        </is>
      </c>
    </row>
    <row r="1154">
      <c r="A1154" s="9" t="inlineStr">
        <is>
          <t>legacy</t>
        </is>
      </c>
      <c r="B1154" s="9" t="inlineStr">
        <is>
          <t>14K White Gold Ice Out Chain / Diamond Cut Cylinder Link</t>
        </is>
      </c>
      <c r="C1154" s="9" t="n">
        <v>1863059407</v>
      </c>
      <c r="D1154" s="9" t="inlineStr">
        <is>
          <t>CICEW2-18</t>
        </is>
      </c>
      <c r="E1154" s="9" t="inlineStr">
        <is>
          <t>description</t>
        </is>
      </c>
      <c r="F1154" s="10" t="n">
        <v>2223</v>
      </c>
      <c r="G1154" s="18" t="n">
        <v>15.35</v>
      </c>
      <c r="H1154" s="10">
        <f>IF(G1154="","",G1154*Ayarlar!$B$3+Ayarlar!$B$4+Ayarlar!$B$5)</f>
        <v/>
      </c>
      <c r="I1154" s="10">
        <f>IF(G1154="","",ROUNDUP(((G1154*Ayarlar!$B$3+Ayarlar!$B$4+Ayarlar!$B$5)+Ayarlar!$B$8)/((1-Ayarlar!$B$6)*(1-Ayarlar!$B$7)),0))</f>
        <v/>
      </c>
      <c r="J1154" s="10">
        <f>IF(G1154="","",ROUNDUP(((G1154*Ayarlar!$B$3+Ayarlar!$B$4+Ayarlar!$B$5)+Ayarlar!$B$8)/((1-Ayarlar!$B$6)*(1-Ayarlar!$B$7-Ayarlar!$B$9)),0))</f>
        <v/>
      </c>
      <c r="K1154" s="12">
        <f>IF(OR(G1154="",F1154=""),"",(F1154*(1-Ayarlar!$B$6)-(F1154*(1-Ayarlar!$B$6)*Ayarlar!$B$7+Ayarlar!$B$8)-(G1154*Ayarlar!$B$3+Ayarlar!$B$4+Ayarlar!$B$5))/(F1154*(1-Ayarlar!$B$6)))</f>
        <v/>
      </c>
      <c r="L1154" s="9">
        <f>IF(G1154="","GRAM EKSİK",IF(F1154&gt;30000,"FİYAT ŞÜPHELİ",IF(K1154&lt;0,"ZARARDA",IF(F1154&lt;I1154,"RİSKLİ","ok"))))</f>
        <v/>
      </c>
      <c r="M1154" s="13" t="inlineStr">
        <is>
          <t>https://www.etsy.com/listing/1863059407</t>
        </is>
      </c>
    </row>
    <row r="1155">
      <c r="A1155" s="3" t="inlineStr">
        <is>
          <t>legacy</t>
        </is>
      </c>
      <c r="B1155" s="3" t="inlineStr">
        <is>
          <t>14K White Gold Ice Out Chain / Diamond Cut Cylinder Link</t>
        </is>
      </c>
      <c r="C1155" s="3" t="n">
        <v>1863059407</v>
      </c>
      <c r="D1155" s="3" t="inlineStr">
        <is>
          <t>CICEW2-20</t>
        </is>
      </c>
      <c r="E1155" s="3" t="inlineStr">
        <is>
          <t>description</t>
        </is>
      </c>
      <c r="F1155" s="14" t="n">
        <v>2449</v>
      </c>
      <c r="G1155" s="17" t="n">
        <v>17.06</v>
      </c>
      <c r="H1155" s="14">
        <f>IF(G1155="","",G1155*Ayarlar!$B$3+Ayarlar!$B$4+Ayarlar!$B$5)</f>
        <v/>
      </c>
      <c r="I1155" s="14">
        <f>IF(G1155="","",ROUNDUP(((G1155*Ayarlar!$B$3+Ayarlar!$B$4+Ayarlar!$B$5)+Ayarlar!$B$8)/((1-Ayarlar!$B$6)*(1-Ayarlar!$B$7)),0))</f>
        <v/>
      </c>
      <c r="J1155" s="14">
        <f>IF(G1155="","",ROUNDUP(((G1155*Ayarlar!$B$3+Ayarlar!$B$4+Ayarlar!$B$5)+Ayarlar!$B$8)/((1-Ayarlar!$B$6)*(1-Ayarlar!$B$7-Ayarlar!$B$9)),0))</f>
        <v/>
      </c>
      <c r="K1155" s="15">
        <f>IF(OR(G1155="",F1155=""),"",(F1155*(1-Ayarlar!$B$6)-(F1155*(1-Ayarlar!$B$6)*Ayarlar!$B$7+Ayarlar!$B$8)-(G1155*Ayarlar!$B$3+Ayarlar!$B$4+Ayarlar!$B$5))/(F1155*(1-Ayarlar!$B$6)))</f>
        <v/>
      </c>
      <c r="L1155" s="3">
        <f>IF(G1155="","GRAM EKSİK",IF(F1155&gt;30000,"FİYAT ŞÜPHELİ",IF(K1155&lt;0,"ZARARDA",IF(F1155&lt;I1155,"RİSKLİ","ok"))))</f>
        <v/>
      </c>
      <c r="M1155" s="16" t="inlineStr">
        <is>
          <t>https://www.etsy.com/listing/1863059407</t>
        </is>
      </c>
    </row>
    <row r="1156">
      <c r="A1156" s="9" t="inlineStr">
        <is>
          <t>legacy</t>
        </is>
      </c>
      <c r="B1156" s="9" t="inlineStr">
        <is>
          <t>14K White Gold Ice Out Chain / Diamond Cut Cylinder Link</t>
        </is>
      </c>
      <c r="C1156" s="9" t="n">
        <v>1863059407</v>
      </c>
      <c r="D1156" s="9" t="inlineStr">
        <is>
          <t>CICEW2-22</t>
        </is>
      </c>
      <c r="E1156" s="9" t="inlineStr">
        <is>
          <t>description</t>
        </is>
      </c>
      <c r="F1156" s="10" t="n">
        <v>2696</v>
      </c>
      <c r="G1156" s="18" t="n">
        <v>18.76</v>
      </c>
      <c r="H1156" s="10">
        <f>IF(G1156="","",G1156*Ayarlar!$B$3+Ayarlar!$B$4+Ayarlar!$B$5)</f>
        <v/>
      </c>
      <c r="I1156" s="10">
        <f>IF(G1156="","",ROUNDUP(((G1156*Ayarlar!$B$3+Ayarlar!$B$4+Ayarlar!$B$5)+Ayarlar!$B$8)/((1-Ayarlar!$B$6)*(1-Ayarlar!$B$7)),0))</f>
        <v/>
      </c>
      <c r="J1156" s="10">
        <f>IF(G1156="","",ROUNDUP(((G1156*Ayarlar!$B$3+Ayarlar!$B$4+Ayarlar!$B$5)+Ayarlar!$B$8)/((1-Ayarlar!$B$6)*(1-Ayarlar!$B$7-Ayarlar!$B$9)),0))</f>
        <v/>
      </c>
      <c r="K1156" s="12">
        <f>IF(OR(G1156="",F1156=""),"",(F1156*(1-Ayarlar!$B$6)-(F1156*(1-Ayarlar!$B$6)*Ayarlar!$B$7+Ayarlar!$B$8)-(G1156*Ayarlar!$B$3+Ayarlar!$B$4+Ayarlar!$B$5))/(F1156*(1-Ayarlar!$B$6)))</f>
        <v/>
      </c>
      <c r="L1156" s="9">
        <f>IF(G1156="","GRAM EKSİK",IF(F1156&gt;30000,"FİYAT ŞÜPHELİ",IF(K1156&lt;0,"ZARARDA",IF(F1156&lt;I1156,"RİSKLİ","ok"))))</f>
        <v/>
      </c>
      <c r="M1156" s="13" t="inlineStr">
        <is>
          <t>https://www.etsy.com/listing/1863059407</t>
        </is>
      </c>
    </row>
    <row r="1157">
      <c r="A1157" s="3" t="inlineStr">
        <is>
          <t>legacy</t>
        </is>
      </c>
      <c r="B1157" s="3" t="inlineStr">
        <is>
          <t>14K White Gold Ice Out Chain / Diamond Cut Cylinder Link</t>
        </is>
      </c>
      <c r="C1157" s="3" t="n">
        <v>1863059407</v>
      </c>
      <c r="D1157" s="3" t="inlineStr">
        <is>
          <t>CICEW2-24</t>
        </is>
      </c>
      <c r="E1157" s="3" t="inlineStr">
        <is>
          <t>description</t>
        </is>
      </c>
      <c r="F1157" s="14" t="n">
        <v>2944</v>
      </c>
      <c r="G1157" s="17" t="n">
        <v>20.47</v>
      </c>
      <c r="H1157" s="14">
        <f>IF(G1157="","",G1157*Ayarlar!$B$3+Ayarlar!$B$4+Ayarlar!$B$5)</f>
        <v/>
      </c>
      <c r="I1157" s="14">
        <f>IF(G1157="","",ROUNDUP(((G1157*Ayarlar!$B$3+Ayarlar!$B$4+Ayarlar!$B$5)+Ayarlar!$B$8)/((1-Ayarlar!$B$6)*(1-Ayarlar!$B$7)),0))</f>
        <v/>
      </c>
      <c r="J1157" s="14">
        <f>IF(G1157="","",ROUNDUP(((G1157*Ayarlar!$B$3+Ayarlar!$B$4+Ayarlar!$B$5)+Ayarlar!$B$8)/((1-Ayarlar!$B$6)*(1-Ayarlar!$B$7-Ayarlar!$B$9)),0))</f>
        <v/>
      </c>
      <c r="K1157" s="15">
        <f>IF(OR(G1157="",F1157=""),"",(F1157*(1-Ayarlar!$B$6)-(F1157*(1-Ayarlar!$B$6)*Ayarlar!$B$7+Ayarlar!$B$8)-(G1157*Ayarlar!$B$3+Ayarlar!$B$4+Ayarlar!$B$5))/(F1157*(1-Ayarlar!$B$6)))</f>
        <v/>
      </c>
      <c r="L1157" s="3">
        <f>IF(G1157="","GRAM EKSİK",IF(F1157&gt;30000,"FİYAT ŞÜPHELİ",IF(K1157&lt;0,"ZARARDA",IF(F1157&lt;I1157,"RİSKLİ","ok"))))</f>
        <v/>
      </c>
      <c r="M1157" s="16" t="inlineStr">
        <is>
          <t>https://www.etsy.com/listing/1863059407</t>
        </is>
      </c>
    </row>
    <row r="1158">
      <c r="A1158" s="9" t="inlineStr">
        <is>
          <t>legacy</t>
        </is>
      </c>
      <c r="B1158" s="9" t="inlineStr">
        <is>
          <t>14K White Gold Ice Out Chain / Diamond Cut Cylinder Link</t>
        </is>
      </c>
      <c r="C1158" s="9" t="n">
        <v>1863059407</v>
      </c>
      <c r="D1158" s="9" t="inlineStr">
        <is>
          <t>CICEW4-16</t>
        </is>
      </c>
      <c r="E1158" s="9" t="inlineStr">
        <is>
          <t>description</t>
        </is>
      </c>
      <c r="F1158" s="10" t="n">
        <v>2939</v>
      </c>
      <c r="G1158" s="18" t="n">
        <v>16.24</v>
      </c>
      <c r="H1158" s="10">
        <f>IF(G1158="","",G1158*Ayarlar!$B$3+Ayarlar!$B$4+Ayarlar!$B$5)</f>
        <v/>
      </c>
      <c r="I1158" s="10">
        <f>IF(G1158="","",ROUNDUP(((G1158*Ayarlar!$B$3+Ayarlar!$B$4+Ayarlar!$B$5)+Ayarlar!$B$8)/((1-Ayarlar!$B$6)*(1-Ayarlar!$B$7)),0))</f>
        <v/>
      </c>
      <c r="J1158" s="10">
        <f>IF(G1158="","",ROUNDUP(((G1158*Ayarlar!$B$3+Ayarlar!$B$4+Ayarlar!$B$5)+Ayarlar!$B$8)/((1-Ayarlar!$B$6)*(1-Ayarlar!$B$7-Ayarlar!$B$9)),0))</f>
        <v/>
      </c>
      <c r="K1158" s="12">
        <f>IF(OR(G1158="",F1158=""),"",(F1158*(1-Ayarlar!$B$6)-(F1158*(1-Ayarlar!$B$6)*Ayarlar!$B$7+Ayarlar!$B$8)-(G1158*Ayarlar!$B$3+Ayarlar!$B$4+Ayarlar!$B$5))/(F1158*(1-Ayarlar!$B$6)))</f>
        <v/>
      </c>
      <c r="L1158" s="9">
        <f>IF(G1158="","GRAM EKSİK",IF(F1158&gt;30000,"FİYAT ŞÜPHELİ",IF(K1158&lt;0,"ZARARDA",IF(F1158&lt;I1158,"RİSKLİ","ok"))))</f>
        <v/>
      </c>
      <c r="M1158" s="13" t="inlineStr">
        <is>
          <t>https://www.etsy.com/listing/1863059407</t>
        </is>
      </c>
    </row>
    <row r="1159">
      <c r="A1159" s="3" t="inlineStr">
        <is>
          <t>legacy</t>
        </is>
      </c>
      <c r="B1159" s="3" t="inlineStr">
        <is>
          <t>14K White Gold Ice Out Chain / Diamond Cut Cylinder Link</t>
        </is>
      </c>
      <c r="C1159" s="3" t="n">
        <v>1863059407</v>
      </c>
      <c r="D1159" s="3" t="inlineStr">
        <is>
          <t>CICEW4-18</t>
        </is>
      </c>
      <c r="E1159" s="3" t="inlineStr">
        <is>
          <t>description</t>
        </is>
      </c>
      <c r="F1159" s="14" t="n">
        <v>3296</v>
      </c>
      <c r="G1159" s="17" t="n">
        <v>18.27</v>
      </c>
      <c r="H1159" s="14">
        <f>IF(G1159="","",G1159*Ayarlar!$B$3+Ayarlar!$B$4+Ayarlar!$B$5)</f>
        <v/>
      </c>
      <c r="I1159" s="14">
        <f>IF(G1159="","",ROUNDUP(((G1159*Ayarlar!$B$3+Ayarlar!$B$4+Ayarlar!$B$5)+Ayarlar!$B$8)/((1-Ayarlar!$B$6)*(1-Ayarlar!$B$7)),0))</f>
        <v/>
      </c>
      <c r="J1159" s="14">
        <f>IF(G1159="","",ROUNDUP(((G1159*Ayarlar!$B$3+Ayarlar!$B$4+Ayarlar!$B$5)+Ayarlar!$B$8)/((1-Ayarlar!$B$6)*(1-Ayarlar!$B$7-Ayarlar!$B$9)),0))</f>
        <v/>
      </c>
      <c r="K1159" s="15">
        <f>IF(OR(G1159="",F1159=""),"",(F1159*(1-Ayarlar!$B$6)-(F1159*(1-Ayarlar!$B$6)*Ayarlar!$B$7+Ayarlar!$B$8)-(G1159*Ayarlar!$B$3+Ayarlar!$B$4+Ayarlar!$B$5))/(F1159*(1-Ayarlar!$B$6)))</f>
        <v/>
      </c>
      <c r="L1159" s="3">
        <f>IF(G1159="","GRAM EKSİK",IF(F1159&gt;30000,"FİYAT ŞÜPHELİ",IF(K1159&lt;0,"ZARARDA",IF(F1159&lt;I1159,"RİSKLİ","ok"))))</f>
        <v/>
      </c>
      <c r="M1159" s="16" t="inlineStr">
        <is>
          <t>https://www.etsy.com/listing/1863059407</t>
        </is>
      </c>
    </row>
    <row r="1160">
      <c r="A1160" s="9" t="inlineStr">
        <is>
          <t>legacy</t>
        </is>
      </c>
      <c r="B1160" s="9" t="inlineStr">
        <is>
          <t>14K White Gold Ice Out Chain / Diamond Cut Cylinder Link</t>
        </is>
      </c>
      <c r="C1160" s="9" t="n">
        <v>1863059407</v>
      </c>
      <c r="D1160" s="9" t="inlineStr">
        <is>
          <t>CICEW4-20</t>
        </is>
      </c>
      <c r="E1160" s="9" t="inlineStr">
        <is>
          <t>description</t>
        </is>
      </c>
      <c r="F1160" s="10" t="n">
        <v>3652</v>
      </c>
      <c r="G1160" s="18" t="n">
        <v>20.3</v>
      </c>
      <c r="H1160" s="10">
        <f>IF(G1160="","",G1160*Ayarlar!$B$3+Ayarlar!$B$4+Ayarlar!$B$5)</f>
        <v/>
      </c>
      <c r="I1160" s="10">
        <f>IF(G1160="","",ROUNDUP(((G1160*Ayarlar!$B$3+Ayarlar!$B$4+Ayarlar!$B$5)+Ayarlar!$B$8)/((1-Ayarlar!$B$6)*(1-Ayarlar!$B$7)),0))</f>
        <v/>
      </c>
      <c r="J1160" s="10">
        <f>IF(G1160="","",ROUNDUP(((G1160*Ayarlar!$B$3+Ayarlar!$B$4+Ayarlar!$B$5)+Ayarlar!$B$8)/((1-Ayarlar!$B$6)*(1-Ayarlar!$B$7-Ayarlar!$B$9)),0))</f>
        <v/>
      </c>
      <c r="K1160" s="12">
        <f>IF(OR(G1160="",F1160=""),"",(F1160*(1-Ayarlar!$B$6)-(F1160*(1-Ayarlar!$B$6)*Ayarlar!$B$7+Ayarlar!$B$8)-(G1160*Ayarlar!$B$3+Ayarlar!$B$4+Ayarlar!$B$5))/(F1160*(1-Ayarlar!$B$6)))</f>
        <v/>
      </c>
      <c r="L1160" s="9">
        <f>IF(G1160="","GRAM EKSİK",IF(F1160&gt;30000,"FİYAT ŞÜPHELİ",IF(K1160&lt;0,"ZARARDA",IF(F1160&lt;I1160,"RİSKLİ","ok"))))</f>
        <v/>
      </c>
      <c r="M1160" s="13" t="inlineStr">
        <is>
          <t>https://www.etsy.com/listing/1863059407</t>
        </is>
      </c>
    </row>
    <row r="1161">
      <c r="A1161" s="3" t="inlineStr">
        <is>
          <t>legacy</t>
        </is>
      </c>
      <c r="B1161" s="3" t="inlineStr">
        <is>
          <t>14K White Gold Ice Out Chain / Diamond Cut Cylinder Link</t>
        </is>
      </c>
      <c r="C1161" s="3" t="n">
        <v>1863059407</v>
      </c>
      <c r="D1161" s="3" t="inlineStr">
        <is>
          <t>CICEW4-22</t>
        </is>
      </c>
      <c r="E1161" s="3" t="inlineStr">
        <is>
          <t>description</t>
        </is>
      </c>
      <c r="F1161" s="14" t="n">
        <v>4009</v>
      </c>
      <c r="G1161" s="17" t="n">
        <v>22.33</v>
      </c>
      <c r="H1161" s="14">
        <f>IF(G1161="","",G1161*Ayarlar!$B$3+Ayarlar!$B$4+Ayarlar!$B$5)</f>
        <v/>
      </c>
      <c r="I1161" s="14">
        <f>IF(G1161="","",ROUNDUP(((G1161*Ayarlar!$B$3+Ayarlar!$B$4+Ayarlar!$B$5)+Ayarlar!$B$8)/((1-Ayarlar!$B$6)*(1-Ayarlar!$B$7)),0))</f>
        <v/>
      </c>
      <c r="J1161" s="14">
        <f>IF(G1161="","",ROUNDUP(((G1161*Ayarlar!$B$3+Ayarlar!$B$4+Ayarlar!$B$5)+Ayarlar!$B$8)/((1-Ayarlar!$B$6)*(1-Ayarlar!$B$7-Ayarlar!$B$9)),0))</f>
        <v/>
      </c>
      <c r="K1161" s="15">
        <f>IF(OR(G1161="",F1161=""),"",(F1161*(1-Ayarlar!$B$6)-(F1161*(1-Ayarlar!$B$6)*Ayarlar!$B$7+Ayarlar!$B$8)-(G1161*Ayarlar!$B$3+Ayarlar!$B$4+Ayarlar!$B$5))/(F1161*(1-Ayarlar!$B$6)))</f>
        <v/>
      </c>
      <c r="L1161" s="3">
        <f>IF(G1161="","GRAM EKSİK",IF(F1161&gt;30000,"FİYAT ŞÜPHELİ",IF(K1161&lt;0,"ZARARDA",IF(F1161&lt;I1161,"RİSKLİ","ok"))))</f>
        <v/>
      </c>
      <c r="M1161" s="16" t="inlineStr">
        <is>
          <t>https://www.etsy.com/listing/1863059407</t>
        </is>
      </c>
    </row>
    <row r="1162">
      <c r="A1162" s="9" t="inlineStr">
        <is>
          <t>legacy</t>
        </is>
      </c>
      <c r="B1162" s="9" t="inlineStr">
        <is>
          <t>14K White Gold Ice Out Chain / Diamond Cut Cylinder Link</t>
        </is>
      </c>
      <c r="C1162" s="9" t="n">
        <v>1863059407</v>
      </c>
      <c r="D1162" s="9" t="inlineStr">
        <is>
          <t>CICEW4-24</t>
        </is>
      </c>
      <c r="E1162" s="9" t="inlineStr">
        <is>
          <t>description</t>
        </is>
      </c>
      <c r="F1162" s="10" t="n">
        <v>4366</v>
      </c>
      <c r="G1162" s="18" t="n">
        <v>24.36</v>
      </c>
      <c r="H1162" s="10">
        <f>IF(G1162="","",G1162*Ayarlar!$B$3+Ayarlar!$B$4+Ayarlar!$B$5)</f>
        <v/>
      </c>
      <c r="I1162" s="10">
        <f>IF(G1162="","",ROUNDUP(((G1162*Ayarlar!$B$3+Ayarlar!$B$4+Ayarlar!$B$5)+Ayarlar!$B$8)/((1-Ayarlar!$B$6)*(1-Ayarlar!$B$7)),0))</f>
        <v/>
      </c>
      <c r="J1162" s="10">
        <f>IF(G1162="","",ROUNDUP(((G1162*Ayarlar!$B$3+Ayarlar!$B$4+Ayarlar!$B$5)+Ayarlar!$B$8)/((1-Ayarlar!$B$6)*(1-Ayarlar!$B$7-Ayarlar!$B$9)),0))</f>
        <v/>
      </c>
      <c r="K1162" s="12">
        <f>IF(OR(G1162="",F1162=""),"",(F1162*(1-Ayarlar!$B$6)-(F1162*(1-Ayarlar!$B$6)*Ayarlar!$B$7+Ayarlar!$B$8)-(G1162*Ayarlar!$B$3+Ayarlar!$B$4+Ayarlar!$B$5))/(F1162*(1-Ayarlar!$B$6)))</f>
        <v/>
      </c>
      <c r="L1162" s="9">
        <f>IF(G1162="","GRAM EKSİK",IF(F1162&gt;30000,"FİYAT ŞÜPHELİ",IF(K1162&lt;0,"ZARARDA",IF(F1162&lt;I1162,"RİSKLİ","ok"))))</f>
        <v/>
      </c>
      <c r="M1162" s="13" t="inlineStr">
        <is>
          <t>https://www.etsy.com/listing/1863059407</t>
        </is>
      </c>
    </row>
    <row r="1163">
      <c r="A1163" s="3" t="inlineStr">
        <is>
          <t>legacy</t>
        </is>
      </c>
      <c r="B1163" s="3" t="inlineStr">
        <is>
          <t>14K White Gold Ice Out Chain / Diamond Cut Cylinder Link</t>
        </is>
      </c>
      <c r="C1163" s="3" t="n">
        <v>1863059407</v>
      </c>
      <c r="D1163" s="3" t="inlineStr">
        <is>
          <t>CICEW5-16</t>
        </is>
      </c>
      <c r="E1163" s="3" t="inlineStr">
        <is>
          <t>description</t>
        </is>
      </c>
      <c r="F1163" s="14" t="n">
        <v>3846</v>
      </c>
      <c r="G1163" s="17" t="n">
        <v>23.8</v>
      </c>
      <c r="H1163" s="14">
        <f>IF(G1163="","",G1163*Ayarlar!$B$3+Ayarlar!$B$4+Ayarlar!$B$5)</f>
        <v/>
      </c>
      <c r="I1163" s="14">
        <f>IF(G1163="","",ROUNDUP(((G1163*Ayarlar!$B$3+Ayarlar!$B$4+Ayarlar!$B$5)+Ayarlar!$B$8)/((1-Ayarlar!$B$6)*(1-Ayarlar!$B$7)),0))</f>
        <v/>
      </c>
      <c r="J1163" s="14">
        <f>IF(G1163="","",ROUNDUP(((G1163*Ayarlar!$B$3+Ayarlar!$B$4+Ayarlar!$B$5)+Ayarlar!$B$8)/((1-Ayarlar!$B$6)*(1-Ayarlar!$B$7-Ayarlar!$B$9)),0))</f>
        <v/>
      </c>
      <c r="K1163" s="15">
        <f>IF(OR(G1163="",F1163=""),"",(F1163*(1-Ayarlar!$B$6)-(F1163*(1-Ayarlar!$B$6)*Ayarlar!$B$7+Ayarlar!$B$8)-(G1163*Ayarlar!$B$3+Ayarlar!$B$4+Ayarlar!$B$5))/(F1163*(1-Ayarlar!$B$6)))</f>
        <v/>
      </c>
      <c r="L1163" s="3">
        <f>IF(G1163="","GRAM EKSİK",IF(F1163&gt;30000,"FİYAT ŞÜPHELİ",IF(K1163&lt;0,"ZARARDA",IF(F1163&lt;I1163,"RİSKLİ","ok"))))</f>
        <v/>
      </c>
      <c r="M1163" s="16" t="inlineStr">
        <is>
          <t>https://www.etsy.com/listing/1863059407</t>
        </is>
      </c>
    </row>
    <row r="1164">
      <c r="A1164" s="9" t="inlineStr">
        <is>
          <t>legacy</t>
        </is>
      </c>
      <c r="B1164" s="9" t="inlineStr">
        <is>
          <t>14K White Gold Ice Out Chain / Diamond Cut Cylinder Link</t>
        </is>
      </c>
      <c r="C1164" s="9" t="n">
        <v>1863059407</v>
      </c>
      <c r="D1164" s="9" t="inlineStr">
        <is>
          <t>CICEW5-18</t>
        </is>
      </c>
      <c r="E1164" s="9" t="inlineStr">
        <is>
          <t>description</t>
        </is>
      </c>
      <c r="F1164" s="10" t="n">
        <v>4294</v>
      </c>
      <c r="G1164" s="18" t="n">
        <v>26.77</v>
      </c>
      <c r="H1164" s="10">
        <f>IF(G1164="","",G1164*Ayarlar!$B$3+Ayarlar!$B$4+Ayarlar!$B$5)</f>
        <v/>
      </c>
      <c r="I1164" s="10">
        <f>IF(G1164="","",ROUNDUP(((G1164*Ayarlar!$B$3+Ayarlar!$B$4+Ayarlar!$B$5)+Ayarlar!$B$8)/((1-Ayarlar!$B$6)*(1-Ayarlar!$B$7)),0))</f>
        <v/>
      </c>
      <c r="J1164" s="10">
        <f>IF(G1164="","",ROUNDUP(((G1164*Ayarlar!$B$3+Ayarlar!$B$4+Ayarlar!$B$5)+Ayarlar!$B$8)/((1-Ayarlar!$B$6)*(1-Ayarlar!$B$7-Ayarlar!$B$9)),0))</f>
        <v/>
      </c>
      <c r="K1164" s="12">
        <f>IF(OR(G1164="",F1164=""),"",(F1164*(1-Ayarlar!$B$6)-(F1164*(1-Ayarlar!$B$6)*Ayarlar!$B$7+Ayarlar!$B$8)-(G1164*Ayarlar!$B$3+Ayarlar!$B$4+Ayarlar!$B$5))/(F1164*(1-Ayarlar!$B$6)))</f>
        <v/>
      </c>
      <c r="L1164" s="9">
        <f>IF(G1164="","GRAM EKSİK",IF(F1164&gt;30000,"FİYAT ŞÜPHELİ",IF(K1164&lt;0,"ZARARDA",IF(F1164&lt;I1164,"RİSKLİ","ok"))))</f>
        <v/>
      </c>
      <c r="M1164" s="13" t="inlineStr">
        <is>
          <t>https://www.etsy.com/listing/1863059407</t>
        </is>
      </c>
    </row>
    <row r="1165">
      <c r="A1165" s="3" t="inlineStr">
        <is>
          <t>legacy</t>
        </is>
      </c>
      <c r="B1165" s="3" t="inlineStr">
        <is>
          <t>14K White Gold Ice Out Chain / Diamond Cut Cylinder Link</t>
        </is>
      </c>
      <c r="C1165" s="3" t="n">
        <v>1863059407</v>
      </c>
      <c r="D1165" s="3" t="inlineStr">
        <is>
          <t>CICEW5-20</t>
        </is>
      </c>
      <c r="E1165" s="3" t="inlineStr">
        <is>
          <t>description</t>
        </is>
      </c>
      <c r="F1165" s="14" t="n">
        <v>4743</v>
      </c>
      <c r="G1165" s="17" t="n">
        <v>29.75</v>
      </c>
      <c r="H1165" s="14">
        <f>IF(G1165="","",G1165*Ayarlar!$B$3+Ayarlar!$B$4+Ayarlar!$B$5)</f>
        <v/>
      </c>
      <c r="I1165" s="14">
        <f>IF(G1165="","",ROUNDUP(((G1165*Ayarlar!$B$3+Ayarlar!$B$4+Ayarlar!$B$5)+Ayarlar!$B$8)/((1-Ayarlar!$B$6)*(1-Ayarlar!$B$7)),0))</f>
        <v/>
      </c>
      <c r="J1165" s="14">
        <f>IF(G1165="","",ROUNDUP(((G1165*Ayarlar!$B$3+Ayarlar!$B$4+Ayarlar!$B$5)+Ayarlar!$B$8)/((1-Ayarlar!$B$6)*(1-Ayarlar!$B$7-Ayarlar!$B$9)),0))</f>
        <v/>
      </c>
      <c r="K1165" s="15">
        <f>IF(OR(G1165="",F1165=""),"",(F1165*(1-Ayarlar!$B$6)-(F1165*(1-Ayarlar!$B$6)*Ayarlar!$B$7+Ayarlar!$B$8)-(G1165*Ayarlar!$B$3+Ayarlar!$B$4+Ayarlar!$B$5))/(F1165*(1-Ayarlar!$B$6)))</f>
        <v/>
      </c>
      <c r="L1165" s="3">
        <f>IF(G1165="","GRAM EKSİK",IF(F1165&gt;30000,"FİYAT ŞÜPHELİ",IF(K1165&lt;0,"ZARARDA",IF(F1165&lt;I1165,"RİSKLİ","ok"))))</f>
        <v/>
      </c>
      <c r="M1165" s="16" t="inlineStr">
        <is>
          <t>https://www.etsy.com/listing/1863059407</t>
        </is>
      </c>
    </row>
    <row r="1166">
      <c r="A1166" s="9" t="inlineStr">
        <is>
          <t>legacy</t>
        </is>
      </c>
      <c r="B1166" s="9" t="inlineStr">
        <is>
          <t>14K White Gold Ice Out Chain / Diamond Cut Cylinder Link</t>
        </is>
      </c>
      <c r="C1166" s="9" t="n">
        <v>1863059407</v>
      </c>
      <c r="D1166" s="9" t="inlineStr">
        <is>
          <t>CICEW5-22</t>
        </is>
      </c>
      <c r="E1166" s="9" t="inlineStr">
        <is>
          <t>description</t>
        </is>
      </c>
      <c r="F1166" s="10" t="n">
        <v>5191</v>
      </c>
      <c r="G1166" s="18" t="n">
        <v>32.72</v>
      </c>
      <c r="H1166" s="10">
        <f>IF(G1166="","",G1166*Ayarlar!$B$3+Ayarlar!$B$4+Ayarlar!$B$5)</f>
        <v/>
      </c>
      <c r="I1166" s="10">
        <f>IF(G1166="","",ROUNDUP(((G1166*Ayarlar!$B$3+Ayarlar!$B$4+Ayarlar!$B$5)+Ayarlar!$B$8)/((1-Ayarlar!$B$6)*(1-Ayarlar!$B$7)),0))</f>
        <v/>
      </c>
      <c r="J1166" s="10">
        <f>IF(G1166="","",ROUNDUP(((G1166*Ayarlar!$B$3+Ayarlar!$B$4+Ayarlar!$B$5)+Ayarlar!$B$8)/((1-Ayarlar!$B$6)*(1-Ayarlar!$B$7-Ayarlar!$B$9)),0))</f>
        <v/>
      </c>
      <c r="K1166" s="12">
        <f>IF(OR(G1166="",F1166=""),"",(F1166*(1-Ayarlar!$B$6)-(F1166*(1-Ayarlar!$B$6)*Ayarlar!$B$7+Ayarlar!$B$8)-(G1166*Ayarlar!$B$3+Ayarlar!$B$4+Ayarlar!$B$5))/(F1166*(1-Ayarlar!$B$6)))</f>
        <v/>
      </c>
      <c r="L1166" s="9">
        <f>IF(G1166="","GRAM EKSİK",IF(F1166&gt;30000,"FİYAT ŞÜPHELİ",IF(K1166&lt;0,"ZARARDA",IF(F1166&lt;I1166,"RİSKLİ","ok"))))</f>
        <v/>
      </c>
      <c r="M1166" s="13" t="inlineStr">
        <is>
          <t>https://www.etsy.com/listing/1863059407</t>
        </is>
      </c>
    </row>
    <row r="1167">
      <c r="A1167" s="3" t="inlineStr">
        <is>
          <t>legacy</t>
        </is>
      </c>
      <c r="B1167" s="3" t="inlineStr">
        <is>
          <t>14K White Gold Ice Out Chain / Diamond Cut Cylinder Link</t>
        </is>
      </c>
      <c r="C1167" s="3" t="n">
        <v>1863059407</v>
      </c>
      <c r="D1167" s="3" t="inlineStr">
        <is>
          <t>CICEW5-24</t>
        </is>
      </c>
      <c r="E1167" s="3" t="inlineStr">
        <is>
          <t>description</t>
        </is>
      </c>
      <c r="F1167" s="14" t="n">
        <v>5684</v>
      </c>
      <c r="G1167" s="17" t="n">
        <v>35.7</v>
      </c>
      <c r="H1167" s="14">
        <f>IF(G1167="","",G1167*Ayarlar!$B$3+Ayarlar!$B$4+Ayarlar!$B$5)</f>
        <v/>
      </c>
      <c r="I1167" s="14">
        <f>IF(G1167="","",ROUNDUP(((G1167*Ayarlar!$B$3+Ayarlar!$B$4+Ayarlar!$B$5)+Ayarlar!$B$8)/((1-Ayarlar!$B$6)*(1-Ayarlar!$B$7)),0))</f>
        <v/>
      </c>
      <c r="J1167" s="14">
        <f>IF(G1167="","",ROUNDUP(((G1167*Ayarlar!$B$3+Ayarlar!$B$4+Ayarlar!$B$5)+Ayarlar!$B$8)/((1-Ayarlar!$B$6)*(1-Ayarlar!$B$7-Ayarlar!$B$9)),0))</f>
        <v/>
      </c>
      <c r="K1167" s="15">
        <f>IF(OR(G1167="",F1167=""),"",(F1167*(1-Ayarlar!$B$6)-(F1167*(1-Ayarlar!$B$6)*Ayarlar!$B$7+Ayarlar!$B$8)-(G1167*Ayarlar!$B$3+Ayarlar!$B$4+Ayarlar!$B$5))/(F1167*(1-Ayarlar!$B$6)))</f>
        <v/>
      </c>
      <c r="L1167" s="3">
        <f>IF(G1167="","GRAM EKSİK",IF(F1167&gt;30000,"FİYAT ŞÜPHELİ",IF(K1167&lt;0,"ZARARDA",IF(F1167&lt;I1167,"RİSKLİ","ok"))))</f>
        <v/>
      </c>
      <c r="M1167" s="16" t="inlineStr">
        <is>
          <t>https://www.etsy.com/listing/1863059407</t>
        </is>
      </c>
    </row>
    <row r="1168">
      <c r="A1168" s="9" t="inlineStr">
        <is>
          <t>legacy</t>
        </is>
      </c>
      <c r="B1168" s="9" t="inlineStr">
        <is>
          <t>14K White Gold Iced Out Bracelet / Diamond Cut Cylinder Chai</t>
        </is>
      </c>
      <c r="C1168" s="9" t="n">
        <v>1816642536</v>
      </c>
      <c r="D1168" s="9" t="inlineStr">
        <is>
          <t>BICO1-7</t>
        </is>
      </c>
      <c r="E1168" s="9" t="inlineStr">
        <is>
          <t>shipstation</t>
        </is>
      </c>
      <c r="F1168" s="10" t="n">
        <v>599</v>
      </c>
      <c r="G1168" s="18" t="n">
        <v>3.84</v>
      </c>
      <c r="H1168" s="10">
        <f>IF(G1168="","",G1168*Ayarlar!$B$3+Ayarlar!$B$4+Ayarlar!$B$5)</f>
        <v/>
      </c>
      <c r="I1168" s="10">
        <f>IF(G1168="","",ROUNDUP(((G1168*Ayarlar!$B$3+Ayarlar!$B$4+Ayarlar!$B$5)+Ayarlar!$B$8)/((1-Ayarlar!$B$6)*(1-Ayarlar!$B$7)),0))</f>
        <v/>
      </c>
      <c r="J1168" s="10">
        <f>IF(G1168="","",ROUNDUP(((G1168*Ayarlar!$B$3+Ayarlar!$B$4+Ayarlar!$B$5)+Ayarlar!$B$8)/((1-Ayarlar!$B$6)*(1-Ayarlar!$B$7-Ayarlar!$B$9)),0))</f>
        <v/>
      </c>
      <c r="K1168" s="12">
        <f>IF(OR(G1168="",F1168=""),"",(F1168*(1-Ayarlar!$B$6)-(F1168*(1-Ayarlar!$B$6)*Ayarlar!$B$7+Ayarlar!$B$8)-(G1168*Ayarlar!$B$3+Ayarlar!$B$4+Ayarlar!$B$5))/(F1168*(1-Ayarlar!$B$6)))</f>
        <v/>
      </c>
      <c r="L1168" s="9">
        <f>IF(G1168="","GRAM EKSİK",IF(F1168&gt;30000,"FİYAT ŞÜPHELİ",IF(K1168&lt;0,"ZARARDA",IF(F1168&lt;I1168,"RİSKLİ","ok"))))</f>
        <v/>
      </c>
      <c r="M1168" s="13" t="inlineStr">
        <is>
          <t>https://www.etsy.com/listing/1816642536</t>
        </is>
      </c>
    </row>
    <row r="1169">
      <c r="A1169" s="3" t="inlineStr">
        <is>
          <t>legacy</t>
        </is>
      </c>
      <c r="B1169" s="3" t="inlineStr">
        <is>
          <t>14K White Gold Iced Out Bracelet / Diamond Cut Cylinder Chai</t>
        </is>
      </c>
      <c r="C1169" s="3" t="n">
        <v>1816642536</v>
      </c>
      <c r="D1169" s="3" t="inlineStr">
        <is>
          <t>BICO1-7.5</t>
        </is>
      </c>
      <c r="E1169" s="3" t="inlineStr">
        <is>
          <t>description</t>
        </is>
      </c>
      <c r="F1169" s="14" t="n">
        <v>660</v>
      </c>
      <c r="G1169" s="17" t="n">
        <v>4.03</v>
      </c>
      <c r="H1169" s="14">
        <f>IF(G1169="","",G1169*Ayarlar!$B$3+Ayarlar!$B$4+Ayarlar!$B$5)</f>
        <v/>
      </c>
      <c r="I1169" s="14">
        <f>IF(G1169="","",ROUNDUP(((G1169*Ayarlar!$B$3+Ayarlar!$B$4+Ayarlar!$B$5)+Ayarlar!$B$8)/((1-Ayarlar!$B$6)*(1-Ayarlar!$B$7)),0))</f>
        <v/>
      </c>
      <c r="J1169" s="14">
        <f>IF(G1169="","",ROUNDUP(((G1169*Ayarlar!$B$3+Ayarlar!$B$4+Ayarlar!$B$5)+Ayarlar!$B$8)/((1-Ayarlar!$B$6)*(1-Ayarlar!$B$7-Ayarlar!$B$9)),0))</f>
        <v/>
      </c>
      <c r="K1169" s="15">
        <f>IF(OR(G1169="",F1169=""),"",(F1169*(1-Ayarlar!$B$6)-(F1169*(1-Ayarlar!$B$6)*Ayarlar!$B$7+Ayarlar!$B$8)-(G1169*Ayarlar!$B$3+Ayarlar!$B$4+Ayarlar!$B$5))/(F1169*(1-Ayarlar!$B$6)))</f>
        <v/>
      </c>
      <c r="L1169" s="3">
        <f>IF(G1169="","GRAM EKSİK",IF(F1169&gt;30000,"FİYAT ŞÜPHELİ",IF(K1169&lt;0,"ZARARDA",IF(F1169&lt;I1169,"RİSKLİ","ok"))))</f>
        <v/>
      </c>
      <c r="M1169" s="16" t="inlineStr">
        <is>
          <t>https://www.etsy.com/listing/1816642536</t>
        </is>
      </c>
    </row>
    <row r="1170">
      <c r="A1170" s="9" t="inlineStr">
        <is>
          <t>legacy</t>
        </is>
      </c>
      <c r="B1170" s="9" t="inlineStr">
        <is>
          <t>14K White Gold Iced Out Bracelet / Diamond Cut Cylinder Chai</t>
        </is>
      </c>
      <c r="C1170" s="9" t="n">
        <v>1816642536</v>
      </c>
      <c r="D1170" s="9" t="inlineStr">
        <is>
          <t>BICO1-8</t>
        </is>
      </c>
      <c r="E1170" s="9" t="inlineStr">
        <is>
          <t>description</t>
        </is>
      </c>
      <c r="F1170" s="10" t="n">
        <v>718</v>
      </c>
      <c r="G1170" s="18" t="n">
        <v>4.3</v>
      </c>
      <c r="H1170" s="10">
        <f>IF(G1170="","",G1170*Ayarlar!$B$3+Ayarlar!$B$4+Ayarlar!$B$5)</f>
        <v/>
      </c>
      <c r="I1170" s="10">
        <f>IF(G1170="","",ROUNDUP(((G1170*Ayarlar!$B$3+Ayarlar!$B$4+Ayarlar!$B$5)+Ayarlar!$B$8)/((1-Ayarlar!$B$6)*(1-Ayarlar!$B$7)),0))</f>
        <v/>
      </c>
      <c r="J1170" s="10">
        <f>IF(G1170="","",ROUNDUP(((G1170*Ayarlar!$B$3+Ayarlar!$B$4+Ayarlar!$B$5)+Ayarlar!$B$8)/((1-Ayarlar!$B$6)*(1-Ayarlar!$B$7-Ayarlar!$B$9)),0))</f>
        <v/>
      </c>
      <c r="K1170" s="12">
        <f>IF(OR(G1170="",F1170=""),"",(F1170*(1-Ayarlar!$B$6)-(F1170*(1-Ayarlar!$B$6)*Ayarlar!$B$7+Ayarlar!$B$8)-(G1170*Ayarlar!$B$3+Ayarlar!$B$4+Ayarlar!$B$5))/(F1170*(1-Ayarlar!$B$6)))</f>
        <v/>
      </c>
      <c r="L1170" s="9">
        <f>IF(G1170="","GRAM EKSİK",IF(F1170&gt;30000,"FİYAT ŞÜPHELİ",IF(K1170&lt;0,"ZARARDA",IF(F1170&lt;I1170,"RİSKLİ","ok"))))</f>
        <v/>
      </c>
      <c r="M1170" s="13" t="inlineStr">
        <is>
          <t>https://www.etsy.com/listing/1816642536</t>
        </is>
      </c>
    </row>
    <row r="1171">
      <c r="A1171" s="3" t="inlineStr">
        <is>
          <t>legacy</t>
        </is>
      </c>
      <c r="B1171" s="3" t="inlineStr">
        <is>
          <t>14K White Gold Iced Out Bracelet / Diamond Cut Cylinder Chai</t>
        </is>
      </c>
      <c r="C1171" s="3" t="n">
        <v>1816642536</v>
      </c>
      <c r="D1171" s="3" t="inlineStr">
        <is>
          <t>BICO2-7</t>
        </is>
      </c>
      <c r="E1171" s="3" t="inlineStr">
        <is>
          <t>description</t>
        </is>
      </c>
      <c r="F1171" s="14" t="n">
        <v>1156</v>
      </c>
      <c r="G1171" s="17" t="n">
        <v>6.13</v>
      </c>
      <c r="H1171" s="14">
        <f>IF(G1171="","",G1171*Ayarlar!$B$3+Ayarlar!$B$4+Ayarlar!$B$5)</f>
        <v/>
      </c>
      <c r="I1171" s="14">
        <f>IF(G1171="","",ROUNDUP(((G1171*Ayarlar!$B$3+Ayarlar!$B$4+Ayarlar!$B$5)+Ayarlar!$B$8)/((1-Ayarlar!$B$6)*(1-Ayarlar!$B$7)),0))</f>
        <v/>
      </c>
      <c r="J1171" s="14">
        <f>IF(G1171="","",ROUNDUP(((G1171*Ayarlar!$B$3+Ayarlar!$B$4+Ayarlar!$B$5)+Ayarlar!$B$8)/((1-Ayarlar!$B$6)*(1-Ayarlar!$B$7-Ayarlar!$B$9)),0))</f>
        <v/>
      </c>
      <c r="K1171" s="15">
        <f>IF(OR(G1171="",F1171=""),"",(F1171*(1-Ayarlar!$B$6)-(F1171*(1-Ayarlar!$B$6)*Ayarlar!$B$7+Ayarlar!$B$8)-(G1171*Ayarlar!$B$3+Ayarlar!$B$4+Ayarlar!$B$5))/(F1171*(1-Ayarlar!$B$6)))</f>
        <v/>
      </c>
      <c r="L1171" s="3">
        <f>IF(G1171="","GRAM EKSİK",IF(F1171&gt;30000,"FİYAT ŞÜPHELİ",IF(K1171&lt;0,"ZARARDA",IF(F1171&lt;I1171,"RİSKLİ","ok"))))</f>
        <v/>
      </c>
      <c r="M1171" s="16" t="inlineStr">
        <is>
          <t>https://www.etsy.com/listing/1816642536</t>
        </is>
      </c>
    </row>
    <row r="1172">
      <c r="A1172" s="9" t="inlineStr">
        <is>
          <t>legacy</t>
        </is>
      </c>
      <c r="B1172" s="9" t="inlineStr">
        <is>
          <t>14K White Gold Iced Out Bracelet / Diamond Cut Cylinder Chai</t>
        </is>
      </c>
      <c r="C1172" s="9" t="n">
        <v>1816642536</v>
      </c>
      <c r="D1172" s="9" t="inlineStr">
        <is>
          <t>BICO2-7.5</t>
        </is>
      </c>
      <c r="E1172" s="9" t="inlineStr">
        <is>
          <t>description</t>
        </is>
      </c>
      <c r="F1172" s="10" t="n">
        <v>1204</v>
      </c>
      <c r="G1172" s="18" t="n">
        <v>6.56</v>
      </c>
      <c r="H1172" s="10">
        <f>IF(G1172="","",G1172*Ayarlar!$B$3+Ayarlar!$B$4+Ayarlar!$B$5)</f>
        <v/>
      </c>
      <c r="I1172" s="10">
        <f>IF(G1172="","",ROUNDUP(((G1172*Ayarlar!$B$3+Ayarlar!$B$4+Ayarlar!$B$5)+Ayarlar!$B$8)/((1-Ayarlar!$B$6)*(1-Ayarlar!$B$7)),0))</f>
        <v/>
      </c>
      <c r="J1172" s="10">
        <f>IF(G1172="","",ROUNDUP(((G1172*Ayarlar!$B$3+Ayarlar!$B$4+Ayarlar!$B$5)+Ayarlar!$B$8)/((1-Ayarlar!$B$6)*(1-Ayarlar!$B$7-Ayarlar!$B$9)),0))</f>
        <v/>
      </c>
      <c r="K1172" s="12">
        <f>IF(OR(G1172="",F1172=""),"",(F1172*(1-Ayarlar!$B$6)-(F1172*(1-Ayarlar!$B$6)*Ayarlar!$B$7+Ayarlar!$B$8)-(G1172*Ayarlar!$B$3+Ayarlar!$B$4+Ayarlar!$B$5))/(F1172*(1-Ayarlar!$B$6)))</f>
        <v/>
      </c>
      <c r="L1172" s="9">
        <f>IF(G1172="","GRAM EKSİK",IF(F1172&gt;30000,"FİYAT ŞÜPHELİ",IF(K1172&lt;0,"ZARARDA",IF(F1172&lt;I1172,"RİSKLİ","ok"))))</f>
        <v/>
      </c>
      <c r="M1172" s="13" t="inlineStr">
        <is>
          <t>https://www.etsy.com/listing/1816642536</t>
        </is>
      </c>
    </row>
    <row r="1173">
      <c r="A1173" s="3" t="inlineStr">
        <is>
          <t>legacy</t>
        </is>
      </c>
      <c r="B1173" s="3" t="inlineStr">
        <is>
          <t>14K White Gold Iced Out Bracelet / Diamond Cut Cylinder Chai</t>
        </is>
      </c>
      <c r="C1173" s="3" t="n">
        <v>1816642536</v>
      </c>
      <c r="D1173" s="3" t="inlineStr">
        <is>
          <t>BICO2-8</t>
        </is>
      </c>
      <c r="E1173" s="3" t="inlineStr">
        <is>
          <t>shipstation</t>
        </is>
      </c>
      <c r="F1173" s="14" t="n">
        <v>1254</v>
      </c>
      <c r="G1173" s="17" t="n">
        <v>7</v>
      </c>
      <c r="H1173" s="14">
        <f>IF(G1173="","",G1173*Ayarlar!$B$3+Ayarlar!$B$4+Ayarlar!$B$5)</f>
        <v/>
      </c>
      <c r="I1173" s="14">
        <f>IF(G1173="","",ROUNDUP(((G1173*Ayarlar!$B$3+Ayarlar!$B$4+Ayarlar!$B$5)+Ayarlar!$B$8)/((1-Ayarlar!$B$6)*(1-Ayarlar!$B$7)),0))</f>
        <v/>
      </c>
      <c r="J1173" s="14">
        <f>IF(G1173="","",ROUNDUP(((G1173*Ayarlar!$B$3+Ayarlar!$B$4+Ayarlar!$B$5)+Ayarlar!$B$8)/((1-Ayarlar!$B$6)*(1-Ayarlar!$B$7-Ayarlar!$B$9)),0))</f>
        <v/>
      </c>
      <c r="K1173" s="15">
        <f>IF(OR(G1173="",F1173=""),"",(F1173*(1-Ayarlar!$B$6)-(F1173*(1-Ayarlar!$B$6)*Ayarlar!$B$7+Ayarlar!$B$8)-(G1173*Ayarlar!$B$3+Ayarlar!$B$4+Ayarlar!$B$5))/(F1173*(1-Ayarlar!$B$6)))</f>
        <v/>
      </c>
      <c r="L1173" s="3">
        <f>IF(G1173="","GRAM EKSİK",IF(F1173&gt;30000,"FİYAT ŞÜPHELİ",IF(K1173&lt;0,"ZARARDA",IF(F1173&lt;I1173,"RİSKLİ","ok"))))</f>
        <v/>
      </c>
      <c r="M1173" s="16" t="inlineStr">
        <is>
          <t>https://www.etsy.com/listing/1816642536</t>
        </is>
      </c>
    </row>
    <row r="1174">
      <c r="A1174" s="9" t="inlineStr">
        <is>
          <t>legacy</t>
        </is>
      </c>
      <c r="B1174" s="9" t="inlineStr">
        <is>
          <t>14K White Gold Iced Out Bracelet / Diamond Cut Cylinder Chai</t>
        </is>
      </c>
      <c r="C1174" s="9" t="n">
        <v>1816642536</v>
      </c>
      <c r="D1174" s="9" t="inlineStr">
        <is>
          <t>BICO3-7</t>
        </is>
      </c>
      <c r="E1174" s="9" t="inlineStr">
        <is>
          <t>shipstation</t>
        </is>
      </c>
      <c r="F1174" s="10" t="n">
        <v>1461</v>
      </c>
      <c r="G1174" s="18" t="n">
        <v>7.86</v>
      </c>
      <c r="H1174" s="10">
        <f>IF(G1174="","",G1174*Ayarlar!$B$3+Ayarlar!$B$4+Ayarlar!$B$5)</f>
        <v/>
      </c>
      <c r="I1174" s="10">
        <f>IF(G1174="","",ROUNDUP(((G1174*Ayarlar!$B$3+Ayarlar!$B$4+Ayarlar!$B$5)+Ayarlar!$B$8)/((1-Ayarlar!$B$6)*(1-Ayarlar!$B$7)),0))</f>
        <v/>
      </c>
      <c r="J1174" s="10">
        <f>IF(G1174="","",ROUNDUP(((G1174*Ayarlar!$B$3+Ayarlar!$B$4+Ayarlar!$B$5)+Ayarlar!$B$8)/((1-Ayarlar!$B$6)*(1-Ayarlar!$B$7-Ayarlar!$B$9)),0))</f>
        <v/>
      </c>
      <c r="K1174" s="12">
        <f>IF(OR(G1174="",F1174=""),"",(F1174*(1-Ayarlar!$B$6)-(F1174*(1-Ayarlar!$B$6)*Ayarlar!$B$7+Ayarlar!$B$8)-(G1174*Ayarlar!$B$3+Ayarlar!$B$4+Ayarlar!$B$5))/(F1174*(1-Ayarlar!$B$6)))</f>
        <v/>
      </c>
      <c r="L1174" s="9">
        <f>IF(G1174="","GRAM EKSİK",IF(F1174&gt;30000,"FİYAT ŞÜPHELİ",IF(K1174&lt;0,"ZARARDA",IF(F1174&lt;I1174,"RİSKLİ","ok"))))</f>
        <v/>
      </c>
      <c r="M1174" s="13" t="inlineStr">
        <is>
          <t>https://www.etsy.com/listing/1816642536</t>
        </is>
      </c>
    </row>
    <row r="1175">
      <c r="A1175" s="3" t="inlineStr">
        <is>
          <t>legacy</t>
        </is>
      </c>
      <c r="B1175" s="3" t="inlineStr">
        <is>
          <t>14K White Gold Iced Out Bracelet / Diamond Cut Cylinder Chai</t>
        </is>
      </c>
      <c r="C1175" s="3" t="n">
        <v>1816642536</v>
      </c>
      <c r="D1175" s="3" t="inlineStr">
        <is>
          <t>BICO3-7.5</t>
        </is>
      </c>
      <c r="E1175" s="3" t="inlineStr">
        <is>
          <t>description</t>
        </is>
      </c>
      <c r="F1175" s="14" t="n">
        <v>1526</v>
      </c>
      <c r="G1175" s="17" t="n">
        <v>8.25</v>
      </c>
      <c r="H1175" s="14">
        <f>IF(G1175="","",G1175*Ayarlar!$B$3+Ayarlar!$B$4+Ayarlar!$B$5)</f>
        <v/>
      </c>
      <c r="I1175" s="14">
        <f>IF(G1175="","",ROUNDUP(((G1175*Ayarlar!$B$3+Ayarlar!$B$4+Ayarlar!$B$5)+Ayarlar!$B$8)/((1-Ayarlar!$B$6)*(1-Ayarlar!$B$7)),0))</f>
        <v/>
      </c>
      <c r="J1175" s="14">
        <f>IF(G1175="","",ROUNDUP(((G1175*Ayarlar!$B$3+Ayarlar!$B$4+Ayarlar!$B$5)+Ayarlar!$B$8)/((1-Ayarlar!$B$6)*(1-Ayarlar!$B$7-Ayarlar!$B$9)),0))</f>
        <v/>
      </c>
      <c r="K1175" s="15">
        <f>IF(OR(G1175="",F1175=""),"",(F1175*(1-Ayarlar!$B$6)-(F1175*(1-Ayarlar!$B$6)*Ayarlar!$B$7+Ayarlar!$B$8)-(G1175*Ayarlar!$B$3+Ayarlar!$B$4+Ayarlar!$B$5))/(F1175*(1-Ayarlar!$B$6)))</f>
        <v/>
      </c>
      <c r="L1175" s="3">
        <f>IF(G1175="","GRAM EKSİK",IF(F1175&gt;30000,"FİYAT ŞÜPHELİ",IF(K1175&lt;0,"ZARARDA",IF(F1175&lt;I1175,"RİSKLİ","ok"))))</f>
        <v/>
      </c>
      <c r="M1175" s="16" t="inlineStr">
        <is>
          <t>https://www.etsy.com/listing/1816642536</t>
        </is>
      </c>
    </row>
    <row r="1176">
      <c r="A1176" s="9" t="inlineStr">
        <is>
          <t>legacy</t>
        </is>
      </c>
      <c r="B1176" s="9" t="inlineStr">
        <is>
          <t>14K White Gold Iced Out Bracelet / Diamond Cut Cylinder Chai</t>
        </is>
      </c>
      <c r="C1176" s="9" t="n">
        <v>1816642536</v>
      </c>
      <c r="D1176" s="9" t="inlineStr">
        <is>
          <t>BICO3-8</t>
        </is>
      </c>
      <c r="E1176" s="9" t="inlineStr">
        <is>
          <t>description</t>
        </is>
      </c>
      <c r="F1176" s="10" t="n">
        <v>1587</v>
      </c>
      <c r="G1176" s="18" t="n">
        <v>8.800000000000001</v>
      </c>
      <c r="H1176" s="10">
        <f>IF(G1176="","",G1176*Ayarlar!$B$3+Ayarlar!$B$4+Ayarlar!$B$5)</f>
        <v/>
      </c>
      <c r="I1176" s="10">
        <f>IF(G1176="","",ROUNDUP(((G1176*Ayarlar!$B$3+Ayarlar!$B$4+Ayarlar!$B$5)+Ayarlar!$B$8)/((1-Ayarlar!$B$6)*(1-Ayarlar!$B$7)),0))</f>
        <v/>
      </c>
      <c r="J1176" s="10">
        <f>IF(G1176="","",ROUNDUP(((G1176*Ayarlar!$B$3+Ayarlar!$B$4+Ayarlar!$B$5)+Ayarlar!$B$8)/((1-Ayarlar!$B$6)*(1-Ayarlar!$B$7-Ayarlar!$B$9)),0))</f>
        <v/>
      </c>
      <c r="K1176" s="12">
        <f>IF(OR(G1176="",F1176=""),"",(F1176*(1-Ayarlar!$B$6)-(F1176*(1-Ayarlar!$B$6)*Ayarlar!$B$7+Ayarlar!$B$8)-(G1176*Ayarlar!$B$3+Ayarlar!$B$4+Ayarlar!$B$5))/(F1176*(1-Ayarlar!$B$6)))</f>
        <v/>
      </c>
      <c r="L1176" s="9">
        <f>IF(G1176="","GRAM EKSİK",IF(F1176&gt;30000,"FİYAT ŞÜPHELİ",IF(K1176&lt;0,"ZARARDA",IF(F1176&lt;I1176,"RİSKLİ","ok"))))</f>
        <v/>
      </c>
      <c r="M1176" s="13" t="inlineStr">
        <is>
          <t>https://www.etsy.com/listing/1816642536</t>
        </is>
      </c>
    </row>
    <row r="1177">
      <c r="A1177" s="3" t="inlineStr">
        <is>
          <t>legacy</t>
        </is>
      </c>
      <c r="B1177" s="3" t="inlineStr">
        <is>
          <t>14K White Gold Iced Out Bracelet / Diamond Cut Cylinder Chai</t>
        </is>
      </c>
      <c r="C1177" s="3" t="n">
        <v>1816642536</v>
      </c>
      <c r="D1177" s="3" t="inlineStr">
        <is>
          <t>BICO4-7</t>
        </is>
      </c>
      <c r="E1177" s="3" t="inlineStr">
        <is>
          <t>description</t>
        </is>
      </c>
      <c r="F1177" s="14" t="n">
        <v>1696</v>
      </c>
      <c r="G1177" s="17" t="n">
        <v>9.630000000000001</v>
      </c>
      <c r="H1177" s="14">
        <f>IF(G1177="","",G1177*Ayarlar!$B$3+Ayarlar!$B$4+Ayarlar!$B$5)</f>
        <v/>
      </c>
      <c r="I1177" s="14">
        <f>IF(G1177="","",ROUNDUP(((G1177*Ayarlar!$B$3+Ayarlar!$B$4+Ayarlar!$B$5)+Ayarlar!$B$8)/((1-Ayarlar!$B$6)*(1-Ayarlar!$B$7)),0))</f>
        <v/>
      </c>
      <c r="J1177" s="14">
        <f>IF(G1177="","",ROUNDUP(((G1177*Ayarlar!$B$3+Ayarlar!$B$4+Ayarlar!$B$5)+Ayarlar!$B$8)/((1-Ayarlar!$B$6)*(1-Ayarlar!$B$7-Ayarlar!$B$9)),0))</f>
        <v/>
      </c>
      <c r="K1177" s="15">
        <f>IF(OR(G1177="",F1177=""),"",(F1177*(1-Ayarlar!$B$6)-(F1177*(1-Ayarlar!$B$6)*Ayarlar!$B$7+Ayarlar!$B$8)-(G1177*Ayarlar!$B$3+Ayarlar!$B$4+Ayarlar!$B$5))/(F1177*(1-Ayarlar!$B$6)))</f>
        <v/>
      </c>
      <c r="L1177" s="3">
        <f>IF(G1177="","GRAM EKSİK",IF(F1177&gt;30000,"FİYAT ŞÜPHELİ",IF(K1177&lt;0,"ZARARDA",IF(F1177&lt;I1177,"RİSKLİ","ok"))))</f>
        <v/>
      </c>
      <c r="M1177" s="16" t="inlineStr">
        <is>
          <t>https://www.etsy.com/listing/1816642536</t>
        </is>
      </c>
    </row>
    <row r="1178">
      <c r="A1178" s="9" t="inlineStr">
        <is>
          <t>legacy</t>
        </is>
      </c>
      <c r="B1178" s="9" t="inlineStr">
        <is>
          <t>14K White Gold Iced Out Bracelet / Diamond Cut Cylinder Chai</t>
        </is>
      </c>
      <c r="C1178" s="9" t="n">
        <v>1816642536</v>
      </c>
      <c r="D1178" s="9" t="inlineStr">
        <is>
          <t>BICO4-7.5</t>
        </is>
      </c>
      <c r="E1178" s="9" t="inlineStr">
        <is>
          <t>description</t>
        </is>
      </c>
      <c r="F1178" s="10" t="n">
        <v>1776</v>
      </c>
      <c r="G1178" s="18" t="n">
        <v>10.31</v>
      </c>
      <c r="H1178" s="10">
        <f>IF(G1178="","",G1178*Ayarlar!$B$3+Ayarlar!$B$4+Ayarlar!$B$5)</f>
        <v/>
      </c>
      <c r="I1178" s="10">
        <f>IF(G1178="","",ROUNDUP(((G1178*Ayarlar!$B$3+Ayarlar!$B$4+Ayarlar!$B$5)+Ayarlar!$B$8)/((1-Ayarlar!$B$6)*(1-Ayarlar!$B$7)),0))</f>
        <v/>
      </c>
      <c r="J1178" s="10">
        <f>IF(G1178="","",ROUNDUP(((G1178*Ayarlar!$B$3+Ayarlar!$B$4+Ayarlar!$B$5)+Ayarlar!$B$8)/((1-Ayarlar!$B$6)*(1-Ayarlar!$B$7-Ayarlar!$B$9)),0))</f>
        <v/>
      </c>
      <c r="K1178" s="12">
        <f>IF(OR(G1178="",F1178=""),"",(F1178*(1-Ayarlar!$B$6)-(F1178*(1-Ayarlar!$B$6)*Ayarlar!$B$7+Ayarlar!$B$8)-(G1178*Ayarlar!$B$3+Ayarlar!$B$4+Ayarlar!$B$5))/(F1178*(1-Ayarlar!$B$6)))</f>
        <v/>
      </c>
      <c r="L1178" s="9">
        <f>IF(G1178="","GRAM EKSİK",IF(F1178&gt;30000,"FİYAT ŞÜPHELİ",IF(K1178&lt;0,"ZARARDA",IF(F1178&lt;I1178,"RİSKLİ","ok"))))</f>
        <v/>
      </c>
      <c r="M1178" s="13" t="inlineStr">
        <is>
          <t>https://www.etsy.com/listing/1816642536</t>
        </is>
      </c>
    </row>
    <row r="1179">
      <c r="A1179" s="3" t="inlineStr">
        <is>
          <t>legacy</t>
        </is>
      </c>
      <c r="B1179" s="3" t="inlineStr">
        <is>
          <t>14K White Gold Iced Out Bracelet / Diamond Cut Cylinder Chai</t>
        </is>
      </c>
      <c r="C1179" s="3" t="n">
        <v>1816642536</v>
      </c>
      <c r="D1179" s="3" t="inlineStr">
        <is>
          <t>BICO4-8</t>
        </is>
      </c>
      <c r="E1179" s="3" t="inlineStr">
        <is>
          <t>description</t>
        </is>
      </c>
      <c r="F1179" s="14" t="n">
        <v>1912</v>
      </c>
      <c r="G1179" s="17" t="n">
        <v>11</v>
      </c>
      <c r="H1179" s="14">
        <f>IF(G1179="","",G1179*Ayarlar!$B$3+Ayarlar!$B$4+Ayarlar!$B$5)</f>
        <v/>
      </c>
      <c r="I1179" s="14">
        <f>IF(G1179="","",ROUNDUP(((G1179*Ayarlar!$B$3+Ayarlar!$B$4+Ayarlar!$B$5)+Ayarlar!$B$8)/((1-Ayarlar!$B$6)*(1-Ayarlar!$B$7)),0))</f>
        <v/>
      </c>
      <c r="J1179" s="14">
        <f>IF(G1179="","",ROUNDUP(((G1179*Ayarlar!$B$3+Ayarlar!$B$4+Ayarlar!$B$5)+Ayarlar!$B$8)/((1-Ayarlar!$B$6)*(1-Ayarlar!$B$7-Ayarlar!$B$9)),0))</f>
        <v/>
      </c>
      <c r="K1179" s="15">
        <f>IF(OR(G1179="",F1179=""),"",(F1179*(1-Ayarlar!$B$6)-(F1179*(1-Ayarlar!$B$6)*Ayarlar!$B$7+Ayarlar!$B$8)-(G1179*Ayarlar!$B$3+Ayarlar!$B$4+Ayarlar!$B$5))/(F1179*(1-Ayarlar!$B$6)))</f>
        <v/>
      </c>
      <c r="L1179" s="3">
        <f>IF(G1179="","GRAM EKSİK",IF(F1179&gt;30000,"FİYAT ŞÜPHELİ",IF(K1179&lt;0,"ZARARDA",IF(F1179&lt;I1179,"RİSKLİ","ok"))))</f>
        <v/>
      </c>
      <c r="M1179" s="16" t="inlineStr">
        <is>
          <t>https://www.etsy.com/listing/1816642536</t>
        </is>
      </c>
    </row>
    <row r="1180">
      <c r="A1180" s="9" t="inlineStr">
        <is>
          <t>legacy</t>
        </is>
      </c>
      <c r="B1180" s="9" t="inlineStr">
        <is>
          <t>14K White Gold Iced Out Bracelet / Diamond Cut Cylinder Chai</t>
        </is>
      </c>
      <c r="C1180" s="9" t="n">
        <v>1816642536</v>
      </c>
      <c r="D1180" s="9" t="inlineStr">
        <is>
          <t>BICO5-7</t>
        </is>
      </c>
      <c r="E1180" s="9" t="inlineStr">
        <is>
          <t>description</t>
        </is>
      </c>
      <c r="F1180" s="10" t="n">
        <v>1837</v>
      </c>
      <c r="G1180" s="18" t="n">
        <v>11.88</v>
      </c>
      <c r="H1180" s="10">
        <f>IF(G1180="","",G1180*Ayarlar!$B$3+Ayarlar!$B$4+Ayarlar!$B$5)</f>
        <v/>
      </c>
      <c r="I1180" s="10">
        <f>IF(G1180="","",ROUNDUP(((G1180*Ayarlar!$B$3+Ayarlar!$B$4+Ayarlar!$B$5)+Ayarlar!$B$8)/((1-Ayarlar!$B$6)*(1-Ayarlar!$B$7)),0))</f>
        <v/>
      </c>
      <c r="J1180" s="10">
        <f>IF(G1180="","",ROUNDUP(((G1180*Ayarlar!$B$3+Ayarlar!$B$4+Ayarlar!$B$5)+Ayarlar!$B$8)/((1-Ayarlar!$B$6)*(1-Ayarlar!$B$7-Ayarlar!$B$9)),0))</f>
        <v/>
      </c>
      <c r="K1180" s="12">
        <f>IF(OR(G1180="",F1180=""),"",(F1180*(1-Ayarlar!$B$6)-(F1180*(1-Ayarlar!$B$6)*Ayarlar!$B$7+Ayarlar!$B$8)-(G1180*Ayarlar!$B$3+Ayarlar!$B$4+Ayarlar!$B$5))/(F1180*(1-Ayarlar!$B$6)))</f>
        <v/>
      </c>
      <c r="L1180" s="9">
        <f>IF(G1180="","GRAM EKSİK",IF(F1180&gt;30000,"FİYAT ŞÜPHELİ",IF(K1180&lt;0,"ZARARDA",IF(F1180&lt;I1180,"RİSKLİ","ok"))))</f>
        <v/>
      </c>
      <c r="M1180" s="13" t="inlineStr">
        <is>
          <t>https://www.etsy.com/listing/1816642536</t>
        </is>
      </c>
    </row>
    <row r="1181">
      <c r="A1181" s="3" t="inlineStr">
        <is>
          <t>legacy</t>
        </is>
      </c>
      <c r="B1181" s="3" t="inlineStr">
        <is>
          <t>14K White Gold Iced Out Bracelet / Diamond Cut Cylinder Chai</t>
        </is>
      </c>
      <c r="C1181" s="3" t="n">
        <v>1816642536</v>
      </c>
      <c r="D1181" s="3" t="inlineStr">
        <is>
          <t>BICO5-7.5</t>
        </is>
      </c>
      <c r="E1181" s="3" t="inlineStr">
        <is>
          <t>description</t>
        </is>
      </c>
      <c r="F1181" s="14" t="n">
        <v>1963</v>
      </c>
      <c r="G1181" s="17" t="n">
        <v>12.73</v>
      </c>
      <c r="H1181" s="14">
        <f>IF(G1181="","",G1181*Ayarlar!$B$3+Ayarlar!$B$4+Ayarlar!$B$5)</f>
        <v/>
      </c>
      <c r="I1181" s="14">
        <f>IF(G1181="","",ROUNDUP(((G1181*Ayarlar!$B$3+Ayarlar!$B$4+Ayarlar!$B$5)+Ayarlar!$B$8)/((1-Ayarlar!$B$6)*(1-Ayarlar!$B$7)),0))</f>
        <v/>
      </c>
      <c r="J1181" s="14">
        <f>IF(G1181="","",ROUNDUP(((G1181*Ayarlar!$B$3+Ayarlar!$B$4+Ayarlar!$B$5)+Ayarlar!$B$8)/((1-Ayarlar!$B$6)*(1-Ayarlar!$B$7-Ayarlar!$B$9)),0))</f>
        <v/>
      </c>
      <c r="K1181" s="15">
        <f>IF(OR(G1181="",F1181=""),"",(F1181*(1-Ayarlar!$B$6)-(F1181*(1-Ayarlar!$B$6)*Ayarlar!$B$7+Ayarlar!$B$8)-(G1181*Ayarlar!$B$3+Ayarlar!$B$4+Ayarlar!$B$5))/(F1181*(1-Ayarlar!$B$6)))</f>
        <v/>
      </c>
      <c r="L1181" s="3">
        <f>IF(G1181="","GRAM EKSİK",IF(F1181&gt;30000,"FİYAT ŞÜPHELİ",IF(K1181&lt;0,"ZARARDA",IF(F1181&lt;I1181,"RİSKLİ","ok"))))</f>
        <v/>
      </c>
      <c r="M1181" s="16" t="inlineStr">
        <is>
          <t>https://www.etsy.com/listing/1816642536</t>
        </is>
      </c>
    </row>
    <row r="1182">
      <c r="A1182" s="9" t="inlineStr">
        <is>
          <t>legacy</t>
        </is>
      </c>
      <c r="B1182" s="9" t="inlineStr">
        <is>
          <t>14K White Gold Iced Out Bracelet / Diamond Cut Cylinder Chai</t>
        </is>
      </c>
      <c r="C1182" s="9" t="n">
        <v>1816642536</v>
      </c>
      <c r="D1182" s="9" t="inlineStr">
        <is>
          <t>BICO5.7.5</t>
        </is>
      </c>
      <c r="E1182" s="9" t="inlineStr">
        <is>
          <t>shipstation</t>
        </is>
      </c>
      <c r="F1182" s="10" t="n">
        <v>2204</v>
      </c>
      <c r="G1182" s="18" t="n">
        <v>11.8</v>
      </c>
      <c r="H1182" s="10">
        <f>IF(G1182="","",G1182*Ayarlar!$B$3+Ayarlar!$B$4+Ayarlar!$B$5)</f>
        <v/>
      </c>
      <c r="I1182" s="10">
        <f>IF(G1182="","",ROUNDUP(((G1182*Ayarlar!$B$3+Ayarlar!$B$4+Ayarlar!$B$5)+Ayarlar!$B$8)/((1-Ayarlar!$B$6)*(1-Ayarlar!$B$7)),0))</f>
        <v/>
      </c>
      <c r="J1182" s="10">
        <f>IF(G1182="","",ROUNDUP(((G1182*Ayarlar!$B$3+Ayarlar!$B$4+Ayarlar!$B$5)+Ayarlar!$B$8)/((1-Ayarlar!$B$6)*(1-Ayarlar!$B$7-Ayarlar!$B$9)),0))</f>
        <v/>
      </c>
      <c r="K1182" s="12">
        <f>IF(OR(G1182="",F1182=""),"",(F1182*(1-Ayarlar!$B$6)-(F1182*(1-Ayarlar!$B$6)*Ayarlar!$B$7+Ayarlar!$B$8)-(G1182*Ayarlar!$B$3+Ayarlar!$B$4+Ayarlar!$B$5))/(F1182*(1-Ayarlar!$B$6)))</f>
        <v/>
      </c>
      <c r="L1182" s="9">
        <f>IF(G1182="","GRAM EKSİK",IF(F1182&gt;30000,"FİYAT ŞÜPHELİ",IF(K1182&lt;0,"ZARARDA",IF(F1182&lt;I1182,"RİSKLİ","ok"))))</f>
        <v/>
      </c>
      <c r="M1182" s="13" t="inlineStr">
        <is>
          <t>https://www.etsy.com/listing/1816642536</t>
        </is>
      </c>
    </row>
    <row r="1183">
      <c r="A1183" s="3" t="inlineStr">
        <is>
          <t>legacy</t>
        </is>
      </c>
      <c r="B1183" s="3" t="inlineStr">
        <is>
          <t>14K Yellow Gold Franco Bracelet – Minimalist Fine Jewelry Gi</t>
        </is>
      </c>
      <c r="C1183" s="3" t="n">
        <v>1336346678</v>
      </c>
      <c r="D1183" s="3" t="inlineStr">
        <is>
          <t>BFR3-9</t>
        </is>
      </c>
      <c r="E1183" s="3" t="inlineStr">
        <is>
          <t>description</t>
        </is>
      </c>
      <c r="F1183" s="14" t="n">
        <v>2038</v>
      </c>
      <c r="G1183" s="17" t="n">
        <v>6.41</v>
      </c>
      <c r="H1183" s="14">
        <f>IF(G1183="","",G1183*Ayarlar!$B$3+Ayarlar!$B$4+Ayarlar!$B$5)</f>
        <v/>
      </c>
      <c r="I1183" s="14">
        <f>IF(G1183="","",ROUNDUP(((G1183*Ayarlar!$B$3+Ayarlar!$B$4+Ayarlar!$B$5)+Ayarlar!$B$8)/((1-Ayarlar!$B$6)*(1-Ayarlar!$B$7)),0))</f>
        <v/>
      </c>
      <c r="J1183" s="14">
        <f>IF(G1183="","",ROUNDUP(((G1183*Ayarlar!$B$3+Ayarlar!$B$4+Ayarlar!$B$5)+Ayarlar!$B$8)/((1-Ayarlar!$B$6)*(1-Ayarlar!$B$7-Ayarlar!$B$9)),0))</f>
        <v/>
      </c>
      <c r="K1183" s="15">
        <f>IF(OR(G1183="",F1183=""),"",(F1183*(1-Ayarlar!$B$6)-(F1183*(1-Ayarlar!$B$6)*Ayarlar!$B$7+Ayarlar!$B$8)-(G1183*Ayarlar!$B$3+Ayarlar!$B$4+Ayarlar!$B$5))/(F1183*(1-Ayarlar!$B$6)))</f>
        <v/>
      </c>
      <c r="L1183" s="3">
        <f>IF(G1183="","GRAM EKSİK",IF(F1183&gt;30000,"FİYAT ŞÜPHELİ",IF(K1183&lt;0,"ZARARDA",IF(F1183&lt;I1183,"RİSKLİ","ok"))))</f>
        <v/>
      </c>
      <c r="M1183" s="16" t="inlineStr">
        <is>
          <t>https://www.etsy.com/listing/1336346678</t>
        </is>
      </c>
    </row>
    <row r="1184">
      <c r="A1184" s="9" t="inlineStr">
        <is>
          <t>legacy</t>
        </is>
      </c>
      <c r="B1184" s="9" t="inlineStr">
        <is>
          <t>14K Yellow Gold Franco Bracelet – Minimalist Fine Jewelry Gi</t>
        </is>
      </c>
      <c r="C1184" s="9" t="n">
        <v>1336346678</v>
      </c>
      <c r="D1184" s="9" t="inlineStr">
        <is>
          <t>BFR3F-7</t>
        </is>
      </c>
      <c r="E1184" s="9" t="inlineStr">
        <is>
          <t>description</t>
        </is>
      </c>
      <c r="F1184" s="10" t="n">
        <v>1006</v>
      </c>
      <c r="G1184" s="18" t="n">
        <v>4.99</v>
      </c>
      <c r="H1184" s="10">
        <f>IF(G1184="","",G1184*Ayarlar!$B$3+Ayarlar!$B$4+Ayarlar!$B$5)</f>
        <v/>
      </c>
      <c r="I1184" s="10">
        <f>IF(G1184="","",ROUNDUP(((G1184*Ayarlar!$B$3+Ayarlar!$B$4+Ayarlar!$B$5)+Ayarlar!$B$8)/((1-Ayarlar!$B$6)*(1-Ayarlar!$B$7)),0))</f>
        <v/>
      </c>
      <c r="J1184" s="10">
        <f>IF(G1184="","",ROUNDUP(((G1184*Ayarlar!$B$3+Ayarlar!$B$4+Ayarlar!$B$5)+Ayarlar!$B$8)/((1-Ayarlar!$B$6)*(1-Ayarlar!$B$7-Ayarlar!$B$9)),0))</f>
        <v/>
      </c>
      <c r="K1184" s="12">
        <f>IF(OR(G1184="",F1184=""),"",(F1184*(1-Ayarlar!$B$6)-(F1184*(1-Ayarlar!$B$6)*Ayarlar!$B$7+Ayarlar!$B$8)-(G1184*Ayarlar!$B$3+Ayarlar!$B$4+Ayarlar!$B$5))/(F1184*(1-Ayarlar!$B$6)))</f>
        <v/>
      </c>
      <c r="L1184" s="9">
        <f>IF(G1184="","GRAM EKSİK",IF(F1184&gt;30000,"FİYAT ŞÜPHELİ",IF(K1184&lt;0,"ZARARDA",IF(F1184&lt;I1184,"RİSKLİ","ok"))))</f>
        <v/>
      </c>
      <c r="M1184" s="13" t="inlineStr">
        <is>
          <t>https://www.etsy.com/listing/1336346678</t>
        </is>
      </c>
    </row>
    <row r="1185">
      <c r="A1185" s="3" t="inlineStr">
        <is>
          <t>legacy</t>
        </is>
      </c>
      <c r="B1185" s="3" t="inlineStr">
        <is>
          <t>14K Yellow Gold Franco Bracelet – Minimalist Fine Jewelry Gi</t>
        </is>
      </c>
      <c r="C1185" s="3" t="n">
        <v>1336346678</v>
      </c>
      <c r="D1185" s="3" t="inlineStr">
        <is>
          <t>BFR3F-7.5</t>
        </is>
      </c>
      <c r="E1185" s="3" t="inlineStr">
        <is>
          <t>description</t>
        </is>
      </c>
      <c r="F1185" s="14" t="n">
        <v>1067</v>
      </c>
      <c r="G1185" s="17" t="n">
        <v>5.34</v>
      </c>
      <c r="H1185" s="14">
        <f>IF(G1185="","",G1185*Ayarlar!$B$3+Ayarlar!$B$4+Ayarlar!$B$5)</f>
        <v/>
      </c>
      <c r="I1185" s="14">
        <f>IF(G1185="","",ROUNDUP(((G1185*Ayarlar!$B$3+Ayarlar!$B$4+Ayarlar!$B$5)+Ayarlar!$B$8)/((1-Ayarlar!$B$6)*(1-Ayarlar!$B$7)),0))</f>
        <v/>
      </c>
      <c r="J1185" s="14">
        <f>IF(G1185="","",ROUNDUP(((G1185*Ayarlar!$B$3+Ayarlar!$B$4+Ayarlar!$B$5)+Ayarlar!$B$8)/((1-Ayarlar!$B$6)*(1-Ayarlar!$B$7-Ayarlar!$B$9)),0))</f>
        <v/>
      </c>
      <c r="K1185" s="15">
        <f>IF(OR(G1185="",F1185=""),"",(F1185*(1-Ayarlar!$B$6)-(F1185*(1-Ayarlar!$B$6)*Ayarlar!$B$7+Ayarlar!$B$8)-(G1185*Ayarlar!$B$3+Ayarlar!$B$4+Ayarlar!$B$5))/(F1185*(1-Ayarlar!$B$6)))</f>
        <v/>
      </c>
      <c r="L1185" s="3">
        <f>IF(G1185="","GRAM EKSİK",IF(F1185&gt;30000,"FİYAT ŞÜPHELİ",IF(K1185&lt;0,"ZARARDA",IF(F1185&lt;I1185,"RİSKLİ","ok"))))</f>
        <v/>
      </c>
      <c r="M1185" s="16" t="inlineStr">
        <is>
          <t>https://www.etsy.com/listing/1336346678</t>
        </is>
      </c>
    </row>
    <row r="1186">
      <c r="A1186" s="9" t="inlineStr">
        <is>
          <t>legacy</t>
        </is>
      </c>
      <c r="B1186" s="9" t="inlineStr">
        <is>
          <t>14K Yellow Gold Franco Bracelet – Minimalist Fine Jewelry Gi</t>
        </is>
      </c>
      <c r="C1186" s="9" t="n">
        <v>1336346678</v>
      </c>
      <c r="D1186" s="9" t="inlineStr">
        <is>
          <t>BFR3F-8</t>
        </is>
      </c>
      <c r="E1186" s="9" t="inlineStr">
        <is>
          <t>description</t>
        </is>
      </c>
      <c r="F1186" s="10" t="n">
        <v>1126</v>
      </c>
      <c r="G1186" s="18" t="n">
        <v>5.7</v>
      </c>
      <c r="H1186" s="10">
        <f>IF(G1186="","",G1186*Ayarlar!$B$3+Ayarlar!$B$4+Ayarlar!$B$5)</f>
        <v/>
      </c>
      <c r="I1186" s="10">
        <f>IF(G1186="","",ROUNDUP(((G1186*Ayarlar!$B$3+Ayarlar!$B$4+Ayarlar!$B$5)+Ayarlar!$B$8)/((1-Ayarlar!$B$6)*(1-Ayarlar!$B$7)),0))</f>
        <v/>
      </c>
      <c r="J1186" s="10">
        <f>IF(G1186="","",ROUNDUP(((G1186*Ayarlar!$B$3+Ayarlar!$B$4+Ayarlar!$B$5)+Ayarlar!$B$8)/((1-Ayarlar!$B$6)*(1-Ayarlar!$B$7-Ayarlar!$B$9)),0))</f>
        <v/>
      </c>
      <c r="K1186" s="12">
        <f>IF(OR(G1186="",F1186=""),"",(F1186*(1-Ayarlar!$B$6)-(F1186*(1-Ayarlar!$B$6)*Ayarlar!$B$7+Ayarlar!$B$8)-(G1186*Ayarlar!$B$3+Ayarlar!$B$4+Ayarlar!$B$5))/(F1186*(1-Ayarlar!$B$6)))</f>
        <v/>
      </c>
      <c r="L1186" s="9">
        <f>IF(G1186="","GRAM EKSİK",IF(F1186&gt;30000,"FİYAT ŞÜPHELİ",IF(K1186&lt;0,"ZARARDA",IF(F1186&lt;I1186,"RİSKLİ","ok"))))</f>
        <v/>
      </c>
      <c r="M1186" s="13" t="inlineStr">
        <is>
          <t>https://www.etsy.com/listing/1336346678</t>
        </is>
      </c>
    </row>
    <row r="1187">
      <c r="A1187" s="3" t="inlineStr">
        <is>
          <t>legacy</t>
        </is>
      </c>
      <c r="B1187" s="3" t="inlineStr">
        <is>
          <t>14K Yellow Gold Franco Bracelet – Minimalist Fine Jewelry Gi</t>
        </is>
      </c>
      <c r="C1187" s="3" t="n">
        <v>1336346678</v>
      </c>
      <c r="D1187" s="3" t="inlineStr">
        <is>
          <t>BFR3F-8.5</t>
        </is>
      </c>
      <c r="E1187" s="3" t="inlineStr">
        <is>
          <t>description</t>
        </is>
      </c>
      <c r="F1187" s="14" t="n">
        <v>2036</v>
      </c>
      <c r="G1187" s="17" t="n">
        <v>6.06</v>
      </c>
      <c r="H1187" s="14">
        <f>IF(G1187="","",G1187*Ayarlar!$B$3+Ayarlar!$B$4+Ayarlar!$B$5)</f>
        <v/>
      </c>
      <c r="I1187" s="14">
        <f>IF(G1187="","",ROUNDUP(((G1187*Ayarlar!$B$3+Ayarlar!$B$4+Ayarlar!$B$5)+Ayarlar!$B$8)/((1-Ayarlar!$B$6)*(1-Ayarlar!$B$7)),0))</f>
        <v/>
      </c>
      <c r="J1187" s="14">
        <f>IF(G1187="","",ROUNDUP(((G1187*Ayarlar!$B$3+Ayarlar!$B$4+Ayarlar!$B$5)+Ayarlar!$B$8)/((1-Ayarlar!$B$6)*(1-Ayarlar!$B$7-Ayarlar!$B$9)),0))</f>
        <v/>
      </c>
      <c r="K1187" s="15">
        <f>IF(OR(G1187="",F1187=""),"",(F1187*(1-Ayarlar!$B$6)-(F1187*(1-Ayarlar!$B$6)*Ayarlar!$B$7+Ayarlar!$B$8)-(G1187*Ayarlar!$B$3+Ayarlar!$B$4+Ayarlar!$B$5))/(F1187*(1-Ayarlar!$B$6)))</f>
        <v/>
      </c>
      <c r="L1187" s="3">
        <f>IF(G1187="","GRAM EKSİK",IF(F1187&gt;30000,"FİYAT ŞÜPHELİ",IF(K1187&lt;0,"ZARARDA",IF(F1187&lt;I1187,"RİSKLİ","ok"))))</f>
        <v/>
      </c>
      <c r="M1187" s="16" t="inlineStr">
        <is>
          <t>https://www.etsy.com/listing/1336346678</t>
        </is>
      </c>
    </row>
    <row r="1188">
      <c r="A1188" s="9" t="inlineStr">
        <is>
          <t>legacy</t>
        </is>
      </c>
      <c r="B1188" s="9" t="inlineStr">
        <is>
          <t>14K Yellow Gold Franco Bracelet – Minimalist Fine Jewelry Gi</t>
        </is>
      </c>
      <c r="C1188" s="9" t="n">
        <v>1336346678</v>
      </c>
      <c r="D1188" s="9" t="inlineStr">
        <is>
          <t>BFR45F-7</t>
        </is>
      </c>
      <c r="E1188" s="9" t="inlineStr">
        <is>
          <t>description</t>
        </is>
      </c>
      <c r="F1188" s="10" t="n">
        <v>1563</v>
      </c>
      <c r="G1188" s="18" t="n">
        <v>8.58</v>
      </c>
      <c r="H1188" s="10">
        <f>IF(G1188="","",G1188*Ayarlar!$B$3+Ayarlar!$B$4+Ayarlar!$B$5)</f>
        <v/>
      </c>
      <c r="I1188" s="10">
        <f>IF(G1188="","",ROUNDUP(((G1188*Ayarlar!$B$3+Ayarlar!$B$4+Ayarlar!$B$5)+Ayarlar!$B$8)/((1-Ayarlar!$B$6)*(1-Ayarlar!$B$7)),0))</f>
        <v/>
      </c>
      <c r="J1188" s="10">
        <f>IF(G1188="","",ROUNDUP(((G1188*Ayarlar!$B$3+Ayarlar!$B$4+Ayarlar!$B$5)+Ayarlar!$B$8)/((1-Ayarlar!$B$6)*(1-Ayarlar!$B$7-Ayarlar!$B$9)),0))</f>
        <v/>
      </c>
      <c r="K1188" s="12">
        <f>IF(OR(G1188="",F1188=""),"",(F1188*(1-Ayarlar!$B$6)-(F1188*(1-Ayarlar!$B$6)*Ayarlar!$B$7+Ayarlar!$B$8)-(G1188*Ayarlar!$B$3+Ayarlar!$B$4+Ayarlar!$B$5))/(F1188*(1-Ayarlar!$B$6)))</f>
        <v/>
      </c>
      <c r="L1188" s="9">
        <f>IF(G1188="","GRAM EKSİK",IF(F1188&gt;30000,"FİYAT ŞÜPHELİ",IF(K1188&lt;0,"ZARARDA",IF(F1188&lt;I1188,"RİSKLİ","ok"))))</f>
        <v/>
      </c>
      <c r="M1188" s="13" t="inlineStr">
        <is>
          <t>https://www.etsy.com/listing/1336346678</t>
        </is>
      </c>
    </row>
    <row r="1189">
      <c r="A1189" s="3" t="inlineStr">
        <is>
          <t>legacy</t>
        </is>
      </c>
      <c r="B1189" s="3" t="inlineStr">
        <is>
          <t>14K Yellow Gold Franco Bracelet – Minimalist Fine Jewelry Gi</t>
        </is>
      </c>
      <c r="C1189" s="3" t="n">
        <v>1336346678</v>
      </c>
      <c r="D1189" s="3" t="inlineStr">
        <is>
          <t>BFR45F-7.5</t>
        </is>
      </c>
      <c r="E1189" s="3" t="inlineStr">
        <is>
          <t>description</t>
        </is>
      </c>
      <c r="F1189" s="14" t="n">
        <v>1653</v>
      </c>
      <c r="G1189" s="17" t="n">
        <v>9.19</v>
      </c>
      <c r="H1189" s="14">
        <f>IF(G1189="","",G1189*Ayarlar!$B$3+Ayarlar!$B$4+Ayarlar!$B$5)</f>
        <v/>
      </c>
      <c r="I1189" s="14">
        <f>IF(G1189="","",ROUNDUP(((G1189*Ayarlar!$B$3+Ayarlar!$B$4+Ayarlar!$B$5)+Ayarlar!$B$8)/((1-Ayarlar!$B$6)*(1-Ayarlar!$B$7)),0))</f>
        <v/>
      </c>
      <c r="J1189" s="14">
        <f>IF(G1189="","",ROUNDUP(((G1189*Ayarlar!$B$3+Ayarlar!$B$4+Ayarlar!$B$5)+Ayarlar!$B$8)/((1-Ayarlar!$B$6)*(1-Ayarlar!$B$7-Ayarlar!$B$9)),0))</f>
        <v/>
      </c>
      <c r="K1189" s="15">
        <f>IF(OR(G1189="",F1189=""),"",(F1189*(1-Ayarlar!$B$6)-(F1189*(1-Ayarlar!$B$6)*Ayarlar!$B$7+Ayarlar!$B$8)-(G1189*Ayarlar!$B$3+Ayarlar!$B$4+Ayarlar!$B$5))/(F1189*(1-Ayarlar!$B$6)))</f>
        <v/>
      </c>
      <c r="L1189" s="3">
        <f>IF(G1189="","GRAM EKSİK",IF(F1189&gt;30000,"FİYAT ŞÜPHELİ",IF(K1189&lt;0,"ZARARDA",IF(F1189&lt;I1189,"RİSKLİ","ok"))))</f>
        <v/>
      </c>
      <c r="M1189" s="16" t="inlineStr">
        <is>
          <t>https://www.etsy.com/listing/1336346678</t>
        </is>
      </c>
    </row>
    <row r="1190">
      <c r="A1190" s="9" t="inlineStr">
        <is>
          <t>legacy</t>
        </is>
      </c>
      <c r="B1190" s="9" t="inlineStr">
        <is>
          <t>14K Yellow Gold Franco Bracelet – Minimalist Fine Jewelry Gi</t>
        </is>
      </c>
      <c r="C1190" s="9" t="n">
        <v>1336346678</v>
      </c>
      <c r="D1190" s="9" t="inlineStr">
        <is>
          <t>BFR45F-8</t>
        </is>
      </c>
      <c r="E1190" s="9" t="inlineStr">
        <is>
          <t>description</t>
        </is>
      </c>
      <c r="F1190" s="10" t="n">
        <v>1744</v>
      </c>
      <c r="G1190" s="18" t="n">
        <v>9.800000000000001</v>
      </c>
      <c r="H1190" s="10">
        <f>IF(G1190="","",G1190*Ayarlar!$B$3+Ayarlar!$B$4+Ayarlar!$B$5)</f>
        <v/>
      </c>
      <c r="I1190" s="10">
        <f>IF(G1190="","",ROUNDUP(((G1190*Ayarlar!$B$3+Ayarlar!$B$4+Ayarlar!$B$5)+Ayarlar!$B$8)/((1-Ayarlar!$B$6)*(1-Ayarlar!$B$7)),0))</f>
        <v/>
      </c>
      <c r="J1190" s="10">
        <f>IF(G1190="","",ROUNDUP(((G1190*Ayarlar!$B$3+Ayarlar!$B$4+Ayarlar!$B$5)+Ayarlar!$B$8)/((1-Ayarlar!$B$6)*(1-Ayarlar!$B$7-Ayarlar!$B$9)),0))</f>
        <v/>
      </c>
      <c r="K1190" s="12">
        <f>IF(OR(G1190="",F1190=""),"",(F1190*(1-Ayarlar!$B$6)-(F1190*(1-Ayarlar!$B$6)*Ayarlar!$B$7+Ayarlar!$B$8)-(G1190*Ayarlar!$B$3+Ayarlar!$B$4+Ayarlar!$B$5))/(F1190*(1-Ayarlar!$B$6)))</f>
        <v/>
      </c>
      <c r="L1190" s="9">
        <f>IF(G1190="","GRAM EKSİK",IF(F1190&gt;30000,"FİYAT ŞÜPHELİ",IF(K1190&lt;0,"ZARARDA",IF(F1190&lt;I1190,"RİSKLİ","ok"))))</f>
        <v/>
      </c>
      <c r="M1190" s="13" t="inlineStr">
        <is>
          <t>https://www.etsy.com/listing/1336346678</t>
        </is>
      </c>
    </row>
    <row r="1191">
      <c r="A1191" s="3" t="inlineStr">
        <is>
          <t>legacy</t>
        </is>
      </c>
      <c r="B1191" s="3" t="inlineStr">
        <is>
          <t>14K Yellow Gold Franco Bracelet – Minimalist Fine Jewelry Gi</t>
        </is>
      </c>
      <c r="C1191" s="3" t="n">
        <v>1336346678</v>
      </c>
      <c r="D1191" s="3" t="inlineStr">
        <is>
          <t>BFR45F-8.5</t>
        </is>
      </c>
      <c r="E1191" s="3" t="inlineStr">
        <is>
          <t>description</t>
        </is>
      </c>
      <c r="F1191" s="14" t="n">
        <v>2063</v>
      </c>
      <c r="G1191" s="17" t="n">
        <v>10.41</v>
      </c>
      <c r="H1191" s="14">
        <f>IF(G1191="","",G1191*Ayarlar!$B$3+Ayarlar!$B$4+Ayarlar!$B$5)</f>
        <v/>
      </c>
      <c r="I1191" s="14">
        <f>IF(G1191="","",ROUNDUP(((G1191*Ayarlar!$B$3+Ayarlar!$B$4+Ayarlar!$B$5)+Ayarlar!$B$8)/((1-Ayarlar!$B$6)*(1-Ayarlar!$B$7)),0))</f>
        <v/>
      </c>
      <c r="J1191" s="14">
        <f>IF(G1191="","",ROUNDUP(((G1191*Ayarlar!$B$3+Ayarlar!$B$4+Ayarlar!$B$5)+Ayarlar!$B$8)/((1-Ayarlar!$B$6)*(1-Ayarlar!$B$7-Ayarlar!$B$9)),0))</f>
        <v/>
      </c>
      <c r="K1191" s="15">
        <f>IF(OR(G1191="",F1191=""),"",(F1191*(1-Ayarlar!$B$6)-(F1191*(1-Ayarlar!$B$6)*Ayarlar!$B$7+Ayarlar!$B$8)-(G1191*Ayarlar!$B$3+Ayarlar!$B$4+Ayarlar!$B$5))/(F1191*(1-Ayarlar!$B$6)))</f>
        <v/>
      </c>
      <c r="L1191" s="3">
        <f>IF(G1191="","GRAM EKSİK",IF(F1191&gt;30000,"FİYAT ŞÜPHELİ",IF(K1191&lt;0,"ZARARDA",IF(F1191&lt;I1191,"RİSKLİ","ok"))))</f>
        <v/>
      </c>
      <c r="M1191" s="16" t="inlineStr">
        <is>
          <t>https://www.etsy.com/listing/1336346678</t>
        </is>
      </c>
    </row>
    <row r="1192">
      <c r="A1192" s="9" t="inlineStr">
        <is>
          <t>legacy</t>
        </is>
      </c>
      <c r="B1192" s="9" t="inlineStr">
        <is>
          <t>14K Yellow Gold Franco Bracelet – Minimalist Fine Jewelry Gi</t>
        </is>
      </c>
      <c r="C1192" s="9" t="n">
        <v>1336346678</v>
      </c>
      <c r="D1192" s="9" t="inlineStr">
        <is>
          <t>BFR45F-9</t>
        </is>
      </c>
      <c r="E1192" s="9" t="inlineStr">
        <is>
          <t>description</t>
        </is>
      </c>
      <c r="F1192" s="10" t="n">
        <v>2067</v>
      </c>
      <c r="G1192" s="18" t="n">
        <v>11.03</v>
      </c>
      <c r="H1192" s="10">
        <f>IF(G1192="","",G1192*Ayarlar!$B$3+Ayarlar!$B$4+Ayarlar!$B$5)</f>
        <v/>
      </c>
      <c r="I1192" s="10">
        <f>IF(G1192="","",ROUNDUP(((G1192*Ayarlar!$B$3+Ayarlar!$B$4+Ayarlar!$B$5)+Ayarlar!$B$8)/((1-Ayarlar!$B$6)*(1-Ayarlar!$B$7)),0))</f>
        <v/>
      </c>
      <c r="J1192" s="10">
        <f>IF(G1192="","",ROUNDUP(((G1192*Ayarlar!$B$3+Ayarlar!$B$4+Ayarlar!$B$5)+Ayarlar!$B$8)/((1-Ayarlar!$B$6)*(1-Ayarlar!$B$7-Ayarlar!$B$9)),0))</f>
        <v/>
      </c>
      <c r="K1192" s="12">
        <f>IF(OR(G1192="",F1192=""),"",(F1192*(1-Ayarlar!$B$6)-(F1192*(1-Ayarlar!$B$6)*Ayarlar!$B$7+Ayarlar!$B$8)-(G1192*Ayarlar!$B$3+Ayarlar!$B$4+Ayarlar!$B$5))/(F1192*(1-Ayarlar!$B$6)))</f>
        <v/>
      </c>
      <c r="L1192" s="9">
        <f>IF(G1192="","GRAM EKSİK",IF(F1192&gt;30000,"FİYAT ŞÜPHELİ",IF(K1192&lt;0,"ZARARDA",IF(F1192&lt;I1192,"RİSKLİ","ok"))))</f>
        <v/>
      </c>
      <c r="M1192" s="13" t="inlineStr">
        <is>
          <t>https://www.etsy.com/listing/1336346678</t>
        </is>
      </c>
    </row>
    <row r="1193">
      <c r="A1193" s="3" t="inlineStr">
        <is>
          <t>legacy</t>
        </is>
      </c>
      <c r="B1193" s="3" t="inlineStr">
        <is>
          <t>14K Yellow Gold Franco Bracelet – Minimalist Fine Jewelry Gi</t>
        </is>
      </c>
      <c r="C1193" s="3" t="n">
        <v>1336346678</v>
      </c>
      <c r="D1193" s="3" t="inlineStr">
        <is>
          <t>BFR47F-7</t>
        </is>
      </c>
      <c r="E1193" s="3" t="inlineStr">
        <is>
          <t>description</t>
        </is>
      </c>
      <c r="F1193" s="14" t="n">
        <v>1626</v>
      </c>
      <c r="G1193" s="17" t="n">
        <v>9.4</v>
      </c>
      <c r="H1193" s="14">
        <f>IF(G1193="","",G1193*Ayarlar!$B$3+Ayarlar!$B$4+Ayarlar!$B$5)</f>
        <v/>
      </c>
      <c r="I1193" s="14">
        <f>IF(G1193="","",ROUNDUP(((G1193*Ayarlar!$B$3+Ayarlar!$B$4+Ayarlar!$B$5)+Ayarlar!$B$8)/((1-Ayarlar!$B$6)*(1-Ayarlar!$B$7)),0))</f>
        <v/>
      </c>
      <c r="J1193" s="14">
        <f>IF(G1193="","",ROUNDUP(((G1193*Ayarlar!$B$3+Ayarlar!$B$4+Ayarlar!$B$5)+Ayarlar!$B$8)/((1-Ayarlar!$B$6)*(1-Ayarlar!$B$7-Ayarlar!$B$9)),0))</f>
        <v/>
      </c>
      <c r="K1193" s="15">
        <f>IF(OR(G1193="",F1193=""),"",(F1193*(1-Ayarlar!$B$6)-(F1193*(1-Ayarlar!$B$6)*Ayarlar!$B$7+Ayarlar!$B$8)-(G1193*Ayarlar!$B$3+Ayarlar!$B$4+Ayarlar!$B$5))/(F1193*(1-Ayarlar!$B$6)))</f>
        <v/>
      </c>
      <c r="L1193" s="3">
        <f>IF(G1193="","GRAM EKSİK",IF(F1193&gt;30000,"FİYAT ŞÜPHELİ",IF(K1193&lt;0,"ZARARDA",IF(F1193&lt;I1193,"RİSKLİ","ok"))))</f>
        <v/>
      </c>
      <c r="M1193" s="16" t="inlineStr">
        <is>
          <t>https://www.etsy.com/listing/1336346678</t>
        </is>
      </c>
    </row>
    <row r="1194">
      <c r="A1194" s="9" t="inlineStr">
        <is>
          <t>legacy</t>
        </is>
      </c>
      <c r="B1194" s="9" t="inlineStr">
        <is>
          <t>14K Yellow Gold Franco Bracelet – Minimalist Fine Jewelry Gi</t>
        </is>
      </c>
      <c r="C1194" s="9" t="n">
        <v>1336346678</v>
      </c>
      <c r="D1194" s="9" t="inlineStr">
        <is>
          <t>BFR47F-7.5</t>
        </is>
      </c>
      <c r="E1194" s="9" t="inlineStr">
        <is>
          <t>description</t>
        </is>
      </c>
      <c r="F1194" s="10" t="n">
        <v>1717</v>
      </c>
      <c r="G1194" s="18" t="n">
        <v>10.07</v>
      </c>
      <c r="H1194" s="10">
        <f>IF(G1194="","",G1194*Ayarlar!$B$3+Ayarlar!$B$4+Ayarlar!$B$5)</f>
        <v/>
      </c>
      <c r="I1194" s="10">
        <f>IF(G1194="","",ROUNDUP(((G1194*Ayarlar!$B$3+Ayarlar!$B$4+Ayarlar!$B$5)+Ayarlar!$B$8)/((1-Ayarlar!$B$6)*(1-Ayarlar!$B$7)),0))</f>
        <v/>
      </c>
      <c r="J1194" s="10">
        <f>IF(G1194="","",ROUNDUP(((G1194*Ayarlar!$B$3+Ayarlar!$B$4+Ayarlar!$B$5)+Ayarlar!$B$8)/((1-Ayarlar!$B$6)*(1-Ayarlar!$B$7-Ayarlar!$B$9)),0))</f>
        <v/>
      </c>
      <c r="K1194" s="12">
        <f>IF(OR(G1194="",F1194=""),"",(F1194*(1-Ayarlar!$B$6)-(F1194*(1-Ayarlar!$B$6)*Ayarlar!$B$7+Ayarlar!$B$8)-(G1194*Ayarlar!$B$3+Ayarlar!$B$4+Ayarlar!$B$5))/(F1194*(1-Ayarlar!$B$6)))</f>
        <v/>
      </c>
      <c r="L1194" s="9">
        <f>IF(G1194="","GRAM EKSİK",IF(F1194&gt;30000,"FİYAT ŞÜPHELİ",IF(K1194&lt;0,"ZARARDA",IF(F1194&lt;I1194,"RİSKLİ","ok"))))</f>
        <v/>
      </c>
      <c r="M1194" s="13" t="inlineStr">
        <is>
          <t>https://www.etsy.com/listing/1336346678</t>
        </is>
      </c>
    </row>
    <row r="1195">
      <c r="A1195" s="3" t="inlineStr">
        <is>
          <t>legacy</t>
        </is>
      </c>
      <c r="B1195" s="3" t="inlineStr">
        <is>
          <t>14K Yellow Gold Franco Bracelet – Minimalist Fine Jewelry Gi</t>
        </is>
      </c>
      <c r="C1195" s="3" t="n">
        <v>1336346678</v>
      </c>
      <c r="D1195" s="3" t="inlineStr">
        <is>
          <t>BFR47F-8</t>
        </is>
      </c>
      <c r="E1195" s="3" t="inlineStr">
        <is>
          <t>description</t>
        </is>
      </c>
      <c r="F1195" s="14" t="n">
        <v>1808</v>
      </c>
      <c r="G1195" s="17" t="n">
        <v>10.74</v>
      </c>
      <c r="H1195" s="14">
        <f>IF(G1195="","",G1195*Ayarlar!$B$3+Ayarlar!$B$4+Ayarlar!$B$5)</f>
        <v/>
      </c>
      <c r="I1195" s="14">
        <f>IF(G1195="","",ROUNDUP(((G1195*Ayarlar!$B$3+Ayarlar!$B$4+Ayarlar!$B$5)+Ayarlar!$B$8)/((1-Ayarlar!$B$6)*(1-Ayarlar!$B$7)),0))</f>
        <v/>
      </c>
      <c r="J1195" s="14">
        <f>IF(G1195="","",ROUNDUP(((G1195*Ayarlar!$B$3+Ayarlar!$B$4+Ayarlar!$B$5)+Ayarlar!$B$8)/((1-Ayarlar!$B$6)*(1-Ayarlar!$B$7-Ayarlar!$B$9)),0))</f>
        <v/>
      </c>
      <c r="K1195" s="15">
        <f>IF(OR(G1195="",F1195=""),"",(F1195*(1-Ayarlar!$B$6)-(F1195*(1-Ayarlar!$B$6)*Ayarlar!$B$7+Ayarlar!$B$8)-(G1195*Ayarlar!$B$3+Ayarlar!$B$4+Ayarlar!$B$5))/(F1195*(1-Ayarlar!$B$6)))</f>
        <v/>
      </c>
      <c r="L1195" s="3">
        <f>IF(G1195="","GRAM EKSİK",IF(F1195&gt;30000,"FİYAT ŞÜPHELİ",IF(K1195&lt;0,"ZARARDA",IF(F1195&lt;I1195,"RİSKLİ","ok"))))</f>
        <v/>
      </c>
      <c r="M1195" s="16" t="inlineStr">
        <is>
          <t>https://www.etsy.com/listing/1336346678</t>
        </is>
      </c>
    </row>
    <row r="1196">
      <c r="A1196" s="9" t="inlineStr">
        <is>
          <t>legacy</t>
        </is>
      </c>
      <c r="B1196" s="9" t="inlineStr">
        <is>
          <t>14K Yellow Gold Franco Bracelet – Minimalist Fine Jewelry Gi</t>
        </is>
      </c>
      <c r="C1196" s="9" t="n">
        <v>1336346678</v>
      </c>
      <c r="D1196" s="9" t="inlineStr">
        <is>
          <t>BFR47F-8.5</t>
        </is>
      </c>
      <c r="E1196" s="9" t="inlineStr">
        <is>
          <t>description</t>
        </is>
      </c>
      <c r="F1196" s="10" t="n">
        <v>2791</v>
      </c>
      <c r="G1196" s="18" t="n">
        <v>11.41</v>
      </c>
      <c r="H1196" s="10">
        <f>IF(G1196="","",G1196*Ayarlar!$B$3+Ayarlar!$B$4+Ayarlar!$B$5)</f>
        <v/>
      </c>
      <c r="I1196" s="10">
        <f>IF(G1196="","",ROUNDUP(((G1196*Ayarlar!$B$3+Ayarlar!$B$4+Ayarlar!$B$5)+Ayarlar!$B$8)/((1-Ayarlar!$B$6)*(1-Ayarlar!$B$7)),0))</f>
        <v/>
      </c>
      <c r="J1196" s="10">
        <f>IF(G1196="","",ROUNDUP(((G1196*Ayarlar!$B$3+Ayarlar!$B$4+Ayarlar!$B$5)+Ayarlar!$B$8)/((1-Ayarlar!$B$6)*(1-Ayarlar!$B$7-Ayarlar!$B$9)),0))</f>
        <v/>
      </c>
      <c r="K1196" s="12">
        <f>IF(OR(G1196="",F1196=""),"",(F1196*(1-Ayarlar!$B$6)-(F1196*(1-Ayarlar!$B$6)*Ayarlar!$B$7+Ayarlar!$B$8)-(G1196*Ayarlar!$B$3+Ayarlar!$B$4+Ayarlar!$B$5))/(F1196*(1-Ayarlar!$B$6)))</f>
        <v/>
      </c>
      <c r="L1196" s="9">
        <f>IF(G1196="","GRAM EKSİK",IF(F1196&gt;30000,"FİYAT ŞÜPHELİ",IF(K1196&lt;0,"ZARARDA",IF(F1196&lt;I1196,"RİSKLİ","ok"))))</f>
        <v/>
      </c>
      <c r="M1196" s="13" t="inlineStr">
        <is>
          <t>https://www.etsy.com/listing/1336346678</t>
        </is>
      </c>
    </row>
    <row r="1197">
      <c r="A1197" s="3" t="inlineStr">
        <is>
          <t>legacy</t>
        </is>
      </c>
      <c r="B1197" s="3" t="inlineStr">
        <is>
          <t>14K Yellow Gold Franco Bracelet – Minimalist Fine Jewelry Gi</t>
        </is>
      </c>
      <c r="C1197" s="3" t="n">
        <v>1336346678</v>
      </c>
      <c r="D1197" s="3" t="inlineStr">
        <is>
          <t>BFR47F-9</t>
        </is>
      </c>
      <c r="E1197" s="3" t="inlineStr">
        <is>
          <t>description</t>
        </is>
      </c>
      <c r="F1197" s="14" t="n">
        <v>2073</v>
      </c>
      <c r="G1197" s="17" t="n">
        <v>12.08</v>
      </c>
      <c r="H1197" s="14">
        <f>IF(G1197="","",G1197*Ayarlar!$B$3+Ayarlar!$B$4+Ayarlar!$B$5)</f>
        <v/>
      </c>
      <c r="I1197" s="14">
        <f>IF(G1197="","",ROUNDUP(((G1197*Ayarlar!$B$3+Ayarlar!$B$4+Ayarlar!$B$5)+Ayarlar!$B$8)/((1-Ayarlar!$B$6)*(1-Ayarlar!$B$7)),0))</f>
        <v/>
      </c>
      <c r="J1197" s="14">
        <f>IF(G1197="","",ROUNDUP(((G1197*Ayarlar!$B$3+Ayarlar!$B$4+Ayarlar!$B$5)+Ayarlar!$B$8)/((1-Ayarlar!$B$6)*(1-Ayarlar!$B$7-Ayarlar!$B$9)),0))</f>
        <v/>
      </c>
      <c r="K1197" s="15">
        <f>IF(OR(G1197="",F1197=""),"",(F1197*(1-Ayarlar!$B$6)-(F1197*(1-Ayarlar!$B$6)*Ayarlar!$B$7+Ayarlar!$B$8)-(G1197*Ayarlar!$B$3+Ayarlar!$B$4+Ayarlar!$B$5))/(F1197*(1-Ayarlar!$B$6)))</f>
        <v/>
      </c>
      <c r="L1197" s="3">
        <f>IF(G1197="","GRAM EKSİK",IF(F1197&gt;30000,"FİYAT ŞÜPHELİ",IF(K1197&lt;0,"ZARARDA",IF(F1197&lt;I1197,"RİSKLİ","ok"))))</f>
        <v/>
      </c>
      <c r="M1197" s="16" t="inlineStr">
        <is>
          <t>https://www.etsy.com/listing/1336346678</t>
        </is>
      </c>
    </row>
    <row r="1198">
      <c r="A1198" s="9" t="inlineStr">
        <is>
          <t>legacy</t>
        </is>
      </c>
      <c r="B1198" s="9" t="inlineStr">
        <is>
          <t>14K Yellow Gold Franco Bracelet – Minimalist Fine Jewelry Gi</t>
        </is>
      </c>
      <c r="C1198" s="9" t="n">
        <v>1336346678</v>
      </c>
      <c r="D1198" s="9" t="inlineStr">
        <is>
          <t>BFR4F-7</t>
        </is>
      </c>
      <c r="E1198" s="9" t="inlineStr">
        <is>
          <t>description</t>
        </is>
      </c>
      <c r="F1198" s="10" t="n">
        <v>1440</v>
      </c>
      <c r="G1198" s="18" t="n">
        <v>7.59</v>
      </c>
      <c r="H1198" s="10">
        <f>IF(G1198="","",G1198*Ayarlar!$B$3+Ayarlar!$B$4+Ayarlar!$B$5)</f>
        <v/>
      </c>
      <c r="I1198" s="10">
        <f>IF(G1198="","",ROUNDUP(((G1198*Ayarlar!$B$3+Ayarlar!$B$4+Ayarlar!$B$5)+Ayarlar!$B$8)/((1-Ayarlar!$B$6)*(1-Ayarlar!$B$7)),0))</f>
        <v/>
      </c>
      <c r="J1198" s="10">
        <f>IF(G1198="","",ROUNDUP(((G1198*Ayarlar!$B$3+Ayarlar!$B$4+Ayarlar!$B$5)+Ayarlar!$B$8)/((1-Ayarlar!$B$6)*(1-Ayarlar!$B$7-Ayarlar!$B$9)),0))</f>
        <v/>
      </c>
      <c r="K1198" s="12">
        <f>IF(OR(G1198="",F1198=""),"",(F1198*(1-Ayarlar!$B$6)-(F1198*(1-Ayarlar!$B$6)*Ayarlar!$B$7+Ayarlar!$B$8)-(G1198*Ayarlar!$B$3+Ayarlar!$B$4+Ayarlar!$B$5))/(F1198*(1-Ayarlar!$B$6)))</f>
        <v/>
      </c>
      <c r="L1198" s="9">
        <f>IF(G1198="","GRAM EKSİK",IF(F1198&gt;30000,"FİYAT ŞÜPHELİ",IF(K1198&lt;0,"ZARARDA",IF(F1198&lt;I1198,"RİSKLİ","ok"))))</f>
        <v/>
      </c>
      <c r="M1198" s="13" t="inlineStr">
        <is>
          <t>https://www.etsy.com/listing/1336346678</t>
        </is>
      </c>
    </row>
    <row r="1199">
      <c r="A1199" s="3" t="inlineStr">
        <is>
          <t>legacy</t>
        </is>
      </c>
      <c r="B1199" s="3" t="inlineStr">
        <is>
          <t>14K Yellow Gold Franco Bracelet – Minimalist Fine Jewelry Gi</t>
        </is>
      </c>
      <c r="C1199" s="3" t="n">
        <v>1336346678</v>
      </c>
      <c r="D1199" s="3" t="inlineStr">
        <is>
          <t>BFR4F-7.5</t>
        </is>
      </c>
      <c r="E1199" s="3" t="inlineStr">
        <is>
          <t>description</t>
        </is>
      </c>
      <c r="F1199" s="14" t="n">
        <v>1501</v>
      </c>
      <c r="G1199" s="17" t="n">
        <v>8.130000000000001</v>
      </c>
      <c r="H1199" s="14">
        <f>IF(G1199="","",G1199*Ayarlar!$B$3+Ayarlar!$B$4+Ayarlar!$B$5)</f>
        <v/>
      </c>
      <c r="I1199" s="14">
        <f>IF(G1199="","",ROUNDUP(((G1199*Ayarlar!$B$3+Ayarlar!$B$4+Ayarlar!$B$5)+Ayarlar!$B$8)/((1-Ayarlar!$B$6)*(1-Ayarlar!$B$7)),0))</f>
        <v/>
      </c>
      <c r="J1199" s="14">
        <f>IF(G1199="","",ROUNDUP(((G1199*Ayarlar!$B$3+Ayarlar!$B$4+Ayarlar!$B$5)+Ayarlar!$B$8)/((1-Ayarlar!$B$6)*(1-Ayarlar!$B$7-Ayarlar!$B$9)),0))</f>
        <v/>
      </c>
      <c r="K1199" s="15">
        <f>IF(OR(G1199="",F1199=""),"",(F1199*(1-Ayarlar!$B$6)-(F1199*(1-Ayarlar!$B$6)*Ayarlar!$B$7+Ayarlar!$B$8)-(G1199*Ayarlar!$B$3+Ayarlar!$B$4+Ayarlar!$B$5))/(F1199*(1-Ayarlar!$B$6)))</f>
        <v/>
      </c>
      <c r="L1199" s="3">
        <f>IF(G1199="","GRAM EKSİK",IF(F1199&gt;30000,"FİYAT ŞÜPHELİ",IF(K1199&lt;0,"ZARARDA",IF(F1199&lt;I1199,"RİSKLİ","ok"))))</f>
        <v/>
      </c>
      <c r="M1199" s="16" t="inlineStr">
        <is>
          <t>https://www.etsy.com/listing/1336346678</t>
        </is>
      </c>
    </row>
    <row r="1200">
      <c r="A1200" s="9" t="inlineStr">
        <is>
          <t>legacy</t>
        </is>
      </c>
      <c r="B1200" s="9" t="inlineStr">
        <is>
          <t>14K Yellow Gold Franco Bracelet – Minimalist Fine Jewelry Gi</t>
        </is>
      </c>
      <c r="C1200" s="9" t="n">
        <v>1336346678</v>
      </c>
      <c r="D1200" s="9" t="inlineStr">
        <is>
          <t>BFR4F-8</t>
        </is>
      </c>
      <c r="E1200" s="9" t="inlineStr">
        <is>
          <t>description</t>
        </is>
      </c>
      <c r="F1200" s="10" t="n">
        <v>1563</v>
      </c>
      <c r="G1200" s="18" t="n">
        <v>8.67</v>
      </c>
      <c r="H1200" s="10">
        <f>IF(G1200="","",G1200*Ayarlar!$B$3+Ayarlar!$B$4+Ayarlar!$B$5)</f>
        <v/>
      </c>
      <c r="I1200" s="10">
        <f>IF(G1200="","",ROUNDUP(((G1200*Ayarlar!$B$3+Ayarlar!$B$4+Ayarlar!$B$5)+Ayarlar!$B$8)/((1-Ayarlar!$B$6)*(1-Ayarlar!$B$7)),0))</f>
        <v/>
      </c>
      <c r="J1200" s="10">
        <f>IF(G1200="","",ROUNDUP(((G1200*Ayarlar!$B$3+Ayarlar!$B$4+Ayarlar!$B$5)+Ayarlar!$B$8)/((1-Ayarlar!$B$6)*(1-Ayarlar!$B$7-Ayarlar!$B$9)),0))</f>
        <v/>
      </c>
      <c r="K1200" s="12">
        <f>IF(OR(G1200="",F1200=""),"",(F1200*(1-Ayarlar!$B$6)-(F1200*(1-Ayarlar!$B$6)*Ayarlar!$B$7+Ayarlar!$B$8)-(G1200*Ayarlar!$B$3+Ayarlar!$B$4+Ayarlar!$B$5))/(F1200*(1-Ayarlar!$B$6)))</f>
        <v/>
      </c>
      <c r="L1200" s="9">
        <f>IF(G1200="","GRAM EKSİK",IF(F1200&gt;30000,"FİYAT ŞÜPHELİ",IF(K1200&lt;0,"ZARARDA",IF(F1200&lt;I1200,"RİSKLİ","ok"))))</f>
        <v/>
      </c>
      <c r="M1200" s="13" t="inlineStr">
        <is>
          <t>https://www.etsy.com/listing/1336346678</t>
        </is>
      </c>
    </row>
    <row r="1201">
      <c r="A1201" s="3" t="inlineStr">
        <is>
          <t>legacy</t>
        </is>
      </c>
      <c r="B1201" s="3" t="inlineStr">
        <is>
          <t>14K Yellow Gold Franco Bracelet – Minimalist Fine Jewelry Gi</t>
        </is>
      </c>
      <c r="C1201" s="3" t="n">
        <v>1336346678</v>
      </c>
      <c r="D1201" s="3" t="inlineStr">
        <is>
          <t>BFR4F-8.5</t>
        </is>
      </c>
      <c r="E1201" s="3" t="inlineStr">
        <is>
          <t>description</t>
        </is>
      </c>
      <c r="F1201" s="14" t="n">
        <v>2055</v>
      </c>
      <c r="G1201" s="17" t="n">
        <v>9.210000000000001</v>
      </c>
      <c r="H1201" s="14">
        <f>IF(G1201="","",G1201*Ayarlar!$B$3+Ayarlar!$B$4+Ayarlar!$B$5)</f>
        <v/>
      </c>
      <c r="I1201" s="14">
        <f>IF(G1201="","",ROUNDUP(((G1201*Ayarlar!$B$3+Ayarlar!$B$4+Ayarlar!$B$5)+Ayarlar!$B$8)/((1-Ayarlar!$B$6)*(1-Ayarlar!$B$7)),0))</f>
        <v/>
      </c>
      <c r="J1201" s="14">
        <f>IF(G1201="","",ROUNDUP(((G1201*Ayarlar!$B$3+Ayarlar!$B$4+Ayarlar!$B$5)+Ayarlar!$B$8)/((1-Ayarlar!$B$6)*(1-Ayarlar!$B$7-Ayarlar!$B$9)),0))</f>
        <v/>
      </c>
      <c r="K1201" s="15">
        <f>IF(OR(G1201="",F1201=""),"",(F1201*(1-Ayarlar!$B$6)-(F1201*(1-Ayarlar!$B$6)*Ayarlar!$B$7+Ayarlar!$B$8)-(G1201*Ayarlar!$B$3+Ayarlar!$B$4+Ayarlar!$B$5))/(F1201*(1-Ayarlar!$B$6)))</f>
        <v/>
      </c>
      <c r="L1201" s="3">
        <f>IF(G1201="","GRAM EKSİK",IF(F1201&gt;30000,"FİYAT ŞÜPHELİ",IF(K1201&lt;0,"ZARARDA",IF(F1201&lt;I1201,"RİSKLİ","ok"))))</f>
        <v/>
      </c>
      <c r="M1201" s="16" t="inlineStr">
        <is>
          <t>https://www.etsy.com/listing/1336346678</t>
        </is>
      </c>
    </row>
    <row r="1202">
      <c r="A1202" s="9" t="inlineStr">
        <is>
          <t>legacy</t>
        </is>
      </c>
      <c r="B1202" s="9" t="inlineStr">
        <is>
          <t>14K Yellow Gold Franco Bracelet – Minimalist Fine Jewelry Gi</t>
        </is>
      </c>
      <c r="C1202" s="9" t="n">
        <v>1336346678</v>
      </c>
      <c r="D1202" s="9" t="inlineStr">
        <is>
          <t>BFR4F-9</t>
        </is>
      </c>
      <c r="E1202" s="9" t="inlineStr">
        <is>
          <t>description</t>
        </is>
      </c>
      <c r="F1202" s="10" t="n">
        <v>2058</v>
      </c>
      <c r="G1202" s="18" t="n">
        <v>9.75</v>
      </c>
      <c r="H1202" s="10">
        <f>IF(G1202="","",G1202*Ayarlar!$B$3+Ayarlar!$B$4+Ayarlar!$B$5)</f>
        <v/>
      </c>
      <c r="I1202" s="10">
        <f>IF(G1202="","",ROUNDUP(((G1202*Ayarlar!$B$3+Ayarlar!$B$4+Ayarlar!$B$5)+Ayarlar!$B$8)/((1-Ayarlar!$B$6)*(1-Ayarlar!$B$7)),0))</f>
        <v/>
      </c>
      <c r="J1202" s="10">
        <f>IF(G1202="","",ROUNDUP(((G1202*Ayarlar!$B$3+Ayarlar!$B$4+Ayarlar!$B$5)+Ayarlar!$B$8)/((1-Ayarlar!$B$6)*(1-Ayarlar!$B$7-Ayarlar!$B$9)),0))</f>
        <v/>
      </c>
      <c r="K1202" s="12">
        <f>IF(OR(G1202="",F1202=""),"",(F1202*(1-Ayarlar!$B$6)-(F1202*(1-Ayarlar!$B$6)*Ayarlar!$B$7+Ayarlar!$B$8)-(G1202*Ayarlar!$B$3+Ayarlar!$B$4+Ayarlar!$B$5))/(F1202*(1-Ayarlar!$B$6)))</f>
        <v/>
      </c>
      <c r="L1202" s="9">
        <f>IF(G1202="","GRAM EKSİK",IF(F1202&gt;30000,"FİYAT ŞÜPHELİ",IF(K1202&lt;0,"ZARARDA",IF(F1202&lt;I1202,"RİSKLİ","ok"))))</f>
        <v/>
      </c>
      <c r="M1202" s="13" t="inlineStr">
        <is>
          <t>https://www.etsy.com/listing/1336346678</t>
        </is>
      </c>
    </row>
    <row r="1203">
      <c r="A1203" s="3" t="inlineStr">
        <is>
          <t>legacy</t>
        </is>
      </c>
      <c r="B1203" s="3" t="inlineStr">
        <is>
          <t>14K Yellow Gold Franco Bracelet – Minimalist Fine Jewelry Gi</t>
        </is>
      </c>
      <c r="C1203" s="3" t="n">
        <v>1336346678</v>
      </c>
      <c r="D1203" s="3" t="inlineStr">
        <is>
          <t>BFR5F-7</t>
        </is>
      </c>
      <c r="E1203" s="3" t="inlineStr">
        <is>
          <t>description</t>
        </is>
      </c>
      <c r="F1203" s="14" t="n">
        <v>2463</v>
      </c>
      <c r="G1203" s="17" t="n">
        <v>13.51</v>
      </c>
      <c r="H1203" s="14">
        <f>IF(G1203="","",G1203*Ayarlar!$B$3+Ayarlar!$B$4+Ayarlar!$B$5)</f>
        <v/>
      </c>
      <c r="I1203" s="14">
        <f>IF(G1203="","",ROUNDUP(((G1203*Ayarlar!$B$3+Ayarlar!$B$4+Ayarlar!$B$5)+Ayarlar!$B$8)/((1-Ayarlar!$B$6)*(1-Ayarlar!$B$7)),0))</f>
        <v/>
      </c>
      <c r="J1203" s="14">
        <f>IF(G1203="","",ROUNDUP(((G1203*Ayarlar!$B$3+Ayarlar!$B$4+Ayarlar!$B$5)+Ayarlar!$B$8)/((1-Ayarlar!$B$6)*(1-Ayarlar!$B$7-Ayarlar!$B$9)),0))</f>
        <v/>
      </c>
      <c r="K1203" s="15">
        <f>IF(OR(G1203="",F1203=""),"",(F1203*(1-Ayarlar!$B$6)-(F1203*(1-Ayarlar!$B$6)*Ayarlar!$B$7+Ayarlar!$B$8)-(G1203*Ayarlar!$B$3+Ayarlar!$B$4+Ayarlar!$B$5))/(F1203*(1-Ayarlar!$B$6)))</f>
        <v/>
      </c>
      <c r="L1203" s="3">
        <f>IF(G1203="","GRAM EKSİK",IF(F1203&gt;30000,"FİYAT ŞÜPHELİ",IF(K1203&lt;0,"ZARARDA",IF(F1203&lt;I1203,"RİSKLİ","ok"))))</f>
        <v/>
      </c>
      <c r="M1203" s="16" t="inlineStr">
        <is>
          <t>https://www.etsy.com/listing/1336346678</t>
        </is>
      </c>
    </row>
    <row r="1204">
      <c r="A1204" s="9" t="inlineStr">
        <is>
          <t>legacy</t>
        </is>
      </c>
      <c r="B1204" s="9" t="inlineStr">
        <is>
          <t>14K Yellow Gold Franco Bracelet – Minimalist Fine Jewelry Gi</t>
        </is>
      </c>
      <c r="C1204" s="9" t="n">
        <v>1336346678</v>
      </c>
      <c r="D1204" s="9" t="inlineStr">
        <is>
          <t>BFR5F-7.5</t>
        </is>
      </c>
      <c r="E1204" s="9" t="inlineStr">
        <is>
          <t>description</t>
        </is>
      </c>
      <c r="F1204" s="10" t="n">
        <v>2586</v>
      </c>
      <c r="G1204" s="18" t="n">
        <v>14.47</v>
      </c>
      <c r="H1204" s="10">
        <f>IF(G1204="","",G1204*Ayarlar!$B$3+Ayarlar!$B$4+Ayarlar!$B$5)</f>
        <v/>
      </c>
      <c r="I1204" s="10">
        <f>IF(G1204="","",ROUNDUP(((G1204*Ayarlar!$B$3+Ayarlar!$B$4+Ayarlar!$B$5)+Ayarlar!$B$8)/((1-Ayarlar!$B$6)*(1-Ayarlar!$B$7)),0))</f>
        <v/>
      </c>
      <c r="J1204" s="10">
        <f>IF(G1204="","",ROUNDUP(((G1204*Ayarlar!$B$3+Ayarlar!$B$4+Ayarlar!$B$5)+Ayarlar!$B$8)/((1-Ayarlar!$B$6)*(1-Ayarlar!$B$7-Ayarlar!$B$9)),0))</f>
        <v/>
      </c>
      <c r="K1204" s="12">
        <f>IF(OR(G1204="",F1204=""),"",(F1204*(1-Ayarlar!$B$6)-(F1204*(1-Ayarlar!$B$6)*Ayarlar!$B$7+Ayarlar!$B$8)-(G1204*Ayarlar!$B$3+Ayarlar!$B$4+Ayarlar!$B$5))/(F1204*(1-Ayarlar!$B$6)))</f>
        <v/>
      </c>
      <c r="L1204" s="9">
        <f>IF(G1204="","GRAM EKSİK",IF(F1204&gt;30000,"FİYAT ŞÜPHELİ",IF(K1204&lt;0,"ZARARDA",IF(F1204&lt;I1204,"RİSKLİ","ok"))))</f>
        <v/>
      </c>
      <c r="M1204" s="13" t="inlineStr">
        <is>
          <t>https://www.etsy.com/listing/1336346678</t>
        </is>
      </c>
    </row>
    <row r="1205">
      <c r="A1205" s="3" t="inlineStr">
        <is>
          <t>legacy</t>
        </is>
      </c>
      <c r="B1205" s="3" t="inlineStr">
        <is>
          <t>14K Yellow Gold Franco Bracelet – Minimalist Fine Jewelry Gi</t>
        </is>
      </c>
      <c r="C1205" s="3" t="n">
        <v>1336346678</v>
      </c>
      <c r="D1205" s="3" t="inlineStr">
        <is>
          <t>BFR5F-8</t>
        </is>
      </c>
      <c r="E1205" s="3" t="inlineStr">
        <is>
          <t>description</t>
        </is>
      </c>
      <c r="F1205" s="14" t="n">
        <v>2708</v>
      </c>
      <c r="G1205" s="17" t="n">
        <v>15.44</v>
      </c>
      <c r="H1205" s="14">
        <f>IF(G1205="","",G1205*Ayarlar!$B$3+Ayarlar!$B$4+Ayarlar!$B$5)</f>
        <v/>
      </c>
      <c r="I1205" s="14">
        <f>IF(G1205="","",ROUNDUP(((G1205*Ayarlar!$B$3+Ayarlar!$B$4+Ayarlar!$B$5)+Ayarlar!$B$8)/((1-Ayarlar!$B$6)*(1-Ayarlar!$B$7)),0))</f>
        <v/>
      </c>
      <c r="J1205" s="14">
        <f>IF(G1205="","",ROUNDUP(((G1205*Ayarlar!$B$3+Ayarlar!$B$4+Ayarlar!$B$5)+Ayarlar!$B$8)/((1-Ayarlar!$B$6)*(1-Ayarlar!$B$7-Ayarlar!$B$9)),0))</f>
        <v/>
      </c>
      <c r="K1205" s="15">
        <f>IF(OR(G1205="",F1205=""),"",(F1205*(1-Ayarlar!$B$6)-(F1205*(1-Ayarlar!$B$6)*Ayarlar!$B$7+Ayarlar!$B$8)-(G1205*Ayarlar!$B$3+Ayarlar!$B$4+Ayarlar!$B$5))/(F1205*(1-Ayarlar!$B$6)))</f>
        <v/>
      </c>
      <c r="L1205" s="3">
        <f>IF(G1205="","GRAM EKSİK",IF(F1205&gt;30000,"FİYAT ŞÜPHELİ",IF(K1205&lt;0,"ZARARDA",IF(F1205&lt;I1205,"RİSKLİ","ok"))))</f>
        <v/>
      </c>
      <c r="M1205" s="16" t="inlineStr">
        <is>
          <t>https://www.etsy.com/listing/1336346678</t>
        </is>
      </c>
    </row>
    <row r="1206">
      <c r="A1206" s="9" t="inlineStr">
        <is>
          <t>legacy</t>
        </is>
      </c>
      <c r="B1206" s="9" t="inlineStr">
        <is>
          <t>14K Yellow Gold Franco Bracelet – Minimalist Fine Jewelry Gi</t>
        </is>
      </c>
      <c r="C1206" s="9" t="n">
        <v>1336346678</v>
      </c>
      <c r="D1206" s="9" t="inlineStr">
        <is>
          <t>BFR5F-8.5</t>
        </is>
      </c>
      <c r="E1206" s="9" t="inlineStr">
        <is>
          <t>description</t>
        </is>
      </c>
      <c r="F1206" s="10" t="n">
        <v>2831</v>
      </c>
      <c r="G1206" s="18" t="n">
        <v>16.4</v>
      </c>
      <c r="H1206" s="10">
        <f>IF(G1206="","",G1206*Ayarlar!$B$3+Ayarlar!$B$4+Ayarlar!$B$5)</f>
        <v/>
      </c>
      <c r="I1206" s="10">
        <f>IF(G1206="","",ROUNDUP(((G1206*Ayarlar!$B$3+Ayarlar!$B$4+Ayarlar!$B$5)+Ayarlar!$B$8)/((1-Ayarlar!$B$6)*(1-Ayarlar!$B$7)),0))</f>
        <v/>
      </c>
      <c r="J1206" s="10">
        <f>IF(G1206="","",ROUNDUP(((G1206*Ayarlar!$B$3+Ayarlar!$B$4+Ayarlar!$B$5)+Ayarlar!$B$8)/((1-Ayarlar!$B$6)*(1-Ayarlar!$B$7-Ayarlar!$B$9)),0))</f>
        <v/>
      </c>
      <c r="K1206" s="12">
        <f>IF(OR(G1206="",F1206=""),"",(F1206*(1-Ayarlar!$B$6)-(F1206*(1-Ayarlar!$B$6)*Ayarlar!$B$7+Ayarlar!$B$8)-(G1206*Ayarlar!$B$3+Ayarlar!$B$4+Ayarlar!$B$5))/(F1206*(1-Ayarlar!$B$6)))</f>
        <v/>
      </c>
      <c r="L1206" s="9">
        <f>IF(G1206="","GRAM EKSİK",IF(F1206&gt;30000,"FİYAT ŞÜPHELİ",IF(K1206&lt;0,"ZARARDA",IF(F1206&lt;I1206,"RİSKLİ","ok"))))</f>
        <v/>
      </c>
      <c r="M1206" s="13" t="inlineStr">
        <is>
          <t>https://www.etsy.com/listing/1336346678</t>
        </is>
      </c>
    </row>
    <row r="1207">
      <c r="A1207" s="3" t="inlineStr">
        <is>
          <t>legacy</t>
        </is>
      </c>
      <c r="B1207" s="3" t="inlineStr">
        <is>
          <t>14K Yellow Gold Franco Bracelet – Minimalist Fine Jewelry Gi</t>
        </is>
      </c>
      <c r="C1207" s="3" t="n">
        <v>1336346678</v>
      </c>
      <c r="D1207" s="3" t="inlineStr">
        <is>
          <t>BFR5F-9</t>
        </is>
      </c>
      <c r="E1207" s="3" t="inlineStr">
        <is>
          <t>description</t>
        </is>
      </c>
      <c r="F1207" s="14" t="n">
        <v>2953</v>
      </c>
      <c r="G1207" s="17" t="n">
        <v>17.36</v>
      </c>
      <c r="H1207" s="14">
        <f>IF(G1207="","",G1207*Ayarlar!$B$3+Ayarlar!$B$4+Ayarlar!$B$5)</f>
        <v/>
      </c>
      <c r="I1207" s="14">
        <f>IF(G1207="","",ROUNDUP(((G1207*Ayarlar!$B$3+Ayarlar!$B$4+Ayarlar!$B$5)+Ayarlar!$B$8)/((1-Ayarlar!$B$6)*(1-Ayarlar!$B$7)),0))</f>
        <v/>
      </c>
      <c r="J1207" s="14">
        <f>IF(G1207="","",ROUNDUP(((G1207*Ayarlar!$B$3+Ayarlar!$B$4+Ayarlar!$B$5)+Ayarlar!$B$8)/((1-Ayarlar!$B$6)*(1-Ayarlar!$B$7-Ayarlar!$B$9)),0))</f>
        <v/>
      </c>
      <c r="K1207" s="15">
        <f>IF(OR(G1207="",F1207=""),"",(F1207*(1-Ayarlar!$B$6)-(F1207*(1-Ayarlar!$B$6)*Ayarlar!$B$7+Ayarlar!$B$8)-(G1207*Ayarlar!$B$3+Ayarlar!$B$4+Ayarlar!$B$5))/(F1207*(1-Ayarlar!$B$6)))</f>
        <v/>
      </c>
      <c r="L1207" s="3">
        <f>IF(G1207="","GRAM EKSİK",IF(F1207&gt;30000,"FİYAT ŞÜPHELİ",IF(K1207&lt;0,"ZARARDA",IF(F1207&lt;I1207,"RİSKLİ","ok"))))</f>
        <v/>
      </c>
      <c r="M1207" s="16" t="inlineStr">
        <is>
          <t>https://www.etsy.com/listing/1336346678</t>
        </is>
      </c>
    </row>
    <row r="1208">
      <c r="A1208" s="9" t="inlineStr">
        <is>
          <t>legacy</t>
        </is>
      </c>
      <c r="B1208" s="9" t="inlineStr">
        <is>
          <t>14K Yellow Gold Franco Bracelet – Minimalist Fine Jewelry Gi</t>
        </is>
      </c>
      <c r="C1208" s="9" t="n">
        <v>1336346678</v>
      </c>
      <c r="D1208" s="9" t="inlineStr">
        <is>
          <t>BFR8F-7</t>
        </is>
      </c>
      <c r="E1208" s="9" t="inlineStr">
        <is>
          <t>description</t>
        </is>
      </c>
      <c r="F1208" s="10" t="n">
        <v>5461</v>
      </c>
      <c r="G1208" s="18" t="n">
        <v>28.73</v>
      </c>
      <c r="H1208" s="10">
        <f>IF(G1208="","",G1208*Ayarlar!$B$3+Ayarlar!$B$4+Ayarlar!$B$5)</f>
        <v/>
      </c>
      <c r="I1208" s="10">
        <f>IF(G1208="","",ROUNDUP(((G1208*Ayarlar!$B$3+Ayarlar!$B$4+Ayarlar!$B$5)+Ayarlar!$B$8)/((1-Ayarlar!$B$6)*(1-Ayarlar!$B$7)),0))</f>
        <v/>
      </c>
      <c r="J1208" s="10">
        <f>IF(G1208="","",ROUNDUP(((G1208*Ayarlar!$B$3+Ayarlar!$B$4+Ayarlar!$B$5)+Ayarlar!$B$8)/((1-Ayarlar!$B$6)*(1-Ayarlar!$B$7-Ayarlar!$B$9)),0))</f>
        <v/>
      </c>
      <c r="K1208" s="12">
        <f>IF(OR(G1208="",F1208=""),"",(F1208*(1-Ayarlar!$B$6)-(F1208*(1-Ayarlar!$B$6)*Ayarlar!$B$7+Ayarlar!$B$8)-(G1208*Ayarlar!$B$3+Ayarlar!$B$4+Ayarlar!$B$5))/(F1208*(1-Ayarlar!$B$6)))</f>
        <v/>
      </c>
      <c r="L1208" s="9">
        <f>IF(G1208="","GRAM EKSİK",IF(F1208&gt;30000,"FİYAT ŞÜPHELİ",IF(K1208&lt;0,"ZARARDA",IF(F1208&lt;I1208,"RİSKLİ","ok"))))</f>
        <v/>
      </c>
      <c r="M1208" s="13" t="inlineStr">
        <is>
          <t>https://www.etsy.com/listing/1336346678</t>
        </is>
      </c>
    </row>
    <row r="1209">
      <c r="A1209" s="3" t="inlineStr">
        <is>
          <t>legacy</t>
        </is>
      </c>
      <c r="B1209" s="3" t="inlineStr">
        <is>
          <t>14K Yellow Gold Franco Bracelet – Minimalist Fine Jewelry Gi</t>
        </is>
      </c>
      <c r="C1209" s="3" t="n">
        <v>1336346678</v>
      </c>
      <c r="D1209" s="3" t="inlineStr">
        <is>
          <t>BFR8F-7.5</t>
        </is>
      </c>
      <c r="E1209" s="3" t="inlineStr">
        <is>
          <t>description</t>
        </is>
      </c>
      <c r="F1209" s="14" t="n">
        <v>5648</v>
      </c>
      <c r="G1209" s="17" t="n">
        <v>30.78</v>
      </c>
      <c r="H1209" s="14">
        <f>IF(G1209="","",G1209*Ayarlar!$B$3+Ayarlar!$B$4+Ayarlar!$B$5)</f>
        <v/>
      </c>
      <c r="I1209" s="14">
        <f>IF(G1209="","",ROUNDUP(((G1209*Ayarlar!$B$3+Ayarlar!$B$4+Ayarlar!$B$5)+Ayarlar!$B$8)/((1-Ayarlar!$B$6)*(1-Ayarlar!$B$7)),0))</f>
        <v/>
      </c>
      <c r="J1209" s="14">
        <f>IF(G1209="","",ROUNDUP(((G1209*Ayarlar!$B$3+Ayarlar!$B$4+Ayarlar!$B$5)+Ayarlar!$B$8)/((1-Ayarlar!$B$6)*(1-Ayarlar!$B$7-Ayarlar!$B$9)),0))</f>
        <v/>
      </c>
      <c r="K1209" s="15">
        <f>IF(OR(G1209="",F1209=""),"",(F1209*(1-Ayarlar!$B$6)-(F1209*(1-Ayarlar!$B$6)*Ayarlar!$B$7+Ayarlar!$B$8)-(G1209*Ayarlar!$B$3+Ayarlar!$B$4+Ayarlar!$B$5))/(F1209*(1-Ayarlar!$B$6)))</f>
        <v/>
      </c>
      <c r="L1209" s="3">
        <f>IF(G1209="","GRAM EKSİK",IF(F1209&gt;30000,"FİYAT ŞÜPHELİ",IF(K1209&lt;0,"ZARARDA",IF(F1209&lt;I1209,"RİSKLİ","ok"))))</f>
        <v/>
      </c>
      <c r="M1209" s="16" t="inlineStr">
        <is>
          <t>https://www.etsy.com/listing/1336346678</t>
        </is>
      </c>
    </row>
    <row r="1210">
      <c r="A1210" s="9" t="inlineStr">
        <is>
          <t>legacy</t>
        </is>
      </c>
      <c r="B1210" s="9" t="inlineStr">
        <is>
          <t>14K Yellow Gold Franco Bracelet – Minimalist Fine Jewelry Gi</t>
        </is>
      </c>
      <c r="C1210" s="9" t="n">
        <v>1336346678</v>
      </c>
      <c r="D1210" s="9" t="inlineStr">
        <is>
          <t>BFR8F-8</t>
        </is>
      </c>
      <c r="E1210" s="9" t="inlineStr">
        <is>
          <t>description</t>
        </is>
      </c>
      <c r="F1210" s="10" t="n">
        <v>5893</v>
      </c>
      <c r="G1210" s="18" t="n">
        <v>32.84</v>
      </c>
      <c r="H1210" s="10">
        <f>IF(G1210="","",G1210*Ayarlar!$B$3+Ayarlar!$B$4+Ayarlar!$B$5)</f>
        <v/>
      </c>
      <c r="I1210" s="10">
        <f>IF(G1210="","",ROUNDUP(((G1210*Ayarlar!$B$3+Ayarlar!$B$4+Ayarlar!$B$5)+Ayarlar!$B$8)/((1-Ayarlar!$B$6)*(1-Ayarlar!$B$7)),0))</f>
        <v/>
      </c>
      <c r="J1210" s="10">
        <f>IF(G1210="","",ROUNDUP(((G1210*Ayarlar!$B$3+Ayarlar!$B$4+Ayarlar!$B$5)+Ayarlar!$B$8)/((1-Ayarlar!$B$6)*(1-Ayarlar!$B$7-Ayarlar!$B$9)),0))</f>
        <v/>
      </c>
      <c r="K1210" s="12">
        <f>IF(OR(G1210="",F1210=""),"",(F1210*(1-Ayarlar!$B$6)-(F1210*(1-Ayarlar!$B$6)*Ayarlar!$B$7+Ayarlar!$B$8)-(G1210*Ayarlar!$B$3+Ayarlar!$B$4+Ayarlar!$B$5))/(F1210*(1-Ayarlar!$B$6)))</f>
        <v/>
      </c>
      <c r="L1210" s="9">
        <f>IF(G1210="","GRAM EKSİK",IF(F1210&gt;30000,"FİYAT ŞÜPHELİ",IF(K1210&lt;0,"ZARARDA",IF(F1210&lt;I1210,"RİSKLİ","ok"))))</f>
        <v/>
      </c>
      <c r="M1210" s="13" t="inlineStr">
        <is>
          <t>https://www.etsy.com/listing/1336346678</t>
        </is>
      </c>
    </row>
    <row r="1211">
      <c r="A1211" s="3" t="inlineStr">
        <is>
          <t>legacy</t>
        </is>
      </c>
      <c r="B1211" s="3" t="inlineStr">
        <is>
          <t>14K Yellow Gold Franco Bracelet – Minimalist Fine Jewelry Gi</t>
        </is>
      </c>
      <c r="C1211" s="3" t="n">
        <v>1336346678</v>
      </c>
      <c r="D1211" s="3" t="inlineStr">
        <is>
          <t>BFR8F-8.5</t>
        </is>
      </c>
      <c r="E1211" s="3" t="inlineStr">
        <is>
          <t>description</t>
        </is>
      </c>
      <c r="F1211" s="14" t="n">
        <v>6138</v>
      </c>
      <c r="G1211" s="17" t="n">
        <v>34.89</v>
      </c>
      <c r="H1211" s="14">
        <f>IF(G1211="","",G1211*Ayarlar!$B$3+Ayarlar!$B$4+Ayarlar!$B$5)</f>
        <v/>
      </c>
      <c r="I1211" s="14">
        <f>IF(G1211="","",ROUNDUP(((G1211*Ayarlar!$B$3+Ayarlar!$B$4+Ayarlar!$B$5)+Ayarlar!$B$8)/((1-Ayarlar!$B$6)*(1-Ayarlar!$B$7)),0))</f>
        <v/>
      </c>
      <c r="J1211" s="14">
        <f>IF(G1211="","",ROUNDUP(((G1211*Ayarlar!$B$3+Ayarlar!$B$4+Ayarlar!$B$5)+Ayarlar!$B$8)/((1-Ayarlar!$B$6)*(1-Ayarlar!$B$7-Ayarlar!$B$9)),0))</f>
        <v/>
      </c>
      <c r="K1211" s="15">
        <f>IF(OR(G1211="",F1211=""),"",(F1211*(1-Ayarlar!$B$6)-(F1211*(1-Ayarlar!$B$6)*Ayarlar!$B$7+Ayarlar!$B$8)-(G1211*Ayarlar!$B$3+Ayarlar!$B$4+Ayarlar!$B$5))/(F1211*(1-Ayarlar!$B$6)))</f>
        <v/>
      </c>
      <c r="L1211" s="3">
        <f>IF(G1211="","GRAM EKSİK",IF(F1211&gt;30000,"FİYAT ŞÜPHELİ",IF(K1211&lt;0,"ZARARDA",IF(F1211&lt;I1211,"RİSKLİ","ok"))))</f>
        <v/>
      </c>
      <c r="M1211" s="16" t="inlineStr">
        <is>
          <t>https://www.etsy.com/listing/1336346678</t>
        </is>
      </c>
    </row>
    <row r="1212">
      <c r="A1212" s="9" t="inlineStr">
        <is>
          <t>legacy</t>
        </is>
      </c>
      <c r="B1212" s="9" t="inlineStr">
        <is>
          <t>14K Yellow Gold Franco Bracelet – Minimalist Fine Jewelry Gi</t>
        </is>
      </c>
      <c r="C1212" s="9" t="n">
        <v>1336346678</v>
      </c>
      <c r="D1212" s="9" t="inlineStr">
        <is>
          <t>BFR8F-9</t>
        </is>
      </c>
      <c r="E1212" s="9" t="inlineStr">
        <is>
          <t>description</t>
        </is>
      </c>
      <c r="F1212" s="10" t="n">
        <v>6383</v>
      </c>
      <c r="G1212" s="18" t="n">
        <v>36.94</v>
      </c>
      <c r="H1212" s="10">
        <f>IF(G1212="","",G1212*Ayarlar!$B$3+Ayarlar!$B$4+Ayarlar!$B$5)</f>
        <v/>
      </c>
      <c r="I1212" s="10">
        <f>IF(G1212="","",ROUNDUP(((G1212*Ayarlar!$B$3+Ayarlar!$B$4+Ayarlar!$B$5)+Ayarlar!$B$8)/((1-Ayarlar!$B$6)*(1-Ayarlar!$B$7)),0))</f>
        <v/>
      </c>
      <c r="J1212" s="10">
        <f>IF(G1212="","",ROUNDUP(((G1212*Ayarlar!$B$3+Ayarlar!$B$4+Ayarlar!$B$5)+Ayarlar!$B$8)/((1-Ayarlar!$B$6)*(1-Ayarlar!$B$7-Ayarlar!$B$9)),0))</f>
        <v/>
      </c>
      <c r="K1212" s="12">
        <f>IF(OR(G1212="",F1212=""),"",(F1212*(1-Ayarlar!$B$6)-(F1212*(1-Ayarlar!$B$6)*Ayarlar!$B$7+Ayarlar!$B$8)-(G1212*Ayarlar!$B$3+Ayarlar!$B$4+Ayarlar!$B$5))/(F1212*(1-Ayarlar!$B$6)))</f>
        <v/>
      </c>
      <c r="L1212" s="9">
        <f>IF(G1212="","GRAM EKSİK",IF(F1212&gt;30000,"FİYAT ŞÜPHELİ",IF(K1212&lt;0,"ZARARDA",IF(F1212&lt;I1212,"RİSKLİ","ok"))))</f>
        <v/>
      </c>
      <c r="M1212" s="13" t="inlineStr">
        <is>
          <t>https://www.etsy.com/listing/1336346678</t>
        </is>
      </c>
    </row>
    <row r="1213">
      <c r="A1213" s="3" t="inlineStr">
        <is>
          <t>legacy</t>
        </is>
      </c>
      <c r="B1213" s="3" t="inlineStr">
        <is>
          <t>14K Yellow Gold Miami Cuban Link Chain – CZ Box Lock</t>
        </is>
      </c>
      <c r="C1213" s="3" t="n">
        <v>1876638143</v>
      </c>
      <c r="D1213" s="3" t="inlineStr">
        <is>
          <t>CMNC10-16</t>
        </is>
      </c>
      <c r="E1213" s="3" t="inlineStr">
        <is>
          <t>description</t>
        </is>
      </c>
      <c r="F1213" s="14" t="n">
        <v>4736</v>
      </c>
      <c r="G1213" s="17" t="n">
        <v>27.74</v>
      </c>
      <c r="H1213" s="14">
        <f>IF(G1213="","",G1213*Ayarlar!$B$3+Ayarlar!$B$4+Ayarlar!$B$5)</f>
        <v/>
      </c>
      <c r="I1213" s="14">
        <f>IF(G1213="","",ROUNDUP(((G1213*Ayarlar!$B$3+Ayarlar!$B$4+Ayarlar!$B$5)+Ayarlar!$B$8)/((1-Ayarlar!$B$6)*(1-Ayarlar!$B$7)),0))</f>
        <v/>
      </c>
      <c r="J1213" s="14">
        <f>IF(G1213="","",ROUNDUP(((G1213*Ayarlar!$B$3+Ayarlar!$B$4+Ayarlar!$B$5)+Ayarlar!$B$8)/((1-Ayarlar!$B$6)*(1-Ayarlar!$B$7-Ayarlar!$B$9)),0))</f>
        <v/>
      </c>
      <c r="K1213" s="15">
        <f>IF(OR(G1213="",F1213=""),"",(F1213*(1-Ayarlar!$B$6)-(F1213*(1-Ayarlar!$B$6)*Ayarlar!$B$7+Ayarlar!$B$8)-(G1213*Ayarlar!$B$3+Ayarlar!$B$4+Ayarlar!$B$5))/(F1213*(1-Ayarlar!$B$6)))</f>
        <v/>
      </c>
      <c r="L1213" s="3">
        <f>IF(G1213="","GRAM EKSİK",IF(F1213&gt;30000,"FİYAT ŞÜPHELİ",IF(K1213&lt;0,"ZARARDA",IF(F1213&lt;I1213,"RİSKLİ","ok"))))</f>
        <v/>
      </c>
      <c r="M1213" s="16" t="inlineStr">
        <is>
          <t>https://www.etsy.com/listing/1876638143</t>
        </is>
      </c>
    </row>
    <row r="1214">
      <c r="A1214" s="9" t="inlineStr">
        <is>
          <t>legacy</t>
        </is>
      </c>
      <c r="B1214" s="9" t="inlineStr">
        <is>
          <t>14K Yellow Gold Miami Cuban Link Chain – CZ Box Lock</t>
        </is>
      </c>
      <c r="C1214" s="9" t="n">
        <v>1876638143</v>
      </c>
      <c r="D1214" s="9" t="inlineStr">
        <is>
          <t>CMNC10-18</t>
        </is>
      </c>
      <c r="E1214" s="9" t="inlineStr">
        <is>
          <t>description</t>
        </is>
      </c>
      <c r="F1214" s="10" t="n">
        <v>5188</v>
      </c>
      <c r="G1214" s="18" t="n">
        <v>31.21</v>
      </c>
      <c r="H1214" s="10">
        <f>IF(G1214="","",G1214*Ayarlar!$B$3+Ayarlar!$B$4+Ayarlar!$B$5)</f>
        <v/>
      </c>
      <c r="I1214" s="10">
        <f>IF(G1214="","",ROUNDUP(((G1214*Ayarlar!$B$3+Ayarlar!$B$4+Ayarlar!$B$5)+Ayarlar!$B$8)/((1-Ayarlar!$B$6)*(1-Ayarlar!$B$7)),0))</f>
        <v/>
      </c>
      <c r="J1214" s="10">
        <f>IF(G1214="","",ROUNDUP(((G1214*Ayarlar!$B$3+Ayarlar!$B$4+Ayarlar!$B$5)+Ayarlar!$B$8)/((1-Ayarlar!$B$6)*(1-Ayarlar!$B$7-Ayarlar!$B$9)),0))</f>
        <v/>
      </c>
      <c r="K1214" s="12">
        <f>IF(OR(G1214="",F1214=""),"",(F1214*(1-Ayarlar!$B$6)-(F1214*(1-Ayarlar!$B$6)*Ayarlar!$B$7+Ayarlar!$B$8)-(G1214*Ayarlar!$B$3+Ayarlar!$B$4+Ayarlar!$B$5))/(F1214*(1-Ayarlar!$B$6)))</f>
        <v/>
      </c>
      <c r="L1214" s="9">
        <f>IF(G1214="","GRAM EKSİK",IF(F1214&gt;30000,"FİYAT ŞÜPHELİ",IF(K1214&lt;0,"ZARARDA",IF(F1214&lt;I1214,"RİSKLİ","ok"))))</f>
        <v/>
      </c>
      <c r="M1214" s="13" t="inlineStr">
        <is>
          <t>https://www.etsy.com/listing/1876638143</t>
        </is>
      </c>
    </row>
    <row r="1215">
      <c r="A1215" s="3" t="inlineStr">
        <is>
          <t>legacy</t>
        </is>
      </c>
      <c r="B1215" s="3" t="inlineStr">
        <is>
          <t>14K Yellow Gold Miami Cuban Link Chain – CZ Box Lock</t>
        </is>
      </c>
      <c r="C1215" s="3" t="n">
        <v>1876638143</v>
      </c>
      <c r="D1215" s="3" t="inlineStr">
        <is>
          <t>CMNC10-20</t>
        </is>
      </c>
      <c r="E1215" s="3" t="inlineStr">
        <is>
          <t>description</t>
        </is>
      </c>
      <c r="F1215" s="14" t="n">
        <v>5641</v>
      </c>
      <c r="G1215" s="17" t="n">
        <v>34.68</v>
      </c>
      <c r="H1215" s="14">
        <f>IF(G1215="","",G1215*Ayarlar!$B$3+Ayarlar!$B$4+Ayarlar!$B$5)</f>
        <v/>
      </c>
      <c r="I1215" s="14">
        <f>IF(G1215="","",ROUNDUP(((G1215*Ayarlar!$B$3+Ayarlar!$B$4+Ayarlar!$B$5)+Ayarlar!$B$8)/((1-Ayarlar!$B$6)*(1-Ayarlar!$B$7)),0))</f>
        <v/>
      </c>
      <c r="J1215" s="14">
        <f>IF(G1215="","",ROUNDUP(((G1215*Ayarlar!$B$3+Ayarlar!$B$4+Ayarlar!$B$5)+Ayarlar!$B$8)/((1-Ayarlar!$B$6)*(1-Ayarlar!$B$7-Ayarlar!$B$9)),0))</f>
        <v/>
      </c>
      <c r="K1215" s="15">
        <f>IF(OR(G1215="",F1215=""),"",(F1215*(1-Ayarlar!$B$6)-(F1215*(1-Ayarlar!$B$6)*Ayarlar!$B$7+Ayarlar!$B$8)-(G1215*Ayarlar!$B$3+Ayarlar!$B$4+Ayarlar!$B$5))/(F1215*(1-Ayarlar!$B$6)))</f>
        <v/>
      </c>
      <c r="L1215" s="3">
        <f>IF(G1215="","GRAM EKSİK",IF(F1215&gt;30000,"FİYAT ŞÜPHELİ",IF(K1215&lt;0,"ZARARDA",IF(F1215&lt;I1215,"RİSKLİ","ok"))))</f>
        <v/>
      </c>
      <c r="M1215" s="16" t="inlineStr">
        <is>
          <t>https://www.etsy.com/listing/1876638143</t>
        </is>
      </c>
    </row>
    <row r="1216">
      <c r="A1216" s="9" t="inlineStr">
        <is>
          <t>legacy</t>
        </is>
      </c>
      <c r="B1216" s="9" t="inlineStr">
        <is>
          <t>14K Yellow Gold Miami Cuban Link Chain – CZ Box Lock</t>
        </is>
      </c>
      <c r="C1216" s="9" t="n">
        <v>1876638143</v>
      </c>
      <c r="D1216" s="9" t="inlineStr">
        <is>
          <t>CMNC10-22</t>
        </is>
      </c>
      <c r="E1216" s="9" t="inlineStr">
        <is>
          <t>description</t>
        </is>
      </c>
      <c r="F1216" s="10" t="n">
        <v>6197</v>
      </c>
      <c r="G1216" s="18" t="n">
        <v>38.15</v>
      </c>
      <c r="H1216" s="10">
        <f>IF(G1216="","",G1216*Ayarlar!$B$3+Ayarlar!$B$4+Ayarlar!$B$5)</f>
        <v/>
      </c>
      <c r="I1216" s="10">
        <f>IF(G1216="","",ROUNDUP(((G1216*Ayarlar!$B$3+Ayarlar!$B$4+Ayarlar!$B$5)+Ayarlar!$B$8)/((1-Ayarlar!$B$6)*(1-Ayarlar!$B$7)),0))</f>
        <v/>
      </c>
      <c r="J1216" s="10">
        <f>IF(G1216="","",ROUNDUP(((G1216*Ayarlar!$B$3+Ayarlar!$B$4+Ayarlar!$B$5)+Ayarlar!$B$8)/((1-Ayarlar!$B$6)*(1-Ayarlar!$B$7-Ayarlar!$B$9)),0))</f>
        <v/>
      </c>
      <c r="K1216" s="12">
        <f>IF(OR(G1216="",F1216=""),"",(F1216*(1-Ayarlar!$B$6)-(F1216*(1-Ayarlar!$B$6)*Ayarlar!$B$7+Ayarlar!$B$8)-(G1216*Ayarlar!$B$3+Ayarlar!$B$4+Ayarlar!$B$5))/(F1216*(1-Ayarlar!$B$6)))</f>
        <v/>
      </c>
      <c r="L1216" s="9">
        <f>IF(G1216="","GRAM EKSİK",IF(F1216&gt;30000,"FİYAT ŞÜPHELİ",IF(K1216&lt;0,"ZARARDA",IF(F1216&lt;I1216,"RİSKLİ","ok"))))</f>
        <v/>
      </c>
      <c r="M1216" s="13" t="inlineStr">
        <is>
          <t>https://www.etsy.com/listing/1876638143</t>
        </is>
      </c>
    </row>
    <row r="1217">
      <c r="A1217" s="3" t="inlineStr">
        <is>
          <t>legacy</t>
        </is>
      </c>
      <c r="B1217" s="3" t="inlineStr">
        <is>
          <t>14K Yellow Gold Miami Cuban Link Chain – CZ Box Lock</t>
        </is>
      </c>
      <c r="C1217" s="3" t="n">
        <v>1876638143</v>
      </c>
      <c r="D1217" s="3" t="inlineStr">
        <is>
          <t>CMNC10-24</t>
        </is>
      </c>
      <c r="E1217" s="3" t="inlineStr">
        <is>
          <t>description</t>
        </is>
      </c>
      <c r="F1217" s="14" t="n">
        <v>6661</v>
      </c>
      <c r="G1217" s="17" t="n">
        <v>41.61</v>
      </c>
      <c r="H1217" s="14">
        <f>IF(G1217="","",G1217*Ayarlar!$B$3+Ayarlar!$B$4+Ayarlar!$B$5)</f>
        <v/>
      </c>
      <c r="I1217" s="14">
        <f>IF(G1217="","",ROUNDUP(((G1217*Ayarlar!$B$3+Ayarlar!$B$4+Ayarlar!$B$5)+Ayarlar!$B$8)/((1-Ayarlar!$B$6)*(1-Ayarlar!$B$7)),0))</f>
        <v/>
      </c>
      <c r="J1217" s="14">
        <f>IF(G1217="","",ROUNDUP(((G1217*Ayarlar!$B$3+Ayarlar!$B$4+Ayarlar!$B$5)+Ayarlar!$B$8)/((1-Ayarlar!$B$6)*(1-Ayarlar!$B$7-Ayarlar!$B$9)),0))</f>
        <v/>
      </c>
      <c r="K1217" s="15">
        <f>IF(OR(G1217="",F1217=""),"",(F1217*(1-Ayarlar!$B$6)-(F1217*(1-Ayarlar!$B$6)*Ayarlar!$B$7+Ayarlar!$B$8)-(G1217*Ayarlar!$B$3+Ayarlar!$B$4+Ayarlar!$B$5))/(F1217*(1-Ayarlar!$B$6)))</f>
        <v/>
      </c>
      <c r="L1217" s="3">
        <f>IF(G1217="","GRAM EKSİK",IF(F1217&gt;30000,"FİYAT ŞÜPHELİ",IF(K1217&lt;0,"ZARARDA",IF(F1217&lt;I1217,"RİSKLİ","ok"))))</f>
        <v/>
      </c>
      <c r="M1217" s="16" t="inlineStr">
        <is>
          <t>https://www.etsy.com/listing/1876638143</t>
        </is>
      </c>
    </row>
    <row r="1218">
      <c r="A1218" s="9" t="inlineStr">
        <is>
          <t>legacy</t>
        </is>
      </c>
      <c r="B1218" s="9" t="inlineStr">
        <is>
          <t>14K Yellow Gold Miami Cuban Link Chain – CZ Box Lock</t>
        </is>
      </c>
      <c r="C1218" s="9" t="n">
        <v>1876638143</v>
      </c>
      <c r="D1218" s="9" t="inlineStr">
        <is>
          <t>CMNC13-16</t>
        </is>
      </c>
      <c r="E1218" s="9" t="inlineStr">
        <is>
          <t>description</t>
        </is>
      </c>
      <c r="F1218" s="10" t="n">
        <v>7090</v>
      </c>
      <c r="G1218" s="18" t="n">
        <v>44.88</v>
      </c>
      <c r="H1218" s="10">
        <f>IF(G1218="","",G1218*Ayarlar!$B$3+Ayarlar!$B$4+Ayarlar!$B$5)</f>
        <v/>
      </c>
      <c r="I1218" s="10">
        <f>IF(G1218="","",ROUNDUP(((G1218*Ayarlar!$B$3+Ayarlar!$B$4+Ayarlar!$B$5)+Ayarlar!$B$8)/((1-Ayarlar!$B$6)*(1-Ayarlar!$B$7)),0))</f>
        <v/>
      </c>
      <c r="J1218" s="10">
        <f>IF(G1218="","",ROUNDUP(((G1218*Ayarlar!$B$3+Ayarlar!$B$4+Ayarlar!$B$5)+Ayarlar!$B$8)/((1-Ayarlar!$B$6)*(1-Ayarlar!$B$7-Ayarlar!$B$9)),0))</f>
        <v/>
      </c>
      <c r="K1218" s="12">
        <f>IF(OR(G1218="",F1218=""),"",(F1218*(1-Ayarlar!$B$6)-(F1218*(1-Ayarlar!$B$6)*Ayarlar!$B$7+Ayarlar!$B$8)-(G1218*Ayarlar!$B$3+Ayarlar!$B$4+Ayarlar!$B$5))/(F1218*(1-Ayarlar!$B$6)))</f>
        <v/>
      </c>
      <c r="L1218" s="9">
        <f>IF(G1218="","GRAM EKSİK",IF(F1218&gt;30000,"FİYAT ŞÜPHELİ",IF(K1218&lt;0,"ZARARDA",IF(F1218&lt;I1218,"RİSKLİ","ok"))))</f>
        <v/>
      </c>
      <c r="M1218" s="13" t="inlineStr">
        <is>
          <t>https://www.etsy.com/listing/1876638143</t>
        </is>
      </c>
    </row>
    <row r="1219">
      <c r="A1219" s="3" t="inlineStr">
        <is>
          <t>legacy</t>
        </is>
      </c>
      <c r="B1219" s="3" t="inlineStr">
        <is>
          <t>14K Yellow Gold Miami Cuban Link Chain – CZ Box Lock</t>
        </is>
      </c>
      <c r="C1219" s="3" t="n">
        <v>1876638143</v>
      </c>
      <c r="D1219" s="3" t="inlineStr">
        <is>
          <t>CMNC13-18</t>
        </is>
      </c>
      <c r="E1219" s="3" t="inlineStr">
        <is>
          <t>description</t>
        </is>
      </c>
      <c r="F1219" s="14" t="n">
        <v>8033</v>
      </c>
      <c r="G1219" s="17" t="n">
        <v>50.49</v>
      </c>
      <c r="H1219" s="14">
        <f>IF(G1219="","",G1219*Ayarlar!$B$3+Ayarlar!$B$4+Ayarlar!$B$5)</f>
        <v/>
      </c>
      <c r="I1219" s="14">
        <f>IF(G1219="","",ROUNDUP(((G1219*Ayarlar!$B$3+Ayarlar!$B$4+Ayarlar!$B$5)+Ayarlar!$B$8)/((1-Ayarlar!$B$6)*(1-Ayarlar!$B$7)),0))</f>
        <v/>
      </c>
      <c r="J1219" s="14">
        <f>IF(G1219="","",ROUNDUP(((G1219*Ayarlar!$B$3+Ayarlar!$B$4+Ayarlar!$B$5)+Ayarlar!$B$8)/((1-Ayarlar!$B$6)*(1-Ayarlar!$B$7-Ayarlar!$B$9)),0))</f>
        <v/>
      </c>
      <c r="K1219" s="15">
        <f>IF(OR(G1219="",F1219=""),"",(F1219*(1-Ayarlar!$B$6)-(F1219*(1-Ayarlar!$B$6)*Ayarlar!$B$7+Ayarlar!$B$8)-(G1219*Ayarlar!$B$3+Ayarlar!$B$4+Ayarlar!$B$5))/(F1219*(1-Ayarlar!$B$6)))</f>
        <v/>
      </c>
      <c r="L1219" s="3">
        <f>IF(G1219="","GRAM EKSİK",IF(F1219&gt;30000,"FİYAT ŞÜPHELİ",IF(K1219&lt;0,"ZARARDA",IF(F1219&lt;I1219,"RİSKLİ","ok"))))</f>
        <v/>
      </c>
      <c r="M1219" s="16" t="inlineStr">
        <is>
          <t>https://www.etsy.com/listing/1876638143</t>
        </is>
      </c>
    </row>
    <row r="1220">
      <c r="A1220" s="9" t="inlineStr">
        <is>
          <t>legacy</t>
        </is>
      </c>
      <c r="B1220" s="9" t="inlineStr">
        <is>
          <t>14K Yellow Gold Miami Cuban Link Chain – CZ Box Lock</t>
        </is>
      </c>
      <c r="C1220" s="9" t="n">
        <v>1876638143</v>
      </c>
      <c r="D1220" s="9" t="inlineStr">
        <is>
          <t>CMNC13-20</t>
        </is>
      </c>
      <c r="E1220" s="9" t="inlineStr">
        <is>
          <t>description</t>
        </is>
      </c>
      <c r="F1220" s="10" t="n">
        <v>8976</v>
      </c>
      <c r="G1220" s="18" t="n">
        <v>56.1</v>
      </c>
      <c r="H1220" s="10">
        <f>IF(G1220="","",G1220*Ayarlar!$B$3+Ayarlar!$B$4+Ayarlar!$B$5)</f>
        <v/>
      </c>
      <c r="I1220" s="10">
        <f>IF(G1220="","",ROUNDUP(((G1220*Ayarlar!$B$3+Ayarlar!$B$4+Ayarlar!$B$5)+Ayarlar!$B$8)/((1-Ayarlar!$B$6)*(1-Ayarlar!$B$7)),0))</f>
        <v/>
      </c>
      <c r="J1220" s="10">
        <f>IF(G1220="","",ROUNDUP(((G1220*Ayarlar!$B$3+Ayarlar!$B$4+Ayarlar!$B$5)+Ayarlar!$B$8)/((1-Ayarlar!$B$6)*(1-Ayarlar!$B$7-Ayarlar!$B$9)),0))</f>
        <v/>
      </c>
      <c r="K1220" s="12">
        <f>IF(OR(G1220="",F1220=""),"",(F1220*(1-Ayarlar!$B$6)-(F1220*(1-Ayarlar!$B$6)*Ayarlar!$B$7+Ayarlar!$B$8)-(G1220*Ayarlar!$B$3+Ayarlar!$B$4+Ayarlar!$B$5))/(F1220*(1-Ayarlar!$B$6)))</f>
        <v/>
      </c>
      <c r="L1220" s="9">
        <f>IF(G1220="","GRAM EKSİK",IF(F1220&gt;30000,"FİYAT ŞÜPHELİ",IF(K1220&lt;0,"ZARARDA",IF(F1220&lt;I1220,"RİSKLİ","ok"))))</f>
        <v/>
      </c>
      <c r="M1220" s="13" t="inlineStr">
        <is>
          <t>https://www.etsy.com/listing/1876638143</t>
        </is>
      </c>
    </row>
    <row r="1221">
      <c r="A1221" s="3" t="inlineStr">
        <is>
          <t>legacy</t>
        </is>
      </c>
      <c r="B1221" s="3" t="inlineStr">
        <is>
          <t>14K Yellow Gold Miami Cuban Link Chain – CZ Box Lock</t>
        </is>
      </c>
      <c r="C1221" s="3" t="n">
        <v>1876638143</v>
      </c>
      <c r="D1221" s="3" t="inlineStr">
        <is>
          <t>CMNC13-22</t>
        </is>
      </c>
      <c r="E1221" s="3" t="inlineStr">
        <is>
          <t>description</t>
        </is>
      </c>
      <c r="F1221" s="14" t="n">
        <v>9806</v>
      </c>
      <c r="G1221" s="17" t="n">
        <v>61.71</v>
      </c>
      <c r="H1221" s="14">
        <f>IF(G1221="","",G1221*Ayarlar!$B$3+Ayarlar!$B$4+Ayarlar!$B$5)</f>
        <v/>
      </c>
      <c r="I1221" s="14">
        <f>IF(G1221="","",ROUNDUP(((G1221*Ayarlar!$B$3+Ayarlar!$B$4+Ayarlar!$B$5)+Ayarlar!$B$8)/((1-Ayarlar!$B$6)*(1-Ayarlar!$B$7)),0))</f>
        <v/>
      </c>
      <c r="J1221" s="14">
        <f>IF(G1221="","",ROUNDUP(((G1221*Ayarlar!$B$3+Ayarlar!$B$4+Ayarlar!$B$5)+Ayarlar!$B$8)/((1-Ayarlar!$B$6)*(1-Ayarlar!$B$7-Ayarlar!$B$9)),0))</f>
        <v/>
      </c>
      <c r="K1221" s="15">
        <f>IF(OR(G1221="",F1221=""),"",(F1221*(1-Ayarlar!$B$6)-(F1221*(1-Ayarlar!$B$6)*Ayarlar!$B$7+Ayarlar!$B$8)-(G1221*Ayarlar!$B$3+Ayarlar!$B$4+Ayarlar!$B$5))/(F1221*(1-Ayarlar!$B$6)))</f>
        <v/>
      </c>
      <c r="L1221" s="3">
        <f>IF(G1221="","GRAM EKSİK",IF(F1221&gt;30000,"FİYAT ŞÜPHELİ",IF(K1221&lt;0,"ZARARDA",IF(F1221&lt;I1221,"RİSKLİ","ok"))))</f>
        <v/>
      </c>
      <c r="M1221" s="16" t="inlineStr">
        <is>
          <t>https://www.etsy.com/listing/1876638143</t>
        </is>
      </c>
    </row>
    <row r="1222">
      <c r="A1222" s="9" t="inlineStr">
        <is>
          <t>legacy</t>
        </is>
      </c>
      <c r="B1222" s="9" t="inlineStr">
        <is>
          <t>14K Yellow Gold Miami Cuban Link Chain – CZ Box Lock</t>
        </is>
      </c>
      <c r="C1222" s="9" t="n">
        <v>1876638143</v>
      </c>
      <c r="D1222" s="9" t="inlineStr">
        <is>
          <t>CMNC13-24</t>
        </is>
      </c>
      <c r="E1222" s="9" t="inlineStr">
        <is>
          <t>description</t>
        </is>
      </c>
      <c r="F1222" s="10" t="n">
        <v>10578</v>
      </c>
      <c r="G1222" s="18" t="n">
        <v>67.31999999999999</v>
      </c>
      <c r="H1222" s="10">
        <f>IF(G1222="","",G1222*Ayarlar!$B$3+Ayarlar!$B$4+Ayarlar!$B$5)</f>
        <v/>
      </c>
      <c r="I1222" s="10">
        <f>IF(G1222="","",ROUNDUP(((G1222*Ayarlar!$B$3+Ayarlar!$B$4+Ayarlar!$B$5)+Ayarlar!$B$8)/((1-Ayarlar!$B$6)*(1-Ayarlar!$B$7)),0))</f>
        <v/>
      </c>
      <c r="J1222" s="10">
        <f>IF(G1222="","",ROUNDUP(((G1222*Ayarlar!$B$3+Ayarlar!$B$4+Ayarlar!$B$5)+Ayarlar!$B$8)/((1-Ayarlar!$B$6)*(1-Ayarlar!$B$7-Ayarlar!$B$9)),0))</f>
        <v/>
      </c>
      <c r="K1222" s="12">
        <f>IF(OR(G1222="",F1222=""),"",(F1222*(1-Ayarlar!$B$6)-(F1222*(1-Ayarlar!$B$6)*Ayarlar!$B$7+Ayarlar!$B$8)-(G1222*Ayarlar!$B$3+Ayarlar!$B$4+Ayarlar!$B$5))/(F1222*(1-Ayarlar!$B$6)))</f>
        <v/>
      </c>
      <c r="L1222" s="9">
        <f>IF(G1222="","GRAM EKSİK",IF(F1222&gt;30000,"FİYAT ŞÜPHELİ",IF(K1222&lt;0,"ZARARDA",IF(F1222&lt;I1222,"RİSKLİ","ok"))))</f>
        <v/>
      </c>
      <c r="M1222" s="13" t="inlineStr">
        <is>
          <t>https://www.etsy.com/listing/1876638143</t>
        </is>
      </c>
    </row>
    <row r="1223">
      <c r="A1223" s="3" t="inlineStr">
        <is>
          <t>legacy</t>
        </is>
      </c>
      <c r="B1223" s="3" t="inlineStr">
        <is>
          <t>14K Yellow Gold Miami Cuban Link Chain – CZ Box Lock</t>
        </is>
      </c>
      <c r="C1223" s="3" t="n">
        <v>1876638143</v>
      </c>
      <c r="D1223" s="3" t="inlineStr">
        <is>
          <t>CMNC7-16</t>
        </is>
      </c>
      <c r="E1223" s="3" t="inlineStr">
        <is>
          <t>description</t>
        </is>
      </c>
      <c r="F1223" s="14" t="n">
        <v>2335</v>
      </c>
      <c r="G1223" s="17" t="n">
        <v>19.52</v>
      </c>
      <c r="H1223" s="14">
        <f>IF(G1223="","",G1223*Ayarlar!$B$3+Ayarlar!$B$4+Ayarlar!$B$5)</f>
        <v/>
      </c>
      <c r="I1223" s="14">
        <f>IF(G1223="","",ROUNDUP(((G1223*Ayarlar!$B$3+Ayarlar!$B$4+Ayarlar!$B$5)+Ayarlar!$B$8)/((1-Ayarlar!$B$6)*(1-Ayarlar!$B$7)),0))</f>
        <v/>
      </c>
      <c r="J1223" s="14">
        <f>IF(G1223="","",ROUNDUP(((G1223*Ayarlar!$B$3+Ayarlar!$B$4+Ayarlar!$B$5)+Ayarlar!$B$8)/((1-Ayarlar!$B$6)*(1-Ayarlar!$B$7-Ayarlar!$B$9)),0))</f>
        <v/>
      </c>
      <c r="K1223" s="15">
        <f>IF(OR(G1223="",F1223=""),"",(F1223*(1-Ayarlar!$B$6)-(F1223*(1-Ayarlar!$B$6)*Ayarlar!$B$7+Ayarlar!$B$8)-(G1223*Ayarlar!$B$3+Ayarlar!$B$4+Ayarlar!$B$5))/(F1223*(1-Ayarlar!$B$6)))</f>
        <v/>
      </c>
      <c r="L1223" s="3">
        <f>IF(G1223="","GRAM EKSİK",IF(F1223&gt;30000,"FİYAT ŞÜPHELİ",IF(K1223&lt;0,"ZARARDA",IF(F1223&lt;I1223,"RİSKLİ","ok"))))</f>
        <v/>
      </c>
      <c r="M1223" s="16" t="inlineStr">
        <is>
          <t>https://www.etsy.com/listing/1876638143</t>
        </is>
      </c>
    </row>
    <row r="1224">
      <c r="A1224" s="9" t="inlineStr">
        <is>
          <t>legacy</t>
        </is>
      </c>
      <c r="B1224" s="9" t="inlineStr">
        <is>
          <t>14K Yellow Gold Miami Cuban Link Chain – CZ Box Lock</t>
        </is>
      </c>
      <c r="C1224" s="9" t="n">
        <v>1876638143</v>
      </c>
      <c r="D1224" s="9" t="inlineStr">
        <is>
          <t>CMNC7-18</t>
        </is>
      </c>
      <c r="E1224" s="9" t="inlineStr">
        <is>
          <t>description</t>
        </is>
      </c>
      <c r="F1224" s="10" t="n">
        <v>3599</v>
      </c>
      <c r="G1224" s="18" t="n">
        <v>21.96</v>
      </c>
      <c r="H1224" s="10">
        <f>IF(G1224="","",G1224*Ayarlar!$B$3+Ayarlar!$B$4+Ayarlar!$B$5)</f>
        <v/>
      </c>
      <c r="I1224" s="10">
        <f>IF(G1224="","",ROUNDUP(((G1224*Ayarlar!$B$3+Ayarlar!$B$4+Ayarlar!$B$5)+Ayarlar!$B$8)/((1-Ayarlar!$B$6)*(1-Ayarlar!$B$7)),0))</f>
        <v/>
      </c>
      <c r="J1224" s="10">
        <f>IF(G1224="","",ROUNDUP(((G1224*Ayarlar!$B$3+Ayarlar!$B$4+Ayarlar!$B$5)+Ayarlar!$B$8)/((1-Ayarlar!$B$6)*(1-Ayarlar!$B$7-Ayarlar!$B$9)),0))</f>
        <v/>
      </c>
      <c r="K1224" s="12">
        <f>IF(OR(G1224="",F1224=""),"",(F1224*(1-Ayarlar!$B$6)-(F1224*(1-Ayarlar!$B$6)*Ayarlar!$B$7+Ayarlar!$B$8)-(G1224*Ayarlar!$B$3+Ayarlar!$B$4+Ayarlar!$B$5))/(F1224*(1-Ayarlar!$B$6)))</f>
        <v/>
      </c>
      <c r="L1224" s="9">
        <f>IF(G1224="","GRAM EKSİK",IF(F1224&gt;30000,"FİYAT ŞÜPHELİ",IF(K1224&lt;0,"ZARARDA",IF(F1224&lt;I1224,"RİSKLİ","ok"))))</f>
        <v/>
      </c>
      <c r="M1224" s="13" t="inlineStr">
        <is>
          <t>https://www.etsy.com/listing/1876638143</t>
        </is>
      </c>
    </row>
    <row r="1225">
      <c r="A1225" s="3" t="inlineStr">
        <is>
          <t>legacy</t>
        </is>
      </c>
      <c r="B1225" s="3" t="inlineStr">
        <is>
          <t>14K Yellow Gold Miami Cuban Link Chain – CZ Box Lock</t>
        </is>
      </c>
      <c r="C1225" s="3" t="n">
        <v>1876638143</v>
      </c>
      <c r="D1225" s="3" t="inlineStr">
        <is>
          <t>CMNC7-20</t>
        </is>
      </c>
      <c r="E1225" s="3" t="inlineStr">
        <is>
          <t>description</t>
        </is>
      </c>
      <c r="F1225" s="14" t="n">
        <v>4011</v>
      </c>
      <c r="G1225" s="17" t="n">
        <v>24.4</v>
      </c>
      <c r="H1225" s="14">
        <f>IF(G1225="","",G1225*Ayarlar!$B$3+Ayarlar!$B$4+Ayarlar!$B$5)</f>
        <v/>
      </c>
      <c r="I1225" s="14">
        <f>IF(G1225="","",ROUNDUP(((G1225*Ayarlar!$B$3+Ayarlar!$B$4+Ayarlar!$B$5)+Ayarlar!$B$8)/((1-Ayarlar!$B$6)*(1-Ayarlar!$B$7)),0))</f>
        <v/>
      </c>
      <c r="J1225" s="14">
        <f>IF(G1225="","",ROUNDUP(((G1225*Ayarlar!$B$3+Ayarlar!$B$4+Ayarlar!$B$5)+Ayarlar!$B$8)/((1-Ayarlar!$B$6)*(1-Ayarlar!$B$7-Ayarlar!$B$9)),0))</f>
        <v/>
      </c>
      <c r="K1225" s="15">
        <f>IF(OR(G1225="",F1225=""),"",(F1225*(1-Ayarlar!$B$6)-(F1225*(1-Ayarlar!$B$6)*Ayarlar!$B$7+Ayarlar!$B$8)-(G1225*Ayarlar!$B$3+Ayarlar!$B$4+Ayarlar!$B$5))/(F1225*(1-Ayarlar!$B$6)))</f>
        <v/>
      </c>
      <c r="L1225" s="3">
        <f>IF(G1225="","GRAM EKSİK",IF(F1225&gt;30000,"FİYAT ŞÜPHELİ",IF(K1225&lt;0,"ZARARDA",IF(F1225&lt;I1225,"RİSKLİ","ok"))))</f>
        <v/>
      </c>
      <c r="M1225" s="16" t="inlineStr">
        <is>
          <t>https://www.etsy.com/listing/1876638143</t>
        </is>
      </c>
    </row>
    <row r="1226">
      <c r="A1226" s="9" t="inlineStr">
        <is>
          <t>legacy</t>
        </is>
      </c>
      <c r="B1226" s="9" t="inlineStr">
        <is>
          <t>14K Yellow Gold Miami Cuban Link Chain – CZ Box Lock</t>
        </is>
      </c>
      <c r="C1226" s="9" t="n">
        <v>1876638143</v>
      </c>
      <c r="D1226" s="9" t="inlineStr">
        <is>
          <t>CMNC7-22</t>
        </is>
      </c>
      <c r="E1226" s="9" t="inlineStr">
        <is>
          <t>description</t>
        </is>
      </c>
      <c r="F1226" s="10" t="n">
        <v>4366</v>
      </c>
      <c r="G1226" s="18" t="n">
        <v>26.84</v>
      </c>
      <c r="H1226" s="10">
        <f>IF(G1226="","",G1226*Ayarlar!$B$3+Ayarlar!$B$4+Ayarlar!$B$5)</f>
        <v/>
      </c>
      <c r="I1226" s="10">
        <f>IF(G1226="","",ROUNDUP(((G1226*Ayarlar!$B$3+Ayarlar!$B$4+Ayarlar!$B$5)+Ayarlar!$B$8)/((1-Ayarlar!$B$6)*(1-Ayarlar!$B$7)),0))</f>
        <v/>
      </c>
      <c r="J1226" s="10">
        <f>IF(G1226="","",ROUNDUP(((G1226*Ayarlar!$B$3+Ayarlar!$B$4+Ayarlar!$B$5)+Ayarlar!$B$8)/((1-Ayarlar!$B$6)*(1-Ayarlar!$B$7-Ayarlar!$B$9)),0))</f>
        <v/>
      </c>
      <c r="K1226" s="12">
        <f>IF(OR(G1226="",F1226=""),"",(F1226*(1-Ayarlar!$B$6)-(F1226*(1-Ayarlar!$B$6)*Ayarlar!$B$7+Ayarlar!$B$8)-(G1226*Ayarlar!$B$3+Ayarlar!$B$4+Ayarlar!$B$5))/(F1226*(1-Ayarlar!$B$6)))</f>
        <v/>
      </c>
      <c r="L1226" s="9">
        <f>IF(G1226="","GRAM EKSİK",IF(F1226&gt;30000,"FİYAT ŞÜPHELİ",IF(K1226&lt;0,"ZARARDA",IF(F1226&lt;I1226,"RİSKLİ","ok"))))</f>
        <v/>
      </c>
      <c r="M1226" s="13" t="inlineStr">
        <is>
          <t>https://www.etsy.com/listing/1876638143</t>
        </is>
      </c>
    </row>
    <row r="1227">
      <c r="A1227" s="3" t="inlineStr">
        <is>
          <t>legacy</t>
        </is>
      </c>
      <c r="B1227" s="3" t="inlineStr">
        <is>
          <t>14K Yellow Gold Miami Cuban Link Chain – CZ Box Lock</t>
        </is>
      </c>
      <c r="C1227" s="3" t="n">
        <v>1876638143</v>
      </c>
      <c r="D1227" s="3" t="inlineStr">
        <is>
          <t>CMNC7-24</t>
        </is>
      </c>
      <c r="E1227" s="3" t="inlineStr">
        <is>
          <t>description</t>
        </is>
      </c>
      <c r="F1227" s="14" t="n">
        <v>4666</v>
      </c>
      <c r="G1227" s="17" t="n">
        <v>29.28</v>
      </c>
      <c r="H1227" s="14">
        <f>IF(G1227="","",G1227*Ayarlar!$B$3+Ayarlar!$B$4+Ayarlar!$B$5)</f>
        <v/>
      </c>
      <c r="I1227" s="14">
        <f>IF(G1227="","",ROUNDUP(((G1227*Ayarlar!$B$3+Ayarlar!$B$4+Ayarlar!$B$5)+Ayarlar!$B$8)/((1-Ayarlar!$B$6)*(1-Ayarlar!$B$7)),0))</f>
        <v/>
      </c>
      <c r="J1227" s="14">
        <f>IF(G1227="","",ROUNDUP(((G1227*Ayarlar!$B$3+Ayarlar!$B$4+Ayarlar!$B$5)+Ayarlar!$B$8)/((1-Ayarlar!$B$6)*(1-Ayarlar!$B$7-Ayarlar!$B$9)),0))</f>
        <v/>
      </c>
      <c r="K1227" s="15">
        <f>IF(OR(G1227="",F1227=""),"",(F1227*(1-Ayarlar!$B$6)-(F1227*(1-Ayarlar!$B$6)*Ayarlar!$B$7+Ayarlar!$B$8)-(G1227*Ayarlar!$B$3+Ayarlar!$B$4+Ayarlar!$B$5))/(F1227*(1-Ayarlar!$B$6)))</f>
        <v/>
      </c>
      <c r="L1227" s="3">
        <f>IF(G1227="","GRAM EKSİK",IF(F1227&gt;30000,"FİYAT ŞÜPHELİ",IF(K1227&lt;0,"ZARARDA",IF(F1227&lt;I1227,"RİSKLİ","ok"))))</f>
        <v/>
      </c>
      <c r="M1227" s="16" t="inlineStr">
        <is>
          <t>https://www.etsy.com/listing/1876638143</t>
        </is>
      </c>
    </row>
    <row r="1228">
      <c r="A1228" s="9" t="inlineStr">
        <is>
          <t>legacy</t>
        </is>
      </c>
      <c r="B1228" s="9" t="inlineStr">
        <is>
          <t>Ice Out Bracelet in 10K Gold, Two Tone Diamond Cut Link</t>
        </is>
      </c>
      <c r="C1228" s="9" t="n">
        <v>1363498864</v>
      </c>
      <c r="D1228" s="9" t="inlineStr">
        <is>
          <t>BICE1-7</t>
        </is>
      </c>
      <c r="E1228" s="9" t="inlineStr">
        <is>
          <t>description-scaled</t>
        </is>
      </c>
      <c r="F1228" s="10" t="n">
        <v>532</v>
      </c>
      <c r="G1228" s="18" t="n">
        <v>6.08</v>
      </c>
      <c r="H1228" s="10">
        <f>IF(G1228="","",G1228*Ayarlar!$B$3+Ayarlar!$B$4+Ayarlar!$B$5)</f>
        <v/>
      </c>
      <c r="I1228" s="10">
        <f>IF(G1228="","",ROUNDUP(((G1228*Ayarlar!$B$3+Ayarlar!$B$4+Ayarlar!$B$5)+Ayarlar!$B$8)/((1-Ayarlar!$B$6)*(1-Ayarlar!$B$7)),0))</f>
        <v/>
      </c>
      <c r="J1228" s="10">
        <f>IF(G1228="","",ROUNDUP(((G1228*Ayarlar!$B$3+Ayarlar!$B$4+Ayarlar!$B$5)+Ayarlar!$B$8)/((1-Ayarlar!$B$6)*(1-Ayarlar!$B$7-Ayarlar!$B$9)),0))</f>
        <v/>
      </c>
      <c r="K1228" s="12">
        <f>IF(OR(G1228="",F1228=""),"",(F1228*(1-Ayarlar!$B$6)-(F1228*(1-Ayarlar!$B$6)*Ayarlar!$B$7+Ayarlar!$B$8)-(G1228*Ayarlar!$B$3+Ayarlar!$B$4+Ayarlar!$B$5))/(F1228*(1-Ayarlar!$B$6)))</f>
        <v/>
      </c>
      <c r="L1228" s="9">
        <f>IF(G1228="","GRAM EKSİK",IF(F1228&gt;30000,"FİYAT ŞÜPHELİ",IF(K1228&lt;0,"ZARARDA",IF(F1228&lt;I1228,"RİSKLİ","ok"))))</f>
        <v/>
      </c>
      <c r="M1228" s="13" t="inlineStr">
        <is>
          <t>https://www.etsy.com/listing/1363498864</t>
        </is>
      </c>
    </row>
    <row r="1229">
      <c r="A1229" s="3" t="inlineStr">
        <is>
          <t>legacy</t>
        </is>
      </c>
      <c r="B1229" s="3" t="inlineStr">
        <is>
          <t>Ice Out Bracelet in 10K Gold, Two Tone Diamond Cut Link</t>
        </is>
      </c>
      <c r="C1229" s="3" t="n">
        <v>1363498864</v>
      </c>
      <c r="D1229" s="3" t="inlineStr">
        <is>
          <t>BICE1-7.5</t>
        </is>
      </c>
      <c r="E1229" s="3" t="inlineStr">
        <is>
          <t>—</t>
        </is>
      </c>
      <c r="F1229" s="14" t="n">
        <v>540</v>
      </c>
      <c r="G1229" s="11" t="n"/>
      <c r="H1229" s="14">
        <f>IF(G1229="","",G1229*Ayarlar!$B$3+Ayarlar!$B$4+Ayarlar!$B$5)</f>
        <v/>
      </c>
      <c r="I1229" s="14">
        <f>IF(G1229="","",ROUNDUP(((G1229*Ayarlar!$B$3+Ayarlar!$B$4+Ayarlar!$B$5)+Ayarlar!$B$8)/((1-Ayarlar!$B$6)*(1-Ayarlar!$B$7)),0))</f>
        <v/>
      </c>
      <c r="J1229" s="14">
        <f>IF(G1229="","",ROUNDUP(((G1229*Ayarlar!$B$3+Ayarlar!$B$4+Ayarlar!$B$5)+Ayarlar!$B$8)/((1-Ayarlar!$B$6)*(1-Ayarlar!$B$7-Ayarlar!$B$9)),0))</f>
        <v/>
      </c>
      <c r="K1229" s="15">
        <f>IF(OR(G1229="",F1229=""),"",(F1229*(1-Ayarlar!$B$6)-(F1229*(1-Ayarlar!$B$6)*Ayarlar!$B$7+Ayarlar!$B$8)-(G1229*Ayarlar!$B$3+Ayarlar!$B$4+Ayarlar!$B$5))/(F1229*(1-Ayarlar!$B$6)))</f>
        <v/>
      </c>
      <c r="L1229" s="3">
        <f>IF(G1229="","GRAM EKSİK",IF(F1229&gt;30000,"FİYAT ŞÜPHELİ",IF(K1229&lt;0,"ZARARDA",IF(F1229&lt;I1229,"RİSKLİ","ok"))))</f>
        <v/>
      </c>
      <c r="M1229" s="16" t="inlineStr">
        <is>
          <t>https://www.etsy.com/listing/1363498864</t>
        </is>
      </c>
    </row>
    <row r="1230">
      <c r="A1230" s="9" t="inlineStr">
        <is>
          <t>legacy</t>
        </is>
      </c>
      <c r="B1230" s="9" t="inlineStr">
        <is>
          <t>Ice Out Bracelet in 10K Gold, Two Tone Diamond Cut Link</t>
        </is>
      </c>
      <c r="C1230" s="9" t="n">
        <v>1363498864</v>
      </c>
      <c r="D1230" s="9" t="inlineStr">
        <is>
          <t>BICE1-8</t>
        </is>
      </c>
      <c r="E1230" s="9" t="inlineStr">
        <is>
          <t>description</t>
        </is>
      </c>
      <c r="F1230" s="10" t="n">
        <v>606</v>
      </c>
      <c r="G1230" s="18" t="n">
        <v>6.95</v>
      </c>
      <c r="H1230" s="10">
        <f>IF(G1230="","",G1230*Ayarlar!$B$3+Ayarlar!$B$4+Ayarlar!$B$5)</f>
        <v/>
      </c>
      <c r="I1230" s="10">
        <f>IF(G1230="","",ROUNDUP(((G1230*Ayarlar!$B$3+Ayarlar!$B$4+Ayarlar!$B$5)+Ayarlar!$B$8)/((1-Ayarlar!$B$6)*(1-Ayarlar!$B$7)),0))</f>
        <v/>
      </c>
      <c r="J1230" s="10">
        <f>IF(G1230="","",ROUNDUP(((G1230*Ayarlar!$B$3+Ayarlar!$B$4+Ayarlar!$B$5)+Ayarlar!$B$8)/((1-Ayarlar!$B$6)*(1-Ayarlar!$B$7-Ayarlar!$B$9)),0))</f>
        <v/>
      </c>
      <c r="K1230" s="12">
        <f>IF(OR(G1230="",F1230=""),"",(F1230*(1-Ayarlar!$B$6)-(F1230*(1-Ayarlar!$B$6)*Ayarlar!$B$7+Ayarlar!$B$8)-(G1230*Ayarlar!$B$3+Ayarlar!$B$4+Ayarlar!$B$5))/(F1230*(1-Ayarlar!$B$6)))</f>
        <v/>
      </c>
      <c r="L1230" s="9">
        <f>IF(G1230="","GRAM EKSİK",IF(F1230&gt;30000,"FİYAT ŞÜPHELİ",IF(K1230&lt;0,"ZARARDA",IF(F1230&lt;I1230,"RİSKLİ","ok"))))</f>
        <v/>
      </c>
      <c r="M1230" s="13" t="inlineStr">
        <is>
          <t>https://www.etsy.com/listing/1363498864</t>
        </is>
      </c>
    </row>
    <row r="1231">
      <c r="A1231" s="3" t="inlineStr">
        <is>
          <t>legacy</t>
        </is>
      </c>
      <c r="B1231" s="3" t="inlineStr">
        <is>
          <t>Ice Out Bracelet in 10K Gold, Two Tone Diamond Cut Link</t>
        </is>
      </c>
      <c r="C1231" s="3" t="n">
        <v>1363498864</v>
      </c>
      <c r="D1231" s="3" t="inlineStr">
        <is>
          <t>BICE2-7</t>
        </is>
      </c>
      <c r="E1231" s="3" t="inlineStr">
        <is>
          <t>description-scaled</t>
        </is>
      </c>
      <c r="F1231" s="14" t="n">
        <v>731</v>
      </c>
      <c r="G1231" s="17" t="n">
        <v>6.93</v>
      </c>
      <c r="H1231" s="14">
        <f>IF(G1231="","",G1231*Ayarlar!$B$3+Ayarlar!$B$4+Ayarlar!$B$5)</f>
        <v/>
      </c>
      <c r="I1231" s="14">
        <f>IF(G1231="","",ROUNDUP(((G1231*Ayarlar!$B$3+Ayarlar!$B$4+Ayarlar!$B$5)+Ayarlar!$B$8)/((1-Ayarlar!$B$6)*(1-Ayarlar!$B$7)),0))</f>
        <v/>
      </c>
      <c r="J1231" s="14">
        <f>IF(G1231="","",ROUNDUP(((G1231*Ayarlar!$B$3+Ayarlar!$B$4+Ayarlar!$B$5)+Ayarlar!$B$8)/((1-Ayarlar!$B$6)*(1-Ayarlar!$B$7-Ayarlar!$B$9)),0))</f>
        <v/>
      </c>
      <c r="K1231" s="15">
        <f>IF(OR(G1231="",F1231=""),"",(F1231*(1-Ayarlar!$B$6)-(F1231*(1-Ayarlar!$B$6)*Ayarlar!$B$7+Ayarlar!$B$8)-(G1231*Ayarlar!$B$3+Ayarlar!$B$4+Ayarlar!$B$5))/(F1231*(1-Ayarlar!$B$6)))</f>
        <v/>
      </c>
      <c r="L1231" s="3">
        <f>IF(G1231="","GRAM EKSİK",IF(F1231&gt;30000,"FİYAT ŞÜPHELİ",IF(K1231&lt;0,"ZARARDA",IF(F1231&lt;I1231,"RİSKLİ","ok"))))</f>
        <v/>
      </c>
      <c r="M1231" s="16" t="inlineStr">
        <is>
          <t>https://www.etsy.com/listing/1363498864</t>
        </is>
      </c>
    </row>
    <row r="1232">
      <c r="A1232" s="9" t="inlineStr">
        <is>
          <t>legacy</t>
        </is>
      </c>
      <c r="B1232" s="9" t="inlineStr">
        <is>
          <t>Ice Out Bracelet in 10K Gold, Two Tone Diamond Cut Link</t>
        </is>
      </c>
      <c r="C1232" s="9" t="n">
        <v>1363498864</v>
      </c>
      <c r="D1232" s="9" t="inlineStr">
        <is>
          <t>BICE2-7.5</t>
        </is>
      </c>
      <c r="E1232" s="9" t="inlineStr">
        <is>
          <t>—</t>
        </is>
      </c>
      <c r="F1232" s="10" t="n">
        <v>750</v>
      </c>
      <c r="G1232" s="11" t="n"/>
      <c r="H1232" s="10">
        <f>IF(G1232="","",G1232*Ayarlar!$B$3+Ayarlar!$B$4+Ayarlar!$B$5)</f>
        <v/>
      </c>
      <c r="I1232" s="10">
        <f>IF(G1232="","",ROUNDUP(((G1232*Ayarlar!$B$3+Ayarlar!$B$4+Ayarlar!$B$5)+Ayarlar!$B$8)/((1-Ayarlar!$B$6)*(1-Ayarlar!$B$7)),0))</f>
        <v/>
      </c>
      <c r="J1232" s="10">
        <f>IF(G1232="","",ROUNDUP(((G1232*Ayarlar!$B$3+Ayarlar!$B$4+Ayarlar!$B$5)+Ayarlar!$B$8)/((1-Ayarlar!$B$6)*(1-Ayarlar!$B$7-Ayarlar!$B$9)),0))</f>
        <v/>
      </c>
      <c r="K1232" s="12">
        <f>IF(OR(G1232="",F1232=""),"",(F1232*(1-Ayarlar!$B$6)-(F1232*(1-Ayarlar!$B$6)*Ayarlar!$B$7+Ayarlar!$B$8)-(G1232*Ayarlar!$B$3+Ayarlar!$B$4+Ayarlar!$B$5))/(F1232*(1-Ayarlar!$B$6)))</f>
        <v/>
      </c>
      <c r="L1232" s="9">
        <f>IF(G1232="","GRAM EKSİK",IF(F1232&gt;30000,"FİYAT ŞÜPHELİ",IF(K1232&lt;0,"ZARARDA",IF(F1232&lt;I1232,"RİSKLİ","ok"))))</f>
        <v/>
      </c>
      <c r="M1232" s="13" t="inlineStr">
        <is>
          <t>https://www.etsy.com/listing/1363498864</t>
        </is>
      </c>
    </row>
    <row r="1233">
      <c r="A1233" s="3" t="inlineStr">
        <is>
          <t>legacy</t>
        </is>
      </c>
      <c r="B1233" s="3" t="inlineStr">
        <is>
          <t>Ice Out Bracelet in 10K Gold, Two Tone Diamond Cut Link</t>
        </is>
      </c>
      <c r="C1233" s="3" t="n">
        <v>1363498864</v>
      </c>
      <c r="D1233" s="3" t="inlineStr">
        <is>
          <t>BICE2-8</t>
        </is>
      </c>
      <c r="E1233" s="3" t="inlineStr">
        <is>
          <t>description</t>
        </is>
      </c>
      <c r="F1233" s="14" t="n">
        <v>834</v>
      </c>
      <c r="G1233" s="17" t="n">
        <v>7.92</v>
      </c>
      <c r="H1233" s="14">
        <f>IF(G1233="","",G1233*Ayarlar!$B$3+Ayarlar!$B$4+Ayarlar!$B$5)</f>
        <v/>
      </c>
      <c r="I1233" s="14">
        <f>IF(G1233="","",ROUNDUP(((G1233*Ayarlar!$B$3+Ayarlar!$B$4+Ayarlar!$B$5)+Ayarlar!$B$8)/((1-Ayarlar!$B$6)*(1-Ayarlar!$B$7)),0))</f>
        <v/>
      </c>
      <c r="J1233" s="14">
        <f>IF(G1233="","",ROUNDUP(((G1233*Ayarlar!$B$3+Ayarlar!$B$4+Ayarlar!$B$5)+Ayarlar!$B$8)/((1-Ayarlar!$B$6)*(1-Ayarlar!$B$7-Ayarlar!$B$9)),0))</f>
        <v/>
      </c>
      <c r="K1233" s="15">
        <f>IF(OR(G1233="",F1233=""),"",(F1233*(1-Ayarlar!$B$6)-(F1233*(1-Ayarlar!$B$6)*Ayarlar!$B$7+Ayarlar!$B$8)-(G1233*Ayarlar!$B$3+Ayarlar!$B$4+Ayarlar!$B$5))/(F1233*(1-Ayarlar!$B$6)))</f>
        <v/>
      </c>
      <c r="L1233" s="3">
        <f>IF(G1233="","GRAM EKSİK",IF(F1233&gt;30000,"FİYAT ŞÜPHELİ",IF(K1233&lt;0,"ZARARDA",IF(F1233&lt;I1233,"RİSKLİ","ok"))))</f>
        <v/>
      </c>
      <c r="M1233" s="16" t="inlineStr">
        <is>
          <t>https://www.etsy.com/listing/1363498864</t>
        </is>
      </c>
    </row>
    <row r="1234">
      <c r="A1234" s="9" t="inlineStr">
        <is>
          <t>legacy</t>
        </is>
      </c>
      <c r="B1234" s="9" t="inlineStr">
        <is>
          <t>Ice Out Bracelet in 10K Gold, Two Tone Diamond Cut Link</t>
        </is>
      </c>
      <c r="C1234" s="9" t="n">
        <v>1363498864</v>
      </c>
      <c r="D1234" s="9" t="inlineStr">
        <is>
          <t>BICE3-7</t>
        </is>
      </c>
      <c r="E1234" s="9" t="inlineStr">
        <is>
          <t>description-scaled</t>
        </is>
      </c>
      <c r="F1234" s="10" t="n">
        <v>920</v>
      </c>
      <c r="G1234" s="18" t="n">
        <v>9.06</v>
      </c>
      <c r="H1234" s="10">
        <f>IF(G1234="","",G1234*Ayarlar!$B$3+Ayarlar!$B$4+Ayarlar!$B$5)</f>
        <v/>
      </c>
      <c r="I1234" s="10">
        <f>IF(G1234="","",ROUNDUP(((G1234*Ayarlar!$B$3+Ayarlar!$B$4+Ayarlar!$B$5)+Ayarlar!$B$8)/((1-Ayarlar!$B$6)*(1-Ayarlar!$B$7)),0))</f>
        <v/>
      </c>
      <c r="J1234" s="10">
        <f>IF(G1234="","",ROUNDUP(((G1234*Ayarlar!$B$3+Ayarlar!$B$4+Ayarlar!$B$5)+Ayarlar!$B$8)/((1-Ayarlar!$B$6)*(1-Ayarlar!$B$7-Ayarlar!$B$9)),0))</f>
        <v/>
      </c>
      <c r="K1234" s="12">
        <f>IF(OR(G1234="",F1234=""),"",(F1234*(1-Ayarlar!$B$6)-(F1234*(1-Ayarlar!$B$6)*Ayarlar!$B$7+Ayarlar!$B$8)-(G1234*Ayarlar!$B$3+Ayarlar!$B$4+Ayarlar!$B$5))/(F1234*(1-Ayarlar!$B$6)))</f>
        <v/>
      </c>
      <c r="L1234" s="9">
        <f>IF(G1234="","GRAM EKSİK",IF(F1234&gt;30000,"FİYAT ŞÜPHELİ",IF(K1234&lt;0,"ZARARDA",IF(F1234&lt;I1234,"RİSKLİ","ok"))))</f>
        <v/>
      </c>
      <c r="M1234" s="13" t="inlineStr">
        <is>
          <t>https://www.etsy.com/listing/1363498864</t>
        </is>
      </c>
    </row>
    <row r="1235">
      <c r="A1235" s="3" t="inlineStr">
        <is>
          <t>legacy</t>
        </is>
      </c>
      <c r="B1235" s="3" t="inlineStr">
        <is>
          <t>Ice Out Bracelet in 10K Gold, Two Tone Diamond Cut Link</t>
        </is>
      </c>
      <c r="C1235" s="3" t="n">
        <v>1363498864</v>
      </c>
      <c r="D1235" s="3" t="inlineStr">
        <is>
          <t>BICE3-7.5</t>
        </is>
      </c>
      <c r="E1235" s="3" t="inlineStr">
        <is>
          <t>—</t>
        </is>
      </c>
      <c r="F1235" s="14" t="n">
        <v>940</v>
      </c>
      <c r="G1235" s="11" t="n"/>
      <c r="H1235" s="14">
        <f>IF(G1235="","",G1235*Ayarlar!$B$3+Ayarlar!$B$4+Ayarlar!$B$5)</f>
        <v/>
      </c>
      <c r="I1235" s="14">
        <f>IF(G1235="","",ROUNDUP(((G1235*Ayarlar!$B$3+Ayarlar!$B$4+Ayarlar!$B$5)+Ayarlar!$B$8)/((1-Ayarlar!$B$6)*(1-Ayarlar!$B$7)),0))</f>
        <v/>
      </c>
      <c r="J1235" s="14">
        <f>IF(G1235="","",ROUNDUP(((G1235*Ayarlar!$B$3+Ayarlar!$B$4+Ayarlar!$B$5)+Ayarlar!$B$8)/((1-Ayarlar!$B$6)*(1-Ayarlar!$B$7-Ayarlar!$B$9)),0))</f>
        <v/>
      </c>
      <c r="K1235" s="15">
        <f>IF(OR(G1235="",F1235=""),"",(F1235*(1-Ayarlar!$B$6)-(F1235*(1-Ayarlar!$B$6)*Ayarlar!$B$7+Ayarlar!$B$8)-(G1235*Ayarlar!$B$3+Ayarlar!$B$4+Ayarlar!$B$5))/(F1235*(1-Ayarlar!$B$6)))</f>
        <v/>
      </c>
      <c r="L1235" s="3">
        <f>IF(G1235="","GRAM EKSİK",IF(F1235&gt;30000,"FİYAT ŞÜPHELİ",IF(K1235&lt;0,"ZARARDA",IF(F1235&lt;I1235,"RİSKLİ","ok"))))</f>
        <v/>
      </c>
      <c r="M1235" s="16" t="inlineStr">
        <is>
          <t>https://www.etsy.com/listing/1363498864</t>
        </is>
      </c>
    </row>
    <row r="1236">
      <c r="A1236" s="9" t="inlineStr">
        <is>
          <t>legacy</t>
        </is>
      </c>
      <c r="B1236" s="9" t="inlineStr">
        <is>
          <t>Ice Out Bracelet in 10K Gold, Two Tone Diamond Cut Link</t>
        </is>
      </c>
      <c r="C1236" s="9" t="n">
        <v>1363498864</v>
      </c>
      <c r="D1236" s="9" t="inlineStr">
        <is>
          <t>BICE3-8</t>
        </is>
      </c>
      <c r="E1236" s="9" t="inlineStr">
        <is>
          <t>description</t>
        </is>
      </c>
      <c r="F1236" s="10" t="n">
        <v>1045</v>
      </c>
      <c r="G1236" s="18" t="n">
        <v>10.35</v>
      </c>
      <c r="H1236" s="10">
        <f>IF(G1236="","",G1236*Ayarlar!$B$3+Ayarlar!$B$4+Ayarlar!$B$5)</f>
        <v/>
      </c>
      <c r="I1236" s="10">
        <f>IF(G1236="","",ROUNDUP(((G1236*Ayarlar!$B$3+Ayarlar!$B$4+Ayarlar!$B$5)+Ayarlar!$B$8)/((1-Ayarlar!$B$6)*(1-Ayarlar!$B$7)),0))</f>
        <v/>
      </c>
      <c r="J1236" s="10">
        <f>IF(G1236="","",ROUNDUP(((G1236*Ayarlar!$B$3+Ayarlar!$B$4+Ayarlar!$B$5)+Ayarlar!$B$8)/((1-Ayarlar!$B$6)*(1-Ayarlar!$B$7-Ayarlar!$B$9)),0))</f>
        <v/>
      </c>
      <c r="K1236" s="12">
        <f>IF(OR(G1236="",F1236=""),"",(F1236*(1-Ayarlar!$B$6)-(F1236*(1-Ayarlar!$B$6)*Ayarlar!$B$7+Ayarlar!$B$8)-(G1236*Ayarlar!$B$3+Ayarlar!$B$4+Ayarlar!$B$5))/(F1236*(1-Ayarlar!$B$6)))</f>
        <v/>
      </c>
      <c r="L1236" s="9">
        <f>IF(G1236="","GRAM EKSİK",IF(F1236&gt;30000,"FİYAT ŞÜPHELİ",IF(K1236&lt;0,"ZARARDA",IF(F1236&lt;I1236,"RİSKLİ","ok"))))</f>
        <v/>
      </c>
      <c r="M1236" s="13" t="inlineStr">
        <is>
          <t>https://www.etsy.com/listing/1363498864</t>
        </is>
      </c>
    </row>
    <row r="1237">
      <c r="A1237" s="3" t="inlineStr">
        <is>
          <t>legacy</t>
        </is>
      </c>
      <c r="B1237" s="3" t="inlineStr">
        <is>
          <t>Ice Out Bracelet in 10K Gold, Two Tone Diamond Cut Link</t>
        </is>
      </c>
      <c r="C1237" s="3" t="n">
        <v>1363498864</v>
      </c>
      <c r="D1237" s="3" t="inlineStr">
        <is>
          <t>BICE4-7</t>
        </is>
      </c>
      <c r="E1237" s="3" t="inlineStr">
        <is>
          <t>—</t>
        </is>
      </c>
      <c r="F1237" s="14" t="n">
        <v>1140</v>
      </c>
      <c r="G1237" s="11" t="n"/>
      <c r="H1237" s="14">
        <f>IF(G1237="","",G1237*Ayarlar!$B$3+Ayarlar!$B$4+Ayarlar!$B$5)</f>
        <v/>
      </c>
      <c r="I1237" s="14">
        <f>IF(G1237="","",ROUNDUP(((G1237*Ayarlar!$B$3+Ayarlar!$B$4+Ayarlar!$B$5)+Ayarlar!$B$8)/((1-Ayarlar!$B$6)*(1-Ayarlar!$B$7)),0))</f>
        <v/>
      </c>
      <c r="J1237" s="14">
        <f>IF(G1237="","",ROUNDUP(((G1237*Ayarlar!$B$3+Ayarlar!$B$4+Ayarlar!$B$5)+Ayarlar!$B$8)/((1-Ayarlar!$B$6)*(1-Ayarlar!$B$7-Ayarlar!$B$9)),0))</f>
        <v/>
      </c>
      <c r="K1237" s="15">
        <f>IF(OR(G1237="",F1237=""),"",(F1237*(1-Ayarlar!$B$6)-(F1237*(1-Ayarlar!$B$6)*Ayarlar!$B$7+Ayarlar!$B$8)-(G1237*Ayarlar!$B$3+Ayarlar!$B$4+Ayarlar!$B$5))/(F1237*(1-Ayarlar!$B$6)))</f>
        <v/>
      </c>
      <c r="L1237" s="3">
        <f>IF(G1237="","GRAM EKSİK",IF(F1237&gt;30000,"FİYAT ŞÜPHELİ",IF(K1237&lt;0,"ZARARDA",IF(F1237&lt;I1237,"RİSKLİ","ok"))))</f>
        <v/>
      </c>
      <c r="M1237" s="16" t="inlineStr">
        <is>
          <t>https://www.etsy.com/listing/1363498864</t>
        </is>
      </c>
    </row>
    <row r="1238">
      <c r="A1238" s="9" t="inlineStr">
        <is>
          <t>legacy</t>
        </is>
      </c>
      <c r="B1238" s="9" t="inlineStr">
        <is>
          <t>Ice Out Bracelet in 10K Gold, Two Tone Diamond Cut Link</t>
        </is>
      </c>
      <c r="C1238" s="9" t="n">
        <v>1363498864</v>
      </c>
      <c r="D1238" s="9" t="inlineStr">
        <is>
          <t>BICE4-7.5</t>
        </is>
      </c>
      <c r="E1238" s="9" t="inlineStr">
        <is>
          <t>—</t>
        </is>
      </c>
      <c r="F1238" s="10" t="n">
        <v>1240</v>
      </c>
      <c r="G1238" s="11" t="n"/>
      <c r="H1238" s="10">
        <f>IF(G1238="","",G1238*Ayarlar!$B$3+Ayarlar!$B$4+Ayarlar!$B$5)</f>
        <v/>
      </c>
      <c r="I1238" s="10">
        <f>IF(G1238="","",ROUNDUP(((G1238*Ayarlar!$B$3+Ayarlar!$B$4+Ayarlar!$B$5)+Ayarlar!$B$8)/((1-Ayarlar!$B$6)*(1-Ayarlar!$B$7)),0))</f>
        <v/>
      </c>
      <c r="J1238" s="10">
        <f>IF(G1238="","",ROUNDUP(((G1238*Ayarlar!$B$3+Ayarlar!$B$4+Ayarlar!$B$5)+Ayarlar!$B$8)/((1-Ayarlar!$B$6)*(1-Ayarlar!$B$7-Ayarlar!$B$9)),0))</f>
        <v/>
      </c>
      <c r="K1238" s="12">
        <f>IF(OR(G1238="",F1238=""),"",(F1238*(1-Ayarlar!$B$6)-(F1238*(1-Ayarlar!$B$6)*Ayarlar!$B$7+Ayarlar!$B$8)-(G1238*Ayarlar!$B$3+Ayarlar!$B$4+Ayarlar!$B$5))/(F1238*(1-Ayarlar!$B$6)))</f>
        <v/>
      </c>
      <c r="L1238" s="9">
        <f>IF(G1238="","GRAM EKSİK",IF(F1238&gt;30000,"FİYAT ŞÜPHELİ",IF(K1238&lt;0,"ZARARDA",IF(F1238&lt;I1238,"RİSKLİ","ok"))))</f>
        <v/>
      </c>
      <c r="M1238" s="13" t="inlineStr">
        <is>
          <t>https://www.etsy.com/listing/1363498864</t>
        </is>
      </c>
    </row>
    <row r="1239">
      <c r="A1239" s="3" t="inlineStr">
        <is>
          <t>legacy</t>
        </is>
      </c>
      <c r="B1239" s="3" t="inlineStr">
        <is>
          <t>Ice Out Bracelet in 10K Gold, Two Tone Diamond Cut Link</t>
        </is>
      </c>
      <c r="C1239" s="3" t="n">
        <v>1363498864</v>
      </c>
      <c r="D1239" s="3" t="inlineStr">
        <is>
          <t>BICE4-8</t>
        </is>
      </c>
      <c r="E1239" s="3" t="inlineStr">
        <is>
          <t>—</t>
        </is>
      </c>
      <c r="F1239" s="14" t="n">
        <v>1300</v>
      </c>
      <c r="G1239" s="11" t="n"/>
      <c r="H1239" s="14">
        <f>IF(G1239="","",G1239*Ayarlar!$B$3+Ayarlar!$B$4+Ayarlar!$B$5)</f>
        <v/>
      </c>
      <c r="I1239" s="14">
        <f>IF(G1239="","",ROUNDUP(((G1239*Ayarlar!$B$3+Ayarlar!$B$4+Ayarlar!$B$5)+Ayarlar!$B$8)/((1-Ayarlar!$B$6)*(1-Ayarlar!$B$7)),0))</f>
        <v/>
      </c>
      <c r="J1239" s="14">
        <f>IF(G1239="","",ROUNDUP(((G1239*Ayarlar!$B$3+Ayarlar!$B$4+Ayarlar!$B$5)+Ayarlar!$B$8)/((1-Ayarlar!$B$6)*(1-Ayarlar!$B$7-Ayarlar!$B$9)),0))</f>
        <v/>
      </c>
      <c r="K1239" s="15">
        <f>IF(OR(G1239="",F1239=""),"",(F1239*(1-Ayarlar!$B$6)-(F1239*(1-Ayarlar!$B$6)*Ayarlar!$B$7+Ayarlar!$B$8)-(G1239*Ayarlar!$B$3+Ayarlar!$B$4+Ayarlar!$B$5))/(F1239*(1-Ayarlar!$B$6)))</f>
        <v/>
      </c>
      <c r="L1239" s="3">
        <f>IF(G1239="","GRAM EKSİK",IF(F1239&gt;30000,"FİYAT ŞÜPHELİ",IF(K1239&lt;0,"ZARARDA",IF(F1239&lt;I1239,"RİSKLİ","ok"))))</f>
        <v/>
      </c>
      <c r="M1239" s="16" t="inlineStr">
        <is>
          <t>https://www.etsy.com/listing/1363498864</t>
        </is>
      </c>
    </row>
    <row r="1240">
      <c r="A1240" s="9" t="inlineStr">
        <is>
          <t>legacy</t>
        </is>
      </c>
      <c r="B1240" s="9" t="inlineStr">
        <is>
          <t>Real 14K Gold Miami Cuban Link Bracelet - Unisex Chain Jewel</t>
        </is>
      </c>
      <c r="C1240" s="9" t="n">
        <v>4320364926</v>
      </c>
      <c r="D1240" s="9" t="inlineStr">
        <is>
          <t>BMC0F-7</t>
        </is>
      </c>
      <c r="E1240" s="9" t="inlineStr">
        <is>
          <t>description-scaled</t>
        </is>
      </c>
      <c r="F1240" s="10" t="n">
        <v>195</v>
      </c>
      <c r="G1240" s="18" t="n">
        <v>1.22</v>
      </c>
      <c r="H1240" s="10">
        <f>IF(G1240="","",G1240*Ayarlar!$B$3+Ayarlar!$B$4+Ayarlar!$B$5)</f>
        <v/>
      </c>
      <c r="I1240" s="10">
        <f>IF(G1240="","",ROUNDUP(((G1240*Ayarlar!$B$3+Ayarlar!$B$4+Ayarlar!$B$5)+Ayarlar!$B$8)/((1-Ayarlar!$B$6)*(1-Ayarlar!$B$7)),0))</f>
        <v/>
      </c>
      <c r="J1240" s="10">
        <f>IF(G1240="","",ROUNDUP(((G1240*Ayarlar!$B$3+Ayarlar!$B$4+Ayarlar!$B$5)+Ayarlar!$B$8)/((1-Ayarlar!$B$6)*(1-Ayarlar!$B$7-Ayarlar!$B$9)),0))</f>
        <v/>
      </c>
      <c r="K1240" s="12">
        <f>IF(OR(G1240="",F1240=""),"",(F1240*(1-Ayarlar!$B$6)-(F1240*(1-Ayarlar!$B$6)*Ayarlar!$B$7+Ayarlar!$B$8)-(G1240*Ayarlar!$B$3+Ayarlar!$B$4+Ayarlar!$B$5))/(F1240*(1-Ayarlar!$B$6)))</f>
        <v/>
      </c>
      <c r="L1240" s="9">
        <f>IF(G1240="","GRAM EKSİK",IF(F1240&gt;30000,"FİYAT ŞÜPHELİ",IF(K1240&lt;0,"ZARARDA",IF(F1240&lt;I1240,"RİSKLİ","ok"))))</f>
        <v/>
      </c>
      <c r="M1240" s="13" t="inlineStr">
        <is>
          <t>https://www.etsy.com/listing/4320364926</t>
        </is>
      </c>
    </row>
    <row r="1241">
      <c r="A1241" s="3" t="inlineStr">
        <is>
          <t>legacy</t>
        </is>
      </c>
      <c r="B1241" s="3" t="inlineStr">
        <is>
          <t>Real 14K Gold Miami Cuban Link Bracelet - Unisex Chain Jewel</t>
        </is>
      </c>
      <c r="C1241" s="3" t="n">
        <v>4320364926</v>
      </c>
      <c r="D1241" s="3" t="inlineStr">
        <is>
          <t>BMC0F-7.5</t>
        </is>
      </c>
      <c r="E1241" s="3" t="inlineStr">
        <is>
          <t>description-scaled</t>
        </is>
      </c>
      <c r="F1241" s="14" t="n">
        <v>206</v>
      </c>
      <c r="G1241" s="17" t="n">
        <v>1.31</v>
      </c>
      <c r="H1241" s="14">
        <f>IF(G1241="","",G1241*Ayarlar!$B$3+Ayarlar!$B$4+Ayarlar!$B$5)</f>
        <v/>
      </c>
      <c r="I1241" s="14">
        <f>IF(G1241="","",ROUNDUP(((G1241*Ayarlar!$B$3+Ayarlar!$B$4+Ayarlar!$B$5)+Ayarlar!$B$8)/((1-Ayarlar!$B$6)*(1-Ayarlar!$B$7)),0))</f>
        <v/>
      </c>
      <c r="J1241" s="14">
        <f>IF(G1241="","",ROUNDUP(((G1241*Ayarlar!$B$3+Ayarlar!$B$4+Ayarlar!$B$5)+Ayarlar!$B$8)/((1-Ayarlar!$B$6)*(1-Ayarlar!$B$7-Ayarlar!$B$9)),0))</f>
        <v/>
      </c>
      <c r="K1241" s="15">
        <f>IF(OR(G1241="",F1241=""),"",(F1241*(1-Ayarlar!$B$6)-(F1241*(1-Ayarlar!$B$6)*Ayarlar!$B$7+Ayarlar!$B$8)-(G1241*Ayarlar!$B$3+Ayarlar!$B$4+Ayarlar!$B$5))/(F1241*(1-Ayarlar!$B$6)))</f>
        <v/>
      </c>
      <c r="L1241" s="3">
        <f>IF(G1241="","GRAM EKSİK",IF(F1241&gt;30000,"FİYAT ŞÜPHELİ",IF(K1241&lt;0,"ZARARDA",IF(F1241&lt;I1241,"RİSKLİ","ok"))))</f>
        <v/>
      </c>
      <c r="M1241" s="16" t="inlineStr">
        <is>
          <t>https://www.etsy.com/listing/4320364926</t>
        </is>
      </c>
    </row>
    <row r="1242">
      <c r="A1242" s="9" t="inlineStr">
        <is>
          <t>legacy</t>
        </is>
      </c>
      <c r="B1242" s="9" t="inlineStr">
        <is>
          <t>Real 14K Gold Miami Cuban Link Bracelet - Unisex Chain Jewel</t>
        </is>
      </c>
      <c r="C1242" s="9" t="n">
        <v>4320364926</v>
      </c>
      <c r="D1242" s="9" t="inlineStr">
        <is>
          <t>BMC0F-8</t>
        </is>
      </c>
      <c r="E1242" s="9" t="inlineStr">
        <is>
          <t>description</t>
        </is>
      </c>
      <c r="F1242" s="10" t="n">
        <v>218</v>
      </c>
      <c r="G1242" s="18" t="n">
        <v>1.4</v>
      </c>
      <c r="H1242" s="10">
        <f>IF(G1242="","",G1242*Ayarlar!$B$3+Ayarlar!$B$4+Ayarlar!$B$5)</f>
        <v/>
      </c>
      <c r="I1242" s="10">
        <f>IF(G1242="","",ROUNDUP(((G1242*Ayarlar!$B$3+Ayarlar!$B$4+Ayarlar!$B$5)+Ayarlar!$B$8)/((1-Ayarlar!$B$6)*(1-Ayarlar!$B$7)),0))</f>
        <v/>
      </c>
      <c r="J1242" s="10">
        <f>IF(G1242="","",ROUNDUP(((G1242*Ayarlar!$B$3+Ayarlar!$B$4+Ayarlar!$B$5)+Ayarlar!$B$8)/((1-Ayarlar!$B$6)*(1-Ayarlar!$B$7-Ayarlar!$B$9)),0))</f>
        <v/>
      </c>
      <c r="K1242" s="12">
        <f>IF(OR(G1242="",F1242=""),"",(F1242*(1-Ayarlar!$B$6)-(F1242*(1-Ayarlar!$B$6)*Ayarlar!$B$7+Ayarlar!$B$8)-(G1242*Ayarlar!$B$3+Ayarlar!$B$4+Ayarlar!$B$5))/(F1242*(1-Ayarlar!$B$6)))</f>
        <v/>
      </c>
      <c r="L1242" s="9">
        <f>IF(G1242="","GRAM EKSİK",IF(F1242&gt;30000,"FİYAT ŞÜPHELİ",IF(K1242&lt;0,"ZARARDA",IF(F1242&lt;I1242,"RİSKLİ","ok"))))</f>
        <v/>
      </c>
      <c r="M1242" s="13" t="inlineStr">
        <is>
          <t>https://www.etsy.com/listing/4320364926</t>
        </is>
      </c>
    </row>
    <row r="1243">
      <c r="A1243" s="3" t="inlineStr">
        <is>
          <t>legacy</t>
        </is>
      </c>
      <c r="B1243" s="3" t="inlineStr">
        <is>
          <t>Real 14K Gold Miami Cuban Link Bracelet - Unisex Chain Jewel</t>
        </is>
      </c>
      <c r="C1243" s="3" t="n">
        <v>4320364926</v>
      </c>
      <c r="D1243" s="3" t="inlineStr">
        <is>
          <t>BMC1F-7</t>
        </is>
      </c>
      <c r="E1243" s="3" t="inlineStr">
        <is>
          <t>shipstation</t>
        </is>
      </c>
      <c r="F1243" s="14" t="n">
        <v>332</v>
      </c>
      <c r="G1243" s="17" t="n">
        <v>2.22</v>
      </c>
      <c r="H1243" s="14">
        <f>IF(G1243="","",G1243*Ayarlar!$B$3+Ayarlar!$B$4+Ayarlar!$B$5)</f>
        <v/>
      </c>
      <c r="I1243" s="14">
        <f>IF(G1243="","",ROUNDUP(((G1243*Ayarlar!$B$3+Ayarlar!$B$4+Ayarlar!$B$5)+Ayarlar!$B$8)/((1-Ayarlar!$B$6)*(1-Ayarlar!$B$7)),0))</f>
        <v/>
      </c>
      <c r="J1243" s="14">
        <f>IF(G1243="","",ROUNDUP(((G1243*Ayarlar!$B$3+Ayarlar!$B$4+Ayarlar!$B$5)+Ayarlar!$B$8)/((1-Ayarlar!$B$6)*(1-Ayarlar!$B$7-Ayarlar!$B$9)),0))</f>
        <v/>
      </c>
      <c r="K1243" s="15">
        <f>IF(OR(G1243="",F1243=""),"",(F1243*(1-Ayarlar!$B$6)-(F1243*(1-Ayarlar!$B$6)*Ayarlar!$B$7+Ayarlar!$B$8)-(G1243*Ayarlar!$B$3+Ayarlar!$B$4+Ayarlar!$B$5))/(F1243*(1-Ayarlar!$B$6)))</f>
        <v/>
      </c>
      <c r="L1243" s="3">
        <f>IF(G1243="","GRAM EKSİK",IF(F1243&gt;30000,"FİYAT ŞÜPHELİ",IF(K1243&lt;0,"ZARARDA",IF(F1243&lt;I1243,"RİSKLİ","ok"))))</f>
        <v/>
      </c>
      <c r="M1243" s="16" t="inlineStr">
        <is>
          <t>https://www.etsy.com/listing/4320364926</t>
        </is>
      </c>
    </row>
    <row r="1244">
      <c r="A1244" s="9" t="inlineStr">
        <is>
          <t>legacy</t>
        </is>
      </c>
      <c r="B1244" s="9" t="inlineStr">
        <is>
          <t>Real 14K Gold Miami Cuban Link Bracelet - Unisex Chain Jewel</t>
        </is>
      </c>
      <c r="C1244" s="9" t="n">
        <v>4320364926</v>
      </c>
      <c r="D1244" s="9" t="inlineStr">
        <is>
          <t>BMC1F-7.5</t>
        </is>
      </c>
      <c r="E1244" s="9" t="inlineStr">
        <is>
          <t>inferred</t>
        </is>
      </c>
      <c r="F1244" s="10" t="n">
        <v>348</v>
      </c>
      <c r="G1244" s="18" t="n">
        <v>2.28</v>
      </c>
      <c r="H1244" s="10">
        <f>IF(G1244="","",G1244*Ayarlar!$B$3+Ayarlar!$B$4+Ayarlar!$B$5)</f>
        <v/>
      </c>
      <c r="I1244" s="10">
        <f>IF(G1244="","",ROUNDUP(((G1244*Ayarlar!$B$3+Ayarlar!$B$4+Ayarlar!$B$5)+Ayarlar!$B$8)/((1-Ayarlar!$B$6)*(1-Ayarlar!$B$7)),0))</f>
        <v/>
      </c>
      <c r="J1244" s="10">
        <f>IF(G1244="","",ROUNDUP(((G1244*Ayarlar!$B$3+Ayarlar!$B$4+Ayarlar!$B$5)+Ayarlar!$B$8)/((1-Ayarlar!$B$6)*(1-Ayarlar!$B$7-Ayarlar!$B$9)),0))</f>
        <v/>
      </c>
      <c r="K1244" s="12">
        <f>IF(OR(G1244="",F1244=""),"",(F1244*(1-Ayarlar!$B$6)-(F1244*(1-Ayarlar!$B$6)*Ayarlar!$B$7+Ayarlar!$B$8)-(G1244*Ayarlar!$B$3+Ayarlar!$B$4+Ayarlar!$B$5))/(F1244*(1-Ayarlar!$B$6)))</f>
        <v/>
      </c>
      <c r="L1244" s="9">
        <f>IF(G1244="","GRAM EKSİK",IF(F1244&gt;30000,"FİYAT ŞÜPHELİ",IF(K1244&lt;0,"ZARARDA",IF(F1244&lt;I1244,"RİSKLİ","ok"))))</f>
        <v/>
      </c>
      <c r="M1244" s="13" t="inlineStr">
        <is>
          <t>https://www.etsy.com/listing/4320364926</t>
        </is>
      </c>
    </row>
    <row r="1245">
      <c r="A1245" s="3" t="inlineStr">
        <is>
          <t>legacy</t>
        </is>
      </c>
      <c r="B1245" s="3" t="inlineStr">
        <is>
          <t>Real 14K Gold Miami Cuban Link Bracelet - Unisex Chain Jewel</t>
        </is>
      </c>
      <c r="C1245" s="3" t="n">
        <v>4320364926</v>
      </c>
      <c r="D1245" s="3" t="inlineStr">
        <is>
          <t>BMC1F-8</t>
        </is>
      </c>
      <c r="E1245" s="3" t="inlineStr">
        <is>
          <t>shipstation</t>
        </is>
      </c>
      <c r="F1245" s="14" t="n">
        <v>370</v>
      </c>
      <c r="G1245" s="17" t="n">
        <v>2.33</v>
      </c>
      <c r="H1245" s="14">
        <f>IF(G1245="","",G1245*Ayarlar!$B$3+Ayarlar!$B$4+Ayarlar!$B$5)</f>
        <v/>
      </c>
      <c r="I1245" s="14">
        <f>IF(G1245="","",ROUNDUP(((G1245*Ayarlar!$B$3+Ayarlar!$B$4+Ayarlar!$B$5)+Ayarlar!$B$8)/((1-Ayarlar!$B$6)*(1-Ayarlar!$B$7)),0))</f>
        <v/>
      </c>
      <c r="J1245" s="14">
        <f>IF(G1245="","",ROUNDUP(((G1245*Ayarlar!$B$3+Ayarlar!$B$4+Ayarlar!$B$5)+Ayarlar!$B$8)/((1-Ayarlar!$B$6)*(1-Ayarlar!$B$7-Ayarlar!$B$9)),0))</f>
        <v/>
      </c>
      <c r="K1245" s="15">
        <f>IF(OR(G1245="",F1245=""),"",(F1245*(1-Ayarlar!$B$6)-(F1245*(1-Ayarlar!$B$6)*Ayarlar!$B$7+Ayarlar!$B$8)-(G1245*Ayarlar!$B$3+Ayarlar!$B$4+Ayarlar!$B$5))/(F1245*(1-Ayarlar!$B$6)))</f>
        <v/>
      </c>
      <c r="L1245" s="3">
        <f>IF(G1245="","GRAM EKSİK",IF(F1245&gt;30000,"FİYAT ŞÜPHELİ",IF(K1245&lt;0,"ZARARDA",IF(F1245&lt;I1245,"RİSKLİ","ok"))))</f>
        <v/>
      </c>
      <c r="M1245" s="16" t="inlineStr">
        <is>
          <t>https://www.etsy.com/listing/4320364926</t>
        </is>
      </c>
    </row>
    <row r="1246">
      <c r="A1246" s="9" t="inlineStr">
        <is>
          <t>legacy</t>
        </is>
      </c>
      <c r="B1246" s="9" t="inlineStr">
        <is>
          <t>Real 14K Gold Miami Cuban Link Bracelet - Unisex Chain Jewel</t>
        </is>
      </c>
      <c r="C1246" s="9" t="n">
        <v>4320364926</v>
      </c>
      <c r="D1246" s="9" t="inlineStr">
        <is>
          <t>BMC3F-7</t>
        </is>
      </c>
      <c r="E1246" s="9" t="inlineStr">
        <is>
          <t>description-scaled</t>
        </is>
      </c>
      <c r="F1246" s="10" t="n">
        <v>703</v>
      </c>
      <c r="G1246" s="18" t="n">
        <v>4.02</v>
      </c>
      <c r="H1246" s="10">
        <f>IF(G1246="","",G1246*Ayarlar!$B$3+Ayarlar!$B$4+Ayarlar!$B$5)</f>
        <v/>
      </c>
      <c r="I1246" s="10">
        <f>IF(G1246="","",ROUNDUP(((G1246*Ayarlar!$B$3+Ayarlar!$B$4+Ayarlar!$B$5)+Ayarlar!$B$8)/((1-Ayarlar!$B$6)*(1-Ayarlar!$B$7)),0))</f>
        <v/>
      </c>
      <c r="J1246" s="10">
        <f>IF(G1246="","",ROUNDUP(((G1246*Ayarlar!$B$3+Ayarlar!$B$4+Ayarlar!$B$5)+Ayarlar!$B$8)/((1-Ayarlar!$B$6)*(1-Ayarlar!$B$7-Ayarlar!$B$9)),0))</f>
        <v/>
      </c>
      <c r="K1246" s="12">
        <f>IF(OR(G1246="",F1246=""),"",(F1246*(1-Ayarlar!$B$6)-(F1246*(1-Ayarlar!$B$6)*Ayarlar!$B$7+Ayarlar!$B$8)-(G1246*Ayarlar!$B$3+Ayarlar!$B$4+Ayarlar!$B$5))/(F1246*(1-Ayarlar!$B$6)))</f>
        <v/>
      </c>
      <c r="L1246" s="9">
        <f>IF(G1246="","GRAM EKSİK",IF(F1246&gt;30000,"FİYAT ŞÜPHELİ",IF(K1246&lt;0,"ZARARDA",IF(F1246&lt;I1246,"RİSKLİ","ok"))))</f>
        <v/>
      </c>
      <c r="M1246" s="13" t="inlineStr">
        <is>
          <t>https://www.etsy.com/listing/4320364926</t>
        </is>
      </c>
    </row>
    <row r="1247">
      <c r="A1247" s="3" t="inlineStr">
        <is>
          <t>legacy</t>
        </is>
      </c>
      <c r="B1247" s="3" t="inlineStr">
        <is>
          <t>Real 14K Gold Miami Cuban Link Bracelet - Unisex Chain Jewel</t>
        </is>
      </c>
      <c r="C1247" s="3" t="n">
        <v>4320364926</v>
      </c>
      <c r="D1247" s="3" t="inlineStr">
        <is>
          <t>BMC3F-7.5</t>
        </is>
      </c>
      <c r="E1247" s="3" t="inlineStr">
        <is>
          <t>description-scaled</t>
        </is>
      </c>
      <c r="F1247" s="14" t="n">
        <v>747</v>
      </c>
      <c r="G1247" s="17" t="n">
        <v>4.31</v>
      </c>
      <c r="H1247" s="14">
        <f>IF(G1247="","",G1247*Ayarlar!$B$3+Ayarlar!$B$4+Ayarlar!$B$5)</f>
        <v/>
      </c>
      <c r="I1247" s="14">
        <f>IF(G1247="","",ROUNDUP(((G1247*Ayarlar!$B$3+Ayarlar!$B$4+Ayarlar!$B$5)+Ayarlar!$B$8)/((1-Ayarlar!$B$6)*(1-Ayarlar!$B$7)),0))</f>
        <v/>
      </c>
      <c r="J1247" s="14">
        <f>IF(G1247="","",ROUNDUP(((G1247*Ayarlar!$B$3+Ayarlar!$B$4+Ayarlar!$B$5)+Ayarlar!$B$8)/((1-Ayarlar!$B$6)*(1-Ayarlar!$B$7-Ayarlar!$B$9)),0))</f>
        <v/>
      </c>
      <c r="K1247" s="15">
        <f>IF(OR(G1247="",F1247=""),"",(F1247*(1-Ayarlar!$B$6)-(F1247*(1-Ayarlar!$B$6)*Ayarlar!$B$7+Ayarlar!$B$8)-(G1247*Ayarlar!$B$3+Ayarlar!$B$4+Ayarlar!$B$5))/(F1247*(1-Ayarlar!$B$6)))</f>
        <v/>
      </c>
      <c r="L1247" s="3">
        <f>IF(G1247="","GRAM EKSİK",IF(F1247&gt;30000,"FİYAT ŞÜPHELİ",IF(K1247&lt;0,"ZARARDA",IF(F1247&lt;I1247,"RİSKLİ","ok"))))</f>
        <v/>
      </c>
      <c r="M1247" s="16" t="inlineStr">
        <is>
          <t>https://www.etsy.com/listing/4320364926</t>
        </is>
      </c>
    </row>
    <row r="1248">
      <c r="A1248" s="9" t="inlineStr">
        <is>
          <t>legacy</t>
        </is>
      </c>
      <c r="B1248" s="9" t="inlineStr">
        <is>
          <t>Real 14K Gold Miami Cuban Link Bracelet - Unisex Chain Jewel</t>
        </is>
      </c>
      <c r="C1248" s="9" t="n">
        <v>4320364926</v>
      </c>
      <c r="D1248" s="9" t="inlineStr">
        <is>
          <t>BMC3F-8</t>
        </is>
      </c>
      <c r="E1248" s="9" t="inlineStr">
        <is>
          <t>description</t>
        </is>
      </c>
      <c r="F1248" s="10" t="n">
        <v>792</v>
      </c>
      <c r="G1248" s="18" t="n">
        <v>4.6</v>
      </c>
      <c r="H1248" s="10">
        <f>IF(G1248="","",G1248*Ayarlar!$B$3+Ayarlar!$B$4+Ayarlar!$B$5)</f>
        <v/>
      </c>
      <c r="I1248" s="10">
        <f>IF(G1248="","",ROUNDUP(((G1248*Ayarlar!$B$3+Ayarlar!$B$4+Ayarlar!$B$5)+Ayarlar!$B$8)/((1-Ayarlar!$B$6)*(1-Ayarlar!$B$7)),0))</f>
        <v/>
      </c>
      <c r="J1248" s="10">
        <f>IF(G1248="","",ROUNDUP(((G1248*Ayarlar!$B$3+Ayarlar!$B$4+Ayarlar!$B$5)+Ayarlar!$B$8)/((1-Ayarlar!$B$6)*(1-Ayarlar!$B$7-Ayarlar!$B$9)),0))</f>
        <v/>
      </c>
      <c r="K1248" s="12">
        <f>IF(OR(G1248="",F1248=""),"",(F1248*(1-Ayarlar!$B$6)-(F1248*(1-Ayarlar!$B$6)*Ayarlar!$B$7+Ayarlar!$B$8)-(G1248*Ayarlar!$B$3+Ayarlar!$B$4+Ayarlar!$B$5))/(F1248*(1-Ayarlar!$B$6)))</f>
        <v/>
      </c>
      <c r="L1248" s="9">
        <f>IF(G1248="","GRAM EKSİK",IF(F1248&gt;30000,"FİYAT ŞÜPHELİ",IF(K1248&lt;0,"ZARARDA",IF(F1248&lt;I1248,"RİSKLİ","ok"))))</f>
        <v/>
      </c>
      <c r="M1248" s="13" t="inlineStr">
        <is>
          <t>https://www.etsy.com/listing/4320364926</t>
        </is>
      </c>
    </row>
    <row r="1249">
      <c r="A1249" s="3" t="inlineStr">
        <is>
          <t>legacy</t>
        </is>
      </c>
      <c r="B1249" s="3" t="inlineStr">
        <is>
          <t>Real 14K Gold Miami Cuban Link Bracelet - Unisex Chain Jewel</t>
        </is>
      </c>
      <c r="C1249" s="3" t="n">
        <v>4320364926</v>
      </c>
      <c r="D1249" s="3" t="inlineStr">
        <is>
          <t>BMC6F-7</t>
        </is>
      </c>
      <c r="E1249" s="3" t="inlineStr">
        <is>
          <t>—</t>
        </is>
      </c>
      <c r="F1249" s="14" t="n">
        <v>1720</v>
      </c>
      <c r="G1249" s="11" t="n"/>
      <c r="H1249" s="14">
        <f>IF(G1249="","",G1249*Ayarlar!$B$3+Ayarlar!$B$4+Ayarlar!$B$5)</f>
        <v/>
      </c>
      <c r="I1249" s="14">
        <f>IF(G1249="","",ROUNDUP(((G1249*Ayarlar!$B$3+Ayarlar!$B$4+Ayarlar!$B$5)+Ayarlar!$B$8)/((1-Ayarlar!$B$6)*(1-Ayarlar!$B$7)),0))</f>
        <v/>
      </c>
      <c r="J1249" s="14">
        <f>IF(G1249="","",ROUNDUP(((G1249*Ayarlar!$B$3+Ayarlar!$B$4+Ayarlar!$B$5)+Ayarlar!$B$8)/((1-Ayarlar!$B$6)*(1-Ayarlar!$B$7-Ayarlar!$B$9)),0))</f>
        <v/>
      </c>
      <c r="K1249" s="15">
        <f>IF(OR(G1249="",F1249=""),"",(F1249*(1-Ayarlar!$B$6)-(F1249*(1-Ayarlar!$B$6)*Ayarlar!$B$7+Ayarlar!$B$8)-(G1249*Ayarlar!$B$3+Ayarlar!$B$4+Ayarlar!$B$5))/(F1249*(1-Ayarlar!$B$6)))</f>
        <v/>
      </c>
      <c r="L1249" s="3">
        <f>IF(G1249="","GRAM EKSİK",IF(F1249&gt;30000,"FİYAT ŞÜPHELİ",IF(K1249&lt;0,"ZARARDA",IF(F1249&lt;I1249,"RİSKLİ","ok"))))</f>
        <v/>
      </c>
      <c r="M1249" s="16" t="inlineStr">
        <is>
          <t>https://www.etsy.com/listing/4320364926</t>
        </is>
      </c>
    </row>
    <row r="1250">
      <c r="A1250" s="9" t="inlineStr">
        <is>
          <t>legacy</t>
        </is>
      </c>
      <c r="B1250" s="9" t="inlineStr">
        <is>
          <t>Real 14K Gold Miami Cuban Link Bracelet - Unisex Chain Jewel</t>
        </is>
      </c>
      <c r="C1250" s="9" t="n">
        <v>4320364926</v>
      </c>
      <c r="D1250" s="9" t="inlineStr">
        <is>
          <t>BMC6F-7.5</t>
        </is>
      </c>
      <c r="E1250" s="9" t="inlineStr">
        <is>
          <t>description-scaled</t>
        </is>
      </c>
      <c r="F1250" s="10" t="n">
        <v>1957</v>
      </c>
      <c r="G1250" s="18" t="n">
        <v>12.05</v>
      </c>
      <c r="H1250" s="10">
        <f>IF(G1250="","",G1250*Ayarlar!$B$3+Ayarlar!$B$4+Ayarlar!$B$5)</f>
        <v/>
      </c>
      <c r="I1250" s="10">
        <f>IF(G1250="","",ROUNDUP(((G1250*Ayarlar!$B$3+Ayarlar!$B$4+Ayarlar!$B$5)+Ayarlar!$B$8)/((1-Ayarlar!$B$6)*(1-Ayarlar!$B$7)),0))</f>
        <v/>
      </c>
      <c r="J1250" s="10">
        <f>IF(G1250="","",ROUNDUP(((G1250*Ayarlar!$B$3+Ayarlar!$B$4+Ayarlar!$B$5)+Ayarlar!$B$8)/((1-Ayarlar!$B$6)*(1-Ayarlar!$B$7-Ayarlar!$B$9)),0))</f>
        <v/>
      </c>
      <c r="K1250" s="12">
        <f>IF(OR(G1250="",F1250=""),"",(F1250*(1-Ayarlar!$B$6)-(F1250*(1-Ayarlar!$B$6)*Ayarlar!$B$7+Ayarlar!$B$8)-(G1250*Ayarlar!$B$3+Ayarlar!$B$4+Ayarlar!$B$5))/(F1250*(1-Ayarlar!$B$6)))</f>
        <v/>
      </c>
      <c r="L1250" s="9">
        <f>IF(G1250="","GRAM EKSİK",IF(F1250&gt;30000,"FİYAT ŞÜPHELİ",IF(K1250&lt;0,"ZARARDA",IF(F1250&lt;I1250,"RİSKLİ","ok"))))</f>
        <v/>
      </c>
      <c r="M1250" s="13" t="inlineStr">
        <is>
          <t>https://www.etsy.com/listing/4320364926</t>
        </is>
      </c>
    </row>
    <row r="1251">
      <c r="A1251" s="3" t="inlineStr">
        <is>
          <t>legacy</t>
        </is>
      </c>
      <c r="B1251" s="3" t="inlineStr">
        <is>
          <t>Real 14K Gold Miami Cuban Link Bracelet - Unisex Chain Jewel</t>
        </is>
      </c>
      <c r="C1251" s="3" t="n">
        <v>4320364926</v>
      </c>
      <c r="D1251" s="3" t="inlineStr">
        <is>
          <t>BMC6F-8</t>
        </is>
      </c>
      <c r="E1251" s="3" t="inlineStr">
        <is>
          <t>description</t>
        </is>
      </c>
      <c r="F1251" s="14" t="n">
        <v>2069</v>
      </c>
      <c r="G1251" s="17" t="n">
        <v>12.85</v>
      </c>
      <c r="H1251" s="14">
        <f>IF(G1251="","",G1251*Ayarlar!$B$3+Ayarlar!$B$4+Ayarlar!$B$5)</f>
        <v/>
      </c>
      <c r="I1251" s="14">
        <f>IF(G1251="","",ROUNDUP(((G1251*Ayarlar!$B$3+Ayarlar!$B$4+Ayarlar!$B$5)+Ayarlar!$B$8)/((1-Ayarlar!$B$6)*(1-Ayarlar!$B$7)),0))</f>
        <v/>
      </c>
      <c r="J1251" s="14">
        <f>IF(G1251="","",ROUNDUP(((G1251*Ayarlar!$B$3+Ayarlar!$B$4+Ayarlar!$B$5)+Ayarlar!$B$8)/((1-Ayarlar!$B$6)*(1-Ayarlar!$B$7-Ayarlar!$B$9)),0))</f>
        <v/>
      </c>
      <c r="K1251" s="15">
        <f>IF(OR(G1251="",F1251=""),"",(F1251*(1-Ayarlar!$B$6)-(F1251*(1-Ayarlar!$B$6)*Ayarlar!$B$7+Ayarlar!$B$8)-(G1251*Ayarlar!$B$3+Ayarlar!$B$4+Ayarlar!$B$5))/(F1251*(1-Ayarlar!$B$6)))</f>
        <v/>
      </c>
      <c r="L1251" s="3">
        <f>IF(G1251="","GRAM EKSİK",IF(F1251&gt;30000,"FİYAT ŞÜPHELİ",IF(K1251&lt;0,"ZARARDA",IF(F1251&lt;I1251,"RİSKLİ","ok"))))</f>
        <v/>
      </c>
      <c r="M1251" s="16" t="inlineStr">
        <is>
          <t>https://www.etsy.com/listing/4320364926</t>
        </is>
      </c>
    </row>
    <row r="1252">
      <c r="A1252" s="9" t="inlineStr">
        <is>
          <t>legacy</t>
        </is>
      </c>
      <c r="B1252" s="9" t="inlineStr">
        <is>
          <t>Real 14K Gold Miami Cuban Link Bracelet - Unisex Chain Jewel</t>
        </is>
      </c>
      <c r="C1252" s="9" t="n">
        <v>4320364926</v>
      </c>
      <c r="D1252" s="9" t="inlineStr">
        <is>
          <t>BMC7F-7</t>
        </is>
      </c>
      <c r="E1252" s="9" t="inlineStr">
        <is>
          <t>description-scaled</t>
        </is>
      </c>
      <c r="F1252" s="10" t="n">
        <v>2317</v>
      </c>
      <c r="G1252" s="18" t="n">
        <v>13.91</v>
      </c>
      <c r="H1252" s="10">
        <f>IF(G1252="","",G1252*Ayarlar!$B$3+Ayarlar!$B$4+Ayarlar!$B$5)</f>
        <v/>
      </c>
      <c r="I1252" s="10">
        <f>IF(G1252="","",ROUNDUP(((G1252*Ayarlar!$B$3+Ayarlar!$B$4+Ayarlar!$B$5)+Ayarlar!$B$8)/((1-Ayarlar!$B$6)*(1-Ayarlar!$B$7)),0))</f>
        <v/>
      </c>
      <c r="J1252" s="10">
        <f>IF(G1252="","",ROUNDUP(((G1252*Ayarlar!$B$3+Ayarlar!$B$4+Ayarlar!$B$5)+Ayarlar!$B$8)/((1-Ayarlar!$B$6)*(1-Ayarlar!$B$7-Ayarlar!$B$9)),0))</f>
        <v/>
      </c>
      <c r="K1252" s="12">
        <f>IF(OR(G1252="",F1252=""),"",(F1252*(1-Ayarlar!$B$6)-(F1252*(1-Ayarlar!$B$6)*Ayarlar!$B$7+Ayarlar!$B$8)-(G1252*Ayarlar!$B$3+Ayarlar!$B$4+Ayarlar!$B$5))/(F1252*(1-Ayarlar!$B$6)))</f>
        <v/>
      </c>
      <c r="L1252" s="9">
        <f>IF(G1252="","GRAM EKSİK",IF(F1252&gt;30000,"FİYAT ŞÜPHELİ",IF(K1252&lt;0,"ZARARDA",IF(F1252&lt;I1252,"RİSKLİ","ok"))))</f>
        <v/>
      </c>
      <c r="M1252" s="13" t="inlineStr">
        <is>
          <t>https://www.etsy.com/listing/4320364926</t>
        </is>
      </c>
    </row>
    <row r="1253">
      <c r="A1253" s="3" t="inlineStr">
        <is>
          <t>legacy</t>
        </is>
      </c>
      <c r="B1253" s="3" t="inlineStr">
        <is>
          <t>Real 14K Gold Miami Cuban Link Bracelet - Unisex Chain Jewel</t>
        </is>
      </c>
      <c r="C1253" s="3" t="n">
        <v>4320364926</v>
      </c>
      <c r="D1253" s="3" t="inlineStr">
        <is>
          <t>BMC7F-7.5</t>
        </is>
      </c>
      <c r="E1253" s="3" t="inlineStr">
        <is>
          <t>—</t>
        </is>
      </c>
      <c r="F1253" s="14" t="n">
        <v>2365</v>
      </c>
      <c r="G1253" s="11" t="n"/>
      <c r="H1253" s="14">
        <f>IF(G1253="","",G1253*Ayarlar!$B$3+Ayarlar!$B$4+Ayarlar!$B$5)</f>
        <v/>
      </c>
      <c r="I1253" s="14">
        <f>IF(G1253="","",ROUNDUP(((G1253*Ayarlar!$B$3+Ayarlar!$B$4+Ayarlar!$B$5)+Ayarlar!$B$8)/((1-Ayarlar!$B$6)*(1-Ayarlar!$B$7)),0))</f>
        <v/>
      </c>
      <c r="J1253" s="14">
        <f>IF(G1253="","",ROUNDUP(((G1253*Ayarlar!$B$3+Ayarlar!$B$4+Ayarlar!$B$5)+Ayarlar!$B$8)/((1-Ayarlar!$B$6)*(1-Ayarlar!$B$7-Ayarlar!$B$9)),0))</f>
        <v/>
      </c>
      <c r="K1253" s="15">
        <f>IF(OR(G1253="",F1253=""),"",(F1253*(1-Ayarlar!$B$6)-(F1253*(1-Ayarlar!$B$6)*Ayarlar!$B$7+Ayarlar!$B$8)-(G1253*Ayarlar!$B$3+Ayarlar!$B$4+Ayarlar!$B$5))/(F1253*(1-Ayarlar!$B$6)))</f>
        <v/>
      </c>
      <c r="L1253" s="3">
        <f>IF(G1253="","GRAM EKSİK",IF(F1253&gt;30000,"FİYAT ŞÜPHELİ",IF(K1253&lt;0,"ZARARDA",IF(F1253&lt;I1253,"RİSKLİ","ok"))))</f>
        <v/>
      </c>
      <c r="M1253" s="16" t="inlineStr">
        <is>
          <t>https://www.etsy.com/listing/4320364926</t>
        </is>
      </c>
    </row>
    <row r="1254">
      <c r="A1254" s="9" t="inlineStr">
        <is>
          <t>legacy</t>
        </is>
      </c>
      <c r="B1254" s="9" t="inlineStr">
        <is>
          <t>Real 14K Gold Miami Cuban Link Bracelet - Unisex Chain Jewel</t>
        </is>
      </c>
      <c r="C1254" s="9" t="n">
        <v>4320364926</v>
      </c>
      <c r="D1254" s="9" t="inlineStr">
        <is>
          <t>BMC7F-8</t>
        </is>
      </c>
      <c r="E1254" s="9" t="inlineStr">
        <is>
          <t>description</t>
        </is>
      </c>
      <c r="F1254" s="10" t="n">
        <v>2625</v>
      </c>
      <c r="G1254" s="18" t="n">
        <v>15.9</v>
      </c>
      <c r="H1254" s="10">
        <f>IF(G1254="","",G1254*Ayarlar!$B$3+Ayarlar!$B$4+Ayarlar!$B$5)</f>
        <v/>
      </c>
      <c r="I1254" s="10">
        <f>IF(G1254="","",ROUNDUP(((G1254*Ayarlar!$B$3+Ayarlar!$B$4+Ayarlar!$B$5)+Ayarlar!$B$8)/((1-Ayarlar!$B$6)*(1-Ayarlar!$B$7)),0))</f>
        <v/>
      </c>
      <c r="J1254" s="10">
        <f>IF(G1254="","",ROUNDUP(((G1254*Ayarlar!$B$3+Ayarlar!$B$4+Ayarlar!$B$5)+Ayarlar!$B$8)/((1-Ayarlar!$B$6)*(1-Ayarlar!$B$7-Ayarlar!$B$9)),0))</f>
        <v/>
      </c>
      <c r="K1254" s="12">
        <f>IF(OR(G1254="",F1254=""),"",(F1254*(1-Ayarlar!$B$6)-(F1254*(1-Ayarlar!$B$6)*Ayarlar!$B$7+Ayarlar!$B$8)-(G1254*Ayarlar!$B$3+Ayarlar!$B$4+Ayarlar!$B$5))/(F1254*(1-Ayarlar!$B$6)))</f>
        <v/>
      </c>
      <c r="L1254" s="9">
        <f>IF(G1254="","GRAM EKSİK",IF(F1254&gt;30000,"FİYAT ŞÜPHELİ",IF(K1254&lt;0,"ZARARDA",IF(F1254&lt;I1254,"RİSKLİ","ok"))))</f>
        <v/>
      </c>
      <c r="M1254" s="13" t="inlineStr">
        <is>
          <t>https://www.etsy.com/listing/4320364926</t>
        </is>
      </c>
    </row>
    <row r="1255">
      <c r="A1255" s="3" t="inlineStr">
        <is>
          <t>legacy</t>
        </is>
      </c>
      <c r="B1255" s="3" t="inlineStr">
        <is>
          <t>Real 14K Gold Miami Cuban Link Bracelet - Unisex Chain Jewel</t>
        </is>
      </c>
      <c r="C1255" s="3" t="n">
        <v>4320364926</v>
      </c>
      <c r="D1255" s="3" t="inlineStr">
        <is>
          <t>BMC8F-7</t>
        </is>
      </c>
      <c r="E1255" s="3" t="inlineStr">
        <is>
          <t>description-scaled</t>
        </is>
      </c>
      <c r="F1255" s="14" t="n">
        <v>3123</v>
      </c>
      <c r="G1255" s="17" t="n">
        <v>18.17</v>
      </c>
      <c r="H1255" s="14">
        <f>IF(G1255="","",G1255*Ayarlar!$B$3+Ayarlar!$B$4+Ayarlar!$B$5)</f>
        <v/>
      </c>
      <c r="I1255" s="14">
        <f>IF(G1255="","",ROUNDUP(((G1255*Ayarlar!$B$3+Ayarlar!$B$4+Ayarlar!$B$5)+Ayarlar!$B$8)/((1-Ayarlar!$B$6)*(1-Ayarlar!$B$7)),0))</f>
        <v/>
      </c>
      <c r="J1255" s="14">
        <f>IF(G1255="","",ROUNDUP(((G1255*Ayarlar!$B$3+Ayarlar!$B$4+Ayarlar!$B$5)+Ayarlar!$B$8)/((1-Ayarlar!$B$6)*(1-Ayarlar!$B$7-Ayarlar!$B$9)),0))</f>
        <v/>
      </c>
      <c r="K1255" s="15">
        <f>IF(OR(G1255="",F1255=""),"",(F1255*(1-Ayarlar!$B$6)-(F1255*(1-Ayarlar!$B$6)*Ayarlar!$B$7+Ayarlar!$B$8)-(G1255*Ayarlar!$B$3+Ayarlar!$B$4+Ayarlar!$B$5))/(F1255*(1-Ayarlar!$B$6)))</f>
        <v/>
      </c>
      <c r="L1255" s="3">
        <f>IF(G1255="","GRAM EKSİK",IF(F1255&gt;30000,"FİYAT ŞÜPHELİ",IF(K1255&lt;0,"ZARARDA",IF(F1255&lt;I1255,"RİSKLİ","ok"))))</f>
        <v/>
      </c>
      <c r="M1255" s="16" t="inlineStr">
        <is>
          <t>https://www.etsy.com/listing/4320364926</t>
        </is>
      </c>
    </row>
    <row r="1256">
      <c r="A1256" s="9" t="inlineStr">
        <is>
          <t>legacy</t>
        </is>
      </c>
      <c r="B1256" s="9" t="inlineStr">
        <is>
          <t>Real 14K Gold Miami Cuban Link Bracelet - Unisex Chain Jewel</t>
        </is>
      </c>
      <c r="C1256" s="9" t="n">
        <v>4320364926</v>
      </c>
      <c r="D1256" s="9" t="inlineStr">
        <is>
          <t>BMC8F-7.5</t>
        </is>
      </c>
      <c r="E1256" s="9" t="inlineStr">
        <is>
          <t>description-scaled</t>
        </is>
      </c>
      <c r="F1256" s="10" t="n">
        <v>3238</v>
      </c>
      <c r="G1256" s="18" t="n">
        <v>19.47</v>
      </c>
      <c r="H1256" s="10">
        <f>IF(G1256="","",G1256*Ayarlar!$B$3+Ayarlar!$B$4+Ayarlar!$B$5)</f>
        <v/>
      </c>
      <c r="I1256" s="10">
        <f>IF(G1256="","",ROUNDUP(((G1256*Ayarlar!$B$3+Ayarlar!$B$4+Ayarlar!$B$5)+Ayarlar!$B$8)/((1-Ayarlar!$B$6)*(1-Ayarlar!$B$7)),0))</f>
        <v/>
      </c>
      <c r="J1256" s="10">
        <f>IF(G1256="","",ROUNDUP(((G1256*Ayarlar!$B$3+Ayarlar!$B$4+Ayarlar!$B$5)+Ayarlar!$B$8)/((1-Ayarlar!$B$6)*(1-Ayarlar!$B$7-Ayarlar!$B$9)),0))</f>
        <v/>
      </c>
      <c r="K1256" s="12">
        <f>IF(OR(G1256="",F1256=""),"",(F1256*(1-Ayarlar!$B$6)-(F1256*(1-Ayarlar!$B$6)*Ayarlar!$B$7+Ayarlar!$B$8)-(G1256*Ayarlar!$B$3+Ayarlar!$B$4+Ayarlar!$B$5))/(F1256*(1-Ayarlar!$B$6)))</f>
        <v/>
      </c>
      <c r="L1256" s="9">
        <f>IF(G1256="","GRAM EKSİK",IF(F1256&gt;30000,"FİYAT ŞÜPHELİ",IF(K1256&lt;0,"ZARARDA",IF(F1256&lt;I1256,"RİSKLİ","ok"))))</f>
        <v/>
      </c>
      <c r="M1256" s="13" t="inlineStr">
        <is>
          <t>https://www.etsy.com/listing/4320364926</t>
        </is>
      </c>
    </row>
    <row r="1257">
      <c r="A1257" s="3" t="inlineStr">
        <is>
          <t>legacy</t>
        </is>
      </c>
      <c r="B1257" s="3" t="inlineStr">
        <is>
          <t>Real 14K Gold Miami Cuban Link Bracelet - Unisex Chain Jewel</t>
        </is>
      </c>
      <c r="C1257" s="3" t="n">
        <v>4320364926</v>
      </c>
      <c r="D1257" s="3" t="inlineStr">
        <is>
          <t>BMC8F-8</t>
        </is>
      </c>
      <c r="E1257" s="3" t="inlineStr">
        <is>
          <t>description</t>
        </is>
      </c>
      <c r="F1257" s="14" t="n">
        <v>3354</v>
      </c>
      <c r="G1257" s="17" t="n">
        <v>20.77</v>
      </c>
      <c r="H1257" s="14">
        <f>IF(G1257="","",G1257*Ayarlar!$B$3+Ayarlar!$B$4+Ayarlar!$B$5)</f>
        <v/>
      </c>
      <c r="I1257" s="14">
        <f>IF(G1257="","",ROUNDUP(((G1257*Ayarlar!$B$3+Ayarlar!$B$4+Ayarlar!$B$5)+Ayarlar!$B$8)/((1-Ayarlar!$B$6)*(1-Ayarlar!$B$7)),0))</f>
        <v/>
      </c>
      <c r="J1257" s="14">
        <f>IF(G1257="","",ROUNDUP(((G1257*Ayarlar!$B$3+Ayarlar!$B$4+Ayarlar!$B$5)+Ayarlar!$B$8)/((1-Ayarlar!$B$6)*(1-Ayarlar!$B$7-Ayarlar!$B$9)),0))</f>
        <v/>
      </c>
      <c r="K1257" s="15">
        <f>IF(OR(G1257="",F1257=""),"",(F1257*(1-Ayarlar!$B$6)-(F1257*(1-Ayarlar!$B$6)*Ayarlar!$B$7+Ayarlar!$B$8)-(G1257*Ayarlar!$B$3+Ayarlar!$B$4+Ayarlar!$B$5))/(F1257*(1-Ayarlar!$B$6)))</f>
        <v/>
      </c>
      <c r="L1257" s="3">
        <f>IF(G1257="","GRAM EKSİK",IF(F1257&gt;30000,"FİYAT ŞÜPHELİ",IF(K1257&lt;0,"ZARARDA",IF(F1257&lt;I1257,"RİSKLİ","ok"))))</f>
        <v/>
      </c>
      <c r="M1257" s="16" t="inlineStr">
        <is>
          <t>https://www.etsy.com/listing/4320364926</t>
        </is>
      </c>
    </row>
    <row r="1258">
      <c r="A1258" s="9" t="inlineStr">
        <is>
          <t>legacy</t>
        </is>
      </c>
      <c r="B1258" s="9" t="inlineStr">
        <is>
          <t>Real 14K Gold Miami Cuban Link Bracelet - Unisex Chain Jewel</t>
        </is>
      </c>
      <c r="C1258" s="9" t="n">
        <v>4320364926</v>
      </c>
      <c r="D1258" s="9" t="inlineStr">
        <is>
          <t>BMC9F-7</t>
        </is>
      </c>
      <c r="E1258" s="9" t="inlineStr">
        <is>
          <t>description-scaled</t>
        </is>
      </c>
      <c r="F1258" s="10" t="n">
        <v>3239</v>
      </c>
      <c r="G1258" s="18" t="n">
        <v>19.69</v>
      </c>
      <c r="H1258" s="10">
        <f>IF(G1258="","",G1258*Ayarlar!$B$3+Ayarlar!$B$4+Ayarlar!$B$5)</f>
        <v/>
      </c>
      <c r="I1258" s="10">
        <f>IF(G1258="","",ROUNDUP(((G1258*Ayarlar!$B$3+Ayarlar!$B$4+Ayarlar!$B$5)+Ayarlar!$B$8)/((1-Ayarlar!$B$6)*(1-Ayarlar!$B$7)),0))</f>
        <v/>
      </c>
      <c r="J1258" s="10">
        <f>IF(G1258="","",ROUNDUP(((G1258*Ayarlar!$B$3+Ayarlar!$B$4+Ayarlar!$B$5)+Ayarlar!$B$8)/((1-Ayarlar!$B$6)*(1-Ayarlar!$B$7-Ayarlar!$B$9)),0))</f>
        <v/>
      </c>
      <c r="K1258" s="12">
        <f>IF(OR(G1258="",F1258=""),"",(F1258*(1-Ayarlar!$B$6)-(F1258*(1-Ayarlar!$B$6)*Ayarlar!$B$7+Ayarlar!$B$8)-(G1258*Ayarlar!$B$3+Ayarlar!$B$4+Ayarlar!$B$5))/(F1258*(1-Ayarlar!$B$6)))</f>
        <v/>
      </c>
      <c r="L1258" s="9">
        <f>IF(G1258="","GRAM EKSİK",IF(F1258&gt;30000,"FİYAT ŞÜPHELİ",IF(K1258&lt;0,"ZARARDA",IF(F1258&lt;I1258,"RİSKLİ","ok"))))</f>
        <v/>
      </c>
      <c r="M1258" s="13" t="inlineStr">
        <is>
          <t>https://www.etsy.com/listing/4320364926</t>
        </is>
      </c>
    </row>
    <row r="1259">
      <c r="A1259" s="3" t="inlineStr">
        <is>
          <t>legacy</t>
        </is>
      </c>
      <c r="B1259" s="3" t="inlineStr">
        <is>
          <t>Real 14K Gold Miami Cuban Link Bracelet - Unisex Chain Jewel</t>
        </is>
      </c>
      <c r="C1259" s="3" t="n">
        <v>4320364926</v>
      </c>
      <c r="D1259" s="3" t="inlineStr">
        <is>
          <t>BMC9F-7.5</t>
        </is>
      </c>
      <c r="E1259" s="3" t="inlineStr">
        <is>
          <t>description-scaled</t>
        </is>
      </c>
      <c r="F1259" s="14" t="n">
        <v>3410</v>
      </c>
      <c r="G1259" s="17" t="n">
        <v>21.09</v>
      </c>
      <c r="H1259" s="14">
        <f>IF(G1259="","",G1259*Ayarlar!$B$3+Ayarlar!$B$4+Ayarlar!$B$5)</f>
        <v/>
      </c>
      <c r="I1259" s="14">
        <f>IF(G1259="","",ROUNDUP(((G1259*Ayarlar!$B$3+Ayarlar!$B$4+Ayarlar!$B$5)+Ayarlar!$B$8)/((1-Ayarlar!$B$6)*(1-Ayarlar!$B$7)),0))</f>
        <v/>
      </c>
      <c r="J1259" s="14">
        <f>IF(G1259="","",ROUNDUP(((G1259*Ayarlar!$B$3+Ayarlar!$B$4+Ayarlar!$B$5)+Ayarlar!$B$8)/((1-Ayarlar!$B$6)*(1-Ayarlar!$B$7-Ayarlar!$B$9)),0))</f>
        <v/>
      </c>
      <c r="K1259" s="15">
        <f>IF(OR(G1259="",F1259=""),"",(F1259*(1-Ayarlar!$B$6)-(F1259*(1-Ayarlar!$B$6)*Ayarlar!$B$7+Ayarlar!$B$8)-(G1259*Ayarlar!$B$3+Ayarlar!$B$4+Ayarlar!$B$5))/(F1259*(1-Ayarlar!$B$6)))</f>
        <v/>
      </c>
      <c r="L1259" s="3">
        <f>IF(G1259="","GRAM EKSİK",IF(F1259&gt;30000,"FİYAT ŞÜPHELİ",IF(K1259&lt;0,"ZARARDA",IF(F1259&lt;I1259,"RİSKLİ","ok"))))</f>
        <v/>
      </c>
      <c r="M1259" s="16" t="inlineStr">
        <is>
          <t>https://www.etsy.com/listing/4320364926</t>
        </is>
      </c>
    </row>
    <row r="1260">
      <c r="A1260" s="9" t="inlineStr">
        <is>
          <t>legacy</t>
        </is>
      </c>
      <c r="B1260" s="9" t="inlineStr">
        <is>
          <t>Real 14K Gold Miami Cuban Link Bracelet - Unisex Chain Jewel</t>
        </is>
      </c>
      <c r="C1260" s="9" t="n">
        <v>4320364926</v>
      </c>
      <c r="D1260" s="9" t="inlineStr">
        <is>
          <t>BMC9F-8</t>
        </is>
      </c>
      <c r="E1260" s="9" t="inlineStr">
        <is>
          <t>description</t>
        </is>
      </c>
      <c r="F1260" s="10" t="n">
        <v>3634</v>
      </c>
      <c r="G1260" s="18" t="n">
        <v>22.5</v>
      </c>
      <c r="H1260" s="10">
        <f>IF(G1260="","",G1260*Ayarlar!$B$3+Ayarlar!$B$4+Ayarlar!$B$5)</f>
        <v/>
      </c>
      <c r="I1260" s="10">
        <f>IF(G1260="","",ROUNDUP(((G1260*Ayarlar!$B$3+Ayarlar!$B$4+Ayarlar!$B$5)+Ayarlar!$B$8)/((1-Ayarlar!$B$6)*(1-Ayarlar!$B$7)),0))</f>
        <v/>
      </c>
      <c r="J1260" s="10">
        <f>IF(G1260="","",ROUNDUP(((G1260*Ayarlar!$B$3+Ayarlar!$B$4+Ayarlar!$B$5)+Ayarlar!$B$8)/((1-Ayarlar!$B$6)*(1-Ayarlar!$B$7-Ayarlar!$B$9)),0))</f>
        <v/>
      </c>
      <c r="K1260" s="12">
        <f>IF(OR(G1260="",F1260=""),"",(F1260*(1-Ayarlar!$B$6)-(F1260*(1-Ayarlar!$B$6)*Ayarlar!$B$7+Ayarlar!$B$8)-(G1260*Ayarlar!$B$3+Ayarlar!$B$4+Ayarlar!$B$5))/(F1260*(1-Ayarlar!$B$6)))</f>
        <v/>
      </c>
      <c r="L1260" s="9">
        <f>IF(G1260="","GRAM EKSİK",IF(F1260&gt;30000,"FİYAT ŞÜPHELİ",IF(K1260&lt;0,"ZARARDA",IF(F1260&lt;I1260,"RİSKLİ","ok"))))</f>
        <v/>
      </c>
      <c r="M1260" s="13" t="inlineStr">
        <is>
          <t>https://www.etsy.com/listing/4320364926</t>
        </is>
      </c>
    </row>
    <row r="1261">
      <c r="A1261" s="3" t="inlineStr">
        <is>
          <t>legacy</t>
        </is>
      </c>
      <c r="B1261" s="3" t="inlineStr">
        <is>
          <t>Solid 14K White Gold Franco Chain Bracelet / Unisex Real Gol</t>
        </is>
      </c>
      <c r="C1261" s="3" t="n">
        <v>1771229327</v>
      </c>
      <c r="D1261" s="3" t="inlineStr">
        <is>
          <t>BSFR1-7</t>
        </is>
      </c>
      <c r="E1261" s="3" t="inlineStr">
        <is>
          <t>shipstation</t>
        </is>
      </c>
      <c r="F1261" s="14" t="n">
        <v>606</v>
      </c>
      <c r="G1261" s="17" t="n">
        <v>4.07</v>
      </c>
      <c r="H1261" s="14">
        <f>IF(G1261="","",G1261*Ayarlar!$B$3+Ayarlar!$B$4+Ayarlar!$B$5)</f>
        <v/>
      </c>
      <c r="I1261" s="14">
        <f>IF(G1261="","",ROUNDUP(((G1261*Ayarlar!$B$3+Ayarlar!$B$4+Ayarlar!$B$5)+Ayarlar!$B$8)/((1-Ayarlar!$B$6)*(1-Ayarlar!$B$7)),0))</f>
        <v/>
      </c>
      <c r="J1261" s="14">
        <f>IF(G1261="","",ROUNDUP(((G1261*Ayarlar!$B$3+Ayarlar!$B$4+Ayarlar!$B$5)+Ayarlar!$B$8)/((1-Ayarlar!$B$6)*(1-Ayarlar!$B$7-Ayarlar!$B$9)),0))</f>
        <v/>
      </c>
      <c r="K1261" s="15">
        <f>IF(OR(G1261="",F1261=""),"",(F1261*(1-Ayarlar!$B$6)-(F1261*(1-Ayarlar!$B$6)*Ayarlar!$B$7+Ayarlar!$B$8)-(G1261*Ayarlar!$B$3+Ayarlar!$B$4+Ayarlar!$B$5))/(F1261*(1-Ayarlar!$B$6)))</f>
        <v/>
      </c>
      <c r="L1261" s="3">
        <f>IF(G1261="","GRAM EKSİK",IF(F1261&gt;30000,"FİYAT ŞÜPHELİ",IF(K1261&lt;0,"ZARARDA",IF(F1261&lt;I1261,"RİSKLİ","ok"))))</f>
        <v/>
      </c>
      <c r="M1261" s="16" t="inlineStr">
        <is>
          <t>https://www.etsy.com/listing/1771229327</t>
        </is>
      </c>
    </row>
    <row r="1262">
      <c r="A1262" s="9" t="inlineStr">
        <is>
          <t>legacy</t>
        </is>
      </c>
      <c r="B1262" s="9" t="inlineStr">
        <is>
          <t>Solid 14K White Gold Franco Chain Bracelet / Unisex Real Gol</t>
        </is>
      </c>
      <c r="C1262" s="9" t="n">
        <v>1771229327</v>
      </c>
      <c r="D1262" s="9" t="inlineStr">
        <is>
          <t>BSFR1-7.5</t>
        </is>
      </c>
      <c r="E1262" s="9" t="inlineStr">
        <is>
          <t>shipstation</t>
        </is>
      </c>
      <c r="F1262" s="10" t="n">
        <v>671</v>
      </c>
      <c r="G1262" s="18" t="n">
        <v>4.26</v>
      </c>
      <c r="H1262" s="10">
        <f>IF(G1262="","",G1262*Ayarlar!$B$3+Ayarlar!$B$4+Ayarlar!$B$5)</f>
        <v/>
      </c>
      <c r="I1262" s="10">
        <f>IF(G1262="","",ROUNDUP(((G1262*Ayarlar!$B$3+Ayarlar!$B$4+Ayarlar!$B$5)+Ayarlar!$B$8)/((1-Ayarlar!$B$6)*(1-Ayarlar!$B$7)),0))</f>
        <v/>
      </c>
      <c r="J1262" s="10">
        <f>IF(G1262="","",ROUNDUP(((G1262*Ayarlar!$B$3+Ayarlar!$B$4+Ayarlar!$B$5)+Ayarlar!$B$8)/((1-Ayarlar!$B$6)*(1-Ayarlar!$B$7-Ayarlar!$B$9)),0))</f>
        <v/>
      </c>
      <c r="K1262" s="12">
        <f>IF(OR(G1262="",F1262=""),"",(F1262*(1-Ayarlar!$B$6)-(F1262*(1-Ayarlar!$B$6)*Ayarlar!$B$7+Ayarlar!$B$8)-(G1262*Ayarlar!$B$3+Ayarlar!$B$4+Ayarlar!$B$5))/(F1262*(1-Ayarlar!$B$6)))</f>
        <v/>
      </c>
      <c r="L1262" s="9">
        <f>IF(G1262="","GRAM EKSİK",IF(F1262&gt;30000,"FİYAT ŞÜPHELİ",IF(K1262&lt;0,"ZARARDA",IF(F1262&lt;I1262,"RİSKLİ","ok"))))</f>
        <v/>
      </c>
      <c r="M1262" s="13" t="inlineStr">
        <is>
          <t>https://www.etsy.com/listing/1771229327</t>
        </is>
      </c>
    </row>
    <row r="1263">
      <c r="A1263" s="3" t="inlineStr">
        <is>
          <t>legacy</t>
        </is>
      </c>
      <c r="B1263" s="3" t="inlineStr">
        <is>
          <t>Solid 14K White Gold Franco Chain Bracelet / Unisex Real Gol</t>
        </is>
      </c>
      <c r="C1263" s="3" t="n">
        <v>1771229327</v>
      </c>
      <c r="D1263" s="3" t="inlineStr">
        <is>
          <t>BSFR1-8</t>
        </is>
      </c>
      <c r="E1263" s="3" t="inlineStr">
        <is>
          <t>description</t>
        </is>
      </c>
      <c r="F1263" s="14" t="n">
        <v>782</v>
      </c>
      <c r="G1263" s="17" t="n">
        <v>4.48</v>
      </c>
      <c r="H1263" s="14">
        <f>IF(G1263="","",G1263*Ayarlar!$B$3+Ayarlar!$B$4+Ayarlar!$B$5)</f>
        <v/>
      </c>
      <c r="I1263" s="14">
        <f>IF(G1263="","",ROUNDUP(((G1263*Ayarlar!$B$3+Ayarlar!$B$4+Ayarlar!$B$5)+Ayarlar!$B$8)/((1-Ayarlar!$B$6)*(1-Ayarlar!$B$7)),0))</f>
        <v/>
      </c>
      <c r="J1263" s="14">
        <f>IF(G1263="","",ROUNDUP(((G1263*Ayarlar!$B$3+Ayarlar!$B$4+Ayarlar!$B$5)+Ayarlar!$B$8)/((1-Ayarlar!$B$6)*(1-Ayarlar!$B$7-Ayarlar!$B$9)),0))</f>
        <v/>
      </c>
      <c r="K1263" s="15">
        <f>IF(OR(G1263="",F1263=""),"",(F1263*(1-Ayarlar!$B$6)-(F1263*(1-Ayarlar!$B$6)*Ayarlar!$B$7+Ayarlar!$B$8)-(G1263*Ayarlar!$B$3+Ayarlar!$B$4+Ayarlar!$B$5))/(F1263*(1-Ayarlar!$B$6)))</f>
        <v/>
      </c>
      <c r="L1263" s="3">
        <f>IF(G1263="","GRAM EKSİK",IF(F1263&gt;30000,"FİYAT ŞÜPHELİ",IF(K1263&lt;0,"ZARARDA",IF(F1263&lt;I1263,"RİSKLİ","ok"))))</f>
        <v/>
      </c>
      <c r="M1263" s="16" t="inlineStr">
        <is>
          <t>https://www.etsy.com/listing/1771229327</t>
        </is>
      </c>
    </row>
    <row r="1264">
      <c r="A1264" s="9" t="inlineStr">
        <is>
          <t>legacy</t>
        </is>
      </c>
      <c r="B1264" s="9" t="inlineStr">
        <is>
          <t>Solid 14K White Gold Franco Chain Bracelet / Unisex Real Gol</t>
        </is>
      </c>
      <c r="C1264" s="9" t="n">
        <v>1771229327</v>
      </c>
      <c r="D1264" s="9" t="inlineStr">
        <is>
          <t>BSFR2-7</t>
        </is>
      </c>
      <c r="E1264" s="9" t="inlineStr">
        <is>
          <t>description</t>
        </is>
      </c>
      <c r="F1264" s="10" t="n">
        <v>1224</v>
      </c>
      <c r="G1264" s="18" t="n">
        <v>6.46</v>
      </c>
      <c r="H1264" s="10">
        <f>IF(G1264="","",G1264*Ayarlar!$B$3+Ayarlar!$B$4+Ayarlar!$B$5)</f>
        <v/>
      </c>
      <c r="I1264" s="10">
        <f>IF(G1264="","",ROUNDUP(((G1264*Ayarlar!$B$3+Ayarlar!$B$4+Ayarlar!$B$5)+Ayarlar!$B$8)/((1-Ayarlar!$B$6)*(1-Ayarlar!$B$7)),0))</f>
        <v/>
      </c>
      <c r="J1264" s="10">
        <f>IF(G1264="","",ROUNDUP(((G1264*Ayarlar!$B$3+Ayarlar!$B$4+Ayarlar!$B$5)+Ayarlar!$B$8)/((1-Ayarlar!$B$6)*(1-Ayarlar!$B$7-Ayarlar!$B$9)),0))</f>
        <v/>
      </c>
      <c r="K1264" s="12">
        <f>IF(OR(G1264="",F1264=""),"",(F1264*(1-Ayarlar!$B$6)-(F1264*(1-Ayarlar!$B$6)*Ayarlar!$B$7+Ayarlar!$B$8)-(G1264*Ayarlar!$B$3+Ayarlar!$B$4+Ayarlar!$B$5))/(F1264*(1-Ayarlar!$B$6)))</f>
        <v/>
      </c>
      <c r="L1264" s="9">
        <f>IF(G1264="","GRAM EKSİK",IF(F1264&gt;30000,"FİYAT ŞÜPHELİ",IF(K1264&lt;0,"ZARARDA",IF(F1264&lt;I1264,"RİSKLİ","ok"))))</f>
        <v/>
      </c>
      <c r="M1264" s="13" t="inlineStr">
        <is>
          <t>https://www.etsy.com/listing/1771229327</t>
        </is>
      </c>
    </row>
    <row r="1265">
      <c r="A1265" s="3" t="inlineStr">
        <is>
          <t>legacy</t>
        </is>
      </c>
      <c r="B1265" s="3" t="inlineStr">
        <is>
          <t>Solid 14K White Gold Franco Chain Bracelet / Unisex Real Gol</t>
        </is>
      </c>
      <c r="C1265" s="3" t="n">
        <v>1771229327</v>
      </c>
      <c r="D1265" s="3" t="inlineStr">
        <is>
          <t>BSFR2-7.5</t>
        </is>
      </c>
      <c r="E1265" s="3" t="inlineStr">
        <is>
          <t>description</t>
        </is>
      </c>
      <c r="F1265" s="14" t="n">
        <v>1273</v>
      </c>
      <c r="G1265" s="17" t="n">
        <v>6.92</v>
      </c>
      <c r="H1265" s="14">
        <f>IF(G1265="","",G1265*Ayarlar!$B$3+Ayarlar!$B$4+Ayarlar!$B$5)</f>
        <v/>
      </c>
      <c r="I1265" s="14">
        <f>IF(G1265="","",ROUNDUP(((G1265*Ayarlar!$B$3+Ayarlar!$B$4+Ayarlar!$B$5)+Ayarlar!$B$8)/((1-Ayarlar!$B$6)*(1-Ayarlar!$B$7)),0))</f>
        <v/>
      </c>
      <c r="J1265" s="14">
        <f>IF(G1265="","",ROUNDUP(((G1265*Ayarlar!$B$3+Ayarlar!$B$4+Ayarlar!$B$5)+Ayarlar!$B$8)/((1-Ayarlar!$B$6)*(1-Ayarlar!$B$7-Ayarlar!$B$9)),0))</f>
        <v/>
      </c>
      <c r="K1265" s="15">
        <f>IF(OR(G1265="",F1265=""),"",(F1265*(1-Ayarlar!$B$6)-(F1265*(1-Ayarlar!$B$6)*Ayarlar!$B$7+Ayarlar!$B$8)-(G1265*Ayarlar!$B$3+Ayarlar!$B$4+Ayarlar!$B$5))/(F1265*(1-Ayarlar!$B$6)))</f>
        <v/>
      </c>
      <c r="L1265" s="3">
        <f>IF(G1265="","GRAM EKSİK",IF(F1265&gt;30000,"FİYAT ŞÜPHELİ",IF(K1265&lt;0,"ZARARDA",IF(F1265&lt;I1265,"RİSKLİ","ok"))))</f>
        <v/>
      </c>
      <c r="M1265" s="16" t="inlineStr">
        <is>
          <t>https://www.etsy.com/listing/1771229327</t>
        </is>
      </c>
    </row>
    <row r="1266">
      <c r="A1266" s="9" t="inlineStr">
        <is>
          <t>legacy</t>
        </is>
      </c>
      <c r="B1266" s="9" t="inlineStr">
        <is>
          <t>Solid 14K White Gold Franco Chain Bracelet / Unisex Real Gol</t>
        </is>
      </c>
      <c r="C1266" s="9" t="n">
        <v>1771229327</v>
      </c>
      <c r="D1266" s="9" t="inlineStr">
        <is>
          <t>BSFR2-8</t>
        </is>
      </c>
      <c r="E1266" s="9" t="inlineStr">
        <is>
          <t>description</t>
        </is>
      </c>
      <c r="F1266" s="10" t="n">
        <v>1380</v>
      </c>
      <c r="G1266" s="18" t="n">
        <v>7.38</v>
      </c>
      <c r="H1266" s="10">
        <f>IF(G1266="","",G1266*Ayarlar!$B$3+Ayarlar!$B$4+Ayarlar!$B$5)</f>
        <v/>
      </c>
      <c r="I1266" s="10">
        <f>IF(G1266="","",ROUNDUP(((G1266*Ayarlar!$B$3+Ayarlar!$B$4+Ayarlar!$B$5)+Ayarlar!$B$8)/((1-Ayarlar!$B$6)*(1-Ayarlar!$B$7)),0))</f>
        <v/>
      </c>
      <c r="J1266" s="10">
        <f>IF(G1266="","",ROUNDUP(((G1266*Ayarlar!$B$3+Ayarlar!$B$4+Ayarlar!$B$5)+Ayarlar!$B$8)/((1-Ayarlar!$B$6)*(1-Ayarlar!$B$7-Ayarlar!$B$9)),0))</f>
        <v/>
      </c>
      <c r="K1266" s="12">
        <f>IF(OR(G1266="",F1266=""),"",(F1266*(1-Ayarlar!$B$6)-(F1266*(1-Ayarlar!$B$6)*Ayarlar!$B$7+Ayarlar!$B$8)-(G1266*Ayarlar!$B$3+Ayarlar!$B$4+Ayarlar!$B$5))/(F1266*(1-Ayarlar!$B$6)))</f>
        <v/>
      </c>
      <c r="L1266" s="9">
        <f>IF(G1266="","GRAM EKSİK",IF(F1266&gt;30000,"FİYAT ŞÜPHELİ",IF(K1266&lt;0,"ZARARDA",IF(F1266&lt;I1266,"RİSKLİ","ok"))))</f>
        <v/>
      </c>
      <c r="M1266" s="13" t="inlineStr">
        <is>
          <t>https://www.etsy.com/listing/1771229327</t>
        </is>
      </c>
    </row>
    <row r="1267">
      <c r="A1267" s="3" t="inlineStr">
        <is>
          <t>legacy</t>
        </is>
      </c>
      <c r="B1267" s="3" t="inlineStr">
        <is>
          <t>Solid 14K White Gold Franco Chain Bracelet / Unisex Real Gol</t>
        </is>
      </c>
      <c r="C1267" s="3" t="n">
        <v>1771229327</v>
      </c>
      <c r="D1267" s="3" t="inlineStr">
        <is>
          <t>BSFR3-7</t>
        </is>
      </c>
      <c r="E1267" s="3" t="inlineStr">
        <is>
          <t>description</t>
        </is>
      </c>
      <c r="F1267" s="14" t="n">
        <v>1679</v>
      </c>
      <c r="G1267" s="17" t="n">
        <v>8.75</v>
      </c>
      <c r="H1267" s="14">
        <f>IF(G1267="","",G1267*Ayarlar!$B$3+Ayarlar!$B$4+Ayarlar!$B$5)</f>
        <v/>
      </c>
      <c r="I1267" s="14">
        <f>IF(G1267="","",ROUNDUP(((G1267*Ayarlar!$B$3+Ayarlar!$B$4+Ayarlar!$B$5)+Ayarlar!$B$8)/((1-Ayarlar!$B$6)*(1-Ayarlar!$B$7)),0))</f>
        <v/>
      </c>
      <c r="J1267" s="14">
        <f>IF(G1267="","",ROUNDUP(((G1267*Ayarlar!$B$3+Ayarlar!$B$4+Ayarlar!$B$5)+Ayarlar!$B$8)/((1-Ayarlar!$B$6)*(1-Ayarlar!$B$7-Ayarlar!$B$9)),0))</f>
        <v/>
      </c>
      <c r="K1267" s="15">
        <f>IF(OR(G1267="",F1267=""),"",(F1267*(1-Ayarlar!$B$6)-(F1267*(1-Ayarlar!$B$6)*Ayarlar!$B$7+Ayarlar!$B$8)-(G1267*Ayarlar!$B$3+Ayarlar!$B$4+Ayarlar!$B$5))/(F1267*(1-Ayarlar!$B$6)))</f>
        <v/>
      </c>
      <c r="L1267" s="3">
        <f>IF(G1267="","GRAM EKSİK",IF(F1267&gt;30000,"FİYAT ŞÜPHELİ",IF(K1267&lt;0,"ZARARDA",IF(F1267&lt;I1267,"RİSKLİ","ok"))))</f>
        <v/>
      </c>
      <c r="M1267" s="16" t="inlineStr">
        <is>
          <t>https://www.etsy.com/listing/1771229327</t>
        </is>
      </c>
    </row>
    <row r="1268">
      <c r="A1268" s="9" t="inlineStr">
        <is>
          <t>legacy</t>
        </is>
      </c>
      <c r="B1268" s="9" t="inlineStr">
        <is>
          <t>Solid 14K White Gold Franco Chain Bracelet / Unisex Real Gol</t>
        </is>
      </c>
      <c r="C1268" s="9" t="n">
        <v>1771229327</v>
      </c>
      <c r="D1268" s="9" t="inlineStr">
        <is>
          <t>BSFR3-7.5</t>
        </is>
      </c>
      <c r="E1268" s="9" t="inlineStr">
        <is>
          <t>description</t>
        </is>
      </c>
      <c r="F1268" s="10" t="n">
        <v>1742</v>
      </c>
      <c r="G1268" s="18" t="n">
        <v>9.380000000000001</v>
      </c>
      <c r="H1268" s="10">
        <f>IF(G1268="","",G1268*Ayarlar!$B$3+Ayarlar!$B$4+Ayarlar!$B$5)</f>
        <v/>
      </c>
      <c r="I1268" s="10">
        <f>IF(G1268="","",ROUNDUP(((G1268*Ayarlar!$B$3+Ayarlar!$B$4+Ayarlar!$B$5)+Ayarlar!$B$8)/((1-Ayarlar!$B$6)*(1-Ayarlar!$B$7)),0))</f>
        <v/>
      </c>
      <c r="J1268" s="10">
        <f>IF(G1268="","",ROUNDUP(((G1268*Ayarlar!$B$3+Ayarlar!$B$4+Ayarlar!$B$5)+Ayarlar!$B$8)/((1-Ayarlar!$B$6)*(1-Ayarlar!$B$7-Ayarlar!$B$9)),0))</f>
        <v/>
      </c>
      <c r="K1268" s="12">
        <f>IF(OR(G1268="",F1268=""),"",(F1268*(1-Ayarlar!$B$6)-(F1268*(1-Ayarlar!$B$6)*Ayarlar!$B$7+Ayarlar!$B$8)-(G1268*Ayarlar!$B$3+Ayarlar!$B$4+Ayarlar!$B$5))/(F1268*(1-Ayarlar!$B$6)))</f>
        <v/>
      </c>
      <c r="L1268" s="9">
        <f>IF(G1268="","GRAM EKSİK",IF(F1268&gt;30000,"FİYAT ŞÜPHELİ",IF(K1268&lt;0,"ZARARDA",IF(F1268&lt;I1268,"RİSKLİ","ok"))))</f>
        <v/>
      </c>
      <c r="M1268" s="13" t="inlineStr">
        <is>
          <t>https://www.etsy.com/listing/1771229327</t>
        </is>
      </c>
    </row>
    <row r="1269">
      <c r="A1269" s="3" t="inlineStr">
        <is>
          <t>legacy</t>
        </is>
      </c>
      <c r="B1269" s="3" t="inlineStr">
        <is>
          <t>Solid 14K White Gold Franco Chain Bracelet / Unisex Real Gol</t>
        </is>
      </c>
      <c r="C1269" s="3" t="n">
        <v>1771229327</v>
      </c>
      <c r="D1269" s="3" t="inlineStr">
        <is>
          <t>BSFR3-8</t>
        </is>
      </c>
      <c r="E1269" s="3" t="inlineStr">
        <is>
          <t>description</t>
        </is>
      </c>
      <c r="F1269" s="14" t="n">
        <v>1803</v>
      </c>
      <c r="G1269" s="17" t="n">
        <v>10</v>
      </c>
      <c r="H1269" s="14">
        <f>IF(G1269="","",G1269*Ayarlar!$B$3+Ayarlar!$B$4+Ayarlar!$B$5)</f>
        <v/>
      </c>
      <c r="I1269" s="14">
        <f>IF(G1269="","",ROUNDUP(((G1269*Ayarlar!$B$3+Ayarlar!$B$4+Ayarlar!$B$5)+Ayarlar!$B$8)/((1-Ayarlar!$B$6)*(1-Ayarlar!$B$7)),0))</f>
        <v/>
      </c>
      <c r="J1269" s="14">
        <f>IF(G1269="","",ROUNDUP(((G1269*Ayarlar!$B$3+Ayarlar!$B$4+Ayarlar!$B$5)+Ayarlar!$B$8)/((1-Ayarlar!$B$6)*(1-Ayarlar!$B$7-Ayarlar!$B$9)),0))</f>
        <v/>
      </c>
      <c r="K1269" s="15">
        <f>IF(OR(G1269="",F1269=""),"",(F1269*(1-Ayarlar!$B$6)-(F1269*(1-Ayarlar!$B$6)*Ayarlar!$B$7+Ayarlar!$B$8)-(G1269*Ayarlar!$B$3+Ayarlar!$B$4+Ayarlar!$B$5))/(F1269*(1-Ayarlar!$B$6)))</f>
        <v/>
      </c>
      <c r="L1269" s="3">
        <f>IF(G1269="","GRAM EKSİK",IF(F1269&gt;30000,"FİYAT ŞÜPHELİ",IF(K1269&lt;0,"ZARARDA",IF(F1269&lt;I1269,"RİSKLİ","ok"))))</f>
        <v/>
      </c>
      <c r="M1269" s="16" t="inlineStr">
        <is>
          <t>https://www.etsy.com/listing/1771229327</t>
        </is>
      </c>
    </row>
    <row r="1270">
      <c r="A1270" s="9" t="inlineStr">
        <is>
          <t>legacy</t>
        </is>
      </c>
      <c r="B1270" s="9" t="inlineStr">
        <is>
          <t>Solid 14K White Gold Franco Chain Bracelet / Unisex Real Gol</t>
        </is>
      </c>
      <c r="C1270" s="9" t="n">
        <v>1771229327</v>
      </c>
      <c r="D1270" s="9" t="inlineStr">
        <is>
          <t>BSFR4-7</t>
        </is>
      </c>
      <c r="E1270" s="9" t="inlineStr">
        <is>
          <t>description</t>
        </is>
      </c>
      <c r="F1270" s="10" t="n">
        <v>2480</v>
      </c>
      <c r="G1270" s="18" t="n">
        <v>15.01</v>
      </c>
      <c r="H1270" s="10">
        <f>IF(G1270="","",G1270*Ayarlar!$B$3+Ayarlar!$B$4+Ayarlar!$B$5)</f>
        <v/>
      </c>
      <c r="I1270" s="10">
        <f>IF(G1270="","",ROUNDUP(((G1270*Ayarlar!$B$3+Ayarlar!$B$4+Ayarlar!$B$5)+Ayarlar!$B$8)/((1-Ayarlar!$B$6)*(1-Ayarlar!$B$7)),0))</f>
        <v/>
      </c>
      <c r="J1270" s="10">
        <f>IF(G1270="","",ROUNDUP(((G1270*Ayarlar!$B$3+Ayarlar!$B$4+Ayarlar!$B$5)+Ayarlar!$B$8)/((1-Ayarlar!$B$6)*(1-Ayarlar!$B$7-Ayarlar!$B$9)),0))</f>
        <v/>
      </c>
      <c r="K1270" s="12">
        <f>IF(OR(G1270="",F1270=""),"",(F1270*(1-Ayarlar!$B$6)-(F1270*(1-Ayarlar!$B$6)*Ayarlar!$B$7+Ayarlar!$B$8)-(G1270*Ayarlar!$B$3+Ayarlar!$B$4+Ayarlar!$B$5))/(F1270*(1-Ayarlar!$B$6)))</f>
        <v/>
      </c>
      <c r="L1270" s="9">
        <f>IF(G1270="","GRAM EKSİK",IF(F1270&gt;30000,"FİYAT ŞÜPHELİ",IF(K1270&lt;0,"ZARARDA",IF(F1270&lt;I1270,"RİSKLİ","ok"))))</f>
        <v/>
      </c>
      <c r="M1270" s="13" t="inlineStr">
        <is>
          <t>https://www.etsy.com/listing/1771229327</t>
        </is>
      </c>
    </row>
    <row r="1271">
      <c r="A1271" s="3" t="inlineStr">
        <is>
          <t>legacy</t>
        </is>
      </c>
      <c r="B1271" s="3" t="inlineStr">
        <is>
          <t>Solid 14K White Gold Franco Chain Bracelet / Unisex Real Gol</t>
        </is>
      </c>
      <c r="C1271" s="3" t="n">
        <v>1771229327</v>
      </c>
      <c r="D1271" s="3" t="inlineStr">
        <is>
          <t>BSFR4-7.5</t>
        </is>
      </c>
      <c r="E1271" s="3" t="inlineStr">
        <is>
          <t>description</t>
        </is>
      </c>
      <c r="F1271" s="14" t="n">
        <v>2574</v>
      </c>
      <c r="G1271" s="17" t="n">
        <v>16.08</v>
      </c>
      <c r="H1271" s="14">
        <f>IF(G1271="","",G1271*Ayarlar!$B$3+Ayarlar!$B$4+Ayarlar!$B$5)</f>
        <v/>
      </c>
      <c r="I1271" s="14">
        <f>IF(G1271="","",ROUNDUP(((G1271*Ayarlar!$B$3+Ayarlar!$B$4+Ayarlar!$B$5)+Ayarlar!$B$8)/((1-Ayarlar!$B$6)*(1-Ayarlar!$B$7)),0))</f>
        <v/>
      </c>
      <c r="J1271" s="14">
        <f>IF(G1271="","",ROUNDUP(((G1271*Ayarlar!$B$3+Ayarlar!$B$4+Ayarlar!$B$5)+Ayarlar!$B$8)/((1-Ayarlar!$B$6)*(1-Ayarlar!$B$7-Ayarlar!$B$9)),0))</f>
        <v/>
      </c>
      <c r="K1271" s="15">
        <f>IF(OR(G1271="",F1271=""),"",(F1271*(1-Ayarlar!$B$6)-(F1271*(1-Ayarlar!$B$6)*Ayarlar!$B$7+Ayarlar!$B$8)-(G1271*Ayarlar!$B$3+Ayarlar!$B$4+Ayarlar!$B$5))/(F1271*(1-Ayarlar!$B$6)))</f>
        <v/>
      </c>
      <c r="L1271" s="3">
        <f>IF(G1271="","GRAM EKSİK",IF(F1271&gt;30000,"FİYAT ŞÜPHELİ",IF(K1271&lt;0,"ZARARDA",IF(F1271&lt;I1271,"RİSKLİ","ok"))))</f>
        <v/>
      </c>
      <c r="M1271" s="16" t="inlineStr">
        <is>
          <t>https://www.etsy.com/listing/1771229327</t>
        </is>
      </c>
    </row>
    <row r="1272">
      <c r="A1272" s="9" t="inlineStr">
        <is>
          <t>legacy</t>
        </is>
      </c>
      <c r="B1272" s="9" t="inlineStr">
        <is>
          <t>Solid 14K White Gold Franco Chain Bracelet / Unisex Real Gol</t>
        </is>
      </c>
      <c r="C1272" s="9" t="n">
        <v>1771229327</v>
      </c>
      <c r="D1272" s="9" t="inlineStr">
        <is>
          <t>BSFR4-8</t>
        </is>
      </c>
      <c r="E1272" s="9" t="inlineStr">
        <is>
          <t>description</t>
        </is>
      </c>
      <c r="F1272" s="10" t="n">
        <v>2686</v>
      </c>
      <c r="G1272" s="18" t="n">
        <v>17.15</v>
      </c>
      <c r="H1272" s="10">
        <f>IF(G1272="","",G1272*Ayarlar!$B$3+Ayarlar!$B$4+Ayarlar!$B$5)</f>
        <v/>
      </c>
      <c r="I1272" s="10">
        <f>IF(G1272="","",ROUNDUP(((G1272*Ayarlar!$B$3+Ayarlar!$B$4+Ayarlar!$B$5)+Ayarlar!$B$8)/((1-Ayarlar!$B$6)*(1-Ayarlar!$B$7)),0))</f>
        <v/>
      </c>
      <c r="J1272" s="10">
        <f>IF(G1272="","",ROUNDUP(((G1272*Ayarlar!$B$3+Ayarlar!$B$4+Ayarlar!$B$5)+Ayarlar!$B$8)/((1-Ayarlar!$B$6)*(1-Ayarlar!$B$7-Ayarlar!$B$9)),0))</f>
        <v/>
      </c>
      <c r="K1272" s="12">
        <f>IF(OR(G1272="",F1272=""),"",(F1272*(1-Ayarlar!$B$6)-(F1272*(1-Ayarlar!$B$6)*Ayarlar!$B$7+Ayarlar!$B$8)-(G1272*Ayarlar!$B$3+Ayarlar!$B$4+Ayarlar!$B$5))/(F1272*(1-Ayarlar!$B$6)))</f>
        <v/>
      </c>
      <c r="L1272" s="9">
        <f>IF(G1272="","GRAM EKSİK",IF(F1272&gt;30000,"FİYAT ŞÜPHELİ",IF(K1272&lt;0,"ZARARDA",IF(F1272&lt;I1272,"RİSKLİ","ok"))))</f>
        <v/>
      </c>
      <c r="M1272" s="13" t="inlineStr">
        <is>
          <t>https://www.etsy.com/listing/1771229327</t>
        </is>
      </c>
    </row>
    <row r="1273">
      <c r="A1273" s="3" t="inlineStr">
        <is>
          <t>legacy</t>
        </is>
      </c>
      <c r="B1273" s="3" t="inlineStr">
        <is>
          <t>Solid 14K White Gold Franco Chain Bracelet / Unisex Real Gol</t>
        </is>
      </c>
      <c r="C1273" s="3" t="n">
        <v>1771229327</v>
      </c>
      <c r="D1273" s="3" t="inlineStr">
        <is>
          <t>BSFR5-7</t>
        </is>
      </c>
      <c r="E1273" s="3" t="inlineStr">
        <is>
          <t>description</t>
        </is>
      </c>
      <c r="F1273" s="14" t="n">
        <v>3528</v>
      </c>
      <c r="G1273" s="17" t="n">
        <v>21.04</v>
      </c>
      <c r="H1273" s="14">
        <f>IF(G1273="","",G1273*Ayarlar!$B$3+Ayarlar!$B$4+Ayarlar!$B$5)</f>
        <v/>
      </c>
      <c r="I1273" s="14">
        <f>IF(G1273="","",ROUNDUP(((G1273*Ayarlar!$B$3+Ayarlar!$B$4+Ayarlar!$B$5)+Ayarlar!$B$8)/((1-Ayarlar!$B$6)*(1-Ayarlar!$B$7)),0))</f>
        <v/>
      </c>
      <c r="J1273" s="14">
        <f>IF(G1273="","",ROUNDUP(((G1273*Ayarlar!$B$3+Ayarlar!$B$4+Ayarlar!$B$5)+Ayarlar!$B$8)/((1-Ayarlar!$B$6)*(1-Ayarlar!$B$7-Ayarlar!$B$9)),0))</f>
        <v/>
      </c>
      <c r="K1273" s="15">
        <f>IF(OR(G1273="",F1273=""),"",(F1273*(1-Ayarlar!$B$6)-(F1273*(1-Ayarlar!$B$6)*Ayarlar!$B$7+Ayarlar!$B$8)-(G1273*Ayarlar!$B$3+Ayarlar!$B$4+Ayarlar!$B$5))/(F1273*(1-Ayarlar!$B$6)))</f>
        <v/>
      </c>
      <c r="L1273" s="3">
        <f>IF(G1273="","GRAM EKSİK",IF(F1273&gt;30000,"FİYAT ŞÜPHELİ",IF(K1273&lt;0,"ZARARDA",IF(F1273&lt;I1273,"RİSKLİ","ok"))))</f>
        <v/>
      </c>
      <c r="M1273" s="16" t="inlineStr">
        <is>
          <t>https://www.etsy.com/listing/1771229327</t>
        </is>
      </c>
    </row>
    <row r="1274">
      <c r="A1274" s="9" t="inlineStr">
        <is>
          <t>legacy</t>
        </is>
      </c>
      <c r="B1274" s="9" t="inlineStr">
        <is>
          <t>Solid 14K White Gold Franco Chain Bracelet / Unisex Real Gol</t>
        </is>
      </c>
      <c r="C1274" s="9" t="n">
        <v>1771229327</v>
      </c>
      <c r="D1274" s="9" t="inlineStr">
        <is>
          <t>BSFR5-7.5</t>
        </is>
      </c>
      <c r="E1274" s="9" t="inlineStr">
        <is>
          <t>description</t>
        </is>
      </c>
      <c r="F1274" s="10" t="n">
        <v>3778</v>
      </c>
      <c r="G1274" s="18" t="n">
        <v>22.55</v>
      </c>
      <c r="H1274" s="10">
        <f>IF(G1274="","",G1274*Ayarlar!$B$3+Ayarlar!$B$4+Ayarlar!$B$5)</f>
        <v/>
      </c>
      <c r="I1274" s="10">
        <f>IF(G1274="","",ROUNDUP(((G1274*Ayarlar!$B$3+Ayarlar!$B$4+Ayarlar!$B$5)+Ayarlar!$B$8)/((1-Ayarlar!$B$6)*(1-Ayarlar!$B$7)),0))</f>
        <v/>
      </c>
      <c r="J1274" s="10">
        <f>IF(G1274="","",ROUNDUP(((G1274*Ayarlar!$B$3+Ayarlar!$B$4+Ayarlar!$B$5)+Ayarlar!$B$8)/((1-Ayarlar!$B$6)*(1-Ayarlar!$B$7-Ayarlar!$B$9)),0))</f>
        <v/>
      </c>
      <c r="K1274" s="12">
        <f>IF(OR(G1274="",F1274=""),"",(F1274*(1-Ayarlar!$B$6)-(F1274*(1-Ayarlar!$B$6)*Ayarlar!$B$7+Ayarlar!$B$8)-(G1274*Ayarlar!$B$3+Ayarlar!$B$4+Ayarlar!$B$5))/(F1274*(1-Ayarlar!$B$6)))</f>
        <v/>
      </c>
      <c r="L1274" s="9">
        <f>IF(G1274="","GRAM EKSİK",IF(F1274&gt;30000,"FİYAT ŞÜPHELİ",IF(K1274&lt;0,"ZARARDA",IF(F1274&lt;I1274,"RİSKLİ","ok"))))</f>
        <v/>
      </c>
      <c r="M1274" s="13" t="inlineStr">
        <is>
          <t>https://www.etsy.com/listing/1771229327</t>
        </is>
      </c>
    </row>
    <row r="1275">
      <c r="A1275" s="3" t="inlineStr">
        <is>
          <t>legacy</t>
        </is>
      </c>
      <c r="B1275" s="3" t="inlineStr">
        <is>
          <t>Solid 14K White Gold Franco Chain Bracelet / Unisex Real Gol</t>
        </is>
      </c>
      <c r="C1275" s="3" t="n">
        <v>1771229327</v>
      </c>
      <c r="D1275" s="3" t="inlineStr">
        <is>
          <t>BSFR5-8</t>
        </is>
      </c>
      <c r="E1275" s="3" t="inlineStr">
        <is>
          <t>description</t>
        </is>
      </c>
      <c r="F1275" s="14" t="n">
        <v>4020</v>
      </c>
      <c r="G1275" s="17" t="n">
        <v>24.05</v>
      </c>
      <c r="H1275" s="14">
        <f>IF(G1275="","",G1275*Ayarlar!$B$3+Ayarlar!$B$4+Ayarlar!$B$5)</f>
        <v/>
      </c>
      <c r="I1275" s="14">
        <f>IF(G1275="","",ROUNDUP(((G1275*Ayarlar!$B$3+Ayarlar!$B$4+Ayarlar!$B$5)+Ayarlar!$B$8)/((1-Ayarlar!$B$6)*(1-Ayarlar!$B$7)),0))</f>
        <v/>
      </c>
      <c r="J1275" s="14">
        <f>IF(G1275="","",ROUNDUP(((G1275*Ayarlar!$B$3+Ayarlar!$B$4+Ayarlar!$B$5)+Ayarlar!$B$8)/((1-Ayarlar!$B$6)*(1-Ayarlar!$B$7-Ayarlar!$B$9)),0))</f>
        <v/>
      </c>
      <c r="K1275" s="15">
        <f>IF(OR(G1275="",F1275=""),"",(F1275*(1-Ayarlar!$B$6)-(F1275*(1-Ayarlar!$B$6)*Ayarlar!$B$7+Ayarlar!$B$8)-(G1275*Ayarlar!$B$3+Ayarlar!$B$4+Ayarlar!$B$5))/(F1275*(1-Ayarlar!$B$6)))</f>
        <v/>
      </c>
      <c r="L1275" s="3">
        <f>IF(G1275="","GRAM EKSİK",IF(F1275&gt;30000,"FİYAT ŞÜPHELİ",IF(K1275&lt;0,"ZARARDA",IF(F1275&lt;I1275,"RİSKLİ","ok"))))</f>
        <v/>
      </c>
      <c r="M1275" s="16" t="inlineStr">
        <is>
          <t>https://www.etsy.com/listing/1771229327</t>
        </is>
      </c>
    </row>
    <row r="1276">
      <c r="A1276" s="9" t="inlineStr">
        <is>
          <t>legacy</t>
        </is>
      </c>
      <c r="B1276" s="9" t="inlineStr">
        <is>
          <t>Solid 14K Yellow Gold Miami Cuban Link Chain Necklace, Heavy</t>
        </is>
      </c>
      <c r="C1276" s="9" t="n">
        <v>1615728651</v>
      </c>
      <c r="D1276" s="9" t="inlineStr">
        <is>
          <t>CSMC1-16</t>
        </is>
      </c>
      <c r="E1276" s="9" t="inlineStr">
        <is>
          <t>—</t>
        </is>
      </c>
      <c r="F1276" s="10" t="n">
        <v>430</v>
      </c>
      <c r="G1276" s="11" t="n"/>
      <c r="H1276" s="10">
        <f>IF(G1276="","",G1276*Ayarlar!$B$3+Ayarlar!$B$4+Ayarlar!$B$5)</f>
        <v/>
      </c>
      <c r="I1276" s="10">
        <f>IF(G1276="","",ROUNDUP(((G1276*Ayarlar!$B$3+Ayarlar!$B$4+Ayarlar!$B$5)+Ayarlar!$B$8)/((1-Ayarlar!$B$6)*(1-Ayarlar!$B$7)),0))</f>
        <v/>
      </c>
      <c r="J1276" s="10">
        <f>IF(G1276="","",ROUNDUP(((G1276*Ayarlar!$B$3+Ayarlar!$B$4+Ayarlar!$B$5)+Ayarlar!$B$8)/((1-Ayarlar!$B$6)*(1-Ayarlar!$B$7-Ayarlar!$B$9)),0))</f>
        <v/>
      </c>
      <c r="K1276" s="12">
        <f>IF(OR(G1276="",F1276=""),"",(F1276*(1-Ayarlar!$B$6)-(F1276*(1-Ayarlar!$B$6)*Ayarlar!$B$7+Ayarlar!$B$8)-(G1276*Ayarlar!$B$3+Ayarlar!$B$4+Ayarlar!$B$5))/(F1276*(1-Ayarlar!$B$6)))</f>
        <v/>
      </c>
      <c r="L1276" s="9">
        <f>IF(G1276="","GRAM EKSİK",IF(F1276&gt;30000,"FİYAT ŞÜPHELİ",IF(K1276&lt;0,"ZARARDA",IF(F1276&lt;I1276,"RİSKLİ","ok"))))</f>
        <v/>
      </c>
      <c r="M1276" s="13" t="inlineStr">
        <is>
          <t>https://www.etsy.com/listing/1615728651</t>
        </is>
      </c>
    </row>
    <row r="1277">
      <c r="A1277" s="3" t="inlineStr">
        <is>
          <t>legacy</t>
        </is>
      </c>
      <c r="B1277" s="3" t="inlineStr">
        <is>
          <t>Solid 14K Yellow Gold Miami Cuban Link Chain Necklace, Heavy</t>
        </is>
      </c>
      <c r="C1277" s="3" t="n">
        <v>1615728651</v>
      </c>
      <c r="D1277" s="3" t="inlineStr">
        <is>
          <t>CSMC1-18</t>
        </is>
      </c>
      <c r="E1277" s="3" t="inlineStr">
        <is>
          <t>—</t>
        </is>
      </c>
      <c r="F1277" s="14" t="n">
        <v>473</v>
      </c>
      <c r="G1277" s="11" t="n"/>
      <c r="H1277" s="14">
        <f>IF(G1277="","",G1277*Ayarlar!$B$3+Ayarlar!$B$4+Ayarlar!$B$5)</f>
        <v/>
      </c>
      <c r="I1277" s="14">
        <f>IF(G1277="","",ROUNDUP(((G1277*Ayarlar!$B$3+Ayarlar!$B$4+Ayarlar!$B$5)+Ayarlar!$B$8)/((1-Ayarlar!$B$6)*(1-Ayarlar!$B$7)),0))</f>
        <v/>
      </c>
      <c r="J1277" s="14">
        <f>IF(G1277="","",ROUNDUP(((G1277*Ayarlar!$B$3+Ayarlar!$B$4+Ayarlar!$B$5)+Ayarlar!$B$8)/((1-Ayarlar!$B$6)*(1-Ayarlar!$B$7-Ayarlar!$B$9)),0))</f>
        <v/>
      </c>
      <c r="K1277" s="15">
        <f>IF(OR(G1277="",F1277=""),"",(F1277*(1-Ayarlar!$B$6)-(F1277*(1-Ayarlar!$B$6)*Ayarlar!$B$7+Ayarlar!$B$8)-(G1277*Ayarlar!$B$3+Ayarlar!$B$4+Ayarlar!$B$5))/(F1277*(1-Ayarlar!$B$6)))</f>
        <v/>
      </c>
      <c r="L1277" s="3">
        <f>IF(G1277="","GRAM EKSİK",IF(F1277&gt;30000,"FİYAT ŞÜPHELİ",IF(K1277&lt;0,"ZARARDA",IF(F1277&lt;I1277,"RİSKLİ","ok"))))</f>
        <v/>
      </c>
      <c r="M1277" s="16" t="inlineStr">
        <is>
          <t>https://www.etsy.com/listing/1615728651</t>
        </is>
      </c>
    </row>
    <row r="1278">
      <c r="A1278" s="9" t="inlineStr">
        <is>
          <t>legacy</t>
        </is>
      </c>
      <c r="B1278" s="9" t="inlineStr">
        <is>
          <t>Solid 14K Yellow Gold Miami Cuban Link Chain Necklace, Heavy</t>
        </is>
      </c>
      <c r="C1278" s="9" t="n">
        <v>1615728651</v>
      </c>
      <c r="D1278" s="9" t="inlineStr">
        <is>
          <t>CSMC1-20</t>
        </is>
      </c>
      <c r="E1278" s="9" t="inlineStr">
        <is>
          <t>—</t>
        </is>
      </c>
      <c r="F1278" s="10" t="n">
        <v>559</v>
      </c>
      <c r="G1278" s="11" t="n"/>
      <c r="H1278" s="10">
        <f>IF(G1278="","",G1278*Ayarlar!$B$3+Ayarlar!$B$4+Ayarlar!$B$5)</f>
        <v/>
      </c>
      <c r="I1278" s="10">
        <f>IF(G1278="","",ROUNDUP(((G1278*Ayarlar!$B$3+Ayarlar!$B$4+Ayarlar!$B$5)+Ayarlar!$B$8)/((1-Ayarlar!$B$6)*(1-Ayarlar!$B$7)),0))</f>
        <v/>
      </c>
      <c r="J1278" s="10">
        <f>IF(G1278="","",ROUNDUP(((G1278*Ayarlar!$B$3+Ayarlar!$B$4+Ayarlar!$B$5)+Ayarlar!$B$8)/((1-Ayarlar!$B$6)*(1-Ayarlar!$B$7-Ayarlar!$B$9)),0))</f>
        <v/>
      </c>
      <c r="K1278" s="12">
        <f>IF(OR(G1278="",F1278=""),"",(F1278*(1-Ayarlar!$B$6)-(F1278*(1-Ayarlar!$B$6)*Ayarlar!$B$7+Ayarlar!$B$8)-(G1278*Ayarlar!$B$3+Ayarlar!$B$4+Ayarlar!$B$5))/(F1278*(1-Ayarlar!$B$6)))</f>
        <v/>
      </c>
      <c r="L1278" s="9">
        <f>IF(G1278="","GRAM EKSİK",IF(F1278&gt;30000,"FİYAT ŞÜPHELİ",IF(K1278&lt;0,"ZARARDA",IF(F1278&lt;I1278,"RİSKLİ","ok"))))</f>
        <v/>
      </c>
      <c r="M1278" s="13" t="inlineStr">
        <is>
          <t>https://www.etsy.com/listing/1615728651</t>
        </is>
      </c>
    </row>
    <row r="1279">
      <c r="A1279" s="3" t="inlineStr">
        <is>
          <t>legacy</t>
        </is>
      </c>
      <c r="B1279" s="3" t="inlineStr">
        <is>
          <t>Solid 14K Yellow Gold Miami Cuban Link Chain Necklace, Heavy</t>
        </is>
      </c>
      <c r="C1279" s="3" t="n">
        <v>1615728651</v>
      </c>
      <c r="D1279" s="3" t="inlineStr">
        <is>
          <t>CSMC1-22</t>
        </is>
      </c>
      <c r="E1279" s="3" t="inlineStr">
        <is>
          <t>—</t>
        </is>
      </c>
      <c r="F1279" s="14" t="n">
        <v>645</v>
      </c>
      <c r="G1279" s="11" t="n"/>
      <c r="H1279" s="14">
        <f>IF(G1279="","",G1279*Ayarlar!$B$3+Ayarlar!$B$4+Ayarlar!$B$5)</f>
        <v/>
      </c>
      <c r="I1279" s="14">
        <f>IF(G1279="","",ROUNDUP(((G1279*Ayarlar!$B$3+Ayarlar!$B$4+Ayarlar!$B$5)+Ayarlar!$B$8)/((1-Ayarlar!$B$6)*(1-Ayarlar!$B$7)),0))</f>
        <v/>
      </c>
      <c r="J1279" s="14">
        <f>IF(G1279="","",ROUNDUP(((G1279*Ayarlar!$B$3+Ayarlar!$B$4+Ayarlar!$B$5)+Ayarlar!$B$8)/((1-Ayarlar!$B$6)*(1-Ayarlar!$B$7-Ayarlar!$B$9)),0))</f>
        <v/>
      </c>
      <c r="K1279" s="15">
        <f>IF(OR(G1279="",F1279=""),"",(F1279*(1-Ayarlar!$B$6)-(F1279*(1-Ayarlar!$B$6)*Ayarlar!$B$7+Ayarlar!$B$8)-(G1279*Ayarlar!$B$3+Ayarlar!$B$4+Ayarlar!$B$5))/(F1279*(1-Ayarlar!$B$6)))</f>
        <v/>
      </c>
      <c r="L1279" s="3">
        <f>IF(G1279="","GRAM EKSİK",IF(F1279&gt;30000,"FİYAT ŞÜPHELİ",IF(K1279&lt;0,"ZARARDA",IF(F1279&lt;I1279,"RİSKLİ","ok"))))</f>
        <v/>
      </c>
      <c r="M1279" s="16" t="inlineStr">
        <is>
          <t>https://www.etsy.com/listing/1615728651</t>
        </is>
      </c>
    </row>
    <row r="1280">
      <c r="A1280" s="9" t="inlineStr">
        <is>
          <t>legacy</t>
        </is>
      </c>
      <c r="B1280" s="9" t="inlineStr">
        <is>
          <t>Solid 14K Yellow Gold Miami Cuban Link Chain Necklace, Heavy</t>
        </is>
      </c>
      <c r="C1280" s="9" t="n">
        <v>1615728651</v>
      </c>
      <c r="D1280" s="9" t="inlineStr">
        <is>
          <t>CSMC1-24</t>
        </is>
      </c>
      <c r="E1280" s="9" t="inlineStr">
        <is>
          <t>—</t>
        </is>
      </c>
      <c r="F1280" s="10" t="n">
        <v>731</v>
      </c>
      <c r="G1280" s="11" t="n"/>
      <c r="H1280" s="10">
        <f>IF(G1280="","",G1280*Ayarlar!$B$3+Ayarlar!$B$4+Ayarlar!$B$5)</f>
        <v/>
      </c>
      <c r="I1280" s="10">
        <f>IF(G1280="","",ROUNDUP(((G1280*Ayarlar!$B$3+Ayarlar!$B$4+Ayarlar!$B$5)+Ayarlar!$B$8)/((1-Ayarlar!$B$6)*(1-Ayarlar!$B$7)),0))</f>
        <v/>
      </c>
      <c r="J1280" s="10">
        <f>IF(G1280="","",ROUNDUP(((G1280*Ayarlar!$B$3+Ayarlar!$B$4+Ayarlar!$B$5)+Ayarlar!$B$8)/((1-Ayarlar!$B$6)*(1-Ayarlar!$B$7-Ayarlar!$B$9)),0))</f>
        <v/>
      </c>
      <c r="K1280" s="12">
        <f>IF(OR(G1280="",F1280=""),"",(F1280*(1-Ayarlar!$B$6)-(F1280*(1-Ayarlar!$B$6)*Ayarlar!$B$7+Ayarlar!$B$8)-(G1280*Ayarlar!$B$3+Ayarlar!$B$4+Ayarlar!$B$5))/(F1280*(1-Ayarlar!$B$6)))</f>
        <v/>
      </c>
      <c r="L1280" s="9">
        <f>IF(G1280="","GRAM EKSİK",IF(F1280&gt;30000,"FİYAT ŞÜPHELİ",IF(K1280&lt;0,"ZARARDA",IF(F1280&lt;I1280,"RİSKLİ","ok"))))</f>
        <v/>
      </c>
      <c r="M1280" s="13" t="inlineStr">
        <is>
          <t>https://www.etsy.com/listing/1615728651</t>
        </is>
      </c>
    </row>
    <row r="1281">
      <c r="A1281" s="3" t="inlineStr">
        <is>
          <t>legacy</t>
        </is>
      </c>
      <c r="B1281" s="3" t="inlineStr">
        <is>
          <t>Solid 14K Yellow Gold Miami Cuban Link Chain Necklace, Heavy</t>
        </is>
      </c>
      <c r="C1281" s="3" t="n">
        <v>1615728651</v>
      </c>
      <c r="D1281" s="3" t="inlineStr">
        <is>
          <t>CSMC10-16</t>
        </is>
      </c>
      <c r="E1281" s="3" t="inlineStr">
        <is>
          <t>—</t>
        </is>
      </c>
      <c r="F1281" s="14" t="n">
        <v>34999.99</v>
      </c>
      <c r="G1281" s="11" t="n"/>
      <c r="H1281" s="14">
        <f>IF(G1281="","",G1281*Ayarlar!$B$3+Ayarlar!$B$4+Ayarlar!$B$5)</f>
        <v/>
      </c>
      <c r="I1281" s="14">
        <f>IF(G1281="","",ROUNDUP(((G1281*Ayarlar!$B$3+Ayarlar!$B$4+Ayarlar!$B$5)+Ayarlar!$B$8)/((1-Ayarlar!$B$6)*(1-Ayarlar!$B$7)),0))</f>
        <v/>
      </c>
      <c r="J1281" s="14">
        <f>IF(G1281="","",ROUNDUP(((G1281*Ayarlar!$B$3+Ayarlar!$B$4+Ayarlar!$B$5)+Ayarlar!$B$8)/((1-Ayarlar!$B$6)*(1-Ayarlar!$B$7-Ayarlar!$B$9)),0))</f>
        <v/>
      </c>
      <c r="K1281" s="15">
        <f>IF(OR(G1281="",F1281=""),"",(F1281*(1-Ayarlar!$B$6)-(F1281*(1-Ayarlar!$B$6)*Ayarlar!$B$7+Ayarlar!$B$8)-(G1281*Ayarlar!$B$3+Ayarlar!$B$4+Ayarlar!$B$5))/(F1281*(1-Ayarlar!$B$6)))</f>
        <v/>
      </c>
      <c r="L1281" s="3">
        <f>IF(G1281="","GRAM EKSİK",IF(F1281&gt;30000,"FİYAT ŞÜPHELİ",IF(K1281&lt;0,"ZARARDA",IF(F1281&lt;I1281,"RİSKLİ","ok"))))</f>
        <v/>
      </c>
      <c r="M1281" s="16" t="inlineStr">
        <is>
          <t>https://www.etsy.com/listing/1615728651</t>
        </is>
      </c>
    </row>
    <row r="1282">
      <c r="A1282" s="9" t="inlineStr">
        <is>
          <t>legacy</t>
        </is>
      </c>
      <c r="B1282" s="9" t="inlineStr">
        <is>
          <t>Solid 14K Yellow Gold Miami Cuban Link Chain Necklace, Heavy</t>
        </is>
      </c>
      <c r="C1282" s="9" t="n">
        <v>1615728651</v>
      </c>
      <c r="D1282" s="9" t="inlineStr">
        <is>
          <t>CSMC10-18</t>
        </is>
      </c>
      <c r="E1282" s="9" t="inlineStr">
        <is>
          <t>—</t>
        </is>
      </c>
      <c r="F1282" s="10" t="n">
        <v>38999.99</v>
      </c>
      <c r="G1282" s="11" t="n"/>
      <c r="H1282" s="10">
        <f>IF(G1282="","",G1282*Ayarlar!$B$3+Ayarlar!$B$4+Ayarlar!$B$5)</f>
        <v/>
      </c>
      <c r="I1282" s="10">
        <f>IF(G1282="","",ROUNDUP(((G1282*Ayarlar!$B$3+Ayarlar!$B$4+Ayarlar!$B$5)+Ayarlar!$B$8)/((1-Ayarlar!$B$6)*(1-Ayarlar!$B$7)),0))</f>
        <v/>
      </c>
      <c r="J1282" s="10">
        <f>IF(G1282="","",ROUNDUP(((G1282*Ayarlar!$B$3+Ayarlar!$B$4+Ayarlar!$B$5)+Ayarlar!$B$8)/((1-Ayarlar!$B$6)*(1-Ayarlar!$B$7-Ayarlar!$B$9)),0))</f>
        <v/>
      </c>
      <c r="K1282" s="12">
        <f>IF(OR(G1282="",F1282=""),"",(F1282*(1-Ayarlar!$B$6)-(F1282*(1-Ayarlar!$B$6)*Ayarlar!$B$7+Ayarlar!$B$8)-(G1282*Ayarlar!$B$3+Ayarlar!$B$4+Ayarlar!$B$5))/(F1282*(1-Ayarlar!$B$6)))</f>
        <v/>
      </c>
      <c r="L1282" s="9">
        <f>IF(G1282="","GRAM EKSİK",IF(F1282&gt;30000,"FİYAT ŞÜPHELİ",IF(K1282&lt;0,"ZARARDA",IF(F1282&lt;I1282,"RİSKLİ","ok"))))</f>
        <v/>
      </c>
      <c r="M1282" s="13" t="inlineStr">
        <is>
          <t>https://www.etsy.com/listing/1615728651</t>
        </is>
      </c>
    </row>
    <row r="1283">
      <c r="A1283" s="3" t="inlineStr">
        <is>
          <t>legacy</t>
        </is>
      </c>
      <c r="B1283" s="3" t="inlineStr">
        <is>
          <t>Solid 14K Yellow Gold Miami Cuban Link Chain Necklace, Heavy</t>
        </is>
      </c>
      <c r="C1283" s="3" t="n">
        <v>1615728651</v>
      </c>
      <c r="D1283" s="3" t="inlineStr">
        <is>
          <t>CSMC10-20</t>
        </is>
      </c>
      <c r="E1283" s="3" t="inlineStr">
        <is>
          <t>—</t>
        </is>
      </c>
      <c r="F1283" s="14" t="n">
        <v>42999.99</v>
      </c>
      <c r="G1283" s="11" t="n"/>
      <c r="H1283" s="14">
        <f>IF(G1283="","",G1283*Ayarlar!$B$3+Ayarlar!$B$4+Ayarlar!$B$5)</f>
        <v/>
      </c>
      <c r="I1283" s="14">
        <f>IF(G1283="","",ROUNDUP(((G1283*Ayarlar!$B$3+Ayarlar!$B$4+Ayarlar!$B$5)+Ayarlar!$B$8)/((1-Ayarlar!$B$6)*(1-Ayarlar!$B$7)),0))</f>
        <v/>
      </c>
      <c r="J1283" s="14">
        <f>IF(G1283="","",ROUNDUP(((G1283*Ayarlar!$B$3+Ayarlar!$B$4+Ayarlar!$B$5)+Ayarlar!$B$8)/((1-Ayarlar!$B$6)*(1-Ayarlar!$B$7-Ayarlar!$B$9)),0))</f>
        <v/>
      </c>
      <c r="K1283" s="15">
        <f>IF(OR(G1283="",F1283=""),"",(F1283*(1-Ayarlar!$B$6)-(F1283*(1-Ayarlar!$B$6)*Ayarlar!$B$7+Ayarlar!$B$8)-(G1283*Ayarlar!$B$3+Ayarlar!$B$4+Ayarlar!$B$5))/(F1283*(1-Ayarlar!$B$6)))</f>
        <v/>
      </c>
      <c r="L1283" s="3">
        <f>IF(G1283="","GRAM EKSİK",IF(F1283&gt;30000,"FİYAT ŞÜPHELİ",IF(K1283&lt;0,"ZARARDA",IF(F1283&lt;I1283,"RİSKLİ","ok"))))</f>
        <v/>
      </c>
      <c r="M1283" s="16" t="inlineStr">
        <is>
          <t>https://www.etsy.com/listing/1615728651</t>
        </is>
      </c>
    </row>
    <row r="1284">
      <c r="A1284" s="9" t="inlineStr">
        <is>
          <t>legacy</t>
        </is>
      </c>
      <c r="B1284" s="9" t="inlineStr">
        <is>
          <t>Solid 14K Yellow Gold Miami Cuban Link Chain Necklace, Heavy</t>
        </is>
      </c>
      <c r="C1284" s="9" t="n">
        <v>1615728651</v>
      </c>
      <c r="D1284" s="9" t="inlineStr">
        <is>
          <t>CSMC10-22</t>
        </is>
      </c>
      <c r="E1284" s="9" t="inlineStr">
        <is>
          <t>—</t>
        </is>
      </c>
      <c r="F1284" s="10" t="n">
        <v>46999.99</v>
      </c>
      <c r="G1284" s="11" t="n"/>
      <c r="H1284" s="10">
        <f>IF(G1284="","",G1284*Ayarlar!$B$3+Ayarlar!$B$4+Ayarlar!$B$5)</f>
        <v/>
      </c>
      <c r="I1284" s="10">
        <f>IF(G1284="","",ROUNDUP(((G1284*Ayarlar!$B$3+Ayarlar!$B$4+Ayarlar!$B$5)+Ayarlar!$B$8)/((1-Ayarlar!$B$6)*(1-Ayarlar!$B$7)),0))</f>
        <v/>
      </c>
      <c r="J1284" s="10">
        <f>IF(G1284="","",ROUNDUP(((G1284*Ayarlar!$B$3+Ayarlar!$B$4+Ayarlar!$B$5)+Ayarlar!$B$8)/((1-Ayarlar!$B$6)*(1-Ayarlar!$B$7-Ayarlar!$B$9)),0))</f>
        <v/>
      </c>
      <c r="K1284" s="12">
        <f>IF(OR(G1284="",F1284=""),"",(F1284*(1-Ayarlar!$B$6)-(F1284*(1-Ayarlar!$B$6)*Ayarlar!$B$7+Ayarlar!$B$8)-(G1284*Ayarlar!$B$3+Ayarlar!$B$4+Ayarlar!$B$5))/(F1284*(1-Ayarlar!$B$6)))</f>
        <v/>
      </c>
      <c r="L1284" s="9">
        <f>IF(G1284="","GRAM EKSİK",IF(F1284&gt;30000,"FİYAT ŞÜPHELİ",IF(K1284&lt;0,"ZARARDA",IF(F1284&lt;I1284,"RİSKLİ","ok"))))</f>
        <v/>
      </c>
      <c r="M1284" s="13" t="inlineStr">
        <is>
          <t>https://www.etsy.com/listing/1615728651</t>
        </is>
      </c>
    </row>
    <row r="1285">
      <c r="A1285" s="3" t="inlineStr">
        <is>
          <t>legacy</t>
        </is>
      </c>
      <c r="B1285" s="3" t="inlineStr">
        <is>
          <t>Solid 14K Yellow Gold Miami Cuban Link Chain Necklace, Heavy</t>
        </is>
      </c>
      <c r="C1285" s="3" t="n">
        <v>1615728651</v>
      </c>
      <c r="D1285" s="3" t="inlineStr">
        <is>
          <t>CSMC10-24</t>
        </is>
      </c>
      <c r="E1285" s="3" t="inlineStr">
        <is>
          <t>—</t>
        </is>
      </c>
      <c r="F1285" s="14" t="n">
        <v>49999.99</v>
      </c>
      <c r="G1285" s="11" t="n"/>
      <c r="H1285" s="14">
        <f>IF(G1285="","",G1285*Ayarlar!$B$3+Ayarlar!$B$4+Ayarlar!$B$5)</f>
        <v/>
      </c>
      <c r="I1285" s="14">
        <f>IF(G1285="","",ROUNDUP(((G1285*Ayarlar!$B$3+Ayarlar!$B$4+Ayarlar!$B$5)+Ayarlar!$B$8)/((1-Ayarlar!$B$6)*(1-Ayarlar!$B$7)),0))</f>
        <v/>
      </c>
      <c r="J1285" s="14">
        <f>IF(G1285="","",ROUNDUP(((G1285*Ayarlar!$B$3+Ayarlar!$B$4+Ayarlar!$B$5)+Ayarlar!$B$8)/((1-Ayarlar!$B$6)*(1-Ayarlar!$B$7-Ayarlar!$B$9)),0))</f>
        <v/>
      </c>
      <c r="K1285" s="15">
        <f>IF(OR(G1285="",F1285=""),"",(F1285*(1-Ayarlar!$B$6)-(F1285*(1-Ayarlar!$B$6)*Ayarlar!$B$7+Ayarlar!$B$8)-(G1285*Ayarlar!$B$3+Ayarlar!$B$4+Ayarlar!$B$5))/(F1285*(1-Ayarlar!$B$6)))</f>
        <v/>
      </c>
      <c r="L1285" s="3">
        <f>IF(G1285="","GRAM EKSİK",IF(F1285&gt;30000,"FİYAT ŞÜPHELİ",IF(K1285&lt;0,"ZARARDA",IF(F1285&lt;I1285,"RİSKLİ","ok"))))</f>
        <v/>
      </c>
      <c r="M1285" s="16" t="inlineStr">
        <is>
          <t>https://www.etsy.com/listing/1615728651</t>
        </is>
      </c>
    </row>
    <row r="1286">
      <c r="A1286" s="9" t="inlineStr">
        <is>
          <t>legacy</t>
        </is>
      </c>
      <c r="B1286" s="9" t="inlineStr">
        <is>
          <t>Solid 14K Yellow Gold Miami Cuban Link Chain Necklace, Heavy</t>
        </is>
      </c>
      <c r="C1286" s="9" t="n">
        <v>1615728651</v>
      </c>
      <c r="D1286" s="9" t="inlineStr">
        <is>
          <t>CSMC2-16</t>
        </is>
      </c>
      <c r="E1286" s="9" t="inlineStr">
        <is>
          <t>—</t>
        </is>
      </c>
      <c r="F1286" s="10" t="n">
        <v>920.2</v>
      </c>
      <c r="G1286" s="11" t="n"/>
      <c r="H1286" s="10">
        <f>IF(G1286="","",G1286*Ayarlar!$B$3+Ayarlar!$B$4+Ayarlar!$B$5)</f>
        <v/>
      </c>
      <c r="I1286" s="10">
        <f>IF(G1286="","",ROUNDUP(((G1286*Ayarlar!$B$3+Ayarlar!$B$4+Ayarlar!$B$5)+Ayarlar!$B$8)/((1-Ayarlar!$B$6)*(1-Ayarlar!$B$7)),0))</f>
        <v/>
      </c>
      <c r="J1286" s="10">
        <f>IF(G1286="","",ROUNDUP(((G1286*Ayarlar!$B$3+Ayarlar!$B$4+Ayarlar!$B$5)+Ayarlar!$B$8)/((1-Ayarlar!$B$6)*(1-Ayarlar!$B$7-Ayarlar!$B$9)),0))</f>
        <v/>
      </c>
      <c r="K1286" s="12">
        <f>IF(OR(G1286="",F1286=""),"",(F1286*(1-Ayarlar!$B$6)-(F1286*(1-Ayarlar!$B$6)*Ayarlar!$B$7+Ayarlar!$B$8)-(G1286*Ayarlar!$B$3+Ayarlar!$B$4+Ayarlar!$B$5))/(F1286*(1-Ayarlar!$B$6)))</f>
        <v/>
      </c>
      <c r="L1286" s="9">
        <f>IF(G1286="","GRAM EKSİK",IF(F1286&gt;30000,"FİYAT ŞÜPHELİ",IF(K1286&lt;0,"ZARARDA",IF(F1286&lt;I1286,"RİSKLİ","ok"))))</f>
        <v/>
      </c>
      <c r="M1286" s="13" t="inlineStr">
        <is>
          <t>https://www.etsy.com/listing/1615728651</t>
        </is>
      </c>
    </row>
    <row r="1287">
      <c r="A1287" s="3" t="inlineStr">
        <is>
          <t>legacy</t>
        </is>
      </c>
      <c r="B1287" s="3" t="inlineStr">
        <is>
          <t>Solid 14K Yellow Gold Miami Cuban Link Chain Necklace, Heavy</t>
        </is>
      </c>
      <c r="C1287" s="3" t="n">
        <v>1615728651</v>
      </c>
      <c r="D1287" s="3" t="inlineStr">
        <is>
          <t>CSMC2-18</t>
        </is>
      </c>
      <c r="E1287" s="3" t="inlineStr">
        <is>
          <t>—</t>
        </is>
      </c>
      <c r="F1287" s="14" t="n">
        <v>989</v>
      </c>
      <c r="G1287" s="11" t="n"/>
      <c r="H1287" s="14">
        <f>IF(G1287="","",G1287*Ayarlar!$B$3+Ayarlar!$B$4+Ayarlar!$B$5)</f>
        <v/>
      </c>
      <c r="I1287" s="14">
        <f>IF(G1287="","",ROUNDUP(((G1287*Ayarlar!$B$3+Ayarlar!$B$4+Ayarlar!$B$5)+Ayarlar!$B$8)/((1-Ayarlar!$B$6)*(1-Ayarlar!$B$7)),0))</f>
        <v/>
      </c>
      <c r="J1287" s="14">
        <f>IF(G1287="","",ROUNDUP(((G1287*Ayarlar!$B$3+Ayarlar!$B$4+Ayarlar!$B$5)+Ayarlar!$B$8)/((1-Ayarlar!$B$6)*(1-Ayarlar!$B$7-Ayarlar!$B$9)),0))</f>
        <v/>
      </c>
      <c r="K1287" s="15">
        <f>IF(OR(G1287="",F1287=""),"",(F1287*(1-Ayarlar!$B$6)-(F1287*(1-Ayarlar!$B$6)*Ayarlar!$B$7+Ayarlar!$B$8)-(G1287*Ayarlar!$B$3+Ayarlar!$B$4+Ayarlar!$B$5))/(F1287*(1-Ayarlar!$B$6)))</f>
        <v/>
      </c>
      <c r="L1287" s="3">
        <f>IF(G1287="","GRAM EKSİK",IF(F1287&gt;30000,"FİYAT ŞÜPHELİ",IF(K1287&lt;0,"ZARARDA",IF(F1287&lt;I1287,"RİSKLİ","ok"))))</f>
        <v/>
      </c>
      <c r="M1287" s="16" t="inlineStr">
        <is>
          <t>https://www.etsy.com/listing/1615728651</t>
        </is>
      </c>
    </row>
    <row r="1288">
      <c r="A1288" s="9" t="inlineStr">
        <is>
          <t>legacy</t>
        </is>
      </c>
      <c r="B1288" s="9" t="inlineStr">
        <is>
          <t>Solid 14K Yellow Gold Miami Cuban Link Chain Necklace, Heavy</t>
        </is>
      </c>
      <c r="C1288" s="9" t="n">
        <v>1615728651</v>
      </c>
      <c r="D1288" s="9" t="inlineStr">
        <is>
          <t>CSMC2-20</t>
        </is>
      </c>
      <c r="E1288" s="9" t="inlineStr">
        <is>
          <t>—</t>
        </is>
      </c>
      <c r="F1288" s="10" t="n">
        <v>1118</v>
      </c>
      <c r="G1288" s="11" t="n"/>
      <c r="H1288" s="10">
        <f>IF(G1288="","",G1288*Ayarlar!$B$3+Ayarlar!$B$4+Ayarlar!$B$5)</f>
        <v/>
      </c>
      <c r="I1288" s="10">
        <f>IF(G1288="","",ROUNDUP(((G1288*Ayarlar!$B$3+Ayarlar!$B$4+Ayarlar!$B$5)+Ayarlar!$B$8)/((1-Ayarlar!$B$6)*(1-Ayarlar!$B$7)),0))</f>
        <v/>
      </c>
      <c r="J1288" s="10">
        <f>IF(G1288="","",ROUNDUP(((G1288*Ayarlar!$B$3+Ayarlar!$B$4+Ayarlar!$B$5)+Ayarlar!$B$8)/((1-Ayarlar!$B$6)*(1-Ayarlar!$B$7-Ayarlar!$B$9)),0))</f>
        <v/>
      </c>
      <c r="K1288" s="12">
        <f>IF(OR(G1288="",F1288=""),"",(F1288*(1-Ayarlar!$B$6)-(F1288*(1-Ayarlar!$B$6)*Ayarlar!$B$7+Ayarlar!$B$8)-(G1288*Ayarlar!$B$3+Ayarlar!$B$4+Ayarlar!$B$5))/(F1288*(1-Ayarlar!$B$6)))</f>
        <v/>
      </c>
      <c r="L1288" s="9">
        <f>IF(G1288="","GRAM EKSİK",IF(F1288&gt;30000,"FİYAT ŞÜPHELİ",IF(K1288&lt;0,"ZARARDA",IF(F1288&lt;I1288,"RİSKLİ","ok"))))</f>
        <v/>
      </c>
      <c r="M1288" s="13" t="inlineStr">
        <is>
          <t>https://www.etsy.com/listing/1615728651</t>
        </is>
      </c>
    </row>
    <row r="1289">
      <c r="A1289" s="3" t="inlineStr">
        <is>
          <t>legacy</t>
        </is>
      </c>
      <c r="B1289" s="3" t="inlineStr">
        <is>
          <t>Solid 14K Yellow Gold Miami Cuban Link Chain Necklace, Heavy</t>
        </is>
      </c>
      <c r="C1289" s="3" t="n">
        <v>1615728651</v>
      </c>
      <c r="D1289" s="3" t="inlineStr">
        <is>
          <t>CSMC2-22</t>
        </is>
      </c>
      <c r="E1289" s="3" t="inlineStr">
        <is>
          <t>—</t>
        </is>
      </c>
      <c r="F1289" s="14" t="n">
        <v>1290</v>
      </c>
      <c r="G1289" s="11" t="n"/>
      <c r="H1289" s="14">
        <f>IF(G1289="","",G1289*Ayarlar!$B$3+Ayarlar!$B$4+Ayarlar!$B$5)</f>
        <v/>
      </c>
      <c r="I1289" s="14">
        <f>IF(G1289="","",ROUNDUP(((G1289*Ayarlar!$B$3+Ayarlar!$B$4+Ayarlar!$B$5)+Ayarlar!$B$8)/((1-Ayarlar!$B$6)*(1-Ayarlar!$B$7)),0))</f>
        <v/>
      </c>
      <c r="J1289" s="14">
        <f>IF(G1289="","",ROUNDUP(((G1289*Ayarlar!$B$3+Ayarlar!$B$4+Ayarlar!$B$5)+Ayarlar!$B$8)/((1-Ayarlar!$B$6)*(1-Ayarlar!$B$7-Ayarlar!$B$9)),0))</f>
        <v/>
      </c>
      <c r="K1289" s="15">
        <f>IF(OR(G1289="",F1289=""),"",(F1289*(1-Ayarlar!$B$6)-(F1289*(1-Ayarlar!$B$6)*Ayarlar!$B$7+Ayarlar!$B$8)-(G1289*Ayarlar!$B$3+Ayarlar!$B$4+Ayarlar!$B$5))/(F1289*(1-Ayarlar!$B$6)))</f>
        <v/>
      </c>
      <c r="L1289" s="3">
        <f>IF(G1289="","GRAM EKSİK",IF(F1289&gt;30000,"FİYAT ŞÜPHELİ",IF(K1289&lt;0,"ZARARDA",IF(F1289&lt;I1289,"RİSKLİ","ok"))))</f>
        <v/>
      </c>
      <c r="M1289" s="16" t="inlineStr">
        <is>
          <t>https://www.etsy.com/listing/1615728651</t>
        </is>
      </c>
    </row>
    <row r="1290">
      <c r="A1290" s="9" t="inlineStr">
        <is>
          <t>legacy</t>
        </is>
      </c>
      <c r="B1290" s="9" t="inlineStr">
        <is>
          <t>Solid 14K Yellow Gold Miami Cuban Link Chain Necklace, Heavy</t>
        </is>
      </c>
      <c r="C1290" s="9" t="n">
        <v>1615728651</v>
      </c>
      <c r="D1290" s="9" t="inlineStr">
        <is>
          <t>CSMC2-24</t>
        </is>
      </c>
      <c r="E1290" s="9" t="inlineStr">
        <is>
          <t>—</t>
        </is>
      </c>
      <c r="F1290" s="10" t="n">
        <v>1376</v>
      </c>
      <c r="G1290" s="11" t="n"/>
      <c r="H1290" s="10">
        <f>IF(G1290="","",G1290*Ayarlar!$B$3+Ayarlar!$B$4+Ayarlar!$B$5)</f>
        <v/>
      </c>
      <c r="I1290" s="10">
        <f>IF(G1290="","",ROUNDUP(((G1290*Ayarlar!$B$3+Ayarlar!$B$4+Ayarlar!$B$5)+Ayarlar!$B$8)/((1-Ayarlar!$B$6)*(1-Ayarlar!$B$7)),0))</f>
        <v/>
      </c>
      <c r="J1290" s="10">
        <f>IF(G1290="","",ROUNDUP(((G1290*Ayarlar!$B$3+Ayarlar!$B$4+Ayarlar!$B$5)+Ayarlar!$B$8)/((1-Ayarlar!$B$6)*(1-Ayarlar!$B$7-Ayarlar!$B$9)),0))</f>
        <v/>
      </c>
      <c r="K1290" s="12">
        <f>IF(OR(G1290="",F1290=""),"",(F1290*(1-Ayarlar!$B$6)-(F1290*(1-Ayarlar!$B$6)*Ayarlar!$B$7+Ayarlar!$B$8)-(G1290*Ayarlar!$B$3+Ayarlar!$B$4+Ayarlar!$B$5))/(F1290*(1-Ayarlar!$B$6)))</f>
        <v/>
      </c>
      <c r="L1290" s="9">
        <f>IF(G1290="","GRAM EKSİK",IF(F1290&gt;30000,"FİYAT ŞÜPHELİ",IF(K1290&lt;0,"ZARARDA",IF(F1290&lt;I1290,"RİSKLİ","ok"))))</f>
        <v/>
      </c>
      <c r="M1290" s="13" t="inlineStr">
        <is>
          <t>https://www.etsy.com/listing/1615728651</t>
        </is>
      </c>
    </row>
    <row r="1291">
      <c r="A1291" s="3" t="inlineStr">
        <is>
          <t>legacy</t>
        </is>
      </c>
      <c r="B1291" s="3" t="inlineStr">
        <is>
          <t>Solid 14K Yellow Gold Miami Cuban Link Chain Necklace, Heavy</t>
        </is>
      </c>
      <c r="C1291" s="3" t="n">
        <v>1615728651</v>
      </c>
      <c r="D1291" s="3" t="inlineStr">
        <is>
          <t>CSMC3-16</t>
        </is>
      </c>
      <c r="E1291" s="3" t="inlineStr">
        <is>
          <t>—</t>
        </is>
      </c>
      <c r="F1291" s="14" t="n">
        <v>1118</v>
      </c>
      <c r="G1291" s="11" t="n"/>
      <c r="H1291" s="14">
        <f>IF(G1291="","",G1291*Ayarlar!$B$3+Ayarlar!$B$4+Ayarlar!$B$5)</f>
        <v/>
      </c>
      <c r="I1291" s="14">
        <f>IF(G1291="","",ROUNDUP(((G1291*Ayarlar!$B$3+Ayarlar!$B$4+Ayarlar!$B$5)+Ayarlar!$B$8)/((1-Ayarlar!$B$6)*(1-Ayarlar!$B$7)),0))</f>
        <v/>
      </c>
      <c r="J1291" s="14">
        <f>IF(G1291="","",ROUNDUP(((G1291*Ayarlar!$B$3+Ayarlar!$B$4+Ayarlar!$B$5)+Ayarlar!$B$8)/((1-Ayarlar!$B$6)*(1-Ayarlar!$B$7-Ayarlar!$B$9)),0))</f>
        <v/>
      </c>
      <c r="K1291" s="15">
        <f>IF(OR(G1291="",F1291=""),"",(F1291*(1-Ayarlar!$B$6)-(F1291*(1-Ayarlar!$B$6)*Ayarlar!$B$7+Ayarlar!$B$8)-(G1291*Ayarlar!$B$3+Ayarlar!$B$4+Ayarlar!$B$5))/(F1291*(1-Ayarlar!$B$6)))</f>
        <v/>
      </c>
      <c r="L1291" s="3">
        <f>IF(G1291="","GRAM EKSİK",IF(F1291&gt;30000,"FİYAT ŞÜPHELİ",IF(K1291&lt;0,"ZARARDA",IF(F1291&lt;I1291,"RİSKLİ","ok"))))</f>
        <v/>
      </c>
      <c r="M1291" s="16" t="inlineStr">
        <is>
          <t>https://www.etsy.com/listing/1615728651</t>
        </is>
      </c>
    </row>
    <row r="1292">
      <c r="A1292" s="9" t="inlineStr">
        <is>
          <t>legacy</t>
        </is>
      </c>
      <c r="B1292" s="9" t="inlineStr">
        <is>
          <t>Solid 14K Yellow Gold Miami Cuban Link Chain Necklace, Heavy</t>
        </is>
      </c>
      <c r="C1292" s="9" t="n">
        <v>1615728651</v>
      </c>
      <c r="D1292" s="9" t="inlineStr">
        <is>
          <t>CSMC3-18</t>
        </is>
      </c>
      <c r="E1292" s="9" t="inlineStr">
        <is>
          <t>—</t>
        </is>
      </c>
      <c r="F1292" s="10" t="n">
        <v>1720</v>
      </c>
      <c r="G1292" s="11" t="n"/>
      <c r="H1292" s="10">
        <f>IF(G1292="","",G1292*Ayarlar!$B$3+Ayarlar!$B$4+Ayarlar!$B$5)</f>
        <v/>
      </c>
      <c r="I1292" s="10">
        <f>IF(G1292="","",ROUNDUP(((G1292*Ayarlar!$B$3+Ayarlar!$B$4+Ayarlar!$B$5)+Ayarlar!$B$8)/((1-Ayarlar!$B$6)*(1-Ayarlar!$B$7)),0))</f>
        <v/>
      </c>
      <c r="J1292" s="10">
        <f>IF(G1292="","",ROUNDUP(((G1292*Ayarlar!$B$3+Ayarlar!$B$4+Ayarlar!$B$5)+Ayarlar!$B$8)/((1-Ayarlar!$B$6)*(1-Ayarlar!$B$7-Ayarlar!$B$9)),0))</f>
        <v/>
      </c>
      <c r="K1292" s="12">
        <f>IF(OR(G1292="",F1292=""),"",(F1292*(1-Ayarlar!$B$6)-(F1292*(1-Ayarlar!$B$6)*Ayarlar!$B$7+Ayarlar!$B$8)-(G1292*Ayarlar!$B$3+Ayarlar!$B$4+Ayarlar!$B$5))/(F1292*(1-Ayarlar!$B$6)))</f>
        <v/>
      </c>
      <c r="L1292" s="9">
        <f>IF(G1292="","GRAM EKSİK",IF(F1292&gt;30000,"FİYAT ŞÜPHELİ",IF(K1292&lt;0,"ZARARDA",IF(F1292&lt;I1292,"RİSKLİ","ok"))))</f>
        <v/>
      </c>
      <c r="M1292" s="13" t="inlineStr">
        <is>
          <t>https://www.etsy.com/listing/1615728651</t>
        </is>
      </c>
    </row>
    <row r="1293">
      <c r="A1293" s="3" t="inlineStr">
        <is>
          <t>legacy</t>
        </is>
      </c>
      <c r="B1293" s="3" t="inlineStr">
        <is>
          <t>Solid 14K Yellow Gold Miami Cuban Link Chain Necklace, Heavy</t>
        </is>
      </c>
      <c r="C1293" s="3" t="n">
        <v>1615728651</v>
      </c>
      <c r="D1293" s="3" t="inlineStr">
        <is>
          <t>CSMC3-20</t>
        </is>
      </c>
      <c r="E1293" s="3" t="inlineStr">
        <is>
          <t>—</t>
        </is>
      </c>
      <c r="F1293" s="14" t="n">
        <v>1892</v>
      </c>
      <c r="G1293" s="11" t="n"/>
      <c r="H1293" s="14">
        <f>IF(G1293="","",G1293*Ayarlar!$B$3+Ayarlar!$B$4+Ayarlar!$B$5)</f>
        <v/>
      </c>
      <c r="I1293" s="14">
        <f>IF(G1293="","",ROUNDUP(((G1293*Ayarlar!$B$3+Ayarlar!$B$4+Ayarlar!$B$5)+Ayarlar!$B$8)/((1-Ayarlar!$B$6)*(1-Ayarlar!$B$7)),0))</f>
        <v/>
      </c>
      <c r="J1293" s="14">
        <f>IF(G1293="","",ROUNDUP(((G1293*Ayarlar!$B$3+Ayarlar!$B$4+Ayarlar!$B$5)+Ayarlar!$B$8)/((1-Ayarlar!$B$6)*(1-Ayarlar!$B$7-Ayarlar!$B$9)),0))</f>
        <v/>
      </c>
      <c r="K1293" s="15">
        <f>IF(OR(G1293="",F1293=""),"",(F1293*(1-Ayarlar!$B$6)-(F1293*(1-Ayarlar!$B$6)*Ayarlar!$B$7+Ayarlar!$B$8)-(G1293*Ayarlar!$B$3+Ayarlar!$B$4+Ayarlar!$B$5))/(F1293*(1-Ayarlar!$B$6)))</f>
        <v/>
      </c>
      <c r="L1293" s="3">
        <f>IF(G1293="","GRAM EKSİK",IF(F1293&gt;30000,"FİYAT ŞÜPHELİ",IF(K1293&lt;0,"ZARARDA",IF(F1293&lt;I1293,"RİSKLİ","ok"))))</f>
        <v/>
      </c>
      <c r="M1293" s="16" t="inlineStr">
        <is>
          <t>https://www.etsy.com/listing/1615728651</t>
        </is>
      </c>
    </row>
    <row r="1294">
      <c r="A1294" s="9" t="inlineStr">
        <is>
          <t>legacy</t>
        </is>
      </c>
      <c r="B1294" s="9" t="inlineStr">
        <is>
          <t>Solid 14K Yellow Gold Miami Cuban Link Chain Necklace, Heavy</t>
        </is>
      </c>
      <c r="C1294" s="9" t="n">
        <v>1615728651</v>
      </c>
      <c r="D1294" s="9" t="inlineStr">
        <is>
          <t>CSMC3-22</t>
        </is>
      </c>
      <c r="E1294" s="9" t="inlineStr">
        <is>
          <t>—</t>
        </is>
      </c>
      <c r="F1294" s="10" t="n">
        <v>2064</v>
      </c>
      <c r="G1294" s="11" t="n"/>
      <c r="H1294" s="10">
        <f>IF(G1294="","",G1294*Ayarlar!$B$3+Ayarlar!$B$4+Ayarlar!$B$5)</f>
        <v/>
      </c>
      <c r="I1294" s="10">
        <f>IF(G1294="","",ROUNDUP(((G1294*Ayarlar!$B$3+Ayarlar!$B$4+Ayarlar!$B$5)+Ayarlar!$B$8)/((1-Ayarlar!$B$6)*(1-Ayarlar!$B$7)),0))</f>
        <v/>
      </c>
      <c r="J1294" s="10">
        <f>IF(G1294="","",ROUNDUP(((G1294*Ayarlar!$B$3+Ayarlar!$B$4+Ayarlar!$B$5)+Ayarlar!$B$8)/((1-Ayarlar!$B$6)*(1-Ayarlar!$B$7-Ayarlar!$B$9)),0))</f>
        <v/>
      </c>
      <c r="K1294" s="12">
        <f>IF(OR(G1294="",F1294=""),"",(F1294*(1-Ayarlar!$B$6)-(F1294*(1-Ayarlar!$B$6)*Ayarlar!$B$7+Ayarlar!$B$8)-(G1294*Ayarlar!$B$3+Ayarlar!$B$4+Ayarlar!$B$5))/(F1294*(1-Ayarlar!$B$6)))</f>
        <v/>
      </c>
      <c r="L1294" s="9">
        <f>IF(G1294="","GRAM EKSİK",IF(F1294&gt;30000,"FİYAT ŞÜPHELİ",IF(K1294&lt;0,"ZARARDA",IF(F1294&lt;I1294,"RİSKLİ","ok"))))</f>
        <v/>
      </c>
      <c r="M1294" s="13" t="inlineStr">
        <is>
          <t>https://www.etsy.com/listing/1615728651</t>
        </is>
      </c>
    </row>
    <row r="1295">
      <c r="A1295" s="3" t="inlineStr">
        <is>
          <t>legacy</t>
        </is>
      </c>
      <c r="B1295" s="3" t="inlineStr">
        <is>
          <t>Solid 14K Yellow Gold Miami Cuban Link Chain Necklace, Heavy</t>
        </is>
      </c>
      <c r="C1295" s="3" t="n">
        <v>1615728651</v>
      </c>
      <c r="D1295" s="3" t="inlineStr">
        <is>
          <t>CSMC3-24</t>
        </is>
      </c>
      <c r="E1295" s="3" t="inlineStr">
        <is>
          <t>—</t>
        </is>
      </c>
      <c r="F1295" s="14" t="n">
        <v>2236</v>
      </c>
      <c r="G1295" s="11" t="n"/>
      <c r="H1295" s="14">
        <f>IF(G1295="","",G1295*Ayarlar!$B$3+Ayarlar!$B$4+Ayarlar!$B$5)</f>
        <v/>
      </c>
      <c r="I1295" s="14">
        <f>IF(G1295="","",ROUNDUP(((G1295*Ayarlar!$B$3+Ayarlar!$B$4+Ayarlar!$B$5)+Ayarlar!$B$8)/((1-Ayarlar!$B$6)*(1-Ayarlar!$B$7)),0))</f>
        <v/>
      </c>
      <c r="J1295" s="14">
        <f>IF(G1295="","",ROUNDUP(((G1295*Ayarlar!$B$3+Ayarlar!$B$4+Ayarlar!$B$5)+Ayarlar!$B$8)/((1-Ayarlar!$B$6)*(1-Ayarlar!$B$7-Ayarlar!$B$9)),0))</f>
        <v/>
      </c>
      <c r="K1295" s="15">
        <f>IF(OR(G1295="",F1295=""),"",(F1295*(1-Ayarlar!$B$6)-(F1295*(1-Ayarlar!$B$6)*Ayarlar!$B$7+Ayarlar!$B$8)-(G1295*Ayarlar!$B$3+Ayarlar!$B$4+Ayarlar!$B$5))/(F1295*(1-Ayarlar!$B$6)))</f>
        <v/>
      </c>
      <c r="L1295" s="3">
        <f>IF(G1295="","GRAM EKSİK",IF(F1295&gt;30000,"FİYAT ŞÜPHELİ",IF(K1295&lt;0,"ZARARDA",IF(F1295&lt;I1295,"RİSKLİ","ok"))))</f>
        <v/>
      </c>
      <c r="M1295" s="16" t="inlineStr">
        <is>
          <t>https://www.etsy.com/listing/1615728651</t>
        </is>
      </c>
    </row>
    <row r="1296">
      <c r="A1296" s="9" t="inlineStr">
        <is>
          <t>legacy</t>
        </is>
      </c>
      <c r="B1296" s="9" t="inlineStr">
        <is>
          <t>Solid 14K Yellow Gold Miami Cuban Link Chain Necklace, Heavy</t>
        </is>
      </c>
      <c r="C1296" s="9" t="n">
        <v>1615728651</v>
      </c>
      <c r="D1296" s="9" t="inlineStr">
        <is>
          <t>CSMC4-16</t>
        </is>
      </c>
      <c r="E1296" s="9" t="inlineStr">
        <is>
          <t>inferred</t>
        </is>
      </c>
      <c r="F1296" s="10" t="n">
        <v>1961</v>
      </c>
      <c r="G1296" s="18" t="n">
        <v>11.21</v>
      </c>
      <c r="H1296" s="10">
        <f>IF(G1296="","",G1296*Ayarlar!$B$3+Ayarlar!$B$4+Ayarlar!$B$5)</f>
        <v/>
      </c>
      <c r="I1296" s="10">
        <f>IF(G1296="","",ROUNDUP(((G1296*Ayarlar!$B$3+Ayarlar!$B$4+Ayarlar!$B$5)+Ayarlar!$B$8)/((1-Ayarlar!$B$6)*(1-Ayarlar!$B$7)),0))</f>
        <v/>
      </c>
      <c r="J1296" s="10">
        <f>IF(G1296="","",ROUNDUP(((G1296*Ayarlar!$B$3+Ayarlar!$B$4+Ayarlar!$B$5)+Ayarlar!$B$8)/((1-Ayarlar!$B$6)*(1-Ayarlar!$B$7-Ayarlar!$B$9)),0))</f>
        <v/>
      </c>
      <c r="K1296" s="12">
        <f>IF(OR(G1296="",F1296=""),"",(F1296*(1-Ayarlar!$B$6)-(F1296*(1-Ayarlar!$B$6)*Ayarlar!$B$7+Ayarlar!$B$8)-(G1296*Ayarlar!$B$3+Ayarlar!$B$4+Ayarlar!$B$5))/(F1296*(1-Ayarlar!$B$6)))</f>
        <v/>
      </c>
      <c r="L1296" s="9">
        <f>IF(G1296="","GRAM EKSİK",IF(F1296&gt;30000,"FİYAT ŞÜPHELİ",IF(K1296&lt;0,"ZARARDA",IF(F1296&lt;I1296,"RİSKLİ","ok"))))</f>
        <v/>
      </c>
      <c r="M1296" s="13" t="inlineStr">
        <is>
          <t>https://www.etsy.com/listing/1615728651</t>
        </is>
      </c>
    </row>
    <row r="1297">
      <c r="A1297" s="3" t="inlineStr">
        <is>
          <t>legacy</t>
        </is>
      </c>
      <c r="B1297" s="3" t="inlineStr">
        <is>
          <t>Solid 14K Yellow Gold Miami Cuban Link Chain Necklace, Heavy</t>
        </is>
      </c>
      <c r="C1297" s="3" t="n">
        <v>1615728651</v>
      </c>
      <c r="D1297" s="3" t="inlineStr">
        <is>
          <t>CSMC4-18</t>
        </is>
      </c>
      <c r="E1297" s="3" t="inlineStr">
        <is>
          <t>inferred</t>
        </is>
      </c>
      <c r="F1297" s="14" t="n">
        <v>2228</v>
      </c>
      <c r="G1297" s="17" t="n">
        <v>12.62</v>
      </c>
      <c r="H1297" s="14">
        <f>IF(G1297="","",G1297*Ayarlar!$B$3+Ayarlar!$B$4+Ayarlar!$B$5)</f>
        <v/>
      </c>
      <c r="I1297" s="14">
        <f>IF(G1297="","",ROUNDUP(((G1297*Ayarlar!$B$3+Ayarlar!$B$4+Ayarlar!$B$5)+Ayarlar!$B$8)/((1-Ayarlar!$B$6)*(1-Ayarlar!$B$7)),0))</f>
        <v/>
      </c>
      <c r="J1297" s="14">
        <f>IF(G1297="","",ROUNDUP(((G1297*Ayarlar!$B$3+Ayarlar!$B$4+Ayarlar!$B$5)+Ayarlar!$B$8)/((1-Ayarlar!$B$6)*(1-Ayarlar!$B$7-Ayarlar!$B$9)),0))</f>
        <v/>
      </c>
      <c r="K1297" s="15">
        <f>IF(OR(G1297="",F1297=""),"",(F1297*(1-Ayarlar!$B$6)-(F1297*(1-Ayarlar!$B$6)*Ayarlar!$B$7+Ayarlar!$B$8)-(G1297*Ayarlar!$B$3+Ayarlar!$B$4+Ayarlar!$B$5))/(F1297*(1-Ayarlar!$B$6)))</f>
        <v/>
      </c>
      <c r="L1297" s="3">
        <f>IF(G1297="","GRAM EKSİK",IF(F1297&gt;30000,"FİYAT ŞÜPHELİ",IF(K1297&lt;0,"ZARARDA",IF(F1297&lt;I1297,"RİSKLİ","ok"))))</f>
        <v/>
      </c>
      <c r="M1297" s="16" t="inlineStr">
        <is>
          <t>https://www.etsy.com/listing/1615728651</t>
        </is>
      </c>
    </row>
    <row r="1298">
      <c r="A1298" s="9" t="inlineStr">
        <is>
          <t>legacy</t>
        </is>
      </c>
      <c r="B1298" s="9" t="inlineStr">
        <is>
          <t>Solid 14K Yellow Gold Miami Cuban Link Chain Necklace, Heavy</t>
        </is>
      </c>
      <c r="C1298" s="9" t="n">
        <v>1615728651</v>
      </c>
      <c r="D1298" s="9" t="inlineStr">
        <is>
          <t>CSMC4-20</t>
        </is>
      </c>
      <c r="E1298" s="9" t="inlineStr">
        <is>
          <t>inferred</t>
        </is>
      </c>
      <c r="F1298" s="10" t="n">
        <v>2495</v>
      </c>
      <c r="G1298" s="18" t="n">
        <v>14.02</v>
      </c>
      <c r="H1298" s="10">
        <f>IF(G1298="","",G1298*Ayarlar!$B$3+Ayarlar!$B$4+Ayarlar!$B$5)</f>
        <v/>
      </c>
      <c r="I1298" s="10">
        <f>IF(G1298="","",ROUNDUP(((G1298*Ayarlar!$B$3+Ayarlar!$B$4+Ayarlar!$B$5)+Ayarlar!$B$8)/((1-Ayarlar!$B$6)*(1-Ayarlar!$B$7)),0))</f>
        <v/>
      </c>
      <c r="J1298" s="10">
        <f>IF(G1298="","",ROUNDUP(((G1298*Ayarlar!$B$3+Ayarlar!$B$4+Ayarlar!$B$5)+Ayarlar!$B$8)/((1-Ayarlar!$B$6)*(1-Ayarlar!$B$7-Ayarlar!$B$9)),0))</f>
        <v/>
      </c>
      <c r="K1298" s="12">
        <f>IF(OR(G1298="",F1298=""),"",(F1298*(1-Ayarlar!$B$6)-(F1298*(1-Ayarlar!$B$6)*Ayarlar!$B$7+Ayarlar!$B$8)-(G1298*Ayarlar!$B$3+Ayarlar!$B$4+Ayarlar!$B$5))/(F1298*(1-Ayarlar!$B$6)))</f>
        <v/>
      </c>
      <c r="L1298" s="9">
        <f>IF(G1298="","GRAM EKSİK",IF(F1298&gt;30000,"FİYAT ŞÜPHELİ",IF(K1298&lt;0,"ZARARDA",IF(F1298&lt;I1298,"RİSKLİ","ok"))))</f>
        <v/>
      </c>
      <c r="M1298" s="13" t="inlineStr">
        <is>
          <t>https://www.etsy.com/listing/1615728651</t>
        </is>
      </c>
    </row>
    <row r="1299">
      <c r="A1299" s="3" t="inlineStr">
        <is>
          <t>legacy</t>
        </is>
      </c>
      <c r="B1299" s="3" t="inlineStr">
        <is>
          <t>Solid 14K Yellow Gold Miami Cuban Link Chain Necklace, Heavy</t>
        </is>
      </c>
      <c r="C1299" s="3" t="n">
        <v>1615728651</v>
      </c>
      <c r="D1299" s="3" t="inlineStr">
        <is>
          <t>CSMC4-22</t>
        </is>
      </c>
      <c r="E1299" s="3" t="inlineStr">
        <is>
          <t>shipstation</t>
        </is>
      </c>
      <c r="F1299" s="14" t="n">
        <v>2762</v>
      </c>
      <c r="G1299" s="17" t="n">
        <v>15.42</v>
      </c>
      <c r="H1299" s="14">
        <f>IF(G1299="","",G1299*Ayarlar!$B$3+Ayarlar!$B$4+Ayarlar!$B$5)</f>
        <v/>
      </c>
      <c r="I1299" s="14">
        <f>IF(G1299="","",ROUNDUP(((G1299*Ayarlar!$B$3+Ayarlar!$B$4+Ayarlar!$B$5)+Ayarlar!$B$8)/((1-Ayarlar!$B$6)*(1-Ayarlar!$B$7)),0))</f>
        <v/>
      </c>
      <c r="J1299" s="14">
        <f>IF(G1299="","",ROUNDUP(((G1299*Ayarlar!$B$3+Ayarlar!$B$4+Ayarlar!$B$5)+Ayarlar!$B$8)/((1-Ayarlar!$B$6)*(1-Ayarlar!$B$7-Ayarlar!$B$9)),0))</f>
        <v/>
      </c>
      <c r="K1299" s="15">
        <f>IF(OR(G1299="",F1299=""),"",(F1299*(1-Ayarlar!$B$6)-(F1299*(1-Ayarlar!$B$6)*Ayarlar!$B$7+Ayarlar!$B$8)-(G1299*Ayarlar!$B$3+Ayarlar!$B$4+Ayarlar!$B$5))/(F1299*(1-Ayarlar!$B$6)))</f>
        <v/>
      </c>
      <c r="L1299" s="3">
        <f>IF(G1299="","GRAM EKSİK",IF(F1299&gt;30000,"FİYAT ŞÜPHELİ",IF(K1299&lt;0,"ZARARDA",IF(F1299&lt;I1299,"RİSKLİ","ok"))))</f>
        <v/>
      </c>
      <c r="M1299" s="16" t="inlineStr">
        <is>
          <t>https://www.etsy.com/listing/1615728651</t>
        </is>
      </c>
    </row>
    <row r="1300">
      <c r="A1300" s="9" t="inlineStr">
        <is>
          <t>legacy</t>
        </is>
      </c>
      <c r="B1300" s="9" t="inlineStr">
        <is>
          <t>Solid 14K Yellow Gold Miami Cuban Link Chain Necklace, Heavy</t>
        </is>
      </c>
      <c r="C1300" s="9" t="n">
        <v>1615728651</v>
      </c>
      <c r="D1300" s="9" t="inlineStr">
        <is>
          <t>CSMC4-24</t>
        </is>
      </c>
      <c r="E1300" s="9" t="inlineStr">
        <is>
          <t>inferred</t>
        </is>
      </c>
      <c r="F1300" s="10" t="n">
        <v>3029</v>
      </c>
      <c r="G1300" s="18" t="n">
        <v>16.82</v>
      </c>
      <c r="H1300" s="10">
        <f>IF(G1300="","",G1300*Ayarlar!$B$3+Ayarlar!$B$4+Ayarlar!$B$5)</f>
        <v/>
      </c>
      <c r="I1300" s="10">
        <f>IF(G1300="","",ROUNDUP(((G1300*Ayarlar!$B$3+Ayarlar!$B$4+Ayarlar!$B$5)+Ayarlar!$B$8)/((1-Ayarlar!$B$6)*(1-Ayarlar!$B$7)),0))</f>
        <v/>
      </c>
      <c r="J1300" s="10">
        <f>IF(G1300="","",ROUNDUP(((G1300*Ayarlar!$B$3+Ayarlar!$B$4+Ayarlar!$B$5)+Ayarlar!$B$8)/((1-Ayarlar!$B$6)*(1-Ayarlar!$B$7-Ayarlar!$B$9)),0))</f>
        <v/>
      </c>
      <c r="K1300" s="12">
        <f>IF(OR(G1300="",F1300=""),"",(F1300*(1-Ayarlar!$B$6)-(F1300*(1-Ayarlar!$B$6)*Ayarlar!$B$7+Ayarlar!$B$8)-(G1300*Ayarlar!$B$3+Ayarlar!$B$4+Ayarlar!$B$5))/(F1300*(1-Ayarlar!$B$6)))</f>
        <v/>
      </c>
      <c r="L1300" s="9">
        <f>IF(G1300="","GRAM EKSİK",IF(F1300&gt;30000,"FİYAT ŞÜPHELİ",IF(K1300&lt;0,"ZARARDA",IF(F1300&lt;I1300,"RİSKLİ","ok"))))</f>
        <v/>
      </c>
      <c r="M1300" s="13" t="inlineStr">
        <is>
          <t>https://www.etsy.com/listing/1615728651</t>
        </is>
      </c>
    </row>
    <row r="1301">
      <c r="A1301" s="3" t="inlineStr">
        <is>
          <t>legacy</t>
        </is>
      </c>
      <c r="B1301" s="3" t="inlineStr">
        <is>
          <t>Solid 14K Yellow Gold Miami Cuban Link Chain Necklace, Heavy</t>
        </is>
      </c>
      <c r="C1301" s="3" t="n">
        <v>1615728651</v>
      </c>
      <c r="D1301" s="3" t="inlineStr">
        <is>
          <t>CSMC5-16</t>
        </is>
      </c>
      <c r="E1301" s="3" t="inlineStr">
        <is>
          <t>shipstation</t>
        </is>
      </c>
      <c r="F1301" s="14" t="n">
        <v>5447</v>
      </c>
      <c r="G1301" s="17" t="n">
        <v>32.4</v>
      </c>
      <c r="H1301" s="14">
        <f>IF(G1301="","",G1301*Ayarlar!$B$3+Ayarlar!$B$4+Ayarlar!$B$5)</f>
        <v/>
      </c>
      <c r="I1301" s="14">
        <f>IF(G1301="","",ROUNDUP(((G1301*Ayarlar!$B$3+Ayarlar!$B$4+Ayarlar!$B$5)+Ayarlar!$B$8)/((1-Ayarlar!$B$6)*(1-Ayarlar!$B$7)),0))</f>
        <v/>
      </c>
      <c r="J1301" s="14">
        <f>IF(G1301="","",ROUNDUP(((G1301*Ayarlar!$B$3+Ayarlar!$B$4+Ayarlar!$B$5)+Ayarlar!$B$8)/((1-Ayarlar!$B$6)*(1-Ayarlar!$B$7-Ayarlar!$B$9)),0))</f>
        <v/>
      </c>
      <c r="K1301" s="15">
        <f>IF(OR(G1301="",F1301=""),"",(F1301*(1-Ayarlar!$B$6)-(F1301*(1-Ayarlar!$B$6)*Ayarlar!$B$7+Ayarlar!$B$8)-(G1301*Ayarlar!$B$3+Ayarlar!$B$4+Ayarlar!$B$5))/(F1301*(1-Ayarlar!$B$6)))</f>
        <v/>
      </c>
      <c r="L1301" s="3">
        <f>IF(G1301="","GRAM EKSİK",IF(F1301&gt;30000,"FİYAT ŞÜPHELİ",IF(K1301&lt;0,"ZARARDA",IF(F1301&lt;I1301,"RİSKLİ","ok"))))</f>
        <v/>
      </c>
      <c r="M1301" s="16" t="inlineStr">
        <is>
          <t>https://www.etsy.com/listing/1615728651</t>
        </is>
      </c>
    </row>
    <row r="1302">
      <c r="A1302" s="9" t="inlineStr">
        <is>
          <t>legacy</t>
        </is>
      </c>
      <c r="B1302" s="9" t="inlineStr">
        <is>
          <t>Solid 14K Yellow Gold Miami Cuban Link Chain Necklace, Heavy</t>
        </is>
      </c>
      <c r="C1302" s="9" t="n">
        <v>1615728651</v>
      </c>
      <c r="D1302" s="9" t="inlineStr">
        <is>
          <t>CSMC5-18</t>
        </is>
      </c>
      <c r="E1302" s="9" t="inlineStr">
        <is>
          <t>inferred</t>
        </is>
      </c>
      <c r="F1302" s="10" t="n">
        <v>5988</v>
      </c>
      <c r="G1302" s="18" t="n">
        <v>36.45</v>
      </c>
      <c r="H1302" s="10">
        <f>IF(G1302="","",G1302*Ayarlar!$B$3+Ayarlar!$B$4+Ayarlar!$B$5)</f>
        <v/>
      </c>
      <c r="I1302" s="10">
        <f>IF(G1302="","",ROUNDUP(((G1302*Ayarlar!$B$3+Ayarlar!$B$4+Ayarlar!$B$5)+Ayarlar!$B$8)/((1-Ayarlar!$B$6)*(1-Ayarlar!$B$7)),0))</f>
        <v/>
      </c>
      <c r="J1302" s="10">
        <f>IF(G1302="","",ROUNDUP(((G1302*Ayarlar!$B$3+Ayarlar!$B$4+Ayarlar!$B$5)+Ayarlar!$B$8)/((1-Ayarlar!$B$6)*(1-Ayarlar!$B$7-Ayarlar!$B$9)),0))</f>
        <v/>
      </c>
      <c r="K1302" s="12">
        <f>IF(OR(G1302="",F1302=""),"",(F1302*(1-Ayarlar!$B$6)-(F1302*(1-Ayarlar!$B$6)*Ayarlar!$B$7+Ayarlar!$B$8)-(G1302*Ayarlar!$B$3+Ayarlar!$B$4+Ayarlar!$B$5))/(F1302*(1-Ayarlar!$B$6)))</f>
        <v/>
      </c>
      <c r="L1302" s="9">
        <f>IF(G1302="","GRAM EKSİK",IF(F1302&gt;30000,"FİYAT ŞÜPHELİ",IF(K1302&lt;0,"ZARARDA",IF(F1302&lt;I1302,"RİSKLİ","ok"))))</f>
        <v/>
      </c>
      <c r="M1302" s="13" t="inlineStr">
        <is>
          <t>https://www.etsy.com/listing/1615728651</t>
        </is>
      </c>
    </row>
    <row r="1303">
      <c r="A1303" s="3" t="inlineStr">
        <is>
          <t>legacy</t>
        </is>
      </c>
      <c r="B1303" s="3" t="inlineStr">
        <is>
          <t>Solid 14K Yellow Gold Miami Cuban Link Chain Necklace, Heavy</t>
        </is>
      </c>
      <c r="C1303" s="3" t="n">
        <v>1615728651</v>
      </c>
      <c r="D1303" s="3" t="inlineStr">
        <is>
          <t>CSMC5-20</t>
        </is>
      </c>
      <c r="E1303" s="3" t="inlineStr">
        <is>
          <t>inferred</t>
        </is>
      </c>
      <c r="F1303" s="14" t="n">
        <v>6444</v>
      </c>
      <c r="G1303" s="17" t="n">
        <v>40.5</v>
      </c>
      <c r="H1303" s="14">
        <f>IF(G1303="","",G1303*Ayarlar!$B$3+Ayarlar!$B$4+Ayarlar!$B$5)</f>
        <v/>
      </c>
      <c r="I1303" s="14">
        <f>IF(G1303="","",ROUNDUP(((G1303*Ayarlar!$B$3+Ayarlar!$B$4+Ayarlar!$B$5)+Ayarlar!$B$8)/((1-Ayarlar!$B$6)*(1-Ayarlar!$B$7)),0))</f>
        <v/>
      </c>
      <c r="J1303" s="14">
        <f>IF(G1303="","",ROUNDUP(((G1303*Ayarlar!$B$3+Ayarlar!$B$4+Ayarlar!$B$5)+Ayarlar!$B$8)/((1-Ayarlar!$B$6)*(1-Ayarlar!$B$7-Ayarlar!$B$9)),0))</f>
        <v/>
      </c>
      <c r="K1303" s="15">
        <f>IF(OR(G1303="",F1303=""),"",(F1303*(1-Ayarlar!$B$6)-(F1303*(1-Ayarlar!$B$6)*Ayarlar!$B$7+Ayarlar!$B$8)-(G1303*Ayarlar!$B$3+Ayarlar!$B$4+Ayarlar!$B$5))/(F1303*(1-Ayarlar!$B$6)))</f>
        <v/>
      </c>
      <c r="L1303" s="3">
        <f>IF(G1303="","GRAM EKSİK",IF(F1303&gt;30000,"FİYAT ŞÜPHELİ",IF(K1303&lt;0,"ZARARDA",IF(F1303&lt;I1303,"RİSKLİ","ok"))))</f>
        <v/>
      </c>
      <c r="M1303" s="16" t="inlineStr">
        <is>
          <t>https://www.etsy.com/listing/1615728651</t>
        </is>
      </c>
    </row>
    <row r="1304">
      <c r="A1304" s="9" t="inlineStr">
        <is>
          <t>legacy</t>
        </is>
      </c>
      <c r="B1304" s="9" t="inlineStr">
        <is>
          <t>Solid 14K Yellow Gold Miami Cuban Link Chain Necklace, Heavy</t>
        </is>
      </c>
      <c r="C1304" s="9" t="n">
        <v>1615728651</v>
      </c>
      <c r="D1304" s="9" t="inlineStr">
        <is>
          <t>CSMC5-22</t>
        </is>
      </c>
      <c r="E1304" s="9" t="inlineStr">
        <is>
          <t>inferred</t>
        </is>
      </c>
      <c r="F1304" s="10" t="n">
        <v>6899</v>
      </c>
      <c r="G1304" s="18" t="n">
        <v>44.55</v>
      </c>
      <c r="H1304" s="10">
        <f>IF(G1304="","",G1304*Ayarlar!$B$3+Ayarlar!$B$4+Ayarlar!$B$5)</f>
        <v/>
      </c>
      <c r="I1304" s="10">
        <f>IF(G1304="","",ROUNDUP(((G1304*Ayarlar!$B$3+Ayarlar!$B$4+Ayarlar!$B$5)+Ayarlar!$B$8)/((1-Ayarlar!$B$6)*(1-Ayarlar!$B$7)),0))</f>
        <v/>
      </c>
      <c r="J1304" s="10">
        <f>IF(G1304="","",ROUNDUP(((G1304*Ayarlar!$B$3+Ayarlar!$B$4+Ayarlar!$B$5)+Ayarlar!$B$8)/((1-Ayarlar!$B$6)*(1-Ayarlar!$B$7-Ayarlar!$B$9)),0))</f>
        <v/>
      </c>
      <c r="K1304" s="12">
        <f>IF(OR(G1304="",F1304=""),"",(F1304*(1-Ayarlar!$B$6)-(F1304*(1-Ayarlar!$B$6)*Ayarlar!$B$7+Ayarlar!$B$8)-(G1304*Ayarlar!$B$3+Ayarlar!$B$4+Ayarlar!$B$5))/(F1304*(1-Ayarlar!$B$6)))</f>
        <v/>
      </c>
      <c r="L1304" s="9">
        <f>IF(G1304="","GRAM EKSİK",IF(F1304&gt;30000,"FİYAT ŞÜPHELİ",IF(K1304&lt;0,"ZARARDA",IF(F1304&lt;I1304,"RİSKLİ","ok"))))</f>
        <v/>
      </c>
      <c r="M1304" s="13" t="inlineStr">
        <is>
          <t>https://www.etsy.com/listing/1615728651</t>
        </is>
      </c>
    </row>
    <row r="1305">
      <c r="A1305" s="3" t="inlineStr">
        <is>
          <t>legacy</t>
        </is>
      </c>
      <c r="B1305" s="3" t="inlineStr">
        <is>
          <t>Solid 14K Yellow Gold Miami Cuban Link Chain Necklace, Heavy</t>
        </is>
      </c>
      <c r="C1305" s="3" t="n">
        <v>1615728651</v>
      </c>
      <c r="D1305" s="3" t="inlineStr">
        <is>
          <t>CSMC5-24</t>
        </is>
      </c>
      <c r="E1305" s="3" t="inlineStr">
        <is>
          <t>inferred</t>
        </is>
      </c>
      <c r="F1305" s="14" t="n">
        <v>7354</v>
      </c>
      <c r="G1305" s="17" t="n">
        <v>48.6</v>
      </c>
      <c r="H1305" s="14">
        <f>IF(G1305="","",G1305*Ayarlar!$B$3+Ayarlar!$B$4+Ayarlar!$B$5)</f>
        <v/>
      </c>
      <c r="I1305" s="14">
        <f>IF(G1305="","",ROUNDUP(((G1305*Ayarlar!$B$3+Ayarlar!$B$4+Ayarlar!$B$5)+Ayarlar!$B$8)/((1-Ayarlar!$B$6)*(1-Ayarlar!$B$7)),0))</f>
        <v/>
      </c>
      <c r="J1305" s="14">
        <f>IF(G1305="","",ROUNDUP(((G1305*Ayarlar!$B$3+Ayarlar!$B$4+Ayarlar!$B$5)+Ayarlar!$B$8)/((1-Ayarlar!$B$6)*(1-Ayarlar!$B$7-Ayarlar!$B$9)),0))</f>
        <v/>
      </c>
      <c r="K1305" s="15">
        <f>IF(OR(G1305="",F1305=""),"",(F1305*(1-Ayarlar!$B$6)-(F1305*(1-Ayarlar!$B$6)*Ayarlar!$B$7+Ayarlar!$B$8)-(G1305*Ayarlar!$B$3+Ayarlar!$B$4+Ayarlar!$B$5))/(F1305*(1-Ayarlar!$B$6)))</f>
        <v/>
      </c>
      <c r="L1305" s="3">
        <f>IF(G1305="","GRAM EKSİK",IF(F1305&gt;30000,"FİYAT ŞÜPHELİ",IF(K1305&lt;0,"ZARARDA",IF(F1305&lt;I1305,"RİSKLİ","ok"))))</f>
        <v/>
      </c>
      <c r="M1305" s="16" t="inlineStr">
        <is>
          <t>https://www.etsy.com/listing/1615728651</t>
        </is>
      </c>
    </row>
    <row r="1306">
      <c r="A1306" s="9" t="inlineStr">
        <is>
          <t>legacy</t>
        </is>
      </c>
      <c r="B1306" s="9" t="inlineStr">
        <is>
          <t>Solid 14K Yellow Gold Miami Cuban Link Chain Necklace, Heavy</t>
        </is>
      </c>
      <c r="C1306" s="9" t="n">
        <v>1615728651</v>
      </c>
      <c r="D1306" s="9" t="inlineStr">
        <is>
          <t>CSMC7-16</t>
        </is>
      </c>
      <c r="E1306" s="9" t="inlineStr">
        <is>
          <t>—</t>
        </is>
      </c>
      <c r="F1306" s="10" t="n">
        <v>8428</v>
      </c>
      <c r="G1306" s="11" t="n"/>
      <c r="H1306" s="10">
        <f>IF(G1306="","",G1306*Ayarlar!$B$3+Ayarlar!$B$4+Ayarlar!$B$5)</f>
        <v/>
      </c>
      <c r="I1306" s="10">
        <f>IF(G1306="","",ROUNDUP(((G1306*Ayarlar!$B$3+Ayarlar!$B$4+Ayarlar!$B$5)+Ayarlar!$B$8)/((1-Ayarlar!$B$6)*(1-Ayarlar!$B$7)),0))</f>
        <v/>
      </c>
      <c r="J1306" s="10">
        <f>IF(G1306="","",ROUNDUP(((G1306*Ayarlar!$B$3+Ayarlar!$B$4+Ayarlar!$B$5)+Ayarlar!$B$8)/((1-Ayarlar!$B$6)*(1-Ayarlar!$B$7-Ayarlar!$B$9)),0))</f>
        <v/>
      </c>
      <c r="K1306" s="12">
        <f>IF(OR(G1306="",F1306=""),"",(F1306*(1-Ayarlar!$B$6)-(F1306*(1-Ayarlar!$B$6)*Ayarlar!$B$7+Ayarlar!$B$8)-(G1306*Ayarlar!$B$3+Ayarlar!$B$4+Ayarlar!$B$5))/(F1306*(1-Ayarlar!$B$6)))</f>
        <v/>
      </c>
      <c r="L1306" s="9">
        <f>IF(G1306="","GRAM EKSİK",IF(F1306&gt;30000,"FİYAT ŞÜPHELİ",IF(K1306&lt;0,"ZARARDA",IF(F1306&lt;I1306,"RİSKLİ","ok"))))</f>
        <v/>
      </c>
      <c r="M1306" s="13" t="inlineStr">
        <is>
          <t>https://www.etsy.com/listing/1615728651</t>
        </is>
      </c>
    </row>
    <row r="1307">
      <c r="A1307" s="3" t="inlineStr">
        <is>
          <t>legacy</t>
        </is>
      </c>
      <c r="B1307" s="3" t="inlineStr">
        <is>
          <t>Solid 14K Yellow Gold Miami Cuban Link Chain Necklace, Heavy</t>
        </is>
      </c>
      <c r="C1307" s="3" t="n">
        <v>1615728651</v>
      </c>
      <c r="D1307" s="3" t="inlineStr">
        <is>
          <t>CSMC7-18</t>
        </is>
      </c>
      <c r="E1307" s="3" t="inlineStr">
        <is>
          <t>—</t>
        </is>
      </c>
      <c r="F1307" s="14" t="n">
        <v>9718</v>
      </c>
      <c r="G1307" s="11" t="n"/>
      <c r="H1307" s="14">
        <f>IF(G1307="","",G1307*Ayarlar!$B$3+Ayarlar!$B$4+Ayarlar!$B$5)</f>
        <v/>
      </c>
      <c r="I1307" s="14">
        <f>IF(G1307="","",ROUNDUP(((G1307*Ayarlar!$B$3+Ayarlar!$B$4+Ayarlar!$B$5)+Ayarlar!$B$8)/((1-Ayarlar!$B$6)*(1-Ayarlar!$B$7)),0))</f>
        <v/>
      </c>
      <c r="J1307" s="14">
        <f>IF(G1307="","",ROUNDUP(((G1307*Ayarlar!$B$3+Ayarlar!$B$4+Ayarlar!$B$5)+Ayarlar!$B$8)/((1-Ayarlar!$B$6)*(1-Ayarlar!$B$7-Ayarlar!$B$9)),0))</f>
        <v/>
      </c>
      <c r="K1307" s="15">
        <f>IF(OR(G1307="",F1307=""),"",(F1307*(1-Ayarlar!$B$6)-(F1307*(1-Ayarlar!$B$6)*Ayarlar!$B$7+Ayarlar!$B$8)-(G1307*Ayarlar!$B$3+Ayarlar!$B$4+Ayarlar!$B$5))/(F1307*(1-Ayarlar!$B$6)))</f>
        <v/>
      </c>
      <c r="L1307" s="3">
        <f>IF(G1307="","GRAM EKSİK",IF(F1307&gt;30000,"FİYAT ŞÜPHELİ",IF(K1307&lt;0,"ZARARDA",IF(F1307&lt;I1307,"RİSKLİ","ok"))))</f>
        <v/>
      </c>
      <c r="M1307" s="16" t="inlineStr">
        <is>
          <t>https://www.etsy.com/listing/1615728651</t>
        </is>
      </c>
    </row>
    <row r="1308">
      <c r="A1308" s="9" t="inlineStr">
        <is>
          <t>legacy</t>
        </is>
      </c>
      <c r="B1308" s="9" t="inlineStr">
        <is>
          <t>Solid 14K Yellow Gold Miami Cuban Link Chain Necklace, Heavy</t>
        </is>
      </c>
      <c r="C1308" s="9" t="n">
        <v>1615728651</v>
      </c>
      <c r="D1308" s="9" t="inlineStr">
        <is>
          <t>CSMC7-20</t>
        </is>
      </c>
      <c r="E1308" s="9" t="inlineStr">
        <is>
          <t>—</t>
        </is>
      </c>
      <c r="F1308" s="10" t="n">
        <v>10578</v>
      </c>
      <c r="G1308" s="11" t="n"/>
      <c r="H1308" s="10">
        <f>IF(G1308="","",G1308*Ayarlar!$B$3+Ayarlar!$B$4+Ayarlar!$B$5)</f>
        <v/>
      </c>
      <c r="I1308" s="10">
        <f>IF(G1308="","",ROUNDUP(((G1308*Ayarlar!$B$3+Ayarlar!$B$4+Ayarlar!$B$5)+Ayarlar!$B$8)/((1-Ayarlar!$B$6)*(1-Ayarlar!$B$7)),0))</f>
        <v/>
      </c>
      <c r="J1308" s="10">
        <f>IF(G1308="","",ROUNDUP(((G1308*Ayarlar!$B$3+Ayarlar!$B$4+Ayarlar!$B$5)+Ayarlar!$B$8)/((1-Ayarlar!$B$6)*(1-Ayarlar!$B$7-Ayarlar!$B$9)),0))</f>
        <v/>
      </c>
      <c r="K1308" s="12">
        <f>IF(OR(G1308="",F1308=""),"",(F1308*(1-Ayarlar!$B$6)-(F1308*(1-Ayarlar!$B$6)*Ayarlar!$B$7+Ayarlar!$B$8)-(G1308*Ayarlar!$B$3+Ayarlar!$B$4+Ayarlar!$B$5))/(F1308*(1-Ayarlar!$B$6)))</f>
        <v/>
      </c>
      <c r="L1308" s="9">
        <f>IF(G1308="","GRAM EKSİK",IF(F1308&gt;30000,"FİYAT ŞÜPHELİ",IF(K1308&lt;0,"ZARARDA",IF(F1308&lt;I1308,"RİSKLİ","ok"))))</f>
        <v/>
      </c>
      <c r="M1308" s="13" t="inlineStr">
        <is>
          <t>https://www.etsy.com/listing/1615728651</t>
        </is>
      </c>
    </row>
    <row r="1309">
      <c r="A1309" s="3" t="inlineStr">
        <is>
          <t>legacy</t>
        </is>
      </c>
      <c r="B1309" s="3" t="inlineStr">
        <is>
          <t>Solid 14K Yellow Gold Miami Cuban Link Chain Necklace, Heavy</t>
        </is>
      </c>
      <c r="C1309" s="3" t="n">
        <v>1615728651</v>
      </c>
      <c r="D1309" s="3" t="inlineStr">
        <is>
          <t>CSMC7-22</t>
        </is>
      </c>
      <c r="E1309" s="3" t="inlineStr">
        <is>
          <t>—</t>
        </is>
      </c>
      <c r="F1309" s="14" t="n">
        <v>11438</v>
      </c>
      <c r="G1309" s="11" t="n"/>
      <c r="H1309" s="14">
        <f>IF(G1309="","",G1309*Ayarlar!$B$3+Ayarlar!$B$4+Ayarlar!$B$5)</f>
        <v/>
      </c>
      <c r="I1309" s="14">
        <f>IF(G1309="","",ROUNDUP(((G1309*Ayarlar!$B$3+Ayarlar!$B$4+Ayarlar!$B$5)+Ayarlar!$B$8)/((1-Ayarlar!$B$6)*(1-Ayarlar!$B$7)),0))</f>
        <v/>
      </c>
      <c r="J1309" s="14">
        <f>IF(G1309="","",ROUNDUP(((G1309*Ayarlar!$B$3+Ayarlar!$B$4+Ayarlar!$B$5)+Ayarlar!$B$8)/((1-Ayarlar!$B$6)*(1-Ayarlar!$B$7-Ayarlar!$B$9)),0))</f>
        <v/>
      </c>
      <c r="K1309" s="15">
        <f>IF(OR(G1309="",F1309=""),"",(F1309*(1-Ayarlar!$B$6)-(F1309*(1-Ayarlar!$B$6)*Ayarlar!$B$7+Ayarlar!$B$8)-(G1309*Ayarlar!$B$3+Ayarlar!$B$4+Ayarlar!$B$5))/(F1309*(1-Ayarlar!$B$6)))</f>
        <v/>
      </c>
      <c r="L1309" s="3">
        <f>IF(G1309="","GRAM EKSİK",IF(F1309&gt;30000,"FİYAT ŞÜPHELİ",IF(K1309&lt;0,"ZARARDA",IF(F1309&lt;I1309,"RİSKLİ","ok"))))</f>
        <v/>
      </c>
      <c r="M1309" s="16" t="inlineStr">
        <is>
          <t>https://www.etsy.com/listing/1615728651</t>
        </is>
      </c>
    </row>
    <row r="1310">
      <c r="A1310" s="9" t="inlineStr">
        <is>
          <t>legacy</t>
        </is>
      </c>
      <c r="B1310" s="9" t="inlineStr">
        <is>
          <t>Solid 14K Yellow Gold Miami Cuban Link Chain Necklace, Heavy</t>
        </is>
      </c>
      <c r="C1310" s="9" t="n">
        <v>1615728651</v>
      </c>
      <c r="D1310" s="9" t="inlineStr">
        <is>
          <t>CSMC7-24</t>
        </is>
      </c>
      <c r="E1310" s="9" t="inlineStr">
        <is>
          <t>—</t>
        </is>
      </c>
      <c r="F1310" s="10" t="n">
        <v>12298</v>
      </c>
      <c r="G1310" s="11" t="n"/>
      <c r="H1310" s="10">
        <f>IF(G1310="","",G1310*Ayarlar!$B$3+Ayarlar!$B$4+Ayarlar!$B$5)</f>
        <v/>
      </c>
      <c r="I1310" s="10">
        <f>IF(G1310="","",ROUNDUP(((G1310*Ayarlar!$B$3+Ayarlar!$B$4+Ayarlar!$B$5)+Ayarlar!$B$8)/((1-Ayarlar!$B$6)*(1-Ayarlar!$B$7)),0))</f>
        <v/>
      </c>
      <c r="J1310" s="10">
        <f>IF(G1310="","",ROUNDUP(((G1310*Ayarlar!$B$3+Ayarlar!$B$4+Ayarlar!$B$5)+Ayarlar!$B$8)/((1-Ayarlar!$B$6)*(1-Ayarlar!$B$7-Ayarlar!$B$9)),0))</f>
        <v/>
      </c>
      <c r="K1310" s="12">
        <f>IF(OR(G1310="",F1310=""),"",(F1310*(1-Ayarlar!$B$6)-(F1310*(1-Ayarlar!$B$6)*Ayarlar!$B$7+Ayarlar!$B$8)-(G1310*Ayarlar!$B$3+Ayarlar!$B$4+Ayarlar!$B$5))/(F1310*(1-Ayarlar!$B$6)))</f>
        <v/>
      </c>
      <c r="L1310" s="9">
        <f>IF(G1310="","GRAM EKSİK",IF(F1310&gt;30000,"FİYAT ŞÜPHELİ",IF(K1310&lt;0,"ZARARDA",IF(F1310&lt;I1310,"RİSKLİ","ok"))))</f>
        <v/>
      </c>
      <c r="M1310" s="13" t="inlineStr">
        <is>
          <t>https://www.etsy.com/listing/1615728651</t>
        </is>
      </c>
    </row>
    <row r="1311">
      <c r="A1311" s="3" t="inlineStr">
        <is>
          <t>legacy</t>
        </is>
      </c>
      <c r="B1311" s="3" t="inlineStr">
        <is>
          <t>Solid 14K Yellow Gold Miami Cuban Link Chain Necklace, Heavy</t>
        </is>
      </c>
      <c r="C1311" s="3" t="n">
        <v>1615728651</v>
      </c>
      <c r="D1311" s="3" t="inlineStr">
        <is>
          <t>CSMC8-16</t>
        </is>
      </c>
      <c r="E1311" s="3" t="inlineStr">
        <is>
          <t>—</t>
        </is>
      </c>
      <c r="F1311" s="14" t="n">
        <v>13674</v>
      </c>
      <c r="G1311" s="11" t="n"/>
      <c r="H1311" s="14">
        <f>IF(G1311="","",G1311*Ayarlar!$B$3+Ayarlar!$B$4+Ayarlar!$B$5)</f>
        <v/>
      </c>
      <c r="I1311" s="14">
        <f>IF(G1311="","",ROUNDUP(((G1311*Ayarlar!$B$3+Ayarlar!$B$4+Ayarlar!$B$5)+Ayarlar!$B$8)/((1-Ayarlar!$B$6)*(1-Ayarlar!$B$7)),0))</f>
        <v/>
      </c>
      <c r="J1311" s="14">
        <f>IF(G1311="","",ROUNDUP(((G1311*Ayarlar!$B$3+Ayarlar!$B$4+Ayarlar!$B$5)+Ayarlar!$B$8)/((1-Ayarlar!$B$6)*(1-Ayarlar!$B$7-Ayarlar!$B$9)),0))</f>
        <v/>
      </c>
      <c r="K1311" s="15">
        <f>IF(OR(G1311="",F1311=""),"",(F1311*(1-Ayarlar!$B$6)-(F1311*(1-Ayarlar!$B$6)*Ayarlar!$B$7+Ayarlar!$B$8)-(G1311*Ayarlar!$B$3+Ayarlar!$B$4+Ayarlar!$B$5))/(F1311*(1-Ayarlar!$B$6)))</f>
        <v/>
      </c>
      <c r="L1311" s="3">
        <f>IF(G1311="","GRAM EKSİK",IF(F1311&gt;30000,"FİYAT ŞÜPHELİ",IF(K1311&lt;0,"ZARARDA",IF(F1311&lt;I1311,"RİSKLİ","ok"))))</f>
        <v/>
      </c>
      <c r="M1311" s="16" t="inlineStr">
        <is>
          <t>https://www.etsy.com/listing/1615728651</t>
        </is>
      </c>
    </row>
    <row r="1312">
      <c r="A1312" s="9" t="inlineStr">
        <is>
          <t>legacy</t>
        </is>
      </c>
      <c r="B1312" s="9" t="inlineStr">
        <is>
          <t>Solid 14K Yellow Gold Miami Cuban Link Chain Necklace, Heavy</t>
        </is>
      </c>
      <c r="C1312" s="9" t="n">
        <v>1615728651</v>
      </c>
      <c r="D1312" s="9" t="inlineStr">
        <is>
          <t>CSMC8-18</t>
        </is>
      </c>
      <c r="E1312" s="9" t="inlineStr">
        <is>
          <t>—</t>
        </is>
      </c>
      <c r="F1312" s="10" t="n">
        <v>14964</v>
      </c>
      <c r="G1312" s="11" t="n"/>
      <c r="H1312" s="10">
        <f>IF(G1312="","",G1312*Ayarlar!$B$3+Ayarlar!$B$4+Ayarlar!$B$5)</f>
        <v/>
      </c>
      <c r="I1312" s="10">
        <f>IF(G1312="","",ROUNDUP(((G1312*Ayarlar!$B$3+Ayarlar!$B$4+Ayarlar!$B$5)+Ayarlar!$B$8)/((1-Ayarlar!$B$6)*(1-Ayarlar!$B$7)),0))</f>
        <v/>
      </c>
      <c r="J1312" s="10">
        <f>IF(G1312="","",ROUNDUP(((G1312*Ayarlar!$B$3+Ayarlar!$B$4+Ayarlar!$B$5)+Ayarlar!$B$8)/((1-Ayarlar!$B$6)*(1-Ayarlar!$B$7-Ayarlar!$B$9)),0))</f>
        <v/>
      </c>
      <c r="K1312" s="12">
        <f>IF(OR(G1312="",F1312=""),"",(F1312*(1-Ayarlar!$B$6)-(F1312*(1-Ayarlar!$B$6)*Ayarlar!$B$7+Ayarlar!$B$8)-(G1312*Ayarlar!$B$3+Ayarlar!$B$4+Ayarlar!$B$5))/(F1312*(1-Ayarlar!$B$6)))</f>
        <v/>
      </c>
      <c r="L1312" s="9">
        <f>IF(G1312="","GRAM EKSİK",IF(F1312&gt;30000,"FİYAT ŞÜPHELİ",IF(K1312&lt;0,"ZARARDA",IF(F1312&lt;I1312,"RİSKLİ","ok"))))</f>
        <v/>
      </c>
      <c r="M1312" s="13" t="inlineStr">
        <is>
          <t>https://www.etsy.com/listing/1615728651</t>
        </is>
      </c>
    </row>
    <row r="1313">
      <c r="A1313" s="3" t="inlineStr">
        <is>
          <t>legacy</t>
        </is>
      </c>
      <c r="B1313" s="3" t="inlineStr">
        <is>
          <t>Solid 14K Yellow Gold Miami Cuban Link Chain Necklace, Heavy</t>
        </is>
      </c>
      <c r="C1313" s="3" t="n">
        <v>1615728651</v>
      </c>
      <c r="D1313" s="3" t="inlineStr">
        <is>
          <t>CSMC8-20</t>
        </is>
      </c>
      <c r="E1313" s="3" t="inlineStr">
        <is>
          <t>—</t>
        </is>
      </c>
      <c r="F1313" s="14" t="n">
        <v>16254</v>
      </c>
      <c r="G1313" s="11" t="n"/>
      <c r="H1313" s="14">
        <f>IF(G1313="","",G1313*Ayarlar!$B$3+Ayarlar!$B$4+Ayarlar!$B$5)</f>
        <v/>
      </c>
      <c r="I1313" s="14">
        <f>IF(G1313="","",ROUNDUP(((G1313*Ayarlar!$B$3+Ayarlar!$B$4+Ayarlar!$B$5)+Ayarlar!$B$8)/((1-Ayarlar!$B$6)*(1-Ayarlar!$B$7)),0))</f>
        <v/>
      </c>
      <c r="J1313" s="14">
        <f>IF(G1313="","",ROUNDUP(((G1313*Ayarlar!$B$3+Ayarlar!$B$4+Ayarlar!$B$5)+Ayarlar!$B$8)/((1-Ayarlar!$B$6)*(1-Ayarlar!$B$7-Ayarlar!$B$9)),0))</f>
        <v/>
      </c>
      <c r="K1313" s="15">
        <f>IF(OR(G1313="",F1313=""),"",(F1313*(1-Ayarlar!$B$6)-(F1313*(1-Ayarlar!$B$6)*Ayarlar!$B$7+Ayarlar!$B$8)-(G1313*Ayarlar!$B$3+Ayarlar!$B$4+Ayarlar!$B$5))/(F1313*(1-Ayarlar!$B$6)))</f>
        <v/>
      </c>
      <c r="L1313" s="3">
        <f>IF(G1313="","GRAM EKSİK",IF(F1313&gt;30000,"FİYAT ŞÜPHELİ",IF(K1313&lt;0,"ZARARDA",IF(F1313&lt;I1313,"RİSKLİ","ok"))))</f>
        <v/>
      </c>
      <c r="M1313" s="16" t="inlineStr">
        <is>
          <t>https://www.etsy.com/listing/1615728651</t>
        </is>
      </c>
    </row>
    <row r="1314">
      <c r="A1314" s="9" t="inlineStr">
        <is>
          <t>legacy</t>
        </is>
      </c>
      <c r="B1314" s="9" t="inlineStr">
        <is>
          <t>Solid 14K Yellow Gold Miami Cuban Link Chain Necklace, Heavy</t>
        </is>
      </c>
      <c r="C1314" s="9" t="n">
        <v>1615728651</v>
      </c>
      <c r="D1314" s="9" t="inlineStr">
        <is>
          <t>CSMC8-22</t>
        </is>
      </c>
      <c r="E1314" s="9" t="inlineStr">
        <is>
          <t>—</t>
        </is>
      </c>
      <c r="F1314" s="10" t="n">
        <v>17544</v>
      </c>
      <c r="G1314" s="11" t="n"/>
      <c r="H1314" s="10">
        <f>IF(G1314="","",G1314*Ayarlar!$B$3+Ayarlar!$B$4+Ayarlar!$B$5)</f>
        <v/>
      </c>
      <c r="I1314" s="10">
        <f>IF(G1314="","",ROUNDUP(((G1314*Ayarlar!$B$3+Ayarlar!$B$4+Ayarlar!$B$5)+Ayarlar!$B$8)/((1-Ayarlar!$B$6)*(1-Ayarlar!$B$7)),0))</f>
        <v/>
      </c>
      <c r="J1314" s="10">
        <f>IF(G1314="","",ROUNDUP(((G1314*Ayarlar!$B$3+Ayarlar!$B$4+Ayarlar!$B$5)+Ayarlar!$B$8)/((1-Ayarlar!$B$6)*(1-Ayarlar!$B$7-Ayarlar!$B$9)),0))</f>
        <v/>
      </c>
      <c r="K1314" s="12">
        <f>IF(OR(G1314="",F1314=""),"",(F1314*(1-Ayarlar!$B$6)-(F1314*(1-Ayarlar!$B$6)*Ayarlar!$B$7+Ayarlar!$B$8)-(G1314*Ayarlar!$B$3+Ayarlar!$B$4+Ayarlar!$B$5))/(F1314*(1-Ayarlar!$B$6)))</f>
        <v/>
      </c>
      <c r="L1314" s="9">
        <f>IF(G1314="","GRAM EKSİK",IF(F1314&gt;30000,"FİYAT ŞÜPHELİ",IF(K1314&lt;0,"ZARARDA",IF(F1314&lt;I1314,"RİSKLİ","ok"))))</f>
        <v/>
      </c>
      <c r="M1314" s="13" t="inlineStr">
        <is>
          <t>https://www.etsy.com/listing/1615728651</t>
        </is>
      </c>
    </row>
    <row r="1315">
      <c r="A1315" s="3" t="inlineStr">
        <is>
          <t>legacy</t>
        </is>
      </c>
      <c r="B1315" s="3" t="inlineStr">
        <is>
          <t>Solid 14K Yellow Gold Miami Cuban Link Chain Necklace, Heavy</t>
        </is>
      </c>
      <c r="C1315" s="3" t="n">
        <v>1615728651</v>
      </c>
      <c r="D1315" s="3" t="inlineStr">
        <is>
          <t>CSMC8-24</t>
        </is>
      </c>
      <c r="E1315" s="3" t="inlineStr">
        <is>
          <t>—</t>
        </is>
      </c>
      <c r="F1315" s="14" t="n">
        <v>18834</v>
      </c>
      <c r="G1315" s="11" t="n"/>
      <c r="H1315" s="14">
        <f>IF(G1315="","",G1315*Ayarlar!$B$3+Ayarlar!$B$4+Ayarlar!$B$5)</f>
        <v/>
      </c>
      <c r="I1315" s="14">
        <f>IF(G1315="","",ROUNDUP(((G1315*Ayarlar!$B$3+Ayarlar!$B$4+Ayarlar!$B$5)+Ayarlar!$B$8)/((1-Ayarlar!$B$6)*(1-Ayarlar!$B$7)),0))</f>
        <v/>
      </c>
      <c r="J1315" s="14">
        <f>IF(G1315="","",ROUNDUP(((G1315*Ayarlar!$B$3+Ayarlar!$B$4+Ayarlar!$B$5)+Ayarlar!$B$8)/((1-Ayarlar!$B$6)*(1-Ayarlar!$B$7-Ayarlar!$B$9)),0))</f>
        <v/>
      </c>
      <c r="K1315" s="15">
        <f>IF(OR(G1315="",F1315=""),"",(F1315*(1-Ayarlar!$B$6)-(F1315*(1-Ayarlar!$B$6)*Ayarlar!$B$7+Ayarlar!$B$8)-(G1315*Ayarlar!$B$3+Ayarlar!$B$4+Ayarlar!$B$5))/(F1315*(1-Ayarlar!$B$6)))</f>
        <v/>
      </c>
      <c r="L1315" s="3">
        <f>IF(G1315="","GRAM EKSİK",IF(F1315&gt;30000,"FİYAT ŞÜPHELİ",IF(K1315&lt;0,"ZARARDA",IF(F1315&lt;I1315,"RİSKLİ","ok"))))</f>
        <v/>
      </c>
      <c r="M1315" s="16" t="inlineStr">
        <is>
          <t>https://www.etsy.com/listing/1615728651</t>
        </is>
      </c>
    </row>
    <row r="1316">
      <c r="A1316" s="9" t="inlineStr">
        <is>
          <t>legacy</t>
        </is>
      </c>
      <c r="B1316" s="9" t="inlineStr">
        <is>
          <t>Solid 14K Yellow Gold Miami Cuban Link Chain Necklace, Heavy</t>
        </is>
      </c>
      <c r="C1316" s="9" t="n">
        <v>1615728651</v>
      </c>
      <c r="D1316" s="9" t="inlineStr">
        <is>
          <t>CSMC9-16</t>
        </is>
      </c>
      <c r="E1316" s="9" t="inlineStr">
        <is>
          <t>—</t>
        </is>
      </c>
      <c r="F1316" s="10" t="n">
        <v>18920</v>
      </c>
      <c r="G1316" s="11" t="n"/>
      <c r="H1316" s="10">
        <f>IF(G1316="","",G1316*Ayarlar!$B$3+Ayarlar!$B$4+Ayarlar!$B$5)</f>
        <v/>
      </c>
      <c r="I1316" s="10">
        <f>IF(G1316="","",ROUNDUP(((G1316*Ayarlar!$B$3+Ayarlar!$B$4+Ayarlar!$B$5)+Ayarlar!$B$8)/((1-Ayarlar!$B$6)*(1-Ayarlar!$B$7)),0))</f>
        <v/>
      </c>
      <c r="J1316" s="10">
        <f>IF(G1316="","",ROUNDUP(((G1316*Ayarlar!$B$3+Ayarlar!$B$4+Ayarlar!$B$5)+Ayarlar!$B$8)/((1-Ayarlar!$B$6)*(1-Ayarlar!$B$7-Ayarlar!$B$9)),0))</f>
        <v/>
      </c>
      <c r="K1316" s="12">
        <f>IF(OR(G1316="",F1316=""),"",(F1316*(1-Ayarlar!$B$6)-(F1316*(1-Ayarlar!$B$6)*Ayarlar!$B$7+Ayarlar!$B$8)-(G1316*Ayarlar!$B$3+Ayarlar!$B$4+Ayarlar!$B$5))/(F1316*(1-Ayarlar!$B$6)))</f>
        <v/>
      </c>
      <c r="L1316" s="9">
        <f>IF(G1316="","GRAM EKSİK",IF(F1316&gt;30000,"FİYAT ŞÜPHELİ",IF(K1316&lt;0,"ZARARDA",IF(F1316&lt;I1316,"RİSKLİ","ok"))))</f>
        <v/>
      </c>
      <c r="M1316" s="13" t="inlineStr">
        <is>
          <t>https://www.etsy.com/listing/1615728651</t>
        </is>
      </c>
    </row>
    <row r="1317">
      <c r="A1317" s="3" t="inlineStr">
        <is>
          <t>legacy</t>
        </is>
      </c>
      <c r="B1317" s="3" t="inlineStr">
        <is>
          <t>Solid 14K Yellow Gold Miami Cuban Link Chain Necklace, Heavy</t>
        </is>
      </c>
      <c r="C1317" s="3" t="n">
        <v>1615728651</v>
      </c>
      <c r="D1317" s="3" t="inlineStr">
        <is>
          <t>CSMC9-18</t>
        </is>
      </c>
      <c r="E1317" s="3" t="inlineStr">
        <is>
          <t>—</t>
        </is>
      </c>
      <c r="F1317" s="14" t="n">
        <v>19780</v>
      </c>
      <c r="G1317" s="11" t="n"/>
      <c r="H1317" s="14">
        <f>IF(G1317="","",G1317*Ayarlar!$B$3+Ayarlar!$B$4+Ayarlar!$B$5)</f>
        <v/>
      </c>
      <c r="I1317" s="14">
        <f>IF(G1317="","",ROUNDUP(((G1317*Ayarlar!$B$3+Ayarlar!$B$4+Ayarlar!$B$5)+Ayarlar!$B$8)/((1-Ayarlar!$B$6)*(1-Ayarlar!$B$7)),0))</f>
        <v/>
      </c>
      <c r="J1317" s="14">
        <f>IF(G1317="","",ROUNDUP(((G1317*Ayarlar!$B$3+Ayarlar!$B$4+Ayarlar!$B$5)+Ayarlar!$B$8)/((1-Ayarlar!$B$6)*(1-Ayarlar!$B$7-Ayarlar!$B$9)),0))</f>
        <v/>
      </c>
      <c r="K1317" s="15">
        <f>IF(OR(G1317="",F1317=""),"",(F1317*(1-Ayarlar!$B$6)-(F1317*(1-Ayarlar!$B$6)*Ayarlar!$B$7+Ayarlar!$B$8)-(G1317*Ayarlar!$B$3+Ayarlar!$B$4+Ayarlar!$B$5))/(F1317*(1-Ayarlar!$B$6)))</f>
        <v/>
      </c>
      <c r="L1317" s="3">
        <f>IF(G1317="","GRAM EKSİK",IF(F1317&gt;30000,"FİYAT ŞÜPHELİ",IF(K1317&lt;0,"ZARARDA",IF(F1317&lt;I1317,"RİSKLİ","ok"))))</f>
        <v/>
      </c>
      <c r="M1317" s="16" t="inlineStr">
        <is>
          <t>https://www.etsy.com/listing/1615728651</t>
        </is>
      </c>
    </row>
    <row r="1318">
      <c r="A1318" s="9" t="inlineStr">
        <is>
          <t>legacy</t>
        </is>
      </c>
      <c r="B1318" s="9" t="inlineStr">
        <is>
          <t>Solid 14K Yellow Gold Miami Cuban Link Chain Necklace, Heavy</t>
        </is>
      </c>
      <c r="C1318" s="9" t="n">
        <v>1615728651</v>
      </c>
      <c r="D1318" s="9" t="inlineStr">
        <is>
          <t>CSMC9-20</t>
        </is>
      </c>
      <c r="E1318" s="9" t="inlineStr">
        <is>
          <t>—</t>
        </is>
      </c>
      <c r="F1318" s="10" t="n">
        <v>20640</v>
      </c>
      <c r="G1318" s="11" t="n"/>
      <c r="H1318" s="10">
        <f>IF(G1318="","",G1318*Ayarlar!$B$3+Ayarlar!$B$4+Ayarlar!$B$5)</f>
        <v/>
      </c>
      <c r="I1318" s="10">
        <f>IF(G1318="","",ROUNDUP(((G1318*Ayarlar!$B$3+Ayarlar!$B$4+Ayarlar!$B$5)+Ayarlar!$B$8)/((1-Ayarlar!$B$6)*(1-Ayarlar!$B$7)),0))</f>
        <v/>
      </c>
      <c r="J1318" s="10">
        <f>IF(G1318="","",ROUNDUP(((G1318*Ayarlar!$B$3+Ayarlar!$B$4+Ayarlar!$B$5)+Ayarlar!$B$8)/((1-Ayarlar!$B$6)*(1-Ayarlar!$B$7-Ayarlar!$B$9)),0))</f>
        <v/>
      </c>
      <c r="K1318" s="12">
        <f>IF(OR(G1318="",F1318=""),"",(F1318*(1-Ayarlar!$B$6)-(F1318*(1-Ayarlar!$B$6)*Ayarlar!$B$7+Ayarlar!$B$8)-(G1318*Ayarlar!$B$3+Ayarlar!$B$4+Ayarlar!$B$5))/(F1318*(1-Ayarlar!$B$6)))</f>
        <v/>
      </c>
      <c r="L1318" s="9">
        <f>IF(G1318="","GRAM EKSİK",IF(F1318&gt;30000,"FİYAT ŞÜPHELİ",IF(K1318&lt;0,"ZARARDA",IF(F1318&lt;I1318,"RİSKLİ","ok"))))</f>
        <v/>
      </c>
      <c r="M1318" s="13" t="inlineStr">
        <is>
          <t>https://www.etsy.com/listing/1615728651</t>
        </is>
      </c>
    </row>
    <row r="1319">
      <c r="A1319" s="3" t="inlineStr">
        <is>
          <t>legacy</t>
        </is>
      </c>
      <c r="B1319" s="3" t="inlineStr">
        <is>
          <t>Solid 14K Yellow Gold Miami Cuban Link Chain Necklace, Heavy</t>
        </is>
      </c>
      <c r="C1319" s="3" t="n">
        <v>1615728651</v>
      </c>
      <c r="D1319" s="3" t="inlineStr">
        <is>
          <t>CSMC9-22</t>
        </is>
      </c>
      <c r="E1319" s="3" t="inlineStr">
        <is>
          <t>—</t>
        </is>
      </c>
      <c r="F1319" s="14" t="n">
        <v>21500</v>
      </c>
      <c r="G1319" s="11" t="n"/>
      <c r="H1319" s="14">
        <f>IF(G1319="","",G1319*Ayarlar!$B$3+Ayarlar!$B$4+Ayarlar!$B$5)</f>
        <v/>
      </c>
      <c r="I1319" s="14">
        <f>IF(G1319="","",ROUNDUP(((G1319*Ayarlar!$B$3+Ayarlar!$B$4+Ayarlar!$B$5)+Ayarlar!$B$8)/((1-Ayarlar!$B$6)*(1-Ayarlar!$B$7)),0))</f>
        <v/>
      </c>
      <c r="J1319" s="14">
        <f>IF(G1319="","",ROUNDUP(((G1319*Ayarlar!$B$3+Ayarlar!$B$4+Ayarlar!$B$5)+Ayarlar!$B$8)/((1-Ayarlar!$B$6)*(1-Ayarlar!$B$7-Ayarlar!$B$9)),0))</f>
        <v/>
      </c>
      <c r="K1319" s="15">
        <f>IF(OR(G1319="",F1319=""),"",(F1319*(1-Ayarlar!$B$6)-(F1319*(1-Ayarlar!$B$6)*Ayarlar!$B$7+Ayarlar!$B$8)-(G1319*Ayarlar!$B$3+Ayarlar!$B$4+Ayarlar!$B$5))/(F1319*(1-Ayarlar!$B$6)))</f>
        <v/>
      </c>
      <c r="L1319" s="3">
        <f>IF(G1319="","GRAM EKSİK",IF(F1319&gt;30000,"FİYAT ŞÜPHELİ",IF(K1319&lt;0,"ZARARDA",IF(F1319&lt;I1319,"RİSKLİ","ok"))))</f>
        <v/>
      </c>
      <c r="M1319" s="16" t="inlineStr">
        <is>
          <t>https://www.etsy.com/listing/1615728651</t>
        </is>
      </c>
    </row>
    <row r="1320">
      <c r="A1320" s="9" t="inlineStr">
        <is>
          <t>legacy</t>
        </is>
      </c>
      <c r="B1320" s="9" t="inlineStr">
        <is>
          <t>Solid 14K Yellow Gold Miami Cuban Link Chain Necklace, Heavy</t>
        </is>
      </c>
      <c r="C1320" s="9" t="n">
        <v>1615728651</v>
      </c>
      <c r="D1320" s="9" t="inlineStr">
        <is>
          <t>CSMC9-24</t>
        </is>
      </c>
      <c r="E1320" s="9" t="inlineStr">
        <is>
          <t>—</t>
        </is>
      </c>
      <c r="F1320" s="10" t="n">
        <v>39999.99</v>
      </c>
      <c r="G1320" s="11" t="n"/>
      <c r="H1320" s="10">
        <f>IF(G1320="","",G1320*Ayarlar!$B$3+Ayarlar!$B$4+Ayarlar!$B$5)</f>
        <v/>
      </c>
      <c r="I1320" s="10">
        <f>IF(G1320="","",ROUNDUP(((G1320*Ayarlar!$B$3+Ayarlar!$B$4+Ayarlar!$B$5)+Ayarlar!$B$8)/((1-Ayarlar!$B$6)*(1-Ayarlar!$B$7)),0))</f>
        <v/>
      </c>
      <c r="J1320" s="10">
        <f>IF(G1320="","",ROUNDUP(((G1320*Ayarlar!$B$3+Ayarlar!$B$4+Ayarlar!$B$5)+Ayarlar!$B$8)/((1-Ayarlar!$B$6)*(1-Ayarlar!$B$7-Ayarlar!$B$9)),0))</f>
        <v/>
      </c>
      <c r="K1320" s="12">
        <f>IF(OR(G1320="",F1320=""),"",(F1320*(1-Ayarlar!$B$6)-(F1320*(1-Ayarlar!$B$6)*Ayarlar!$B$7+Ayarlar!$B$8)-(G1320*Ayarlar!$B$3+Ayarlar!$B$4+Ayarlar!$B$5))/(F1320*(1-Ayarlar!$B$6)))</f>
        <v/>
      </c>
      <c r="L1320" s="9">
        <f>IF(G1320="","GRAM EKSİK",IF(F1320&gt;30000,"FİYAT ŞÜPHELİ",IF(K1320&lt;0,"ZARARDA",IF(F1320&lt;I1320,"RİSKLİ","ok"))))</f>
        <v/>
      </c>
      <c r="M1320" s="13" t="inlineStr">
        <is>
          <t>https://www.etsy.com/listing/1615728651</t>
        </is>
      </c>
    </row>
    <row r="1321">
      <c r="A1321" s="3" t="inlineStr">
        <is>
          <t>love</t>
        </is>
      </c>
      <c r="B1321" s="3" t="inlineStr">
        <is>
          <t>10K Gold Graduated Hoop Earrings / Diamond Cut Jewelry</t>
        </is>
      </c>
      <c r="C1321" s="3" t="n">
        <v>1467444368</v>
      </c>
      <c r="D1321" s="3" t="inlineStr">
        <is>
          <t>EPFG1-20</t>
        </is>
      </c>
      <c r="E1321" s="3" t="inlineStr">
        <is>
          <t>description</t>
        </is>
      </c>
      <c r="F1321" s="14" t="n">
        <v>168</v>
      </c>
      <c r="G1321" s="17" t="n">
        <v>1.4</v>
      </c>
      <c r="H1321" s="14">
        <f>IF(G1321="","",G1321*Ayarlar!$B$3+Ayarlar!$B$4+Ayarlar!$B$5)</f>
        <v/>
      </c>
      <c r="I1321" s="14">
        <f>IF(G1321="","",ROUNDUP(((G1321*Ayarlar!$B$3+Ayarlar!$B$4+Ayarlar!$B$5)+Ayarlar!$B$8)/((1-Ayarlar!$B$6)*(1-Ayarlar!$B$7)),0))</f>
        <v/>
      </c>
      <c r="J1321" s="14">
        <f>IF(G1321="","",ROUNDUP(((G1321*Ayarlar!$B$3+Ayarlar!$B$4+Ayarlar!$B$5)+Ayarlar!$B$8)/((1-Ayarlar!$B$6)*(1-Ayarlar!$B$7-Ayarlar!$B$9)),0))</f>
        <v/>
      </c>
      <c r="K1321" s="15">
        <f>IF(OR(G1321="",F1321=""),"",(F1321*(1-Ayarlar!$B$6)-(F1321*(1-Ayarlar!$B$6)*Ayarlar!$B$7+Ayarlar!$B$8)-(G1321*Ayarlar!$B$3+Ayarlar!$B$4+Ayarlar!$B$5))/(F1321*(1-Ayarlar!$B$6)))</f>
        <v/>
      </c>
      <c r="L1321" s="3">
        <f>IF(G1321="","GRAM EKSİK",IF(F1321&gt;30000,"FİYAT ŞÜPHELİ",IF(K1321&lt;0,"ZARARDA",IF(F1321&lt;I1321,"RİSKLİ","ok"))))</f>
        <v/>
      </c>
      <c r="M1321" s="16" t="inlineStr">
        <is>
          <t>https://www.etsy.com/listing/1467444368</t>
        </is>
      </c>
    </row>
    <row r="1322">
      <c r="A1322" s="9" t="inlineStr">
        <is>
          <t>love</t>
        </is>
      </c>
      <c r="B1322" s="9" t="inlineStr">
        <is>
          <t>10K Gold Graduated Hoop Earrings / Diamond Cut Jewelry</t>
        </is>
      </c>
      <c r="C1322" s="9" t="n">
        <v>1467444368</v>
      </c>
      <c r="D1322" s="9" t="inlineStr">
        <is>
          <t>EPFG1-25</t>
        </is>
      </c>
      <c r="E1322" s="9" t="inlineStr">
        <is>
          <t>description</t>
        </is>
      </c>
      <c r="F1322" s="10" t="n">
        <v>234</v>
      </c>
      <c r="G1322" s="18" t="n">
        <v>1.9</v>
      </c>
      <c r="H1322" s="10">
        <f>IF(G1322="","",G1322*Ayarlar!$B$3+Ayarlar!$B$4+Ayarlar!$B$5)</f>
        <v/>
      </c>
      <c r="I1322" s="10">
        <f>IF(G1322="","",ROUNDUP(((G1322*Ayarlar!$B$3+Ayarlar!$B$4+Ayarlar!$B$5)+Ayarlar!$B$8)/((1-Ayarlar!$B$6)*(1-Ayarlar!$B$7)),0))</f>
        <v/>
      </c>
      <c r="J1322" s="10">
        <f>IF(G1322="","",ROUNDUP(((G1322*Ayarlar!$B$3+Ayarlar!$B$4+Ayarlar!$B$5)+Ayarlar!$B$8)/((1-Ayarlar!$B$6)*(1-Ayarlar!$B$7-Ayarlar!$B$9)),0))</f>
        <v/>
      </c>
      <c r="K1322" s="12">
        <f>IF(OR(G1322="",F1322=""),"",(F1322*(1-Ayarlar!$B$6)-(F1322*(1-Ayarlar!$B$6)*Ayarlar!$B$7+Ayarlar!$B$8)-(G1322*Ayarlar!$B$3+Ayarlar!$B$4+Ayarlar!$B$5))/(F1322*(1-Ayarlar!$B$6)))</f>
        <v/>
      </c>
      <c r="L1322" s="9">
        <f>IF(G1322="","GRAM EKSİK",IF(F1322&gt;30000,"FİYAT ŞÜPHELİ",IF(K1322&lt;0,"ZARARDA",IF(F1322&lt;I1322,"RİSKLİ","ok"))))</f>
        <v/>
      </c>
      <c r="M1322" s="13" t="inlineStr">
        <is>
          <t>https://www.etsy.com/listing/1467444368</t>
        </is>
      </c>
    </row>
    <row r="1323">
      <c r="A1323" s="3" t="inlineStr">
        <is>
          <t>love</t>
        </is>
      </c>
      <c r="B1323" s="3" t="inlineStr">
        <is>
          <t>10K Gold Graduated Hoop Earrings / Diamond Cut Jewelry</t>
        </is>
      </c>
      <c r="C1323" s="3" t="n">
        <v>1467444368</v>
      </c>
      <c r="D1323" s="3" t="inlineStr">
        <is>
          <t>EPFG1-30</t>
        </is>
      </c>
      <c r="E1323" s="3" t="inlineStr">
        <is>
          <t>shipstation</t>
        </is>
      </c>
      <c r="F1323" s="14" t="n">
        <v>327</v>
      </c>
      <c r="G1323" s="17" t="n">
        <v>3.18</v>
      </c>
      <c r="H1323" s="14">
        <f>IF(G1323="","",G1323*Ayarlar!$B$3+Ayarlar!$B$4+Ayarlar!$B$5)</f>
        <v/>
      </c>
      <c r="I1323" s="14">
        <f>IF(G1323="","",ROUNDUP(((G1323*Ayarlar!$B$3+Ayarlar!$B$4+Ayarlar!$B$5)+Ayarlar!$B$8)/((1-Ayarlar!$B$6)*(1-Ayarlar!$B$7)),0))</f>
        <v/>
      </c>
      <c r="J1323" s="14">
        <f>IF(G1323="","",ROUNDUP(((G1323*Ayarlar!$B$3+Ayarlar!$B$4+Ayarlar!$B$5)+Ayarlar!$B$8)/((1-Ayarlar!$B$6)*(1-Ayarlar!$B$7-Ayarlar!$B$9)),0))</f>
        <v/>
      </c>
      <c r="K1323" s="15">
        <f>IF(OR(G1323="",F1323=""),"",(F1323*(1-Ayarlar!$B$6)-(F1323*(1-Ayarlar!$B$6)*Ayarlar!$B$7+Ayarlar!$B$8)-(G1323*Ayarlar!$B$3+Ayarlar!$B$4+Ayarlar!$B$5))/(F1323*(1-Ayarlar!$B$6)))</f>
        <v/>
      </c>
      <c r="L1323" s="3">
        <f>IF(G1323="","GRAM EKSİK",IF(F1323&gt;30000,"FİYAT ŞÜPHELİ",IF(K1323&lt;0,"ZARARDA",IF(F1323&lt;I1323,"RİSKLİ","ok"))))</f>
        <v/>
      </c>
      <c r="M1323" s="16" t="inlineStr">
        <is>
          <t>https://www.etsy.com/listing/1467444368</t>
        </is>
      </c>
    </row>
    <row r="1324">
      <c r="A1324" s="9" t="inlineStr">
        <is>
          <t>love</t>
        </is>
      </c>
      <c r="B1324" s="9" t="inlineStr">
        <is>
          <t>10K Gold Graduated Hoop Earrings / Diamond Cut Jewelry</t>
        </is>
      </c>
      <c r="C1324" s="9" t="n">
        <v>1467444368</v>
      </c>
      <c r="D1324" s="9" t="inlineStr">
        <is>
          <t>EPFG1-40</t>
        </is>
      </c>
      <c r="E1324" s="9" t="inlineStr">
        <is>
          <t>description</t>
        </is>
      </c>
      <c r="F1324" s="10" t="n">
        <v>552</v>
      </c>
      <c r="G1324" s="18" t="n">
        <v>4.6</v>
      </c>
      <c r="H1324" s="10">
        <f>IF(G1324="","",G1324*Ayarlar!$B$3+Ayarlar!$B$4+Ayarlar!$B$5)</f>
        <v/>
      </c>
      <c r="I1324" s="10">
        <f>IF(G1324="","",ROUNDUP(((G1324*Ayarlar!$B$3+Ayarlar!$B$4+Ayarlar!$B$5)+Ayarlar!$B$8)/((1-Ayarlar!$B$6)*(1-Ayarlar!$B$7)),0))</f>
        <v/>
      </c>
      <c r="J1324" s="10">
        <f>IF(G1324="","",ROUNDUP(((G1324*Ayarlar!$B$3+Ayarlar!$B$4+Ayarlar!$B$5)+Ayarlar!$B$8)/((1-Ayarlar!$B$6)*(1-Ayarlar!$B$7-Ayarlar!$B$9)),0))</f>
        <v/>
      </c>
      <c r="K1324" s="12">
        <f>IF(OR(G1324="",F1324=""),"",(F1324*(1-Ayarlar!$B$6)-(F1324*(1-Ayarlar!$B$6)*Ayarlar!$B$7+Ayarlar!$B$8)-(G1324*Ayarlar!$B$3+Ayarlar!$B$4+Ayarlar!$B$5))/(F1324*(1-Ayarlar!$B$6)))</f>
        <v/>
      </c>
      <c r="L1324" s="9">
        <f>IF(G1324="","GRAM EKSİK",IF(F1324&gt;30000,"FİYAT ŞÜPHELİ",IF(K1324&lt;0,"ZARARDA",IF(F1324&lt;I1324,"RİSKLİ","ok"))))</f>
        <v/>
      </c>
      <c r="M1324" s="13" t="inlineStr">
        <is>
          <t>https://www.etsy.com/listing/1467444368</t>
        </is>
      </c>
    </row>
    <row r="1325">
      <c r="A1325" s="3" t="inlineStr">
        <is>
          <t>love</t>
        </is>
      </c>
      <c r="B1325" s="3" t="inlineStr">
        <is>
          <t>10K Gold Heart Hoop Earrings / Diamond Cut, Puffed Design</t>
        </is>
      </c>
      <c r="C1325" s="3" t="n">
        <v>1232906923</v>
      </c>
      <c r="D1325" s="3" t="inlineStr">
        <is>
          <t>E6</t>
        </is>
      </c>
      <c r="E1325" s="3" t="inlineStr">
        <is>
          <t>—</t>
        </is>
      </c>
      <c r="F1325" s="14" t="n">
        <v>956.74</v>
      </c>
      <c r="G1325" s="11" t="n"/>
      <c r="H1325" s="14">
        <f>IF(G1325="","",G1325*Ayarlar!$B$3+Ayarlar!$B$4+Ayarlar!$B$5)</f>
        <v/>
      </c>
      <c r="I1325" s="14">
        <f>IF(G1325="","",ROUNDUP(((G1325*Ayarlar!$B$3+Ayarlar!$B$4+Ayarlar!$B$5)+Ayarlar!$B$8)/((1-Ayarlar!$B$6)*(1-Ayarlar!$B$7)),0))</f>
        <v/>
      </c>
      <c r="J1325" s="14">
        <f>IF(G1325="","",ROUNDUP(((G1325*Ayarlar!$B$3+Ayarlar!$B$4+Ayarlar!$B$5)+Ayarlar!$B$8)/((1-Ayarlar!$B$6)*(1-Ayarlar!$B$7-Ayarlar!$B$9)),0))</f>
        <v/>
      </c>
      <c r="K1325" s="15">
        <f>IF(OR(G1325="",F1325=""),"",(F1325*(1-Ayarlar!$B$6)-(F1325*(1-Ayarlar!$B$6)*Ayarlar!$B$7+Ayarlar!$B$8)-(G1325*Ayarlar!$B$3+Ayarlar!$B$4+Ayarlar!$B$5))/(F1325*(1-Ayarlar!$B$6)))</f>
        <v/>
      </c>
      <c r="L1325" s="3">
        <f>IF(G1325="","GRAM EKSİK",IF(F1325&gt;30000,"FİYAT ŞÜPHELİ",IF(K1325&lt;0,"ZARARDA",IF(F1325&lt;I1325,"RİSKLİ","ok"))))</f>
        <v/>
      </c>
      <c r="M1325" s="16" t="inlineStr">
        <is>
          <t>https://www.etsy.com/listing/1232906923</t>
        </is>
      </c>
    </row>
    <row r="1326">
      <c r="A1326" s="9" t="inlineStr">
        <is>
          <t>love</t>
        </is>
      </c>
      <c r="B1326" s="9" t="inlineStr">
        <is>
          <t>10K Gold Heart Hoop Earrings / Diamond Cut, Puffed Design</t>
        </is>
      </c>
      <c r="C1326" s="9" t="n">
        <v>1232906923</v>
      </c>
      <c r="D1326" s="9" t="inlineStr">
        <is>
          <t>E6-2</t>
        </is>
      </c>
      <c r="E1326" s="9" t="inlineStr">
        <is>
          <t>shipstation</t>
        </is>
      </c>
      <c r="F1326" s="10" t="n">
        <v>1497</v>
      </c>
      <c r="G1326" s="18" t="n">
        <v>10.37</v>
      </c>
      <c r="H1326" s="10">
        <f>IF(G1326="","",G1326*Ayarlar!$B$3+Ayarlar!$B$4+Ayarlar!$B$5)</f>
        <v/>
      </c>
      <c r="I1326" s="10">
        <f>IF(G1326="","",ROUNDUP(((G1326*Ayarlar!$B$3+Ayarlar!$B$4+Ayarlar!$B$5)+Ayarlar!$B$8)/((1-Ayarlar!$B$6)*(1-Ayarlar!$B$7)),0))</f>
        <v/>
      </c>
      <c r="J1326" s="10">
        <f>IF(G1326="","",ROUNDUP(((G1326*Ayarlar!$B$3+Ayarlar!$B$4+Ayarlar!$B$5)+Ayarlar!$B$8)/((1-Ayarlar!$B$6)*(1-Ayarlar!$B$7-Ayarlar!$B$9)),0))</f>
        <v/>
      </c>
      <c r="K1326" s="12">
        <f>IF(OR(G1326="",F1326=""),"",(F1326*(1-Ayarlar!$B$6)-(F1326*(1-Ayarlar!$B$6)*Ayarlar!$B$7+Ayarlar!$B$8)-(G1326*Ayarlar!$B$3+Ayarlar!$B$4+Ayarlar!$B$5))/(F1326*(1-Ayarlar!$B$6)))</f>
        <v/>
      </c>
      <c r="L1326" s="9">
        <f>IF(G1326="","GRAM EKSİK",IF(F1326&gt;30000,"FİYAT ŞÜPHELİ",IF(K1326&lt;0,"ZARARDA",IF(F1326&lt;I1326,"RİSKLİ","ok"))))</f>
        <v/>
      </c>
      <c r="M1326" s="13" t="inlineStr">
        <is>
          <t>https://www.etsy.com/listing/1232906923</t>
        </is>
      </c>
    </row>
    <row r="1327">
      <c r="A1327" s="3" t="inlineStr">
        <is>
          <t>love</t>
        </is>
      </c>
      <c r="B1327" s="3" t="inlineStr">
        <is>
          <t>10K Gold Heart Nugget Earrings / Solid Yellow Gold</t>
        </is>
      </c>
      <c r="C1327" s="3" t="n">
        <v>1821803697</v>
      </c>
      <c r="D1327" s="3" t="inlineStr">
        <is>
          <t>EHNU-1</t>
        </is>
      </c>
      <c r="E1327" s="3" t="inlineStr">
        <is>
          <t>shipstation</t>
        </is>
      </c>
      <c r="F1327" s="14" t="n">
        <v>145</v>
      </c>
      <c r="G1327" s="17" t="n">
        <v>1.16</v>
      </c>
      <c r="H1327" s="14">
        <f>IF(G1327="","",G1327*Ayarlar!$B$3+Ayarlar!$B$4+Ayarlar!$B$5)</f>
        <v/>
      </c>
      <c r="I1327" s="14">
        <f>IF(G1327="","",ROUNDUP(((G1327*Ayarlar!$B$3+Ayarlar!$B$4+Ayarlar!$B$5)+Ayarlar!$B$8)/((1-Ayarlar!$B$6)*(1-Ayarlar!$B$7)),0))</f>
        <v/>
      </c>
      <c r="J1327" s="14">
        <f>IF(G1327="","",ROUNDUP(((G1327*Ayarlar!$B$3+Ayarlar!$B$4+Ayarlar!$B$5)+Ayarlar!$B$8)/((1-Ayarlar!$B$6)*(1-Ayarlar!$B$7-Ayarlar!$B$9)),0))</f>
        <v/>
      </c>
      <c r="K1327" s="15">
        <f>IF(OR(G1327="",F1327=""),"",(F1327*(1-Ayarlar!$B$6)-(F1327*(1-Ayarlar!$B$6)*Ayarlar!$B$7+Ayarlar!$B$8)-(G1327*Ayarlar!$B$3+Ayarlar!$B$4+Ayarlar!$B$5))/(F1327*(1-Ayarlar!$B$6)))</f>
        <v/>
      </c>
      <c r="L1327" s="3">
        <f>IF(G1327="","GRAM EKSİK",IF(F1327&gt;30000,"FİYAT ŞÜPHELİ",IF(K1327&lt;0,"ZARARDA",IF(F1327&lt;I1327,"RİSKLİ","ok"))))</f>
        <v/>
      </c>
      <c r="M1327" s="16" t="inlineStr">
        <is>
          <t>https://www.etsy.com/listing/1821803697</t>
        </is>
      </c>
    </row>
    <row r="1328">
      <c r="A1328" s="9" t="inlineStr">
        <is>
          <t>love</t>
        </is>
      </c>
      <c r="B1328" s="9" t="inlineStr">
        <is>
          <t>10K Gold Heart Nugget Earrings / Solid Yellow Gold</t>
        </is>
      </c>
      <c r="C1328" s="9" t="n">
        <v>1821803697</v>
      </c>
      <c r="D1328" s="9" t="inlineStr">
        <is>
          <t>EHNU-2</t>
        </is>
      </c>
      <c r="E1328" s="9" t="inlineStr">
        <is>
          <t>shipstation</t>
        </is>
      </c>
      <c r="F1328" s="10" t="n">
        <v>212</v>
      </c>
      <c r="G1328" s="18" t="n">
        <v>1.8</v>
      </c>
      <c r="H1328" s="10">
        <f>IF(G1328="","",G1328*Ayarlar!$B$3+Ayarlar!$B$4+Ayarlar!$B$5)</f>
        <v/>
      </c>
      <c r="I1328" s="10">
        <f>IF(G1328="","",ROUNDUP(((G1328*Ayarlar!$B$3+Ayarlar!$B$4+Ayarlar!$B$5)+Ayarlar!$B$8)/((1-Ayarlar!$B$6)*(1-Ayarlar!$B$7)),0))</f>
        <v/>
      </c>
      <c r="J1328" s="10">
        <f>IF(G1328="","",ROUNDUP(((G1328*Ayarlar!$B$3+Ayarlar!$B$4+Ayarlar!$B$5)+Ayarlar!$B$8)/((1-Ayarlar!$B$6)*(1-Ayarlar!$B$7-Ayarlar!$B$9)),0))</f>
        <v/>
      </c>
      <c r="K1328" s="12">
        <f>IF(OR(G1328="",F1328=""),"",(F1328*(1-Ayarlar!$B$6)-(F1328*(1-Ayarlar!$B$6)*Ayarlar!$B$7+Ayarlar!$B$8)-(G1328*Ayarlar!$B$3+Ayarlar!$B$4+Ayarlar!$B$5))/(F1328*(1-Ayarlar!$B$6)))</f>
        <v/>
      </c>
      <c r="L1328" s="9">
        <f>IF(G1328="","GRAM EKSİK",IF(F1328&gt;30000,"FİYAT ŞÜPHELİ",IF(K1328&lt;0,"ZARARDA",IF(F1328&lt;I1328,"RİSKLİ","ok"))))</f>
        <v/>
      </c>
      <c r="M1328" s="13" t="inlineStr">
        <is>
          <t>https://www.etsy.com/listing/1821803697</t>
        </is>
      </c>
    </row>
    <row r="1329">
      <c r="A1329" s="3" t="inlineStr">
        <is>
          <t>love</t>
        </is>
      </c>
      <c r="B1329" s="3" t="inlineStr">
        <is>
          <t>10K Gold Heart Nugget Earrings / Solid Yellow Gold</t>
        </is>
      </c>
      <c r="C1329" s="3" t="n">
        <v>1821803697</v>
      </c>
      <c r="D1329" s="3" t="inlineStr">
        <is>
          <t>EHNU-3</t>
        </is>
      </c>
      <c r="E1329" s="3" t="inlineStr">
        <is>
          <t>shipstation</t>
        </is>
      </c>
      <c r="F1329" s="14" t="n">
        <v>380</v>
      </c>
      <c r="G1329" s="17" t="n">
        <v>3.13</v>
      </c>
      <c r="H1329" s="14">
        <f>IF(G1329="","",G1329*Ayarlar!$B$3+Ayarlar!$B$4+Ayarlar!$B$5)</f>
        <v/>
      </c>
      <c r="I1329" s="14">
        <f>IF(G1329="","",ROUNDUP(((G1329*Ayarlar!$B$3+Ayarlar!$B$4+Ayarlar!$B$5)+Ayarlar!$B$8)/((1-Ayarlar!$B$6)*(1-Ayarlar!$B$7)),0))</f>
        <v/>
      </c>
      <c r="J1329" s="14">
        <f>IF(G1329="","",ROUNDUP(((G1329*Ayarlar!$B$3+Ayarlar!$B$4+Ayarlar!$B$5)+Ayarlar!$B$8)/((1-Ayarlar!$B$6)*(1-Ayarlar!$B$7-Ayarlar!$B$9)),0))</f>
        <v/>
      </c>
      <c r="K1329" s="15">
        <f>IF(OR(G1329="",F1329=""),"",(F1329*(1-Ayarlar!$B$6)-(F1329*(1-Ayarlar!$B$6)*Ayarlar!$B$7+Ayarlar!$B$8)-(G1329*Ayarlar!$B$3+Ayarlar!$B$4+Ayarlar!$B$5))/(F1329*(1-Ayarlar!$B$6)))</f>
        <v/>
      </c>
      <c r="L1329" s="3">
        <f>IF(G1329="","GRAM EKSİK",IF(F1329&gt;30000,"FİYAT ŞÜPHELİ",IF(K1329&lt;0,"ZARARDA",IF(F1329&lt;I1329,"RİSKLİ","ok"))))</f>
        <v/>
      </c>
      <c r="M1329" s="16" t="inlineStr">
        <is>
          <t>https://www.etsy.com/listing/1821803697</t>
        </is>
      </c>
    </row>
    <row r="1330">
      <c r="A1330" s="9" t="inlineStr">
        <is>
          <t>love</t>
        </is>
      </c>
      <c r="B1330" s="9" t="inlineStr">
        <is>
          <t>10K Gold Heart Nugget Ring / Solid Yellow Gold</t>
        </is>
      </c>
      <c r="C1330" s="9" t="n">
        <v>1739245557</v>
      </c>
      <c r="D1330" s="9" t="inlineStr">
        <is>
          <t>RHN1-5</t>
        </is>
      </c>
      <c r="E1330" s="9" t="inlineStr">
        <is>
          <t>description</t>
        </is>
      </c>
      <c r="F1330" s="10" t="n">
        <v>217</v>
      </c>
      <c r="G1330" s="18" t="n">
        <v>1.6</v>
      </c>
      <c r="H1330" s="10">
        <f>IF(G1330="","",G1330*Ayarlar!$B$3+Ayarlar!$B$4+Ayarlar!$B$5)</f>
        <v/>
      </c>
      <c r="I1330" s="10">
        <f>IF(G1330="","",ROUNDUP(((G1330*Ayarlar!$B$3+Ayarlar!$B$4+Ayarlar!$B$5)+Ayarlar!$B$8)/((1-Ayarlar!$B$6)*(1-Ayarlar!$B$7)),0))</f>
        <v/>
      </c>
      <c r="J1330" s="10">
        <f>IF(G1330="","",ROUNDUP(((G1330*Ayarlar!$B$3+Ayarlar!$B$4+Ayarlar!$B$5)+Ayarlar!$B$8)/((1-Ayarlar!$B$6)*(1-Ayarlar!$B$7-Ayarlar!$B$9)),0))</f>
        <v/>
      </c>
      <c r="K1330" s="12">
        <f>IF(OR(G1330="",F1330=""),"",(F1330*(1-Ayarlar!$B$6)-(F1330*(1-Ayarlar!$B$6)*Ayarlar!$B$7+Ayarlar!$B$8)-(G1330*Ayarlar!$B$3+Ayarlar!$B$4+Ayarlar!$B$5))/(F1330*(1-Ayarlar!$B$6)))</f>
        <v/>
      </c>
      <c r="L1330" s="9">
        <f>IF(G1330="","GRAM EKSİK",IF(F1330&gt;30000,"FİYAT ŞÜPHELİ",IF(K1330&lt;0,"ZARARDA",IF(F1330&lt;I1330,"RİSKLİ","ok"))))</f>
        <v/>
      </c>
      <c r="M1330" s="13" t="inlineStr">
        <is>
          <t>https://www.etsy.com/listing/1739245557</t>
        </is>
      </c>
    </row>
    <row r="1331">
      <c r="A1331" s="3" t="inlineStr">
        <is>
          <t>love</t>
        </is>
      </c>
      <c r="B1331" s="3" t="inlineStr">
        <is>
          <t>10K Gold Heart Nugget Ring / Solid Yellow Gold</t>
        </is>
      </c>
      <c r="C1331" s="3" t="n">
        <v>1739245557</v>
      </c>
      <c r="D1331" s="3" t="inlineStr">
        <is>
          <t>RHN1-5.5</t>
        </is>
      </c>
      <c r="E1331" s="3" t="inlineStr">
        <is>
          <t>description</t>
        </is>
      </c>
      <c r="F1331" s="14" t="n">
        <v>217</v>
      </c>
      <c r="G1331" s="17" t="n">
        <v>1.6</v>
      </c>
      <c r="H1331" s="14">
        <f>IF(G1331="","",G1331*Ayarlar!$B$3+Ayarlar!$B$4+Ayarlar!$B$5)</f>
        <v/>
      </c>
      <c r="I1331" s="14">
        <f>IF(G1331="","",ROUNDUP(((G1331*Ayarlar!$B$3+Ayarlar!$B$4+Ayarlar!$B$5)+Ayarlar!$B$8)/((1-Ayarlar!$B$6)*(1-Ayarlar!$B$7)),0))</f>
        <v/>
      </c>
      <c r="J1331" s="14">
        <f>IF(G1331="","",ROUNDUP(((G1331*Ayarlar!$B$3+Ayarlar!$B$4+Ayarlar!$B$5)+Ayarlar!$B$8)/((1-Ayarlar!$B$6)*(1-Ayarlar!$B$7-Ayarlar!$B$9)),0))</f>
        <v/>
      </c>
      <c r="K1331" s="15">
        <f>IF(OR(G1331="",F1331=""),"",(F1331*(1-Ayarlar!$B$6)-(F1331*(1-Ayarlar!$B$6)*Ayarlar!$B$7+Ayarlar!$B$8)-(G1331*Ayarlar!$B$3+Ayarlar!$B$4+Ayarlar!$B$5))/(F1331*(1-Ayarlar!$B$6)))</f>
        <v/>
      </c>
      <c r="L1331" s="3">
        <f>IF(G1331="","GRAM EKSİK",IF(F1331&gt;30000,"FİYAT ŞÜPHELİ",IF(K1331&lt;0,"ZARARDA",IF(F1331&lt;I1331,"RİSKLİ","ok"))))</f>
        <v/>
      </c>
      <c r="M1331" s="16" t="inlineStr">
        <is>
          <t>https://www.etsy.com/listing/1739245557</t>
        </is>
      </c>
    </row>
    <row r="1332">
      <c r="A1332" s="9" t="inlineStr">
        <is>
          <t>love</t>
        </is>
      </c>
      <c r="B1332" s="9" t="inlineStr">
        <is>
          <t>10K Gold Heart Nugget Ring / Solid Yellow Gold</t>
        </is>
      </c>
      <c r="C1332" s="9" t="n">
        <v>1739245557</v>
      </c>
      <c r="D1332" s="9" t="inlineStr">
        <is>
          <t>RHN1-6</t>
        </is>
      </c>
      <c r="E1332" s="9" t="inlineStr">
        <is>
          <t>description</t>
        </is>
      </c>
      <c r="F1332" s="10" t="n">
        <v>217</v>
      </c>
      <c r="G1332" s="18" t="n">
        <v>1.6</v>
      </c>
      <c r="H1332" s="10">
        <f>IF(G1332="","",G1332*Ayarlar!$B$3+Ayarlar!$B$4+Ayarlar!$B$5)</f>
        <v/>
      </c>
      <c r="I1332" s="10">
        <f>IF(G1332="","",ROUNDUP(((G1332*Ayarlar!$B$3+Ayarlar!$B$4+Ayarlar!$B$5)+Ayarlar!$B$8)/((1-Ayarlar!$B$6)*(1-Ayarlar!$B$7)),0))</f>
        <v/>
      </c>
      <c r="J1332" s="10">
        <f>IF(G1332="","",ROUNDUP(((G1332*Ayarlar!$B$3+Ayarlar!$B$4+Ayarlar!$B$5)+Ayarlar!$B$8)/((1-Ayarlar!$B$6)*(1-Ayarlar!$B$7-Ayarlar!$B$9)),0))</f>
        <v/>
      </c>
      <c r="K1332" s="12">
        <f>IF(OR(G1332="",F1332=""),"",(F1332*(1-Ayarlar!$B$6)-(F1332*(1-Ayarlar!$B$6)*Ayarlar!$B$7+Ayarlar!$B$8)-(G1332*Ayarlar!$B$3+Ayarlar!$B$4+Ayarlar!$B$5))/(F1332*(1-Ayarlar!$B$6)))</f>
        <v/>
      </c>
      <c r="L1332" s="9">
        <f>IF(G1332="","GRAM EKSİK",IF(F1332&gt;30000,"FİYAT ŞÜPHELİ",IF(K1332&lt;0,"ZARARDA",IF(F1332&lt;I1332,"RİSKLİ","ok"))))</f>
        <v/>
      </c>
      <c r="M1332" s="13" t="inlineStr">
        <is>
          <t>https://www.etsy.com/listing/1739245557</t>
        </is>
      </c>
    </row>
    <row r="1333">
      <c r="A1333" s="3" t="inlineStr">
        <is>
          <t>love</t>
        </is>
      </c>
      <c r="B1333" s="3" t="inlineStr">
        <is>
          <t>10K Gold Heart Nugget Ring / Solid Yellow Gold</t>
        </is>
      </c>
      <c r="C1333" s="3" t="n">
        <v>1739245557</v>
      </c>
      <c r="D1333" s="3" t="inlineStr">
        <is>
          <t>RHN1-6.5</t>
        </is>
      </c>
      <c r="E1333" s="3" t="inlineStr">
        <is>
          <t>description</t>
        </is>
      </c>
      <c r="F1333" s="14" t="n">
        <v>217</v>
      </c>
      <c r="G1333" s="17" t="n">
        <v>1.6</v>
      </c>
      <c r="H1333" s="14">
        <f>IF(G1333="","",G1333*Ayarlar!$B$3+Ayarlar!$B$4+Ayarlar!$B$5)</f>
        <v/>
      </c>
      <c r="I1333" s="14">
        <f>IF(G1333="","",ROUNDUP(((G1333*Ayarlar!$B$3+Ayarlar!$B$4+Ayarlar!$B$5)+Ayarlar!$B$8)/((1-Ayarlar!$B$6)*(1-Ayarlar!$B$7)),0))</f>
        <v/>
      </c>
      <c r="J1333" s="14">
        <f>IF(G1333="","",ROUNDUP(((G1333*Ayarlar!$B$3+Ayarlar!$B$4+Ayarlar!$B$5)+Ayarlar!$B$8)/((1-Ayarlar!$B$6)*(1-Ayarlar!$B$7-Ayarlar!$B$9)),0))</f>
        <v/>
      </c>
      <c r="K1333" s="15">
        <f>IF(OR(G1333="",F1333=""),"",(F1333*(1-Ayarlar!$B$6)-(F1333*(1-Ayarlar!$B$6)*Ayarlar!$B$7+Ayarlar!$B$8)-(G1333*Ayarlar!$B$3+Ayarlar!$B$4+Ayarlar!$B$5))/(F1333*(1-Ayarlar!$B$6)))</f>
        <v/>
      </c>
      <c r="L1333" s="3">
        <f>IF(G1333="","GRAM EKSİK",IF(F1333&gt;30000,"FİYAT ŞÜPHELİ",IF(K1333&lt;0,"ZARARDA",IF(F1333&lt;I1333,"RİSKLİ","ok"))))</f>
        <v/>
      </c>
      <c r="M1333" s="16" t="inlineStr">
        <is>
          <t>https://www.etsy.com/listing/1739245557</t>
        </is>
      </c>
    </row>
    <row r="1334">
      <c r="A1334" s="9" t="inlineStr">
        <is>
          <t>love</t>
        </is>
      </c>
      <c r="B1334" s="9" t="inlineStr">
        <is>
          <t>10K Gold Heart Nugget Ring / Solid Yellow Gold</t>
        </is>
      </c>
      <c r="C1334" s="9" t="n">
        <v>1739245557</v>
      </c>
      <c r="D1334" s="9" t="inlineStr">
        <is>
          <t>RHN1-7</t>
        </is>
      </c>
      <c r="E1334" s="9" t="inlineStr">
        <is>
          <t>description</t>
        </is>
      </c>
      <c r="F1334" s="10" t="n">
        <v>217</v>
      </c>
      <c r="G1334" s="18" t="n">
        <v>1.6</v>
      </c>
      <c r="H1334" s="10">
        <f>IF(G1334="","",G1334*Ayarlar!$B$3+Ayarlar!$B$4+Ayarlar!$B$5)</f>
        <v/>
      </c>
      <c r="I1334" s="10">
        <f>IF(G1334="","",ROUNDUP(((G1334*Ayarlar!$B$3+Ayarlar!$B$4+Ayarlar!$B$5)+Ayarlar!$B$8)/((1-Ayarlar!$B$6)*(1-Ayarlar!$B$7)),0))</f>
        <v/>
      </c>
      <c r="J1334" s="10">
        <f>IF(G1334="","",ROUNDUP(((G1334*Ayarlar!$B$3+Ayarlar!$B$4+Ayarlar!$B$5)+Ayarlar!$B$8)/((1-Ayarlar!$B$6)*(1-Ayarlar!$B$7-Ayarlar!$B$9)),0))</f>
        <v/>
      </c>
      <c r="K1334" s="12">
        <f>IF(OR(G1334="",F1334=""),"",(F1334*(1-Ayarlar!$B$6)-(F1334*(1-Ayarlar!$B$6)*Ayarlar!$B$7+Ayarlar!$B$8)-(G1334*Ayarlar!$B$3+Ayarlar!$B$4+Ayarlar!$B$5))/(F1334*(1-Ayarlar!$B$6)))</f>
        <v/>
      </c>
      <c r="L1334" s="9">
        <f>IF(G1334="","GRAM EKSİK",IF(F1334&gt;30000,"FİYAT ŞÜPHELİ",IF(K1334&lt;0,"ZARARDA",IF(F1334&lt;I1334,"RİSKLİ","ok"))))</f>
        <v/>
      </c>
      <c r="M1334" s="13" t="inlineStr">
        <is>
          <t>https://www.etsy.com/listing/1739245557</t>
        </is>
      </c>
    </row>
    <row r="1335">
      <c r="A1335" s="3" t="inlineStr">
        <is>
          <t>love</t>
        </is>
      </c>
      <c r="B1335" s="3" t="inlineStr">
        <is>
          <t>10K Gold Heart Nugget Ring / Solid Yellow Gold</t>
        </is>
      </c>
      <c r="C1335" s="3" t="n">
        <v>1739245557</v>
      </c>
      <c r="D1335" s="3" t="inlineStr">
        <is>
          <t>RHN1-7.5</t>
        </is>
      </c>
      <c r="E1335" s="3" t="inlineStr">
        <is>
          <t>description</t>
        </is>
      </c>
      <c r="F1335" s="14" t="n">
        <v>217</v>
      </c>
      <c r="G1335" s="17" t="n">
        <v>1.6</v>
      </c>
      <c r="H1335" s="14">
        <f>IF(G1335="","",G1335*Ayarlar!$B$3+Ayarlar!$B$4+Ayarlar!$B$5)</f>
        <v/>
      </c>
      <c r="I1335" s="14">
        <f>IF(G1335="","",ROUNDUP(((G1335*Ayarlar!$B$3+Ayarlar!$B$4+Ayarlar!$B$5)+Ayarlar!$B$8)/((1-Ayarlar!$B$6)*(1-Ayarlar!$B$7)),0))</f>
        <v/>
      </c>
      <c r="J1335" s="14">
        <f>IF(G1335="","",ROUNDUP(((G1335*Ayarlar!$B$3+Ayarlar!$B$4+Ayarlar!$B$5)+Ayarlar!$B$8)/((1-Ayarlar!$B$6)*(1-Ayarlar!$B$7-Ayarlar!$B$9)),0))</f>
        <v/>
      </c>
      <c r="K1335" s="15">
        <f>IF(OR(G1335="",F1335=""),"",(F1335*(1-Ayarlar!$B$6)-(F1335*(1-Ayarlar!$B$6)*Ayarlar!$B$7+Ayarlar!$B$8)-(G1335*Ayarlar!$B$3+Ayarlar!$B$4+Ayarlar!$B$5))/(F1335*(1-Ayarlar!$B$6)))</f>
        <v/>
      </c>
      <c r="L1335" s="3">
        <f>IF(G1335="","GRAM EKSİK",IF(F1335&gt;30000,"FİYAT ŞÜPHELİ",IF(K1335&lt;0,"ZARARDA",IF(F1335&lt;I1335,"RİSKLİ","ok"))))</f>
        <v/>
      </c>
      <c r="M1335" s="16" t="inlineStr">
        <is>
          <t>https://www.etsy.com/listing/1739245557</t>
        </is>
      </c>
    </row>
    <row r="1336">
      <c r="A1336" s="9" t="inlineStr">
        <is>
          <t>love</t>
        </is>
      </c>
      <c r="B1336" s="9" t="inlineStr">
        <is>
          <t>10K Gold Heart Nugget Ring / Solid Yellow Gold</t>
        </is>
      </c>
      <c r="C1336" s="9" t="n">
        <v>1739245557</v>
      </c>
      <c r="D1336" s="9" t="inlineStr">
        <is>
          <t>RHN1-8</t>
        </is>
      </c>
      <c r="E1336" s="9" t="inlineStr">
        <is>
          <t>description</t>
        </is>
      </c>
      <c r="F1336" s="10" t="n">
        <v>217</v>
      </c>
      <c r="G1336" s="18" t="n">
        <v>1.6</v>
      </c>
      <c r="H1336" s="10">
        <f>IF(G1336="","",G1336*Ayarlar!$B$3+Ayarlar!$B$4+Ayarlar!$B$5)</f>
        <v/>
      </c>
      <c r="I1336" s="10">
        <f>IF(G1336="","",ROUNDUP(((G1336*Ayarlar!$B$3+Ayarlar!$B$4+Ayarlar!$B$5)+Ayarlar!$B$8)/((1-Ayarlar!$B$6)*(1-Ayarlar!$B$7)),0))</f>
        <v/>
      </c>
      <c r="J1336" s="10">
        <f>IF(G1336="","",ROUNDUP(((G1336*Ayarlar!$B$3+Ayarlar!$B$4+Ayarlar!$B$5)+Ayarlar!$B$8)/((1-Ayarlar!$B$6)*(1-Ayarlar!$B$7-Ayarlar!$B$9)),0))</f>
        <v/>
      </c>
      <c r="K1336" s="12">
        <f>IF(OR(G1336="",F1336=""),"",(F1336*(1-Ayarlar!$B$6)-(F1336*(1-Ayarlar!$B$6)*Ayarlar!$B$7+Ayarlar!$B$8)-(G1336*Ayarlar!$B$3+Ayarlar!$B$4+Ayarlar!$B$5))/(F1336*(1-Ayarlar!$B$6)))</f>
        <v/>
      </c>
      <c r="L1336" s="9">
        <f>IF(G1336="","GRAM EKSİK",IF(F1336&gt;30000,"FİYAT ŞÜPHELİ",IF(K1336&lt;0,"ZARARDA",IF(F1336&lt;I1336,"RİSKLİ","ok"))))</f>
        <v/>
      </c>
      <c r="M1336" s="13" t="inlineStr">
        <is>
          <t>https://www.etsy.com/listing/1739245557</t>
        </is>
      </c>
    </row>
    <row r="1337">
      <c r="A1337" s="3" t="inlineStr">
        <is>
          <t>love</t>
        </is>
      </c>
      <c r="B1337" s="3" t="inlineStr">
        <is>
          <t>10K Gold Heart Nugget Ring / Solid Yellow Gold</t>
        </is>
      </c>
      <c r="C1337" s="3" t="n">
        <v>1739245557</v>
      </c>
      <c r="D1337" s="3" t="inlineStr">
        <is>
          <t>RHN1-8.5</t>
        </is>
      </c>
      <c r="E1337" s="3" t="inlineStr">
        <is>
          <t>description</t>
        </is>
      </c>
      <c r="F1337" s="14" t="n">
        <v>217</v>
      </c>
      <c r="G1337" s="17" t="n">
        <v>1.6</v>
      </c>
      <c r="H1337" s="14">
        <f>IF(G1337="","",G1337*Ayarlar!$B$3+Ayarlar!$B$4+Ayarlar!$B$5)</f>
        <v/>
      </c>
      <c r="I1337" s="14">
        <f>IF(G1337="","",ROUNDUP(((G1337*Ayarlar!$B$3+Ayarlar!$B$4+Ayarlar!$B$5)+Ayarlar!$B$8)/((1-Ayarlar!$B$6)*(1-Ayarlar!$B$7)),0))</f>
        <v/>
      </c>
      <c r="J1337" s="14">
        <f>IF(G1337="","",ROUNDUP(((G1337*Ayarlar!$B$3+Ayarlar!$B$4+Ayarlar!$B$5)+Ayarlar!$B$8)/((1-Ayarlar!$B$6)*(1-Ayarlar!$B$7-Ayarlar!$B$9)),0))</f>
        <v/>
      </c>
      <c r="K1337" s="15">
        <f>IF(OR(G1337="",F1337=""),"",(F1337*(1-Ayarlar!$B$6)-(F1337*(1-Ayarlar!$B$6)*Ayarlar!$B$7+Ayarlar!$B$8)-(G1337*Ayarlar!$B$3+Ayarlar!$B$4+Ayarlar!$B$5))/(F1337*(1-Ayarlar!$B$6)))</f>
        <v/>
      </c>
      <c r="L1337" s="3">
        <f>IF(G1337="","GRAM EKSİK",IF(F1337&gt;30000,"FİYAT ŞÜPHELİ",IF(K1337&lt;0,"ZARARDA",IF(F1337&lt;I1337,"RİSKLİ","ok"))))</f>
        <v/>
      </c>
      <c r="M1337" s="16" t="inlineStr">
        <is>
          <t>https://www.etsy.com/listing/1739245557</t>
        </is>
      </c>
    </row>
    <row r="1338">
      <c r="A1338" s="9" t="inlineStr">
        <is>
          <t>love</t>
        </is>
      </c>
      <c r="B1338" s="9" t="inlineStr">
        <is>
          <t>10K Gold Heart Nugget Ring / Solid Yellow Gold</t>
        </is>
      </c>
      <c r="C1338" s="9" t="n">
        <v>1739245557</v>
      </c>
      <c r="D1338" s="9" t="inlineStr">
        <is>
          <t>RHN1-9</t>
        </is>
      </c>
      <c r="E1338" s="9" t="inlineStr">
        <is>
          <t>description</t>
        </is>
      </c>
      <c r="F1338" s="10" t="n">
        <v>217</v>
      </c>
      <c r="G1338" s="18" t="n">
        <v>1.6</v>
      </c>
      <c r="H1338" s="10">
        <f>IF(G1338="","",G1338*Ayarlar!$B$3+Ayarlar!$B$4+Ayarlar!$B$5)</f>
        <v/>
      </c>
      <c r="I1338" s="10">
        <f>IF(G1338="","",ROUNDUP(((G1338*Ayarlar!$B$3+Ayarlar!$B$4+Ayarlar!$B$5)+Ayarlar!$B$8)/((1-Ayarlar!$B$6)*(1-Ayarlar!$B$7)),0))</f>
        <v/>
      </c>
      <c r="J1338" s="10">
        <f>IF(G1338="","",ROUNDUP(((G1338*Ayarlar!$B$3+Ayarlar!$B$4+Ayarlar!$B$5)+Ayarlar!$B$8)/((1-Ayarlar!$B$6)*(1-Ayarlar!$B$7-Ayarlar!$B$9)),0))</f>
        <v/>
      </c>
      <c r="K1338" s="12">
        <f>IF(OR(G1338="",F1338=""),"",(F1338*(1-Ayarlar!$B$6)-(F1338*(1-Ayarlar!$B$6)*Ayarlar!$B$7+Ayarlar!$B$8)-(G1338*Ayarlar!$B$3+Ayarlar!$B$4+Ayarlar!$B$5))/(F1338*(1-Ayarlar!$B$6)))</f>
        <v/>
      </c>
      <c r="L1338" s="9">
        <f>IF(G1338="","GRAM EKSİK",IF(F1338&gt;30000,"FİYAT ŞÜPHELİ",IF(K1338&lt;0,"ZARARDA",IF(F1338&lt;I1338,"RİSKLİ","ok"))))</f>
        <v/>
      </c>
      <c r="M1338" s="13" t="inlineStr">
        <is>
          <t>https://www.etsy.com/listing/1739245557</t>
        </is>
      </c>
    </row>
    <row r="1339">
      <c r="A1339" s="3" t="inlineStr">
        <is>
          <t>love</t>
        </is>
      </c>
      <c r="B1339" s="3" t="inlineStr">
        <is>
          <t>10K Gold Heart Nugget Ring / Solid Yellow Gold</t>
        </is>
      </c>
      <c r="C1339" s="3" t="n">
        <v>1739245557</v>
      </c>
      <c r="D1339" s="3" t="inlineStr">
        <is>
          <t>RHN1-9.5</t>
        </is>
      </c>
      <c r="E1339" s="3" t="inlineStr">
        <is>
          <t>description</t>
        </is>
      </c>
      <c r="F1339" s="14" t="n">
        <v>217</v>
      </c>
      <c r="G1339" s="17" t="n">
        <v>1.6</v>
      </c>
      <c r="H1339" s="14">
        <f>IF(G1339="","",G1339*Ayarlar!$B$3+Ayarlar!$B$4+Ayarlar!$B$5)</f>
        <v/>
      </c>
      <c r="I1339" s="14">
        <f>IF(G1339="","",ROUNDUP(((G1339*Ayarlar!$B$3+Ayarlar!$B$4+Ayarlar!$B$5)+Ayarlar!$B$8)/((1-Ayarlar!$B$6)*(1-Ayarlar!$B$7)),0))</f>
        <v/>
      </c>
      <c r="J1339" s="14">
        <f>IF(G1339="","",ROUNDUP(((G1339*Ayarlar!$B$3+Ayarlar!$B$4+Ayarlar!$B$5)+Ayarlar!$B$8)/((1-Ayarlar!$B$6)*(1-Ayarlar!$B$7-Ayarlar!$B$9)),0))</f>
        <v/>
      </c>
      <c r="K1339" s="15">
        <f>IF(OR(G1339="",F1339=""),"",(F1339*(1-Ayarlar!$B$6)-(F1339*(1-Ayarlar!$B$6)*Ayarlar!$B$7+Ayarlar!$B$8)-(G1339*Ayarlar!$B$3+Ayarlar!$B$4+Ayarlar!$B$5))/(F1339*(1-Ayarlar!$B$6)))</f>
        <v/>
      </c>
      <c r="L1339" s="3">
        <f>IF(G1339="","GRAM EKSİK",IF(F1339&gt;30000,"FİYAT ŞÜPHELİ",IF(K1339&lt;0,"ZARARDA",IF(F1339&lt;I1339,"RİSKLİ","ok"))))</f>
        <v/>
      </c>
      <c r="M1339" s="16" t="inlineStr">
        <is>
          <t>https://www.etsy.com/listing/1739245557</t>
        </is>
      </c>
    </row>
    <row r="1340">
      <c r="A1340" s="9" t="inlineStr">
        <is>
          <t>love</t>
        </is>
      </c>
      <c r="B1340" s="9" t="inlineStr">
        <is>
          <t>10K Gold Heart Nugget Ring / Solid Yellow Gold</t>
        </is>
      </c>
      <c r="C1340" s="9" t="n">
        <v>1739245557</v>
      </c>
      <c r="D1340" s="9" t="inlineStr">
        <is>
          <t>RHN2-5</t>
        </is>
      </c>
      <c r="E1340" s="9" t="inlineStr">
        <is>
          <t>description</t>
        </is>
      </c>
      <c r="F1340" s="10" t="n">
        <v>243</v>
      </c>
      <c r="G1340" s="18" t="n">
        <v>1.77</v>
      </c>
      <c r="H1340" s="10">
        <f>IF(G1340="","",G1340*Ayarlar!$B$3+Ayarlar!$B$4+Ayarlar!$B$5)</f>
        <v/>
      </c>
      <c r="I1340" s="10">
        <f>IF(G1340="","",ROUNDUP(((G1340*Ayarlar!$B$3+Ayarlar!$B$4+Ayarlar!$B$5)+Ayarlar!$B$8)/((1-Ayarlar!$B$6)*(1-Ayarlar!$B$7)),0))</f>
        <v/>
      </c>
      <c r="J1340" s="10">
        <f>IF(G1340="","",ROUNDUP(((G1340*Ayarlar!$B$3+Ayarlar!$B$4+Ayarlar!$B$5)+Ayarlar!$B$8)/((1-Ayarlar!$B$6)*(1-Ayarlar!$B$7-Ayarlar!$B$9)),0))</f>
        <v/>
      </c>
      <c r="K1340" s="12">
        <f>IF(OR(G1340="",F1340=""),"",(F1340*(1-Ayarlar!$B$6)-(F1340*(1-Ayarlar!$B$6)*Ayarlar!$B$7+Ayarlar!$B$8)-(G1340*Ayarlar!$B$3+Ayarlar!$B$4+Ayarlar!$B$5))/(F1340*(1-Ayarlar!$B$6)))</f>
        <v/>
      </c>
      <c r="L1340" s="9">
        <f>IF(G1340="","GRAM EKSİK",IF(F1340&gt;30000,"FİYAT ŞÜPHELİ",IF(K1340&lt;0,"ZARARDA",IF(F1340&lt;I1340,"RİSKLİ","ok"))))</f>
        <v/>
      </c>
      <c r="M1340" s="13" t="inlineStr">
        <is>
          <t>https://www.etsy.com/listing/1739245557</t>
        </is>
      </c>
    </row>
    <row r="1341">
      <c r="A1341" s="3" t="inlineStr">
        <is>
          <t>love</t>
        </is>
      </c>
      <c r="B1341" s="3" t="inlineStr">
        <is>
          <t>10K Gold Heart Nugget Ring / Solid Yellow Gold</t>
        </is>
      </c>
      <c r="C1341" s="3" t="n">
        <v>1739245557</v>
      </c>
      <c r="D1341" s="3" t="inlineStr">
        <is>
          <t>RHN2-5.5</t>
        </is>
      </c>
      <c r="E1341" s="3" t="inlineStr">
        <is>
          <t>description</t>
        </is>
      </c>
      <c r="F1341" s="14" t="n">
        <v>243</v>
      </c>
      <c r="G1341" s="17" t="n">
        <v>1.77</v>
      </c>
      <c r="H1341" s="14">
        <f>IF(G1341="","",G1341*Ayarlar!$B$3+Ayarlar!$B$4+Ayarlar!$B$5)</f>
        <v/>
      </c>
      <c r="I1341" s="14">
        <f>IF(G1341="","",ROUNDUP(((G1341*Ayarlar!$B$3+Ayarlar!$B$4+Ayarlar!$B$5)+Ayarlar!$B$8)/((1-Ayarlar!$B$6)*(1-Ayarlar!$B$7)),0))</f>
        <v/>
      </c>
      <c r="J1341" s="14">
        <f>IF(G1341="","",ROUNDUP(((G1341*Ayarlar!$B$3+Ayarlar!$B$4+Ayarlar!$B$5)+Ayarlar!$B$8)/((1-Ayarlar!$B$6)*(1-Ayarlar!$B$7-Ayarlar!$B$9)),0))</f>
        <v/>
      </c>
      <c r="K1341" s="15">
        <f>IF(OR(G1341="",F1341=""),"",(F1341*(1-Ayarlar!$B$6)-(F1341*(1-Ayarlar!$B$6)*Ayarlar!$B$7+Ayarlar!$B$8)-(G1341*Ayarlar!$B$3+Ayarlar!$B$4+Ayarlar!$B$5))/(F1341*(1-Ayarlar!$B$6)))</f>
        <v/>
      </c>
      <c r="L1341" s="3">
        <f>IF(G1341="","GRAM EKSİK",IF(F1341&gt;30000,"FİYAT ŞÜPHELİ",IF(K1341&lt;0,"ZARARDA",IF(F1341&lt;I1341,"RİSKLİ","ok"))))</f>
        <v/>
      </c>
      <c r="M1341" s="16" t="inlineStr">
        <is>
          <t>https://www.etsy.com/listing/1739245557</t>
        </is>
      </c>
    </row>
    <row r="1342">
      <c r="A1342" s="9" t="inlineStr">
        <is>
          <t>love</t>
        </is>
      </c>
      <c r="B1342" s="9" t="inlineStr">
        <is>
          <t>10K Gold Heart Nugget Ring / Solid Yellow Gold</t>
        </is>
      </c>
      <c r="C1342" s="9" t="n">
        <v>1739245557</v>
      </c>
      <c r="D1342" s="9" t="inlineStr">
        <is>
          <t>RHN2-6</t>
        </is>
      </c>
      <c r="E1342" s="9" t="inlineStr">
        <is>
          <t>description</t>
        </is>
      </c>
      <c r="F1342" s="10" t="n">
        <v>243</v>
      </c>
      <c r="G1342" s="18" t="n">
        <v>1.77</v>
      </c>
      <c r="H1342" s="10">
        <f>IF(G1342="","",G1342*Ayarlar!$B$3+Ayarlar!$B$4+Ayarlar!$B$5)</f>
        <v/>
      </c>
      <c r="I1342" s="10">
        <f>IF(G1342="","",ROUNDUP(((G1342*Ayarlar!$B$3+Ayarlar!$B$4+Ayarlar!$B$5)+Ayarlar!$B$8)/((1-Ayarlar!$B$6)*(1-Ayarlar!$B$7)),0))</f>
        <v/>
      </c>
      <c r="J1342" s="10">
        <f>IF(G1342="","",ROUNDUP(((G1342*Ayarlar!$B$3+Ayarlar!$B$4+Ayarlar!$B$5)+Ayarlar!$B$8)/((1-Ayarlar!$B$6)*(1-Ayarlar!$B$7-Ayarlar!$B$9)),0))</f>
        <v/>
      </c>
      <c r="K1342" s="12">
        <f>IF(OR(G1342="",F1342=""),"",(F1342*(1-Ayarlar!$B$6)-(F1342*(1-Ayarlar!$B$6)*Ayarlar!$B$7+Ayarlar!$B$8)-(G1342*Ayarlar!$B$3+Ayarlar!$B$4+Ayarlar!$B$5))/(F1342*(1-Ayarlar!$B$6)))</f>
        <v/>
      </c>
      <c r="L1342" s="9">
        <f>IF(G1342="","GRAM EKSİK",IF(F1342&gt;30000,"FİYAT ŞÜPHELİ",IF(K1342&lt;0,"ZARARDA",IF(F1342&lt;I1342,"RİSKLİ","ok"))))</f>
        <v/>
      </c>
      <c r="M1342" s="13" t="inlineStr">
        <is>
          <t>https://www.etsy.com/listing/1739245557</t>
        </is>
      </c>
    </row>
    <row r="1343">
      <c r="A1343" s="3" t="inlineStr">
        <is>
          <t>love</t>
        </is>
      </c>
      <c r="B1343" s="3" t="inlineStr">
        <is>
          <t>10K Gold Heart Nugget Ring / Solid Yellow Gold</t>
        </is>
      </c>
      <c r="C1343" s="3" t="n">
        <v>1739245557</v>
      </c>
      <c r="D1343" s="3" t="inlineStr">
        <is>
          <t>RHN2-6.5</t>
        </is>
      </c>
      <c r="E1343" s="3" t="inlineStr">
        <is>
          <t>description</t>
        </is>
      </c>
      <c r="F1343" s="14" t="n">
        <v>243</v>
      </c>
      <c r="G1343" s="17" t="n">
        <v>1.77</v>
      </c>
      <c r="H1343" s="14">
        <f>IF(G1343="","",G1343*Ayarlar!$B$3+Ayarlar!$B$4+Ayarlar!$B$5)</f>
        <v/>
      </c>
      <c r="I1343" s="14">
        <f>IF(G1343="","",ROUNDUP(((G1343*Ayarlar!$B$3+Ayarlar!$B$4+Ayarlar!$B$5)+Ayarlar!$B$8)/((1-Ayarlar!$B$6)*(1-Ayarlar!$B$7)),0))</f>
        <v/>
      </c>
      <c r="J1343" s="14">
        <f>IF(G1343="","",ROUNDUP(((G1343*Ayarlar!$B$3+Ayarlar!$B$4+Ayarlar!$B$5)+Ayarlar!$B$8)/((1-Ayarlar!$B$6)*(1-Ayarlar!$B$7-Ayarlar!$B$9)),0))</f>
        <v/>
      </c>
      <c r="K1343" s="15">
        <f>IF(OR(G1343="",F1343=""),"",(F1343*(1-Ayarlar!$B$6)-(F1343*(1-Ayarlar!$B$6)*Ayarlar!$B$7+Ayarlar!$B$8)-(G1343*Ayarlar!$B$3+Ayarlar!$B$4+Ayarlar!$B$5))/(F1343*(1-Ayarlar!$B$6)))</f>
        <v/>
      </c>
      <c r="L1343" s="3">
        <f>IF(G1343="","GRAM EKSİK",IF(F1343&gt;30000,"FİYAT ŞÜPHELİ",IF(K1343&lt;0,"ZARARDA",IF(F1343&lt;I1343,"RİSKLİ","ok"))))</f>
        <v/>
      </c>
      <c r="M1343" s="16" t="inlineStr">
        <is>
          <t>https://www.etsy.com/listing/1739245557</t>
        </is>
      </c>
    </row>
    <row r="1344">
      <c r="A1344" s="9" t="inlineStr">
        <is>
          <t>love</t>
        </is>
      </c>
      <c r="B1344" s="9" t="inlineStr">
        <is>
          <t>10K Gold Heart Nugget Ring / Solid Yellow Gold</t>
        </is>
      </c>
      <c r="C1344" s="9" t="n">
        <v>1739245557</v>
      </c>
      <c r="D1344" s="9" t="inlineStr">
        <is>
          <t>RHN2-7</t>
        </is>
      </c>
      <c r="E1344" s="9" t="inlineStr">
        <is>
          <t>shipstation</t>
        </is>
      </c>
      <c r="F1344" s="10" t="n">
        <v>243</v>
      </c>
      <c r="G1344" s="18" t="n">
        <v>1.77</v>
      </c>
      <c r="H1344" s="10">
        <f>IF(G1344="","",G1344*Ayarlar!$B$3+Ayarlar!$B$4+Ayarlar!$B$5)</f>
        <v/>
      </c>
      <c r="I1344" s="10">
        <f>IF(G1344="","",ROUNDUP(((G1344*Ayarlar!$B$3+Ayarlar!$B$4+Ayarlar!$B$5)+Ayarlar!$B$8)/((1-Ayarlar!$B$6)*(1-Ayarlar!$B$7)),0))</f>
        <v/>
      </c>
      <c r="J1344" s="10">
        <f>IF(G1344="","",ROUNDUP(((G1344*Ayarlar!$B$3+Ayarlar!$B$4+Ayarlar!$B$5)+Ayarlar!$B$8)/((1-Ayarlar!$B$6)*(1-Ayarlar!$B$7-Ayarlar!$B$9)),0))</f>
        <v/>
      </c>
      <c r="K1344" s="12">
        <f>IF(OR(G1344="",F1344=""),"",(F1344*(1-Ayarlar!$B$6)-(F1344*(1-Ayarlar!$B$6)*Ayarlar!$B$7+Ayarlar!$B$8)-(G1344*Ayarlar!$B$3+Ayarlar!$B$4+Ayarlar!$B$5))/(F1344*(1-Ayarlar!$B$6)))</f>
        <v/>
      </c>
      <c r="L1344" s="9">
        <f>IF(G1344="","GRAM EKSİK",IF(F1344&gt;30000,"FİYAT ŞÜPHELİ",IF(K1344&lt;0,"ZARARDA",IF(F1344&lt;I1344,"RİSKLİ","ok"))))</f>
        <v/>
      </c>
      <c r="M1344" s="13" t="inlineStr">
        <is>
          <t>https://www.etsy.com/listing/1739245557</t>
        </is>
      </c>
    </row>
    <row r="1345">
      <c r="A1345" s="3" t="inlineStr">
        <is>
          <t>love</t>
        </is>
      </c>
      <c r="B1345" s="3" t="inlineStr">
        <is>
          <t>10K Gold Heart Nugget Ring / Solid Yellow Gold</t>
        </is>
      </c>
      <c r="C1345" s="3" t="n">
        <v>1739245557</v>
      </c>
      <c r="D1345" s="3" t="inlineStr">
        <is>
          <t>RHN2-7.5</t>
        </is>
      </c>
      <c r="E1345" s="3" t="inlineStr">
        <is>
          <t>description</t>
        </is>
      </c>
      <c r="F1345" s="14" t="n">
        <v>243</v>
      </c>
      <c r="G1345" s="17" t="n">
        <v>1.77</v>
      </c>
      <c r="H1345" s="14">
        <f>IF(G1345="","",G1345*Ayarlar!$B$3+Ayarlar!$B$4+Ayarlar!$B$5)</f>
        <v/>
      </c>
      <c r="I1345" s="14">
        <f>IF(G1345="","",ROUNDUP(((G1345*Ayarlar!$B$3+Ayarlar!$B$4+Ayarlar!$B$5)+Ayarlar!$B$8)/((1-Ayarlar!$B$6)*(1-Ayarlar!$B$7)),0))</f>
        <v/>
      </c>
      <c r="J1345" s="14">
        <f>IF(G1345="","",ROUNDUP(((G1345*Ayarlar!$B$3+Ayarlar!$B$4+Ayarlar!$B$5)+Ayarlar!$B$8)/((1-Ayarlar!$B$6)*(1-Ayarlar!$B$7-Ayarlar!$B$9)),0))</f>
        <v/>
      </c>
      <c r="K1345" s="15">
        <f>IF(OR(G1345="",F1345=""),"",(F1345*(1-Ayarlar!$B$6)-(F1345*(1-Ayarlar!$B$6)*Ayarlar!$B$7+Ayarlar!$B$8)-(G1345*Ayarlar!$B$3+Ayarlar!$B$4+Ayarlar!$B$5))/(F1345*(1-Ayarlar!$B$6)))</f>
        <v/>
      </c>
      <c r="L1345" s="3">
        <f>IF(G1345="","GRAM EKSİK",IF(F1345&gt;30000,"FİYAT ŞÜPHELİ",IF(K1345&lt;0,"ZARARDA",IF(F1345&lt;I1345,"RİSKLİ","ok"))))</f>
        <v/>
      </c>
      <c r="M1345" s="16" t="inlineStr">
        <is>
          <t>https://www.etsy.com/listing/1739245557</t>
        </is>
      </c>
    </row>
    <row r="1346">
      <c r="A1346" s="9" t="inlineStr">
        <is>
          <t>love</t>
        </is>
      </c>
      <c r="B1346" s="9" t="inlineStr">
        <is>
          <t>10K Gold Heart Nugget Ring / Solid Yellow Gold</t>
        </is>
      </c>
      <c r="C1346" s="9" t="n">
        <v>1739245557</v>
      </c>
      <c r="D1346" s="9" t="inlineStr">
        <is>
          <t>RHN2-8</t>
        </is>
      </c>
      <c r="E1346" s="9" t="inlineStr">
        <is>
          <t>description</t>
        </is>
      </c>
      <c r="F1346" s="10" t="n">
        <v>243</v>
      </c>
      <c r="G1346" s="18" t="n">
        <v>1.77</v>
      </c>
      <c r="H1346" s="10">
        <f>IF(G1346="","",G1346*Ayarlar!$B$3+Ayarlar!$B$4+Ayarlar!$B$5)</f>
        <v/>
      </c>
      <c r="I1346" s="10">
        <f>IF(G1346="","",ROUNDUP(((G1346*Ayarlar!$B$3+Ayarlar!$B$4+Ayarlar!$B$5)+Ayarlar!$B$8)/((1-Ayarlar!$B$6)*(1-Ayarlar!$B$7)),0))</f>
        <v/>
      </c>
      <c r="J1346" s="10">
        <f>IF(G1346="","",ROUNDUP(((G1346*Ayarlar!$B$3+Ayarlar!$B$4+Ayarlar!$B$5)+Ayarlar!$B$8)/((1-Ayarlar!$B$6)*(1-Ayarlar!$B$7-Ayarlar!$B$9)),0))</f>
        <v/>
      </c>
      <c r="K1346" s="12">
        <f>IF(OR(G1346="",F1346=""),"",(F1346*(1-Ayarlar!$B$6)-(F1346*(1-Ayarlar!$B$6)*Ayarlar!$B$7+Ayarlar!$B$8)-(G1346*Ayarlar!$B$3+Ayarlar!$B$4+Ayarlar!$B$5))/(F1346*(1-Ayarlar!$B$6)))</f>
        <v/>
      </c>
      <c r="L1346" s="9">
        <f>IF(G1346="","GRAM EKSİK",IF(F1346&gt;30000,"FİYAT ŞÜPHELİ",IF(K1346&lt;0,"ZARARDA",IF(F1346&lt;I1346,"RİSKLİ","ok"))))</f>
        <v/>
      </c>
      <c r="M1346" s="13" t="inlineStr">
        <is>
          <t>https://www.etsy.com/listing/1739245557</t>
        </is>
      </c>
    </row>
    <row r="1347">
      <c r="A1347" s="3" t="inlineStr">
        <is>
          <t>love</t>
        </is>
      </c>
      <c r="B1347" s="3" t="inlineStr">
        <is>
          <t>10K Gold Heart Nugget Ring / Solid Yellow Gold</t>
        </is>
      </c>
      <c r="C1347" s="3" t="n">
        <v>1739245557</v>
      </c>
      <c r="D1347" s="3" t="inlineStr">
        <is>
          <t>RHN2-8.5</t>
        </is>
      </c>
      <c r="E1347" s="3" t="inlineStr">
        <is>
          <t>description</t>
        </is>
      </c>
      <c r="F1347" s="14" t="n">
        <v>243</v>
      </c>
      <c r="G1347" s="17" t="n">
        <v>1.77</v>
      </c>
      <c r="H1347" s="14">
        <f>IF(G1347="","",G1347*Ayarlar!$B$3+Ayarlar!$B$4+Ayarlar!$B$5)</f>
        <v/>
      </c>
      <c r="I1347" s="14">
        <f>IF(G1347="","",ROUNDUP(((G1347*Ayarlar!$B$3+Ayarlar!$B$4+Ayarlar!$B$5)+Ayarlar!$B$8)/((1-Ayarlar!$B$6)*(1-Ayarlar!$B$7)),0))</f>
        <v/>
      </c>
      <c r="J1347" s="14">
        <f>IF(G1347="","",ROUNDUP(((G1347*Ayarlar!$B$3+Ayarlar!$B$4+Ayarlar!$B$5)+Ayarlar!$B$8)/((1-Ayarlar!$B$6)*(1-Ayarlar!$B$7-Ayarlar!$B$9)),0))</f>
        <v/>
      </c>
      <c r="K1347" s="15">
        <f>IF(OR(G1347="",F1347=""),"",(F1347*(1-Ayarlar!$B$6)-(F1347*(1-Ayarlar!$B$6)*Ayarlar!$B$7+Ayarlar!$B$8)-(G1347*Ayarlar!$B$3+Ayarlar!$B$4+Ayarlar!$B$5))/(F1347*(1-Ayarlar!$B$6)))</f>
        <v/>
      </c>
      <c r="L1347" s="3">
        <f>IF(G1347="","GRAM EKSİK",IF(F1347&gt;30000,"FİYAT ŞÜPHELİ",IF(K1347&lt;0,"ZARARDA",IF(F1347&lt;I1347,"RİSKLİ","ok"))))</f>
        <v/>
      </c>
      <c r="M1347" s="16" t="inlineStr">
        <is>
          <t>https://www.etsy.com/listing/1739245557</t>
        </is>
      </c>
    </row>
    <row r="1348">
      <c r="A1348" s="9" t="inlineStr">
        <is>
          <t>love</t>
        </is>
      </c>
      <c r="B1348" s="9" t="inlineStr">
        <is>
          <t>10K Gold Heart Nugget Ring / Solid Yellow Gold</t>
        </is>
      </c>
      <c r="C1348" s="9" t="n">
        <v>1739245557</v>
      </c>
      <c r="D1348" s="9" t="inlineStr">
        <is>
          <t>RHN2-9</t>
        </is>
      </c>
      <c r="E1348" s="9" t="inlineStr">
        <is>
          <t>description</t>
        </is>
      </c>
      <c r="F1348" s="10" t="n">
        <v>243</v>
      </c>
      <c r="G1348" s="18" t="n">
        <v>1.77</v>
      </c>
      <c r="H1348" s="10">
        <f>IF(G1348="","",G1348*Ayarlar!$B$3+Ayarlar!$B$4+Ayarlar!$B$5)</f>
        <v/>
      </c>
      <c r="I1348" s="10">
        <f>IF(G1348="","",ROUNDUP(((G1348*Ayarlar!$B$3+Ayarlar!$B$4+Ayarlar!$B$5)+Ayarlar!$B$8)/((1-Ayarlar!$B$6)*(1-Ayarlar!$B$7)),0))</f>
        <v/>
      </c>
      <c r="J1348" s="10">
        <f>IF(G1348="","",ROUNDUP(((G1348*Ayarlar!$B$3+Ayarlar!$B$4+Ayarlar!$B$5)+Ayarlar!$B$8)/((1-Ayarlar!$B$6)*(1-Ayarlar!$B$7-Ayarlar!$B$9)),0))</f>
        <v/>
      </c>
      <c r="K1348" s="12">
        <f>IF(OR(G1348="",F1348=""),"",(F1348*(1-Ayarlar!$B$6)-(F1348*(1-Ayarlar!$B$6)*Ayarlar!$B$7+Ayarlar!$B$8)-(G1348*Ayarlar!$B$3+Ayarlar!$B$4+Ayarlar!$B$5))/(F1348*(1-Ayarlar!$B$6)))</f>
        <v/>
      </c>
      <c r="L1348" s="9">
        <f>IF(G1348="","GRAM EKSİK",IF(F1348&gt;30000,"FİYAT ŞÜPHELİ",IF(K1348&lt;0,"ZARARDA",IF(F1348&lt;I1348,"RİSKLİ","ok"))))</f>
        <v/>
      </c>
      <c r="M1348" s="13" t="inlineStr">
        <is>
          <t>https://www.etsy.com/listing/1739245557</t>
        </is>
      </c>
    </row>
    <row r="1349">
      <c r="A1349" s="3" t="inlineStr">
        <is>
          <t>love</t>
        </is>
      </c>
      <c r="B1349" s="3" t="inlineStr">
        <is>
          <t>10K Gold Heart Nugget Ring / Solid Yellow Gold</t>
        </is>
      </c>
      <c r="C1349" s="3" t="n">
        <v>1739245557</v>
      </c>
      <c r="D1349" s="3" t="inlineStr">
        <is>
          <t>RHN2-9.5</t>
        </is>
      </c>
      <c r="E1349" s="3" t="inlineStr">
        <is>
          <t>description</t>
        </is>
      </c>
      <c r="F1349" s="14" t="n">
        <v>243</v>
      </c>
      <c r="G1349" s="17" t="n">
        <v>1.77</v>
      </c>
      <c r="H1349" s="14">
        <f>IF(G1349="","",G1349*Ayarlar!$B$3+Ayarlar!$B$4+Ayarlar!$B$5)</f>
        <v/>
      </c>
      <c r="I1349" s="14">
        <f>IF(G1349="","",ROUNDUP(((G1349*Ayarlar!$B$3+Ayarlar!$B$4+Ayarlar!$B$5)+Ayarlar!$B$8)/((1-Ayarlar!$B$6)*(1-Ayarlar!$B$7)),0))</f>
        <v/>
      </c>
      <c r="J1349" s="14">
        <f>IF(G1349="","",ROUNDUP(((G1349*Ayarlar!$B$3+Ayarlar!$B$4+Ayarlar!$B$5)+Ayarlar!$B$8)/((1-Ayarlar!$B$6)*(1-Ayarlar!$B$7-Ayarlar!$B$9)),0))</f>
        <v/>
      </c>
      <c r="K1349" s="15">
        <f>IF(OR(G1349="",F1349=""),"",(F1349*(1-Ayarlar!$B$6)-(F1349*(1-Ayarlar!$B$6)*Ayarlar!$B$7+Ayarlar!$B$8)-(G1349*Ayarlar!$B$3+Ayarlar!$B$4+Ayarlar!$B$5))/(F1349*(1-Ayarlar!$B$6)))</f>
        <v/>
      </c>
      <c r="L1349" s="3">
        <f>IF(G1349="","GRAM EKSİK",IF(F1349&gt;30000,"FİYAT ŞÜPHELİ",IF(K1349&lt;0,"ZARARDA",IF(F1349&lt;I1349,"RİSKLİ","ok"))))</f>
        <v/>
      </c>
      <c r="M1349" s="16" t="inlineStr">
        <is>
          <t>https://www.etsy.com/listing/1739245557</t>
        </is>
      </c>
    </row>
    <row r="1350">
      <c r="A1350" s="9" t="inlineStr">
        <is>
          <t>love</t>
        </is>
      </c>
      <c r="B1350" s="9" t="inlineStr">
        <is>
          <t>10K Gold Heart Nugget Ring / Solid Yellow Gold</t>
        </is>
      </c>
      <c r="C1350" s="9" t="n">
        <v>1739245557</v>
      </c>
      <c r="D1350" s="9" t="inlineStr">
        <is>
          <t>RHN3-5</t>
        </is>
      </c>
      <c r="E1350" s="9" t="inlineStr">
        <is>
          <t>description</t>
        </is>
      </c>
      <c r="F1350" s="10" t="n">
        <v>384</v>
      </c>
      <c r="G1350" s="18" t="n">
        <v>2.94</v>
      </c>
      <c r="H1350" s="10">
        <f>IF(G1350="","",G1350*Ayarlar!$B$3+Ayarlar!$B$4+Ayarlar!$B$5)</f>
        <v/>
      </c>
      <c r="I1350" s="10">
        <f>IF(G1350="","",ROUNDUP(((G1350*Ayarlar!$B$3+Ayarlar!$B$4+Ayarlar!$B$5)+Ayarlar!$B$8)/((1-Ayarlar!$B$6)*(1-Ayarlar!$B$7)),0))</f>
        <v/>
      </c>
      <c r="J1350" s="10">
        <f>IF(G1350="","",ROUNDUP(((G1350*Ayarlar!$B$3+Ayarlar!$B$4+Ayarlar!$B$5)+Ayarlar!$B$8)/((1-Ayarlar!$B$6)*(1-Ayarlar!$B$7-Ayarlar!$B$9)),0))</f>
        <v/>
      </c>
      <c r="K1350" s="12">
        <f>IF(OR(G1350="",F1350=""),"",(F1350*(1-Ayarlar!$B$6)-(F1350*(1-Ayarlar!$B$6)*Ayarlar!$B$7+Ayarlar!$B$8)-(G1350*Ayarlar!$B$3+Ayarlar!$B$4+Ayarlar!$B$5))/(F1350*(1-Ayarlar!$B$6)))</f>
        <v/>
      </c>
      <c r="L1350" s="9">
        <f>IF(G1350="","GRAM EKSİK",IF(F1350&gt;30000,"FİYAT ŞÜPHELİ",IF(K1350&lt;0,"ZARARDA",IF(F1350&lt;I1350,"RİSKLİ","ok"))))</f>
        <v/>
      </c>
      <c r="M1350" s="13" t="inlineStr">
        <is>
          <t>https://www.etsy.com/listing/1739245557</t>
        </is>
      </c>
    </row>
    <row r="1351">
      <c r="A1351" s="3" t="inlineStr">
        <is>
          <t>love</t>
        </is>
      </c>
      <c r="B1351" s="3" t="inlineStr">
        <is>
          <t>10K Gold Heart Nugget Ring / Solid Yellow Gold</t>
        </is>
      </c>
      <c r="C1351" s="3" t="n">
        <v>1739245557</v>
      </c>
      <c r="D1351" s="3" t="inlineStr">
        <is>
          <t>RHN3-5.5</t>
        </is>
      </c>
      <c r="E1351" s="3" t="inlineStr">
        <is>
          <t>description</t>
        </is>
      </c>
      <c r="F1351" s="14" t="n">
        <v>384</v>
      </c>
      <c r="G1351" s="17" t="n">
        <v>2.94</v>
      </c>
      <c r="H1351" s="14">
        <f>IF(G1351="","",G1351*Ayarlar!$B$3+Ayarlar!$B$4+Ayarlar!$B$5)</f>
        <v/>
      </c>
      <c r="I1351" s="14">
        <f>IF(G1351="","",ROUNDUP(((G1351*Ayarlar!$B$3+Ayarlar!$B$4+Ayarlar!$B$5)+Ayarlar!$B$8)/((1-Ayarlar!$B$6)*(1-Ayarlar!$B$7)),0))</f>
        <v/>
      </c>
      <c r="J1351" s="14">
        <f>IF(G1351="","",ROUNDUP(((G1351*Ayarlar!$B$3+Ayarlar!$B$4+Ayarlar!$B$5)+Ayarlar!$B$8)/((1-Ayarlar!$B$6)*(1-Ayarlar!$B$7-Ayarlar!$B$9)),0))</f>
        <v/>
      </c>
      <c r="K1351" s="15">
        <f>IF(OR(G1351="",F1351=""),"",(F1351*(1-Ayarlar!$B$6)-(F1351*(1-Ayarlar!$B$6)*Ayarlar!$B$7+Ayarlar!$B$8)-(G1351*Ayarlar!$B$3+Ayarlar!$B$4+Ayarlar!$B$5))/(F1351*(1-Ayarlar!$B$6)))</f>
        <v/>
      </c>
      <c r="L1351" s="3">
        <f>IF(G1351="","GRAM EKSİK",IF(F1351&gt;30000,"FİYAT ŞÜPHELİ",IF(K1351&lt;0,"ZARARDA",IF(F1351&lt;I1351,"RİSKLİ","ok"))))</f>
        <v/>
      </c>
      <c r="M1351" s="16" t="inlineStr">
        <is>
          <t>https://www.etsy.com/listing/1739245557</t>
        </is>
      </c>
    </row>
    <row r="1352">
      <c r="A1352" s="9" t="inlineStr">
        <is>
          <t>love</t>
        </is>
      </c>
      <c r="B1352" s="9" t="inlineStr">
        <is>
          <t>10K Gold Heart Nugget Ring / Solid Yellow Gold</t>
        </is>
      </c>
      <c r="C1352" s="9" t="n">
        <v>1739245557</v>
      </c>
      <c r="D1352" s="9" t="inlineStr">
        <is>
          <t>RHN3-6</t>
        </is>
      </c>
      <c r="E1352" s="9" t="inlineStr">
        <is>
          <t>description</t>
        </is>
      </c>
      <c r="F1352" s="10" t="n">
        <v>384</v>
      </c>
      <c r="G1352" s="18" t="n">
        <v>2.94</v>
      </c>
      <c r="H1352" s="10">
        <f>IF(G1352="","",G1352*Ayarlar!$B$3+Ayarlar!$B$4+Ayarlar!$B$5)</f>
        <v/>
      </c>
      <c r="I1352" s="10">
        <f>IF(G1352="","",ROUNDUP(((G1352*Ayarlar!$B$3+Ayarlar!$B$4+Ayarlar!$B$5)+Ayarlar!$B$8)/((1-Ayarlar!$B$6)*(1-Ayarlar!$B$7)),0))</f>
        <v/>
      </c>
      <c r="J1352" s="10">
        <f>IF(G1352="","",ROUNDUP(((G1352*Ayarlar!$B$3+Ayarlar!$B$4+Ayarlar!$B$5)+Ayarlar!$B$8)/((1-Ayarlar!$B$6)*(1-Ayarlar!$B$7-Ayarlar!$B$9)),0))</f>
        <v/>
      </c>
      <c r="K1352" s="12">
        <f>IF(OR(G1352="",F1352=""),"",(F1352*(1-Ayarlar!$B$6)-(F1352*(1-Ayarlar!$B$6)*Ayarlar!$B$7+Ayarlar!$B$8)-(G1352*Ayarlar!$B$3+Ayarlar!$B$4+Ayarlar!$B$5))/(F1352*(1-Ayarlar!$B$6)))</f>
        <v/>
      </c>
      <c r="L1352" s="9">
        <f>IF(G1352="","GRAM EKSİK",IF(F1352&gt;30000,"FİYAT ŞÜPHELİ",IF(K1352&lt;0,"ZARARDA",IF(F1352&lt;I1352,"RİSKLİ","ok"))))</f>
        <v/>
      </c>
      <c r="M1352" s="13" t="inlineStr">
        <is>
          <t>https://www.etsy.com/listing/1739245557</t>
        </is>
      </c>
    </row>
    <row r="1353">
      <c r="A1353" s="3" t="inlineStr">
        <is>
          <t>love</t>
        </is>
      </c>
      <c r="B1353" s="3" t="inlineStr">
        <is>
          <t>10K Gold Heart Nugget Ring / Solid Yellow Gold</t>
        </is>
      </c>
      <c r="C1353" s="3" t="n">
        <v>1739245557</v>
      </c>
      <c r="D1353" s="3" t="inlineStr">
        <is>
          <t>RHN3-6.5</t>
        </is>
      </c>
      <c r="E1353" s="3" t="inlineStr">
        <is>
          <t>description</t>
        </is>
      </c>
      <c r="F1353" s="14" t="n">
        <v>384</v>
      </c>
      <c r="G1353" s="17" t="n">
        <v>2.94</v>
      </c>
      <c r="H1353" s="14">
        <f>IF(G1353="","",G1353*Ayarlar!$B$3+Ayarlar!$B$4+Ayarlar!$B$5)</f>
        <v/>
      </c>
      <c r="I1353" s="14">
        <f>IF(G1353="","",ROUNDUP(((G1353*Ayarlar!$B$3+Ayarlar!$B$4+Ayarlar!$B$5)+Ayarlar!$B$8)/((1-Ayarlar!$B$6)*(1-Ayarlar!$B$7)),0))</f>
        <v/>
      </c>
      <c r="J1353" s="14">
        <f>IF(G1353="","",ROUNDUP(((G1353*Ayarlar!$B$3+Ayarlar!$B$4+Ayarlar!$B$5)+Ayarlar!$B$8)/((1-Ayarlar!$B$6)*(1-Ayarlar!$B$7-Ayarlar!$B$9)),0))</f>
        <v/>
      </c>
      <c r="K1353" s="15">
        <f>IF(OR(G1353="",F1353=""),"",(F1353*(1-Ayarlar!$B$6)-(F1353*(1-Ayarlar!$B$6)*Ayarlar!$B$7+Ayarlar!$B$8)-(G1353*Ayarlar!$B$3+Ayarlar!$B$4+Ayarlar!$B$5))/(F1353*(1-Ayarlar!$B$6)))</f>
        <v/>
      </c>
      <c r="L1353" s="3">
        <f>IF(G1353="","GRAM EKSİK",IF(F1353&gt;30000,"FİYAT ŞÜPHELİ",IF(K1353&lt;0,"ZARARDA",IF(F1353&lt;I1353,"RİSKLİ","ok"))))</f>
        <v/>
      </c>
      <c r="M1353" s="16" t="inlineStr">
        <is>
          <t>https://www.etsy.com/listing/1739245557</t>
        </is>
      </c>
    </row>
    <row r="1354">
      <c r="A1354" s="9" t="inlineStr">
        <is>
          <t>love</t>
        </is>
      </c>
      <c r="B1354" s="9" t="inlineStr">
        <is>
          <t>10K Gold Heart Nugget Ring / Solid Yellow Gold</t>
        </is>
      </c>
      <c r="C1354" s="9" t="n">
        <v>1739245557</v>
      </c>
      <c r="D1354" s="9" t="inlineStr">
        <is>
          <t>RHN3-7</t>
        </is>
      </c>
      <c r="E1354" s="9" t="inlineStr">
        <is>
          <t>description</t>
        </is>
      </c>
      <c r="F1354" s="10" t="n">
        <v>384</v>
      </c>
      <c r="G1354" s="18" t="n">
        <v>2.94</v>
      </c>
      <c r="H1354" s="10">
        <f>IF(G1354="","",G1354*Ayarlar!$B$3+Ayarlar!$B$4+Ayarlar!$B$5)</f>
        <v/>
      </c>
      <c r="I1354" s="10">
        <f>IF(G1354="","",ROUNDUP(((G1354*Ayarlar!$B$3+Ayarlar!$B$4+Ayarlar!$B$5)+Ayarlar!$B$8)/((1-Ayarlar!$B$6)*(1-Ayarlar!$B$7)),0))</f>
        <v/>
      </c>
      <c r="J1354" s="10">
        <f>IF(G1354="","",ROUNDUP(((G1354*Ayarlar!$B$3+Ayarlar!$B$4+Ayarlar!$B$5)+Ayarlar!$B$8)/((1-Ayarlar!$B$6)*(1-Ayarlar!$B$7-Ayarlar!$B$9)),0))</f>
        <v/>
      </c>
      <c r="K1354" s="12">
        <f>IF(OR(G1354="",F1354=""),"",(F1354*(1-Ayarlar!$B$6)-(F1354*(1-Ayarlar!$B$6)*Ayarlar!$B$7+Ayarlar!$B$8)-(G1354*Ayarlar!$B$3+Ayarlar!$B$4+Ayarlar!$B$5))/(F1354*(1-Ayarlar!$B$6)))</f>
        <v/>
      </c>
      <c r="L1354" s="9">
        <f>IF(G1354="","GRAM EKSİK",IF(F1354&gt;30000,"FİYAT ŞÜPHELİ",IF(K1354&lt;0,"ZARARDA",IF(F1354&lt;I1354,"RİSKLİ","ok"))))</f>
        <v/>
      </c>
      <c r="M1354" s="13" t="inlineStr">
        <is>
          <t>https://www.etsy.com/listing/1739245557</t>
        </is>
      </c>
    </row>
    <row r="1355">
      <c r="A1355" s="3" t="inlineStr">
        <is>
          <t>love</t>
        </is>
      </c>
      <c r="B1355" s="3" t="inlineStr">
        <is>
          <t>10K Gold Heart Nugget Ring / Solid Yellow Gold</t>
        </is>
      </c>
      <c r="C1355" s="3" t="n">
        <v>1739245557</v>
      </c>
      <c r="D1355" s="3" t="inlineStr">
        <is>
          <t>RHN3-7.5</t>
        </is>
      </c>
      <c r="E1355" s="3" t="inlineStr">
        <is>
          <t>description</t>
        </is>
      </c>
      <c r="F1355" s="14" t="n">
        <v>384</v>
      </c>
      <c r="G1355" s="17" t="n">
        <v>2.94</v>
      </c>
      <c r="H1355" s="14">
        <f>IF(G1355="","",G1355*Ayarlar!$B$3+Ayarlar!$B$4+Ayarlar!$B$5)</f>
        <v/>
      </c>
      <c r="I1355" s="14">
        <f>IF(G1355="","",ROUNDUP(((G1355*Ayarlar!$B$3+Ayarlar!$B$4+Ayarlar!$B$5)+Ayarlar!$B$8)/((1-Ayarlar!$B$6)*(1-Ayarlar!$B$7)),0))</f>
        <v/>
      </c>
      <c r="J1355" s="14">
        <f>IF(G1355="","",ROUNDUP(((G1355*Ayarlar!$B$3+Ayarlar!$B$4+Ayarlar!$B$5)+Ayarlar!$B$8)/((1-Ayarlar!$B$6)*(1-Ayarlar!$B$7-Ayarlar!$B$9)),0))</f>
        <v/>
      </c>
      <c r="K1355" s="15">
        <f>IF(OR(G1355="",F1355=""),"",(F1355*(1-Ayarlar!$B$6)-(F1355*(1-Ayarlar!$B$6)*Ayarlar!$B$7+Ayarlar!$B$8)-(G1355*Ayarlar!$B$3+Ayarlar!$B$4+Ayarlar!$B$5))/(F1355*(1-Ayarlar!$B$6)))</f>
        <v/>
      </c>
      <c r="L1355" s="3">
        <f>IF(G1355="","GRAM EKSİK",IF(F1355&gt;30000,"FİYAT ŞÜPHELİ",IF(K1355&lt;0,"ZARARDA",IF(F1355&lt;I1355,"RİSKLİ","ok"))))</f>
        <v/>
      </c>
      <c r="M1355" s="16" t="inlineStr">
        <is>
          <t>https://www.etsy.com/listing/1739245557</t>
        </is>
      </c>
    </row>
    <row r="1356">
      <c r="A1356" s="9" t="inlineStr">
        <is>
          <t>love</t>
        </is>
      </c>
      <c r="B1356" s="9" t="inlineStr">
        <is>
          <t>10K Gold Heart Nugget Ring / Solid Yellow Gold</t>
        </is>
      </c>
      <c r="C1356" s="9" t="n">
        <v>1739245557</v>
      </c>
      <c r="D1356" s="9" t="inlineStr">
        <is>
          <t>RHN3-8</t>
        </is>
      </c>
      <c r="E1356" s="9" t="inlineStr">
        <is>
          <t>description</t>
        </is>
      </c>
      <c r="F1356" s="10" t="n">
        <v>384</v>
      </c>
      <c r="G1356" s="18" t="n">
        <v>2.94</v>
      </c>
      <c r="H1356" s="10">
        <f>IF(G1356="","",G1356*Ayarlar!$B$3+Ayarlar!$B$4+Ayarlar!$B$5)</f>
        <v/>
      </c>
      <c r="I1356" s="10">
        <f>IF(G1356="","",ROUNDUP(((G1356*Ayarlar!$B$3+Ayarlar!$B$4+Ayarlar!$B$5)+Ayarlar!$B$8)/((1-Ayarlar!$B$6)*(1-Ayarlar!$B$7)),0))</f>
        <v/>
      </c>
      <c r="J1356" s="10">
        <f>IF(G1356="","",ROUNDUP(((G1356*Ayarlar!$B$3+Ayarlar!$B$4+Ayarlar!$B$5)+Ayarlar!$B$8)/((1-Ayarlar!$B$6)*(1-Ayarlar!$B$7-Ayarlar!$B$9)),0))</f>
        <v/>
      </c>
      <c r="K1356" s="12">
        <f>IF(OR(G1356="",F1356=""),"",(F1356*(1-Ayarlar!$B$6)-(F1356*(1-Ayarlar!$B$6)*Ayarlar!$B$7+Ayarlar!$B$8)-(G1356*Ayarlar!$B$3+Ayarlar!$B$4+Ayarlar!$B$5))/(F1356*(1-Ayarlar!$B$6)))</f>
        <v/>
      </c>
      <c r="L1356" s="9">
        <f>IF(G1356="","GRAM EKSİK",IF(F1356&gt;30000,"FİYAT ŞÜPHELİ",IF(K1356&lt;0,"ZARARDA",IF(F1356&lt;I1356,"RİSKLİ","ok"))))</f>
        <v/>
      </c>
      <c r="M1356" s="13" t="inlineStr">
        <is>
          <t>https://www.etsy.com/listing/1739245557</t>
        </is>
      </c>
    </row>
    <row r="1357">
      <c r="A1357" s="3" t="inlineStr">
        <is>
          <t>love</t>
        </is>
      </c>
      <c r="B1357" s="3" t="inlineStr">
        <is>
          <t>10K Gold Heart Nugget Ring / Solid Yellow Gold</t>
        </is>
      </c>
      <c r="C1357" s="3" t="n">
        <v>1739245557</v>
      </c>
      <c r="D1357" s="3" t="inlineStr">
        <is>
          <t>RHN3-8.5</t>
        </is>
      </c>
      <c r="E1357" s="3" t="inlineStr">
        <is>
          <t>description</t>
        </is>
      </c>
      <c r="F1357" s="14" t="n">
        <v>384</v>
      </c>
      <c r="G1357" s="17" t="n">
        <v>2.94</v>
      </c>
      <c r="H1357" s="14">
        <f>IF(G1357="","",G1357*Ayarlar!$B$3+Ayarlar!$B$4+Ayarlar!$B$5)</f>
        <v/>
      </c>
      <c r="I1357" s="14">
        <f>IF(G1357="","",ROUNDUP(((G1357*Ayarlar!$B$3+Ayarlar!$B$4+Ayarlar!$B$5)+Ayarlar!$B$8)/((1-Ayarlar!$B$6)*(1-Ayarlar!$B$7)),0))</f>
        <v/>
      </c>
      <c r="J1357" s="14">
        <f>IF(G1357="","",ROUNDUP(((G1357*Ayarlar!$B$3+Ayarlar!$B$4+Ayarlar!$B$5)+Ayarlar!$B$8)/((1-Ayarlar!$B$6)*(1-Ayarlar!$B$7-Ayarlar!$B$9)),0))</f>
        <v/>
      </c>
      <c r="K1357" s="15">
        <f>IF(OR(G1357="",F1357=""),"",(F1357*(1-Ayarlar!$B$6)-(F1357*(1-Ayarlar!$B$6)*Ayarlar!$B$7+Ayarlar!$B$8)-(G1357*Ayarlar!$B$3+Ayarlar!$B$4+Ayarlar!$B$5))/(F1357*(1-Ayarlar!$B$6)))</f>
        <v/>
      </c>
      <c r="L1357" s="3">
        <f>IF(G1357="","GRAM EKSİK",IF(F1357&gt;30000,"FİYAT ŞÜPHELİ",IF(K1357&lt;0,"ZARARDA",IF(F1357&lt;I1357,"RİSKLİ","ok"))))</f>
        <v/>
      </c>
      <c r="M1357" s="16" t="inlineStr">
        <is>
          <t>https://www.etsy.com/listing/1739245557</t>
        </is>
      </c>
    </row>
    <row r="1358">
      <c r="A1358" s="9" t="inlineStr">
        <is>
          <t>love</t>
        </is>
      </c>
      <c r="B1358" s="9" t="inlineStr">
        <is>
          <t>10K Gold Heart Nugget Ring / Solid Yellow Gold</t>
        </is>
      </c>
      <c r="C1358" s="9" t="n">
        <v>1739245557</v>
      </c>
      <c r="D1358" s="9" t="inlineStr">
        <is>
          <t>RHN3-9</t>
        </is>
      </c>
      <c r="E1358" s="9" t="inlineStr">
        <is>
          <t>description</t>
        </is>
      </c>
      <c r="F1358" s="10" t="n">
        <v>384</v>
      </c>
      <c r="G1358" s="18" t="n">
        <v>2.94</v>
      </c>
      <c r="H1358" s="10">
        <f>IF(G1358="","",G1358*Ayarlar!$B$3+Ayarlar!$B$4+Ayarlar!$B$5)</f>
        <v/>
      </c>
      <c r="I1358" s="10">
        <f>IF(G1358="","",ROUNDUP(((G1358*Ayarlar!$B$3+Ayarlar!$B$4+Ayarlar!$B$5)+Ayarlar!$B$8)/((1-Ayarlar!$B$6)*(1-Ayarlar!$B$7)),0))</f>
        <v/>
      </c>
      <c r="J1358" s="10">
        <f>IF(G1358="","",ROUNDUP(((G1358*Ayarlar!$B$3+Ayarlar!$B$4+Ayarlar!$B$5)+Ayarlar!$B$8)/((1-Ayarlar!$B$6)*(1-Ayarlar!$B$7-Ayarlar!$B$9)),0))</f>
        <v/>
      </c>
      <c r="K1358" s="12">
        <f>IF(OR(G1358="",F1358=""),"",(F1358*(1-Ayarlar!$B$6)-(F1358*(1-Ayarlar!$B$6)*Ayarlar!$B$7+Ayarlar!$B$8)-(G1358*Ayarlar!$B$3+Ayarlar!$B$4+Ayarlar!$B$5))/(F1358*(1-Ayarlar!$B$6)))</f>
        <v/>
      </c>
      <c r="L1358" s="9">
        <f>IF(G1358="","GRAM EKSİK",IF(F1358&gt;30000,"FİYAT ŞÜPHELİ",IF(K1358&lt;0,"ZARARDA",IF(F1358&lt;I1358,"RİSKLİ","ok"))))</f>
        <v/>
      </c>
      <c r="M1358" s="13" t="inlineStr">
        <is>
          <t>https://www.etsy.com/listing/1739245557</t>
        </is>
      </c>
    </row>
    <row r="1359">
      <c r="A1359" s="3" t="inlineStr">
        <is>
          <t>love</t>
        </is>
      </c>
      <c r="B1359" s="3" t="inlineStr">
        <is>
          <t>10K Gold Heart Nugget Ring / Solid Yellow Gold</t>
        </is>
      </c>
      <c r="C1359" s="3" t="n">
        <v>1739245557</v>
      </c>
      <c r="D1359" s="3" t="inlineStr">
        <is>
          <t>RHN3-9.5</t>
        </is>
      </c>
      <c r="E1359" s="3" t="inlineStr">
        <is>
          <t>description</t>
        </is>
      </c>
      <c r="F1359" s="14" t="n">
        <v>384</v>
      </c>
      <c r="G1359" s="17" t="n">
        <v>2.94</v>
      </c>
      <c r="H1359" s="14">
        <f>IF(G1359="","",G1359*Ayarlar!$B$3+Ayarlar!$B$4+Ayarlar!$B$5)</f>
        <v/>
      </c>
      <c r="I1359" s="14">
        <f>IF(G1359="","",ROUNDUP(((G1359*Ayarlar!$B$3+Ayarlar!$B$4+Ayarlar!$B$5)+Ayarlar!$B$8)/((1-Ayarlar!$B$6)*(1-Ayarlar!$B$7)),0))</f>
        <v/>
      </c>
      <c r="J1359" s="14">
        <f>IF(G1359="","",ROUNDUP(((G1359*Ayarlar!$B$3+Ayarlar!$B$4+Ayarlar!$B$5)+Ayarlar!$B$8)/((1-Ayarlar!$B$6)*(1-Ayarlar!$B$7-Ayarlar!$B$9)),0))</f>
        <v/>
      </c>
      <c r="K1359" s="15">
        <f>IF(OR(G1359="",F1359=""),"",(F1359*(1-Ayarlar!$B$6)-(F1359*(1-Ayarlar!$B$6)*Ayarlar!$B$7+Ayarlar!$B$8)-(G1359*Ayarlar!$B$3+Ayarlar!$B$4+Ayarlar!$B$5))/(F1359*(1-Ayarlar!$B$6)))</f>
        <v/>
      </c>
      <c r="L1359" s="3">
        <f>IF(G1359="","GRAM EKSİK",IF(F1359&gt;30000,"FİYAT ŞÜPHELİ",IF(K1359&lt;0,"ZARARDA",IF(F1359&lt;I1359,"RİSKLİ","ok"))))</f>
        <v/>
      </c>
      <c r="M1359" s="16" t="inlineStr">
        <is>
          <t>https://www.etsy.com/listing/1739245557</t>
        </is>
      </c>
    </row>
    <row r="1360">
      <c r="A1360" s="9" t="inlineStr">
        <is>
          <t>love</t>
        </is>
      </c>
      <c r="B1360" s="9" t="inlineStr">
        <is>
          <t>10K Gold Heart Nugget Ring / Solid Yellow Gold</t>
        </is>
      </c>
      <c r="C1360" s="9" t="n">
        <v>1739245557</v>
      </c>
      <c r="D1360" s="9" t="inlineStr">
        <is>
          <t>RHN4-5</t>
        </is>
      </c>
      <c r="E1360" s="9" t="inlineStr">
        <is>
          <t>description</t>
        </is>
      </c>
      <c r="F1360" s="10" t="n">
        <v>643</v>
      </c>
      <c r="G1360" s="18" t="n">
        <v>5.43</v>
      </c>
      <c r="H1360" s="10">
        <f>IF(G1360="","",G1360*Ayarlar!$B$3+Ayarlar!$B$4+Ayarlar!$B$5)</f>
        <v/>
      </c>
      <c r="I1360" s="10">
        <f>IF(G1360="","",ROUNDUP(((G1360*Ayarlar!$B$3+Ayarlar!$B$4+Ayarlar!$B$5)+Ayarlar!$B$8)/((1-Ayarlar!$B$6)*(1-Ayarlar!$B$7)),0))</f>
        <v/>
      </c>
      <c r="J1360" s="10">
        <f>IF(G1360="","",ROUNDUP(((G1360*Ayarlar!$B$3+Ayarlar!$B$4+Ayarlar!$B$5)+Ayarlar!$B$8)/((1-Ayarlar!$B$6)*(1-Ayarlar!$B$7-Ayarlar!$B$9)),0))</f>
        <v/>
      </c>
      <c r="K1360" s="12">
        <f>IF(OR(G1360="",F1360=""),"",(F1360*(1-Ayarlar!$B$6)-(F1360*(1-Ayarlar!$B$6)*Ayarlar!$B$7+Ayarlar!$B$8)-(G1360*Ayarlar!$B$3+Ayarlar!$B$4+Ayarlar!$B$5))/(F1360*(1-Ayarlar!$B$6)))</f>
        <v/>
      </c>
      <c r="L1360" s="9">
        <f>IF(G1360="","GRAM EKSİK",IF(F1360&gt;30000,"FİYAT ŞÜPHELİ",IF(K1360&lt;0,"ZARARDA",IF(F1360&lt;I1360,"RİSKLİ","ok"))))</f>
        <v/>
      </c>
      <c r="M1360" s="13" t="inlineStr">
        <is>
          <t>https://www.etsy.com/listing/1739245557</t>
        </is>
      </c>
    </row>
    <row r="1361">
      <c r="A1361" s="3" t="inlineStr">
        <is>
          <t>love</t>
        </is>
      </c>
      <c r="B1361" s="3" t="inlineStr">
        <is>
          <t>10K Gold Heart Nugget Ring / Solid Yellow Gold</t>
        </is>
      </c>
      <c r="C1361" s="3" t="n">
        <v>1739245557</v>
      </c>
      <c r="D1361" s="3" t="inlineStr">
        <is>
          <t>RHN4-5.5</t>
        </is>
      </c>
      <c r="E1361" s="3" t="inlineStr">
        <is>
          <t>description</t>
        </is>
      </c>
      <c r="F1361" s="14" t="n">
        <v>643</v>
      </c>
      <c r="G1361" s="17" t="n">
        <v>5.43</v>
      </c>
      <c r="H1361" s="14">
        <f>IF(G1361="","",G1361*Ayarlar!$B$3+Ayarlar!$B$4+Ayarlar!$B$5)</f>
        <v/>
      </c>
      <c r="I1361" s="14">
        <f>IF(G1361="","",ROUNDUP(((G1361*Ayarlar!$B$3+Ayarlar!$B$4+Ayarlar!$B$5)+Ayarlar!$B$8)/((1-Ayarlar!$B$6)*(1-Ayarlar!$B$7)),0))</f>
        <v/>
      </c>
      <c r="J1361" s="14">
        <f>IF(G1361="","",ROUNDUP(((G1361*Ayarlar!$B$3+Ayarlar!$B$4+Ayarlar!$B$5)+Ayarlar!$B$8)/((1-Ayarlar!$B$6)*(1-Ayarlar!$B$7-Ayarlar!$B$9)),0))</f>
        <v/>
      </c>
      <c r="K1361" s="15">
        <f>IF(OR(G1361="",F1361=""),"",(F1361*(1-Ayarlar!$B$6)-(F1361*(1-Ayarlar!$B$6)*Ayarlar!$B$7+Ayarlar!$B$8)-(G1361*Ayarlar!$B$3+Ayarlar!$B$4+Ayarlar!$B$5))/(F1361*(1-Ayarlar!$B$6)))</f>
        <v/>
      </c>
      <c r="L1361" s="3">
        <f>IF(G1361="","GRAM EKSİK",IF(F1361&gt;30000,"FİYAT ŞÜPHELİ",IF(K1361&lt;0,"ZARARDA",IF(F1361&lt;I1361,"RİSKLİ","ok"))))</f>
        <v/>
      </c>
      <c r="M1361" s="16" t="inlineStr">
        <is>
          <t>https://www.etsy.com/listing/1739245557</t>
        </is>
      </c>
    </row>
    <row r="1362">
      <c r="A1362" s="9" t="inlineStr">
        <is>
          <t>love</t>
        </is>
      </c>
      <c r="B1362" s="9" t="inlineStr">
        <is>
          <t>10K Gold Heart Nugget Ring / Solid Yellow Gold</t>
        </is>
      </c>
      <c r="C1362" s="9" t="n">
        <v>1739245557</v>
      </c>
      <c r="D1362" s="9" t="inlineStr">
        <is>
          <t>RHN4-6</t>
        </is>
      </c>
      <c r="E1362" s="9" t="inlineStr">
        <is>
          <t>description</t>
        </is>
      </c>
      <c r="F1362" s="10" t="n">
        <v>643</v>
      </c>
      <c r="G1362" s="18" t="n">
        <v>5.43</v>
      </c>
      <c r="H1362" s="10">
        <f>IF(G1362="","",G1362*Ayarlar!$B$3+Ayarlar!$B$4+Ayarlar!$B$5)</f>
        <v/>
      </c>
      <c r="I1362" s="10">
        <f>IF(G1362="","",ROUNDUP(((G1362*Ayarlar!$B$3+Ayarlar!$B$4+Ayarlar!$B$5)+Ayarlar!$B$8)/((1-Ayarlar!$B$6)*(1-Ayarlar!$B$7)),0))</f>
        <v/>
      </c>
      <c r="J1362" s="10">
        <f>IF(G1362="","",ROUNDUP(((G1362*Ayarlar!$B$3+Ayarlar!$B$4+Ayarlar!$B$5)+Ayarlar!$B$8)/((1-Ayarlar!$B$6)*(1-Ayarlar!$B$7-Ayarlar!$B$9)),0))</f>
        <v/>
      </c>
      <c r="K1362" s="12">
        <f>IF(OR(G1362="",F1362=""),"",(F1362*(1-Ayarlar!$B$6)-(F1362*(1-Ayarlar!$B$6)*Ayarlar!$B$7+Ayarlar!$B$8)-(G1362*Ayarlar!$B$3+Ayarlar!$B$4+Ayarlar!$B$5))/(F1362*(1-Ayarlar!$B$6)))</f>
        <v/>
      </c>
      <c r="L1362" s="9">
        <f>IF(G1362="","GRAM EKSİK",IF(F1362&gt;30000,"FİYAT ŞÜPHELİ",IF(K1362&lt;0,"ZARARDA",IF(F1362&lt;I1362,"RİSKLİ","ok"))))</f>
        <v/>
      </c>
      <c r="M1362" s="13" t="inlineStr">
        <is>
          <t>https://www.etsy.com/listing/1739245557</t>
        </is>
      </c>
    </row>
    <row r="1363">
      <c r="A1363" s="3" t="inlineStr">
        <is>
          <t>love</t>
        </is>
      </c>
      <c r="B1363" s="3" t="inlineStr">
        <is>
          <t>10K Gold Heart Nugget Ring / Solid Yellow Gold</t>
        </is>
      </c>
      <c r="C1363" s="3" t="n">
        <v>1739245557</v>
      </c>
      <c r="D1363" s="3" t="inlineStr">
        <is>
          <t>RHN4-6.5</t>
        </is>
      </c>
      <c r="E1363" s="3" t="inlineStr">
        <is>
          <t>description</t>
        </is>
      </c>
      <c r="F1363" s="14" t="n">
        <v>643</v>
      </c>
      <c r="G1363" s="17" t="n">
        <v>5.43</v>
      </c>
      <c r="H1363" s="14">
        <f>IF(G1363="","",G1363*Ayarlar!$B$3+Ayarlar!$B$4+Ayarlar!$B$5)</f>
        <v/>
      </c>
      <c r="I1363" s="14">
        <f>IF(G1363="","",ROUNDUP(((G1363*Ayarlar!$B$3+Ayarlar!$B$4+Ayarlar!$B$5)+Ayarlar!$B$8)/((1-Ayarlar!$B$6)*(1-Ayarlar!$B$7)),0))</f>
        <v/>
      </c>
      <c r="J1363" s="14">
        <f>IF(G1363="","",ROUNDUP(((G1363*Ayarlar!$B$3+Ayarlar!$B$4+Ayarlar!$B$5)+Ayarlar!$B$8)/((1-Ayarlar!$B$6)*(1-Ayarlar!$B$7-Ayarlar!$B$9)),0))</f>
        <v/>
      </c>
      <c r="K1363" s="15">
        <f>IF(OR(G1363="",F1363=""),"",(F1363*(1-Ayarlar!$B$6)-(F1363*(1-Ayarlar!$B$6)*Ayarlar!$B$7+Ayarlar!$B$8)-(G1363*Ayarlar!$B$3+Ayarlar!$B$4+Ayarlar!$B$5))/(F1363*(1-Ayarlar!$B$6)))</f>
        <v/>
      </c>
      <c r="L1363" s="3">
        <f>IF(G1363="","GRAM EKSİK",IF(F1363&gt;30000,"FİYAT ŞÜPHELİ",IF(K1363&lt;0,"ZARARDA",IF(F1363&lt;I1363,"RİSKLİ","ok"))))</f>
        <v/>
      </c>
      <c r="M1363" s="16" t="inlineStr">
        <is>
          <t>https://www.etsy.com/listing/1739245557</t>
        </is>
      </c>
    </row>
    <row r="1364">
      <c r="A1364" s="9" t="inlineStr">
        <is>
          <t>love</t>
        </is>
      </c>
      <c r="B1364" s="9" t="inlineStr">
        <is>
          <t>10K Gold Heart Nugget Ring / Solid Yellow Gold</t>
        </is>
      </c>
      <c r="C1364" s="9" t="n">
        <v>1739245557</v>
      </c>
      <c r="D1364" s="9" t="inlineStr">
        <is>
          <t>RHN4-7</t>
        </is>
      </c>
      <c r="E1364" s="9" t="inlineStr">
        <is>
          <t>description</t>
        </is>
      </c>
      <c r="F1364" s="10" t="n">
        <v>643</v>
      </c>
      <c r="G1364" s="18" t="n">
        <v>5.43</v>
      </c>
      <c r="H1364" s="10">
        <f>IF(G1364="","",G1364*Ayarlar!$B$3+Ayarlar!$B$4+Ayarlar!$B$5)</f>
        <v/>
      </c>
      <c r="I1364" s="10">
        <f>IF(G1364="","",ROUNDUP(((G1364*Ayarlar!$B$3+Ayarlar!$B$4+Ayarlar!$B$5)+Ayarlar!$B$8)/((1-Ayarlar!$B$6)*(1-Ayarlar!$B$7)),0))</f>
        <v/>
      </c>
      <c r="J1364" s="10">
        <f>IF(G1364="","",ROUNDUP(((G1364*Ayarlar!$B$3+Ayarlar!$B$4+Ayarlar!$B$5)+Ayarlar!$B$8)/((1-Ayarlar!$B$6)*(1-Ayarlar!$B$7-Ayarlar!$B$9)),0))</f>
        <v/>
      </c>
      <c r="K1364" s="12">
        <f>IF(OR(G1364="",F1364=""),"",(F1364*(1-Ayarlar!$B$6)-(F1364*(1-Ayarlar!$B$6)*Ayarlar!$B$7+Ayarlar!$B$8)-(G1364*Ayarlar!$B$3+Ayarlar!$B$4+Ayarlar!$B$5))/(F1364*(1-Ayarlar!$B$6)))</f>
        <v/>
      </c>
      <c r="L1364" s="9">
        <f>IF(G1364="","GRAM EKSİK",IF(F1364&gt;30000,"FİYAT ŞÜPHELİ",IF(K1364&lt;0,"ZARARDA",IF(F1364&lt;I1364,"RİSKLİ","ok"))))</f>
        <v/>
      </c>
      <c r="M1364" s="13" t="inlineStr">
        <is>
          <t>https://www.etsy.com/listing/1739245557</t>
        </is>
      </c>
    </row>
    <row r="1365">
      <c r="A1365" s="3" t="inlineStr">
        <is>
          <t>love</t>
        </is>
      </c>
      <c r="B1365" s="3" t="inlineStr">
        <is>
          <t>10K Gold Heart Nugget Ring / Solid Yellow Gold</t>
        </is>
      </c>
      <c r="C1365" s="3" t="n">
        <v>1739245557</v>
      </c>
      <c r="D1365" s="3" t="inlineStr">
        <is>
          <t>RHN4-7.5</t>
        </is>
      </c>
      <c r="E1365" s="3" t="inlineStr">
        <is>
          <t>description</t>
        </is>
      </c>
      <c r="F1365" s="14" t="n">
        <v>643</v>
      </c>
      <c r="G1365" s="17" t="n">
        <v>5.43</v>
      </c>
      <c r="H1365" s="14">
        <f>IF(G1365="","",G1365*Ayarlar!$B$3+Ayarlar!$B$4+Ayarlar!$B$5)</f>
        <v/>
      </c>
      <c r="I1365" s="14">
        <f>IF(G1365="","",ROUNDUP(((G1365*Ayarlar!$B$3+Ayarlar!$B$4+Ayarlar!$B$5)+Ayarlar!$B$8)/((1-Ayarlar!$B$6)*(1-Ayarlar!$B$7)),0))</f>
        <v/>
      </c>
      <c r="J1365" s="14">
        <f>IF(G1365="","",ROUNDUP(((G1365*Ayarlar!$B$3+Ayarlar!$B$4+Ayarlar!$B$5)+Ayarlar!$B$8)/((1-Ayarlar!$B$6)*(1-Ayarlar!$B$7-Ayarlar!$B$9)),0))</f>
        <v/>
      </c>
      <c r="K1365" s="15">
        <f>IF(OR(G1365="",F1365=""),"",(F1365*(1-Ayarlar!$B$6)-(F1365*(1-Ayarlar!$B$6)*Ayarlar!$B$7+Ayarlar!$B$8)-(G1365*Ayarlar!$B$3+Ayarlar!$B$4+Ayarlar!$B$5))/(F1365*(1-Ayarlar!$B$6)))</f>
        <v/>
      </c>
      <c r="L1365" s="3">
        <f>IF(G1365="","GRAM EKSİK",IF(F1365&gt;30000,"FİYAT ŞÜPHELİ",IF(K1365&lt;0,"ZARARDA",IF(F1365&lt;I1365,"RİSKLİ","ok"))))</f>
        <v/>
      </c>
      <c r="M1365" s="16" t="inlineStr">
        <is>
          <t>https://www.etsy.com/listing/1739245557</t>
        </is>
      </c>
    </row>
    <row r="1366">
      <c r="A1366" s="9" t="inlineStr">
        <is>
          <t>love</t>
        </is>
      </c>
      <c r="B1366" s="9" t="inlineStr">
        <is>
          <t>10K Gold Heart Nugget Ring / Solid Yellow Gold</t>
        </is>
      </c>
      <c r="C1366" s="9" t="n">
        <v>1739245557</v>
      </c>
      <c r="D1366" s="9" t="inlineStr">
        <is>
          <t>RHN4-8</t>
        </is>
      </c>
      <c r="E1366" s="9" t="inlineStr">
        <is>
          <t>description</t>
        </is>
      </c>
      <c r="F1366" s="10" t="n">
        <v>643</v>
      </c>
      <c r="G1366" s="18" t="n">
        <v>5.43</v>
      </c>
      <c r="H1366" s="10">
        <f>IF(G1366="","",G1366*Ayarlar!$B$3+Ayarlar!$B$4+Ayarlar!$B$5)</f>
        <v/>
      </c>
      <c r="I1366" s="10">
        <f>IF(G1366="","",ROUNDUP(((G1366*Ayarlar!$B$3+Ayarlar!$B$4+Ayarlar!$B$5)+Ayarlar!$B$8)/((1-Ayarlar!$B$6)*(1-Ayarlar!$B$7)),0))</f>
        <v/>
      </c>
      <c r="J1366" s="10">
        <f>IF(G1366="","",ROUNDUP(((G1366*Ayarlar!$B$3+Ayarlar!$B$4+Ayarlar!$B$5)+Ayarlar!$B$8)/((1-Ayarlar!$B$6)*(1-Ayarlar!$B$7-Ayarlar!$B$9)),0))</f>
        <v/>
      </c>
      <c r="K1366" s="12">
        <f>IF(OR(G1366="",F1366=""),"",(F1366*(1-Ayarlar!$B$6)-(F1366*(1-Ayarlar!$B$6)*Ayarlar!$B$7+Ayarlar!$B$8)-(G1366*Ayarlar!$B$3+Ayarlar!$B$4+Ayarlar!$B$5))/(F1366*(1-Ayarlar!$B$6)))</f>
        <v/>
      </c>
      <c r="L1366" s="9">
        <f>IF(G1366="","GRAM EKSİK",IF(F1366&gt;30000,"FİYAT ŞÜPHELİ",IF(K1366&lt;0,"ZARARDA",IF(F1366&lt;I1366,"RİSKLİ","ok"))))</f>
        <v/>
      </c>
      <c r="M1366" s="13" t="inlineStr">
        <is>
          <t>https://www.etsy.com/listing/1739245557</t>
        </is>
      </c>
    </row>
    <row r="1367">
      <c r="A1367" s="3" t="inlineStr">
        <is>
          <t>love</t>
        </is>
      </c>
      <c r="B1367" s="3" t="inlineStr">
        <is>
          <t>10K Gold Heart Nugget Ring / Solid Yellow Gold</t>
        </is>
      </c>
      <c r="C1367" s="3" t="n">
        <v>1739245557</v>
      </c>
      <c r="D1367" s="3" t="inlineStr">
        <is>
          <t>RHN4-8.5</t>
        </is>
      </c>
      <c r="E1367" s="3" t="inlineStr">
        <is>
          <t>description</t>
        </is>
      </c>
      <c r="F1367" s="14" t="n">
        <v>643</v>
      </c>
      <c r="G1367" s="17" t="n">
        <v>5.43</v>
      </c>
      <c r="H1367" s="14">
        <f>IF(G1367="","",G1367*Ayarlar!$B$3+Ayarlar!$B$4+Ayarlar!$B$5)</f>
        <v/>
      </c>
      <c r="I1367" s="14">
        <f>IF(G1367="","",ROUNDUP(((G1367*Ayarlar!$B$3+Ayarlar!$B$4+Ayarlar!$B$5)+Ayarlar!$B$8)/((1-Ayarlar!$B$6)*(1-Ayarlar!$B$7)),0))</f>
        <v/>
      </c>
      <c r="J1367" s="14">
        <f>IF(G1367="","",ROUNDUP(((G1367*Ayarlar!$B$3+Ayarlar!$B$4+Ayarlar!$B$5)+Ayarlar!$B$8)/((1-Ayarlar!$B$6)*(1-Ayarlar!$B$7-Ayarlar!$B$9)),0))</f>
        <v/>
      </c>
      <c r="K1367" s="15">
        <f>IF(OR(G1367="",F1367=""),"",(F1367*(1-Ayarlar!$B$6)-(F1367*(1-Ayarlar!$B$6)*Ayarlar!$B$7+Ayarlar!$B$8)-(G1367*Ayarlar!$B$3+Ayarlar!$B$4+Ayarlar!$B$5))/(F1367*(1-Ayarlar!$B$6)))</f>
        <v/>
      </c>
      <c r="L1367" s="3">
        <f>IF(G1367="","GRAM EKSİK",IF(F1367&gt;30000,"FİYAT ŞÜPHELİ",IF(K1367&lt;0,"ZARARDA",IF(F1367&lt;I1367,"RİSKLİ","ok"))))</f>
        <v/>
      </c>
      <c r="M1367" s="16" t="inlineStr">
        <is>
          <t>https://www.etsy.com/listing/1739245557</t>
        </is>
      </c>
    </row>
    <row r="1368">
      <c r="A1368" s="9" t="inlineStr">
        <is>
          <t>love</t>
        </is>
      </c>
      <c r="B1368" s="9" t="inlineStr">
        <is>
          <t>10K Gold Heart Nugget Ring / Solid Yellow Gold</t>
        </is>
      </c>
      <c r="C1368" s="9" t="n">
        <v>1739245557</v>
      </c>
      <c r="D1368" s="9" t="inlineStr">
        <is>
          <t>RHN4-9</t>
        </is>
      </c>
      <c r="E1368" s="9" t="inlineStr">
        <is>
          <t>description</t>
        </is>
      </c>
      <c r="F1368" s="10" t="n">
        <v>643</v>
      </c>
      <c r="G1368" s="18" t="n">
        <v>5.43</v>
      </c>
      <c r="H1368" s="10">
        <f>IF(G1368="","",G1368*Ayarlar!$B$3+Ayarlar!$B$4+Ayarlar!$B$5)</f>
        <v/>
      </c>
      <c r="I1368" s="10">
        <f>IF(G1368="","",ROUNDUP(((G1368*Ayarlar!$B$3+Ayarlar!$B$4+Ayarlar!$B$5)+Ayarlar!$B$8)/((1-Ayarlar!$B$6)*(1-Ayarlar!$B$7)),0))</f>
        <v/>
      </c>
      <c r="J1368" s="10">
        <f>IF(G1368="","",ROUNDUP(((G1368*Ayarlar!$B$3+Ayarlar!$B$4+Ayarlar!$B$5)+Ayarlar!$B$8)/((1-Ayarlar!$B$6)*(1-Ayarlar!$B$7-Ayarlar!$B$9)),0))</f>
        <v/>
      </c>
      <c r="K1368" s="12">
        <f>IF(OR(G1368="",F1368=""),"",(F1368*(1-Ayarlar!$B$6)-(F1368*(1-Ayarlar!$B$6)*Ayarlar!$B$7+Ayarlar!$B$8)-(G1368*Ayarlar!$B$3+Ayarlar!$B$4+Ayarlar!$B$5))/(F1368*(1-Ayarlar!$B$6)))</f>
        <v/>
      </c>
      <c r="L1368" s="9">
        <f>IF(G1368="","GRAM EKSİK",IF(F1368&gt;30000,"FİYAT ŞÜPHELİ",IF(K1368&lt;0,"ZARARDA",IF(F1368&lt;I1368,"RİSKLİ","ok"))))</f>
        <v/>
      </c>
      <c r="M1368" s="13" t="inlineStr">
        <is>
          <t>https://www.etsy.com/listing/1739245557</t>
        </is>
      </c>
    </row>
    <row r="1369">
      <c r="A1369" s="3" t="inlineStr">
        <is>
          <t>love</t>
        </is>
      </c>
      <c r="B1369" s="3" t="inlineStr">
        <is>
          <t>10K Gold Heart Nugget Ring / Solid Yellow Gold</t>
        </is>
      </c>
      <c r="C1369" s="3" t="n">
        <v>1739245557</v>
      </c>
      <c r="D1369" s="3" t="inlineStr">
        <is>
          <t>RHN4-9.5</t>
        </is>
      </c>
      <c r="E1369" s="3" t="inlineStr">
        <is>
          <t>description</t>
        </is>
      </c>
      <c r="F1369" s="14" t="n">
        <v>643</v>
      </c>
      <c r="G1369" s="17" t="n">
        <v>5.43</v>
      </c>
      <c r="H1369" s="14">
        <f>IF(G1369="","",G1369*Ayarlar!$B$3+Ayarlar!$B$4+Ayarlar!$B$5)</f>
        <v/>
      </c>
      <c r="I1369" s="14">
        <f>IF(G1369="","",ROUNDUP(((G1369*Ayarlar!$B$3+Ayarlar!$B$4+Ayarlar!$B$5)+Ayarlar!$B$8)/((1-Ayarlar!$B$6)*(1-Ayarlar!$B$7)),0))</f>
        <v/>
      </c>
      <c r="J1369" s="14">
        <f>IF(G1369="","",ROUNDUP(((G1369*Ayarlar!$B$3+Ayarlar!$B$4+Ayarlar!$B$5)+Ayarlar!$B$8)/((1-Ayarlar!$B$6)*(1-Ayarlar!$B$7-Ayarlar!$B$9)),0))</f>
        <v/>
      </c>
      <c r="K1369" s="15">
        <f>IF(OR(G1369="",F1369=""),"",(F1369*(1-Ayarlar!$B$6)-(F1369*(1-Ayarlar!$B$6)*Ayarlar!$B$7+Ayarlar!$B$8)-(G1369*Ayarlar!$B$3+Ayarlar!$B$4+Ayarlar!$B$5))/(F1369*(1-Ayarlar!$B$6)))</f>
        <v/>
      </c>
      <c r="L1369" s="3">
        <f>IF(G1369="","GRAM EKSİK",IF(F1369&gt;30000,"FİYAT ŞÜPHELİ",IF(K1369&lt;0,"ZARARDA",IF(F1369&lt;I1369,"RİSKLİ","ok"))))</f>
        <v/>
      </c>
      <c r="M1369" s="16" t="inlineStr">
        <is>
          <t>https://www.etsy.com/listing/1739245557</t>
        </is>
      </c>
    </row>
    <row r="1370">
      <c r="A1370" s="9" t="inlineStr">
        <is>
          <t>love</t>
        </is>
      </c>
      <c r="B1370" s="9" t="inlineStr">
        <is>
          <t>10K Gold Nugget Heart Pendant Necklace / Diamond Cut Rope Ch</t>
        </is>
      </c>
      <c r="C1370" s="9" t="n">
        <v>1713308864</v>
      </c>
      <c r="D1370" s="9" t="inlineStr">
        <is>
          <t>PNUG1</t>
        </is>
      </c>
      <c r="E1370" s="9" t="inlineStr">
        <is>
          <t>description</t>
        </is>
      </c>
      <c r="F1370" s="10" t="n">
        <v>144</v>
      </c>
      <c r="G1370" s="18" t="n">
        <v>1.03</v>
      </c>
      <c r="H1370" s="10">
        <f>IF(G1370="","",G1370*Ayarlar!$B$3+Ayarlar!$B$4+Ayarlar!$B$5)</f>
        <v/>
      </c>
      <c r="I1370" s="10">
        <f>IF(G1370="","",ROUNDUP(((G1370*Ayarlar!$B$3+Ayarlar!$B$4+Ayarlar!$B$5)+Ayarlar!$B$8)/((1-Ayarlar!$B$6)*(1-Ayarlar!$B$7)),0))</f>
        <v/>
      </c>
      <c r="J1370" s="10">
        <f>IF(G1370="","",ROUNDUP(((G1370*Ayarlar!$B$3+Ayarlar!$B$4+Ayarlar!$B$5)+Ayarlar!$B$8)/((1-Ayarlar!$B$6)*(1-Ayarlar!$B$7-Ayarlar!$B$9)),0))</f>
        <v/>
      </c>
      <c r="K1370" s="12">
        <f>IF(OR(G1370="",F1370=""),"",(F1370*(1-Ayarlar!$B$6)-(F1370*(1-Ayarlar!$B$6)*Ayarlar!$B$7+Ayarlar!$B$8)-(G1370*Ayarlar!$B$3+Ayarlar!$B$4+Ayarlar!$B$5))/(F1370*(1-Ayarlar!$B$6)))</f>
        <v/>
      </c>
      <c r="L1370" s="9">
        <f>IF(G1370="","GRAM EKSİK",IF(F1370&gt;30000,"FİYAT ŞÜPHELİ",IF(K1370&lt;0,"ZARARDA",IF(F1370&lt;I1370,"RİSKLİ","ok"))))</f>
        <v/>
      </c>
      <c r="M1370" s="13" t="inlineStr">
        <is>
          <t>https://www.etsy.com/listing/1713308864</t>
        </is>
      </c>
    </row>
    <row r="1371">
      <c r="A1371" s="3" t="inlineStr">
        <is>
          <t>love</t>
        </is>
      </c>
      <c r="B1371" s="3" t="inlineStr">
        <is>
          <t>10K Gold Nugget Heart Pendant Necklace / Diamond Cut Rope Ch</t>
        </is>
      </c>
      <c r="C1371" s="3" t="n">
        <v>1713308864</v>
      </c>
      <c r="D1371" s="3" t="inlineStr">
        <is>
          <t>PNUG1-25-16</t>
        </is>
      </c>
      <c r="E1371" s="3" t="inlineStr">
        <is>
          <t>description</t>
        </is>
      </c>
      <c r="F1371" s="14" t="n">
        <v>530</v>
      </c>
      <c r="G1371" s="17" t="n">
        <v>3.23</v>
      </c>
      <c r="H1371" s="14">
        <f>IF(G1371="","",G1371*Ayarlar!$B$3+Ayarlar!$B$4+Ayarlar!$B$5)</f>
        <v/>
      </c>
      <c r="I1371" s="14">
        <f>IF(G1371="","",ROUNDUP(((G1371*Ayarlar!$B$3+Ayarlar!$B$4+Ayarlar!$B$5)+Ayarlar!$B$8)/((1-Ayarlar!$B$6)*(1-Ayarlar!$B$7)),0))</f>
        <v/>
      </c>
      <c r="J1371" s="14">
        <f>IF(G1371="","",ROUNDUP(((G1371*Ayarlar!$B$3+Ayarlar!$B$4+Ayarlar!$B$5)+Ayarlar!$B$8)/((1-Ayarlar!$B$6)*(1-Ayarlar!$B$7-Ayarlar!$B$9)),0))</f>
        <v/>
      </c>
      <c r="K1371" s="15">
        <f>IF(OR(G1371="",F1371=""),"",(F1371*(1-Ayarlar!$B$6)-(F1371*(1-Ayarlar!$B$6)*Ayarlar!$B$7+Ayarlar!$B$8)-(G1371*Ayarlar!$B$3+Ayarlar!$B$4+Ayarlar!$B$5))/(F1371*(1-Ayarlar!$B$6)))</f>
        <v/>
      </c>
      <c r="L1371" s="3">
        <f>IF(G1371="","GRAM EKSİK",IF(F1371&gt;30000,"FİYAT ŞÜPHELİ",IF(K1371&lt;0,"ZARARDA",IF(F1371&lt;I1371,"RİSKLİ","ok"))))</f>
        <v/>
      </c>
      <c r="M1371" s="16" t="inlineStr">
        <is>
          <t>https://www.etsy.com/listing/1713308864</t>
        </is>
      </c>
    </row>
    <row r="1372">
      <c r="A1372" s="9" t="inlineStr">
        <is>
          <t>love</t>
        </is>
      </c>
      <c r="B1372" s="9" t="inlineStr">
        <is>
          <t>10K Gold Nugget Heart Pendant Necklace / Diamond Cut Rope Ch</t>
        </is>
      </c>
      <c r="C1372" s="9" t="n">
        <v>1713308864</v>
      </c>
      <c r="D1372" s="9" t="inlineStr">
        <is>
          <t>PNUG1-25-18</t>
        </is>
      </c>
      <c r="E1372" s="9" t="inlineStr">
        <is>
          <t>description</t>
        </is>
      </c>
      <c r="F1372" s="10" t="n">
        <v>573</v>
      </c>
      <c r="G1372" s="18" t="n">
        <v>3.51</v>
      </c>
      <c r="H1372" s="10">
        <f>IF(G1372="","",G1372*Ayarlar!$B$3+Ayarlar!$B$4+Ayarlar!$B$5)</f>
        <v/>
      </c>
      <c r="I1372" s="10">
        <f>IF(G1372="","",ROUNDUP(((G1372*Ayarlar!$B$3+Ayarlar!$B$4+Ayarlar!$B$5)+Ayarlar!$B$8)/((1-Ayarlar!$B$6)*(1-Ayarlar!$B$7)),0))</f>
        <v/>
      </c>
      <c r="J1372" s="10">
        <f>IF(G1372="","",ROUNDUP(((G1372*Ayarlar!$B$3+Ayarlar!$B$4+Ayarlar!$B$5)+Ayarlar!$B$8)/((1-Ayarlar!$B$6)*(1-Ayarlar!$B$7-Ayarlar!$B$9)),0))</f>
        <v/>
      </c>
      <c r="K1372" s="12">
        <f>IF(OR(G1372="",F1372=""),"",(F1372*(1-Ayarlar!$B$6)-(F1372*(1-Ayarlar!$B$6)*Ayarlar!$B$7+Ayarlar!$B$8)-(G1372*Ayarlar!$B$3+Ayarlar!$B$4+Ayarlar!$B$5))/(F1372*(1-Ayarlar!$B$6)))</f>
        <v/>
      </c>
      <c r="L1372" s="9">
        <f>IF(G1372="","GRAM EKSİK",IF(F1372&gt;30000,"FİYAT ŞÜPHELİ",IF(K1372&lt;0,"ZARARDA",IF(F1372&lt;I1372,"RİSKLİ","ok"))))</f>
        <v/>
      </c>
      <c r="M1372" s="13" t="inlineStr">
        <is>
          <t>https://www.etsy.com/listing/1713308864</t>
        </is>
      </c>
    </row>
    <row r="1373">
      <c r="A1373" s="3" t="inlineStr">
        <is>
          <t>love</t>
        </is>
      </c>
      <c r="B1373" s="3" t="inlineStr">
        <is>
          <t>10K Gold Nugget Heart Pendant Necklace / Diamond Cut Rope Ch</t>
        </is>
      </c>
      <c r="C1373" s="3" t="n">
        <v>1713308864</v>
      </c>
      <c r="D1373" s="3" t="inlineStr">
        <is>
          <t>PNUG1-25-20</t>
        </is>
      </c>
      <c r="E1373" s="3" t="inlineStr">
        <is>
          <t>description</t>
        </is>
      </c>
      <c r="F1373" s="14" t="n">
        <v>615</v>
      </c>
      <c r="G1373" s="17" t="n">
        <v>3.78</v>
      </c>
      <c r="H1373" s="14">
        <f>IF(G1373="","",G1373*Ayarlar!$B$3+Ayarlar!$B$4+Ayarlar!$B$5)</f>
        <v/>
      </c>
      <c r="I1373" s="14">
        <f>IF(G1373="","",ROUNDUP(((G1373*Ayarlar!$B$3+Ayarlar!$B$4+Ayarlar!$B$5)+Ayarlar!$B$8)/((1-Ayarlar!$B$6)*(1-Ayarlar!$B$7)),0))</f>
        <v/>
      </c>
      <c r="J1373" s="14">
        <f>IF(G1373="","",ROUNDUP(((G1373*Ayarlar!$B$3+Ayarlar!$B$4+Ayarlar!$B$5)+Ayarlar!$B$8)/((1-Ayarlar!$B$6)*(1-Ayarlar!$B$7-Ayarlar!$B$9)),0))</f>
        <v/>
      </c>
      <c r="K1373" s="15">
        <f>IF(OR(G1373="",F1373=""),"",(F1373*(1-Ayarlar!$B$6)-(F1373*(1-Ayarlar!$B$6)*Ayarlar!$B$7+Ayarlar!$B$8)-(G1373*Ayarlar!$B$3+Ayarlar!$B$4+Ayarlar!$B$5))/(F1373*(1-Ayarlar!$B$6)))</f>
        <v/>
      </c>
      <c r="L1373" s="3">
        <f>IF(G1373="","GRAM EKSİK",IF(F1373&gt;30000,"FİYAT ŞÜPHELİ",IF(K1373&lt;0,"ZARARDA",IF(F1373&lt;I1373,"RİSKLİ","ok"))))</f>
        <v/>
      </c>
      <c r="M1373" s="16" t="inlineStr">
        <is>
          <t>https://www.etsy.com/listing/1713308864</t>
        </is>
      </c>
    </row>
    <row r="1374">
      <c r="A1374" s="9" t="inlineStr">
        <is>
          <t>love</t>
        </is>
      </c>
      <c r="B1374" s="9" t="inlineStr">
        <is>
          <t>10K Gold Nugget Heart Pendant Necklace / Diamond Cut Rope Ch</t>
        </is>
      </c>
      <c r="C1374" s="9" t="n">
        <v>1713308864</v>
      </c>
      <c r="D1374" s="9" t="inlineStr">
        <is>
          <t>PNUG1-25-22</t>
        </is>
      </c>
      <c r="E1374" s="9" t="inlineStr">
        <is>
          <t>description</t>
        </is>
      </c>
      <c r="F1374" s="10" t="n">
        <v>659</v>
      </c>
      <c r="G1374" s="18" t="n">
        <v>4.06</v>
      </c>
      <c r="H1374" s="10">
        <f>IF(G1374="","",G1374*Ayarlar!$B$3+Ayarlar!$B$4+Ayarlar!$B$5)</f>
        <v/>
      </c>
      <c r="I1374" s="10">
        <f>IF(G1374="","",ROUNDUP(((G1374*Ayarlar!$B$3+Ayarlar!$B$4+Ayarlar!$B$5)+Ayarlar!$B$8)/((1-Ayarlar!$B$6)*(1-Ayarlar!$B$7)),0))</f>
        <v/>
      </c>
      <c r="J1374" s="10">
        <f>IF(G1374="","",ROUNDUP(((G1374*Ayarlar!$B$3+Ayarlar!$B$4+Ayarlar!$B$5)+Ayarlar!$B$8)/((1-Ayarlar!$B$6)*(1-Ayarlar!$B$7-Ayarlar!$B$9)),0))</f>
        <v/>
      </c>
      <c r="K1374" s="12">
        <f>IF(OR(G1374="",F1374=""),"",(F1374*(1-Ayarlar!$B$6)-(F1374*(1-Ayarlar!$B$6)*Ayarlar!$B$7+Ayarlar!$B$8)-(G1374*Ayarlar!$B$3+Ayarlar!$B$4+Ayarlar!$B$5))/(F1374*(1-Ayarlar!$B$6)))</f>
        <v/>
      </c>
      <c r="L1374" s="9">
        <f>IF(G1374="","GRAM EKSİK",IF(F1374&gt;30000,"FİYAT ŞÜPHELİ",IF(K1374&lt;0,"ZARARDA",IF(F1374&lt;I1374,"RİSKLİ","ok"))))</f>
        <v/>
      </c>
      <c r="M1374" s="13" t="inlineStr">
        <is>
          <t>https://www.etsy.com/listing/1713308864</t>
        </is>
      </c>
    </row>
    <row r="1375">
      <c r="A1375" s="3" t="inlineStr">
        <is>
          <t>love</t>
        </is>
      </c>
      <c r="B1375" s="3" t="inlineStr">
        <is>
          <t>10K Gold Nugget Heart Pendant Necklace / Diamond Cut Rope Ch</t>
        </is>
      </c>
      <c r="C1375" s="3" t="n">
        <v>1713308864</v>
      </c>
      <c r="D1375" s="3" t="inlineStr">
        <is>
          <t>PNUG1-25-24</t>
        </is>
      </c>
      <c r="E1375" s="3" t="inlineStr">
        <is>
          <t>description</t>
        </is>
      </c>
      <c r="F1375" s="14" t="n">
        <v>702</v>
      </c>
      <c r="G1375" s="17" t="n">
        <v>4.33</v>
      </c>
      <c r="H1375" s="14">
        <f>IF(G1375="","",G1375*Ayarlar!$B$3+Ayarlar!$B$4+Ayarlar!$B$5)</f>
        <v/>
      </c>
      <c r="I1375" s="14">
        <f>IF(G1375="","",ROUNDUP(((G1375*Ayarlar!$B$3+Ayarlar!$B$4+Ayarlar!$B$5)+Ayarlar!$B$8)/((1-Ayarlar!$B$6)*(1-Ayarlar!$B$7)),0))</f>
        <v/>
      </c>
      <c r="J1375" s="14">
        <f>IF(G1375="","",ROUNDUP(((G1375*Ayarlar!$B$3+Ayarlar!$B$4+Ayarlar!$B$5)+Ayarlar!$B$8)/((1-Ayarlar!$B$6)*(1-Ayarlar!$B$7-Ayarlar!$B$9)),0))</f>
        <v/>
      </c>
      <c r="K1375" s="15">
        <f>IF(OR(G1375="",F1375=""),"",(F1375*(1-Ayarlar!$B$6)-(F1375*(1-Ayarlar!$B$6)*Ayarlar!$B$7+Ayarlar!$B$8)-(G1375*Ayarlar!$B$3+Ayarlar!$B$4+Ayarlar!$B$5))/(F1375*(1-Ayarlar!$B$6)))</f>
        <v/>
      </c>
      <c r="L1375" s="3">
        <f>IF(G1375="","GRAM EKSİK",IF(F1375&gt;30000,"FİYAT ŞÜPHELİ",IF(K1375&lt;0,"ZARARDA",IF(F1375&lt;I1375,"RİSKLİ","ok"))))</f>
        <v/>
      </c>
      <c r="M1375" s="16" t="inlineStr">
        <is>
          <t>https://www.etsy.com/listing/1713308864</t>
        </is>
      </c>
    </row>
    <row r="1376">
      <c r="A1376" s="9" t="inlineStr">
        <is>
          <t>love</t>
        </is>
      </c>
      <c r="B1376" s="9" t="inlineStr">
        <is>
          <t>10K Gold Nugget Heart Pendant Necklace / Diamond Cut Rope Ch</t>
        </is>
      </c>
      <c r="C1376" s="9" t="n">
        <v>1713308864</v>
      </c>
      <c r="D1376" s="9" t="inlineStr">
        <is>
          <t>PNUG1-3-16</t>
        </is>
      </c>
      <c r="E1376" s="9" t="inlineStr">
        <is>
          <t>description</t>
        </is>
      </c>
      <c r="F1376" s="10" t="n">
        <v>603</v>
      </c>
      <c r="G1376" s="18" t="n">
        <v>3.91</v>
      </c>
      <c r="H1376" s="10">
        <f>IF(G1376="","",G1376*Ayarlar!$B$3+Ayarlar!$B$4+Ayarlar!$B$5)</f>
        <v/>
      </c>
      <c r="I1376" s="10">
        <f>IF(G1376="","",ROUNDUP(((G1376*Ayarlar!$B$3+Ayarlar!$B$4+Ayarlar!$B$5)+Ayarlar!$B$8)/((1-Ayarlar!$B$6)*(1-Ayarlar!$B$7)),0))</f>
        <v/>
      </c>
      <c r="J1376" s="10">
        <f>IF(G1376="","",ROUNDUP(((G1376*Ayarlar!$B$3+Ayarlar!$B$4+Ayarlar!$B$5)+Ayarlar!$B$8)/((1-Ayarlar!$B$6)*(1-Ayarlar!$B$7-Ayarlar!$B$9)),0))</f>
        <v/>
      </c>
      <c r="K1376" s="12">
        <f>IF(OR(G1376="",F1376=""),"",(F1376*(1-Ayarlar!$B$6)-(F1376*(1-Ayarlar!$B$6)*Ayarlar!$B$7+Ayarlar!$B$8)-(G1376*Ayarlar!$B$3+Ayarlar!$B$4+Ayarlar!$B$5))/(F1376*(1-Ayarlar!$B$6)))</f>
        <v/>
      </c>
      <c r="L1376" s="9">
        <f>IF(G1376="","GRAM EKSİK",IF(F1376&gt;30000,"FİYAT ŞÜPHELİ",IF(K1376&lt;0,"ZARARDA",IF(F1376&lt;I1376,"RİSKLİ","ok"))))</f>
        <v/>
      </c>
      <c r="M1376" s="13" t="inlineStr">
        <is>
          <t>https://www.etsy.com/listing/1713308864</t>
        </is>
      </c>
    </row>
    <row r="1377">
      <c r="A1377" s="3" t="inlineStr">
        <is>
          <t>love</t>
        </is>
      </c>
      <c r="B1377" s="3" t="inlineStr">
        <is>
          <t>10K Gold Nugget Heart Pendant Necklace / Diamond Cut Rope Ch</t>
        </is>
      </c>
      <c r="C1377" s="3" t="n">
        <v>1713308864</v>
      </c>
      <c r="D1377" s="3" t="inlineStr">
        <is>
          <t>PNUG1-3-18</t>
        </is>
      </c>
      <c r="E1377" s="3" t="inlineStr">
        <is>
          <t>description</t>
        </is>
      </c>
      <c r="F1377" s="14" t="n">
        <v>645</v>
      </c>
      <c r="G1377" s="17" t="n">
        <v>4.27</v>
      </c>
      <c r="H1377" s="14">
        <f>IF(G1377="","",G1377*Ayarlar!$B$3+Ayarlar!$B$4+Ayarlar!$B$5)</f>
        <v/>
      </c>
      <c r="I1377" s="14">
        <f>IF(G1377="","",ROUNDUP(((G1377*Ayarlar!$B$3+Ayarlar!$B$4+Ayarlar!$B$5)+Ayarlar!$B$8)/((1-Ayarlar!$B$6)*(1-Ayarlar!$B$7)),0))</f>
        <v/>
      </c>
      <c r="J1377" s="14">
        <f>IF(G1377="","",ROUNDUP(((G1377*Ayarlar!$B$3+Ayarlar!$B$4+Ayarlar!$B$5)+Ayarlar!$B$8)/((1-Ayarlar!$B$6)*(1-Ayarlar!$B$7-Ayarlar!$B$9)),0))</f>
        <v/>
      </c>
      <c r="K1377" s="15">
        <f>IF(OR(G1377="",F1377=""),"",(F1377*(1-Ayarlar!$B$6)-(F1377*(1-Ayarlar!$B$6)*Ayarlar!$B$7+Ayarlar!$B$8)-(G1377*Ayarlar!$B$3+Ayarlar!$B$4+Ayarlar!$B$5))/(F1377*(1-Ayarlar!$B$6)))</f>
        <v/>
      </c>
      <c r="L1377" s="3">
        <f>IF(G1377="","GRAM EKSİK",IF(F1377&gt;30000,"FİYAT ŞÜPHELİ",IF(K1377&lt;0,"ZARARDA",IF(F1377&lt;I1377,"RİSKLİ","ok"))))</f>
        <v/>
      </c>
      <c r="M1377" s="16" t="inlineStr">
        <is>
          <t>https://www.etsy.com/listing/1713308864</t>
        </is>
      </c>
    </row>
    <row r="1378">
      <c r="A1378" s="9" t="inlineStr">
        <is>
          <t>love</t>
        </is>
      </c>
      <c r="B1378" s="9" t="inlineStr">
        <is>
          <t>10K Gold Nugget Heart Pendant Necklace / Diamond Cut Rope Ch</t>
        </is>
      </c>
      <c r="C1378" s="9" t="n">
        <v>1713308864</v>
      </c>
      <c r="D1378" s="9" t="inlineStr">
        <is>
          <t>PNUG1-3-20</t>
        </is>
      </c>
      <c r="E1378" s="9" t="inlineStr">
        <is>
          <t>description</t>
        </is>
      </c>
      <c r="F1378" s="10" t="n">
        <v>689</v>
      </c>
      <c r="G1378" s="18" t="n">
        <v>4.63</v>
      </c>
      <c r="H1378" s="10">
        <f>IF(G1378="","",G1378*Ayarlar!$B$3+Ayarlar!$B$4+Ayarlar!$B$5)</f>
        <v/>
      </c>
      <c r="I1378" s="10">
        <f>IF(G1378="","",ROUNDUP(((G1378*Ayarlar!$B$3+Ayarlar!$B$4+Ayarlar!$B$5)+Ayarlar!$B$8)/((1-Ayarlar!$B$6)*(1-Ayarlar!$B$7)),0))</f>
        <v/>
      </c>
      <c r="J1378" s="10">
        <f>IF(G1378="","",ROUNDUP(((G1378*Ayarlar!$B$3+Ayarlar!$B$4+Ayarlar!$B$5)+Ayarlar!$B$8)/((1-Ayarlar!$B$6)*(1-Ayarlar!$B$7-Ayarlar!$B$9)),0))</f>
        <v/>
      </c>
      <c r="K1378" s="12">
        <f>IF(OR(G1378="",F1378=""),"",(F1378*(1-Ayarlar!$B$6)-(F1378*(1-Ayarlar!$B$6)*Ayarlar!$B$7+Ayarlar!$B$8)-(G1378*Ayarlar!$B$3+Ayarlar!$B$4+Ayarlar!$B$5))/(F1378*(1-Ayarlar!$B$6)))</f>
        <v/>
      </c>
      <c r="L1378" s="9">
        <f>IF(G1378="","GRAM EKSİK",IF(F1378&gt;30000,"FİYAT ŞÜPHELİ",IF(K1378&lt;0,"ZARARDA",IF(F1378&lt;I1378,"RİSKLİ","ok"))))</f>
        <v/>
      </c>
      <c r="M1378" s="13" t="inlineStr">
        <is>
          <t>https://www.etsy.com/listing/1713308864</t>
        </is>
      </c>
    </row>
    <row r="1379">
      <c r="A1379" s="3" t="inlineStr">
        <is>
          <t>love</t>
        </is>
      </c>
      <c r="B1379" s="3" t="inlineStr">
        <is>
          <t>10K Gold Nugget Heart Pendant Necklace / Diamond Cut Rope Ch</t>
        </is>
      </c>
      <c r="C1379" s="3" t="n">
        <v>1713308864</v>
      </c>
      <c r="D1379" s="3" t="inlineStr">
        <is>
          <t>PNUG1-3-22</t>
        </is>
      </c>
      <c r="E1379" s="3" t="inlineStr">
        <is>
          <t>description</t>
        </is>
      </c>
      <c r="F1379" s="14" t="n">
        <v>733</v>
      </c>
      <c r="G1379" s="17" t="n">
        <v>4.99</v>
      </c>
      <c r="H1379" s="14">
        <f>IF(G1379="","",G1379*Ayarlar!$B$3+Ayarlar!$B$4+Ayarlar!$B$5)</f>
        <v/>
      </c>
      <c r="I1379" s="14">
        <f>IF(G1379="","",ROUNDUP(((G1379*Ayarlar!$B$3+Ayarlar!$B$4+Ayarlar!$B$5)+Ayarlar!$B$8)/((1-Ayarlar!$B$6)*(1-Ayarlar!$B$7)),0))</f>
        <v/>
      </c>
      <c r="J1379" s="14">
        <f>IF(G1379="","",ROUNDUP(((G1379*Ayarlar!$B$3+Ayarlar!$B$4+Ayarlar!$B$5)+Ayarlar!$B$8)/((1-Ayarlar!$B$6)*(1-Ayarlar!$B$7-Ayarlar!$B$9)),0))</f>
        <v/>
      </c>
      <c r="K1379" s="15">
        <f>IF(OR(G1379="",F1379=""),"",(F1379*(1-Ayarlar!$B$6)-(F1379*(1-Ayarlar!$B$6)*Ayarlar!$B$7+Ayarlar!$B$8)-(G1379*Ayarlar!$B$3+Ayarlar!$B$4+Ayarlar!$B$5))/(F1379*(1-Ayarlar!$B$6)))</f>
        <v/>
      </c>
      <c r="L1379" s="3">
        <f>IF(G1379="","GRAM EKSİK",IF(F1379&gt;30000,"FİYAT ŞÜPHELİ",IF(K1379&lt;0,"ZARARDA",IF(F1379&lt;I1379,"RİSKLİ","ok"))))</f>
        <v/>
      </c>
      <c r="M1379" s="16" t="inlineStr">
        <is>
          <t>https://www.etsy.com/listing/1713308864</t>
        </is>
      </c>
    </row>
    <row r="1380">
      <c r="A1380" s="9" t="inlineStr">
        <is>
          <t>love</t>
        </is>
      </c>
      <c r="B1380" s="9" t="inlineStr">
        <is>
          <t>10K Gold Nugget Heart Pendant Necklace / Diamond Cut Rope Ch</t>
        </is>
      </c>
      <c r="C1380" s="9" t="n">
        <v>1713308864</v>
      </c>
      <c r="D1380" s="9" t="inlineStr">
        <is>
          <t>PNUG1-3-24</t>
        </is>
      </c>
      <c r="E1380" s="9" t="inlineStr">
        <is>
          <t>description</t>
        </is>
      </c>
      <c r="F1380" s="10" t="n">
        <v>775</v>
      </c>
      <c r="G1380" s="18" t="n">
        <v>5.35</v>
      </c>
      <c r="H1380" s="10">
        <f>IF(G1380="","",G1380*Ayarlar!$B$3+Ayarlar!$B$4+Ayarlar!$B$5)</f>
        <v/>
      </c>
      <c r="I1380" s="10">
        <f>IF(G1380="","",ROUNDUP(((G1380*Ayarlar!$B$3+Ayarlar!$B$4+Ayarlar!$B$5)+Ayarlar!$B$8)/((1-Ayarlar!$B$6)*(1-Ayarlar!$B$7)),0))</f>
        <v/>
      </c>
      <c r="J1380" s="10">
        <f>IF(G1380="","",ROUNDUP(((G1380*Ayarlar!$B$3+Ayarlar!$B$4+Ayarlar!$B$5)+Ayarlar!$B$8)/((1-Ayarlar!$B$6)*(1-Ayarlar!$B$7-Ayarlar!$B$9)),0))</f>
        <v/>
      </c>
      <c r="K1380" s="12">
        <f>IF(OR(G1380="",F1380=""),"",(F1380*(1-Ayarlar!$B$6)-(F1380*(1-Ayarlar!$B$6)*Ayarlar!$B$7+Ayarlar!$B$8)-(G1380*Ayarlar!$B$3+Ayarlar!$B$4+Ayarlar!$B$5))/(F1380*(1-Ayarlar!$B$6)))</f>
        <v/>
      </c>
      <c r="L1380" s="9">
        <f>IF(G1380="","GRAM EKSİK",IF(F1380&gt;30000,"FİYAT ŞÜPHELİ",IF(K1380&lt;0,"ZARARDA",IF(F1380&lt;I1380,"RİSKLİ","ok"))))</f>
        <v/>
      </c>
      <c r="M1380" s="13" t="inlineStr">
        <is>
          <t>https://www.etsy.com/listing/1713308864</t>
        </is>
      </c>
    </row>
    <row r="1381">
      <c r="A1381" s="3" t="inlineStr">
        <is>
          <t>love</t>
        </is>
      </c>
      <c r="B1381" s="3" t="inlineStr">
        <is>
          <t>10K Gold Nugget Heart Pendant Necklace / Diamond Cut Rope Ch</t>
        </is>
      </c>
      <c r="C1381" s="3" t="n">
        <v>1713308864</v>
      </c>
      <c r="D1381" s="3" t="inlineStr">
        <is>
          <t>PNUG1-35-16</t>
        </is>
      </c>
      <c r="E1381" s="3" t="inlineStr">
        <is>
          <t>description</t>
        </is>
      </c>
      <c r="F1381" s="14" t="n">
        <v>677</v>
      </c>
      <c r="G1381" s="17" t="n">
        <v>5.13</v>
      </c>
      <c r="H1381" s="14">
        <f>IF(G1381="","",G1381*Ayarlar!$B$3+Ayarlar!$B$4+Ayarlar!$B$5)</f>
        <v/>
      </c>
      <c r="I1381" s="14">
        <f>IF(G1381="","",ROUNDUP(((G1381*Ayarlar!$B$3+Ayarlar!$B$4+Ayarlar!$B$5)+Ayarlar!$B$8)/((1-Ayarlar!$B$6)*(1-Ayarlar!$B$7)),0))</f>
        <v/>
      </c>
      <c r="J1381" s="14">
        <f>IF(G1381="","",ROUNDUP(((G1381*Ayarlar!$B$3+Ayarlar!$B$4+Ayarlar!$B$5)+Ayarlar!$B$8)/((1-Ayarlar!$B$6)*(1-Ayarlar!$B$7-Ayarlar!$B$9)),0))</f>
        <v/>
      </c>
      <c r="K1381" s="15">
        <f>IF(OR(G1381="",F1381=""),"",(F1381*(1-Ayarlar!$B$6)-(F1381*(1-Ayarlar!$B$6)*Ayarlar!$B$7+Ayarlar!$B$8)-(G1381*Ayarlar!$B$3+Ayarlar!$B$4+Ayarlar!$B$5))/(F1381*(1-Ayarlar!$B$6)))</f>
        <v/>
      </c>
      <c r="L1381" s="3">
        <f>IF(G1381="","GRAM EKSİK",IF(F1381&gt;30000,"FİYAT ŞÜPHELİ",IF(K1381&lt;0,"ZARARDA",IF(F1381&lt;I1381,"RİSKLİ","ok"))))</f>
        <v/>
      </c>
      <c r="M1381" s="16" t="inlineStr">
        <is>
          <t>https://www.etsy.com/listing/1713308864</t>
        </is>
      </c>
    </row>
    <row r="1382">
      <c r="A1382" s="9" t="inlineStr">
        <is>
          <t>love</t>
        </is>
      </c>
      <c r="B1382" s="9" t="inlineStr">
        <is>
          <t>10K Gold Nugget Heart Pendant Necklace / Diamond Cut Rope Ch</t>
        </is>
      </c>
      <c r="C1382" s="9" t="n">
        <v>1713308864</v>
      </c>
      <c r="D1382" s="9" t="inlineStr">
        <is>
          <t>PNUG1-35-18</t>
        </is>
      </c>
      <c r="E1382" s="9" t="inlineStr">
        <is>
          <t>description</t>
        </is>
      </c>
      <c r="F1382" s="10" t="n">
        <v>722</v>
      </c>
      <c r="G1382" s="18" t="n">
        <v>5.64</v>
      </c>
      <c r="H1382" s="10">
        <f>IF(G1382="","",G1382*Ayarlar!$B$3+Ayarlar!$B$4+Ayarlar!$B$5)</f>
        <v/>
      </c>
      <c r="I1382" s="10">
        <f>IF(G1382="","",ROUNDUP(((G1382*Ayarlar!$B$3+Ayarlar!$B$4+Ayarlar!$B$5)+Ayarlar!$B$8)/((1-Ayarlar!$B$6)*(1-Ayarlar!$B$7)),0))</f>
        <v/>
      </c>
      <c r="J1382" s="10">
        <f>IF(G1382="","",ROUNDUP(((G1382*Ayarlar!$B$3+Ayarlar!$B$4+Ayarlar!$B$5)+Ayarlar!$B$8)/((1-Ayarlar!$B$6)*(1-Ayarlar!$B$7-Ayarlar!$B$9)),0))</f>
        <v/>
      </c>
      <c r="K1382" s="12">
        <f>IF(OR(G1382="",F1382=""),"",(F1382*(1-Ayarlar!$B$6)-(F1382*(1-Ayarlar!$B$6)*Ayarlar!$B$7+Ayarlar!$B$8)-(G1382*Ayarlar!$B$3+Ayarlar!$B$4+Ayarlar!$B$5))/(F1382*(1-Ayarlar!$B$6)))</f>
        <v/>
      </c>
      <c r="L1382" s="9">
        <f>IF(G1382="","GRAM EKSİK",IF(F1382&gt;30000,"FİYAT ŞÜPHELİ",IF(K1382&lt;0,"ZARARDA",IF(F1382&lt;I1382,"RİSKLİ","ok"))))</f>
        <v/>
      </c>
      <c r="M1382" s="13" t="inlineStr">
        <is>
          <t>https://www.etsy.com/listing/1713308864</t>
        </is>
      </c>
    </row>
    <row r="1383">
      <c r="A1383" s="3" t="inlineStr">
        <is>
          <t>love</t>
        </is>
      </c>
      <c r="B1383" s="3" t="inlineStr">
        <is>
          <t>10K Gold Nugget Heart Pendant Necklace / Diamond Cut Rope Ch</t>
        </is>
      </c>
      <c r="C1383" s="3" t="n">
        <v>1713308864</v>
      </c>
      <c r="D1383" s="3" t="inlineStr">
        <is>
          <t>PNUG1-35-20</t>
        </is>
      </c>
      <c r="E1383" s="3" t="inlineStr">
        <is>
          <t>description</t>
        </is>
      </c>
      <c r="F1383" s="14" t="n">
        <v>766</v>
      </c>
      <c r="G1383" s="17" t="n">
        <v>6.15</v>
      </c>
      <c r="H1383" s="14">
        <f>IF(G1383="","",G1383*Ayarlar!$B$3+Ayarlar!$B$4+Ayarlar!$B$5)</f>
        <v/>
      </c>
      <c r="I1383" s="14">
        <f>IF(G1383="","",ROUNDUP(((G1383*Ayarlar!$B$3+Ayarlar!$B$4+Ayarlar!$B$5)+Ayarlar!$B$8)/((1-Ayarlar!$B$6)*(1-Ayarlar!$B$7)),0))</f>
        <v/>
      </c>
      <c r="J1383" s="14">
        <f>IF(G1383="","",ROUNDUP(((G1383*Ayarlar!$B$3+Ayarlar!$B$4+Ayarlar!$B$5)+Ayarlar!$B$8)/((1-Ayarlar!$B$6)*(1-Ayarlar!$B$7-Ayarlar!$B$9)),0))</f>
        <v/>
      </c>
      <c r="K1383" s="15">
        <f>IF(OR(G1383="",F1383=""),"",(F1383*(1-Ayarlar!$B$6)-(F1383*(1-Ayarlar!$B$6)*Ayarlar!$B$7+Ayarlar!$B$8)-(G1383*Ayarlar!$B$3+Ayarlar!$B$4+Ayarlar!$B$5))/(F1383*(1-Ayarlar!$B$6)))</f>
        <v/>
      </c>
      <c r="L1383" s="3">
        <f>IF(G1383="","GRAM EKSİK",IF(F1383&gt;30000,"FİYAT ŞÜPHELİ",IF(K1383&lt;0,"ZARARDA",IF(F1383&lt;I1383,"RİSKLİ","ok"))))</f>
        <v/>
      </c>
      <c r="M1383" s="16" t="inlineStr">
        <is>
          <t>https://www.etsy.com/listing/1713308864</t>
        </is>
      </c>
    </row>
    <row r="1384">
      <c r="A1384" s="9" t="inlineStr">
        <is>
          <t>love</t>
        </is>
      </c>
      <c r="B1384" s="9" t="inlineStr">
        <is>
          <t>10K Gold Nugget Heart Pendant Necklace / Diamond Cut Rope Ch</t>
        </is>
      </c>
      <c r="C1384" s="9" t="n">
        <v>1713308864</v>
      </c>
      <c r="D1384" s="9" t="inlineStr">
        <is>
          <t>PNUG1-35-22</t>
        </is>
      </c>
      <c r="E1384" s="9" t="inlineStr">
        <is>
          <t>description</t>
        </is>
      </c>
      <c r="F1384" s="10" t="n">
        <v>810</v>
      </c>
      <c r="G1384" s="18" t="n">
        <v>6.66</v>
      </c>
      <c r="H1384" s="10">
        <f>IF(G1384="","",G1384*Ayarlar!$B$3+Ayarlar!$B$4+Ayarlar!$B$5)</f>
        <v/>
      </c>
      <c r="I1384" s="10">
        <f>IF(G1384="","",ROUNDUP(((G1384*Ayarlar!$B$3+Ayarlar!$B$4+Ayarlar!$B$5)+Ayarlar!$B$8)/((1-Ayarlar!$B$6)*(1-Ayarlar!$B$7)),0))</f>
        <v/>
      </c>
      <c r="J1384" s="10">
        <f>IF(G1384="","",ROUNDUP(((G1384*Ayarlar!$B$3+Ayarlar!$B$4+Ayarlar!$B$5)+Ayarlar!$B$8)/((1-Ayarlar!$B$6)*(1-Ayarlar!$B$7-Ayarlar!$B$9)),0))</f>
        <v/>
      </c>
      <c r="K1384" s="12">
        <f>IF(OR(G1384="",F1384=""),"",(F1384*(1-Ayarlar!$B$6)-(F1384*(1-Ayarlar!$B$6)*Ayarlar!$B$7+Ayarlar!$B$8)-(G1384*Ayarlar!$B$3+Ayarlar!$B$4+Ayarlar!$B$5))/(F1384*(1-Ayarlar!$B$6)))</f>
        <v/>
      </c>
      <c r="L1384" s="9">
        <f>IF(G1384="","GRAM EKSİK",IF(F1384&gt;30000,"FİYAT ŞÜPHELİ",IF(K1384&lt;0,"ZARARDA",IF(F1384&lt;I1384,"RİSKLİ","ok"))))</f>
        <v/>
      </c>
      <c r="M1384" s="13" t="inlineStr">
        <is>
          <t>https://www.etsy.com/listing/1713308864</t>
        </is>
      </c>
    </row>
    <row r="1385">
      <c r="A1385" s="3" t="inlineStr">
        <is>
          <t>love</t>
        </is>
      </c>
      <c r="B1385" s="3" t="inlineStr">
        <is>
          <t>10K Gold Nugget Heart Pendant Necklace / Diamond Cut Rope Ch</t>
        </is>
      </c>
      <c r="C1385" s="3" t="n">
        <v>1713308864</v>
      </c>
      <c r="D1385" s="3" t="inlineStr">
        <is>
          <t>PNUG1-35-24</t>
        </is>
      </c>
      <c r="E1385" s="3" t="inlineStr">
        <is>
          <t>description</t>
        </is>
      </c>
      <c r="F1385" s="14" t="n">
        <v>854</v>
      </c>
      <c r="G1385" s="17" t="n">
        <v>7.17</v>
      </c>
      <c r="H1385" s="14">
        <f>IF(G1385="","",G1385*Ayarlar!$B$3+Ayarlar!$B$4+Ayarlar!$B$5)</f>
        <v/>
      </c>
      <c r="I1385" s="14">
        <f>IF(G1385="","",ROUNDUP(((G1385*Ayarlar!$B$3+Ayarlar!$B$4+Ayarlar!$B$5)+Ayarlar!$B$8)/((1-Ayarlar!$B$6)*(1-Ayarlar!$B$7)),0))</f>
        <v/>
      </c>
      <c r="J1385" s="14">
        <f>IF(G1385="","",ROUNDUP(((G1385*Ayarlar!$B$3+Ayarlar!$B$4+Ayarlar!$B$5)+Ayarlar!$B$8)/((1-Ayarlar!$B$6)*(1-Ayarlar!$B$7-Ayarlar!$B$9)),0))</f>
        <v/>
      </c>
      <c r="K1385" s="15">
        <f>IF(OR(G1385="",F1385=""),"",(F1385*(1-Ayarlar!$B$6)-(F1385*(1-Ayarlar!$B$6)*Ayarlar!$B$7+Ayarlar!$B$8)-(G1385*Ayarlar!$B$3+Ayarlar!$B$4+Ayarlar!$B$5))/(F1385*(1-Ayarlar!$B$6)))</f>
        <v/>
      </c>
      <c r="L1385" s="3">
        <f>IF(G1385="","GRAM EKSİK",IF(F1385&gt;30000,"FİYAT ŞÜPHELİ",IF(K1385&lt;0,"ZARARDA",IF(F1385&lt;I1385,"RİSKLİ","ok"))))</f>
        <v/>
      </c>
      <c r="M1385" s="16" t="inlineStr">
        <is>
          <t>https://www.etsy.com/listing/1713308864</t>
        </is>
      </c>
    </row>
    <row r="1386">
      <c r="A1386" s="9" t="inlineStr">
        <is>
          <t>love</t>
        </is>
      </c>
      <c r="B1386" s="9" t="inlineStr">
        <is>
          <t>10K Gold Nugget Heart Pendant Necklace / Diamond Cut Rope Ch</t>
        </is>
      </c>
      <c r="C1386" s="9" t="n">
        <v>1713308864</v>
      </c>
      <c r="D1386" s="9" t="inlineStr">
        <is>
          <t>PNUG2</t>
        </is>
      </c>
      <c r="E1386" s="9" t="inlineStr">
        <is>
          <t>shipstation</t>
        </is>
      </c>
      <c r="F1386" s="10" t="n">
        <v>216</v>
      </c>
      <c r="G1386" s="18" t="n">
        <v>1.72</v>
      </c>
      <c r="H1386" s="10">
        <f>IF(G1386="","",G1386*Ayarlar!$B$3+Ayarlar!$B$4+Ayarlar!$B$5)</f>
        <v/>
      </c>
      <c r="I1386" s="10">
        <f>IF(G1386="","",ROUNDUP(((G1386*Ayarlar!$B$3+Ayarlar!$B$4+Ayarlar!$B$5)+Ayarlar!$B$8)/((1-Ayarlar!$B$6)*(1-Ayarlar!$B$7)),0))</f>
        <v/>
      </c>
      <c r="J1386" s="10">
        <f>IF(G1386="","",ROUNDUP(((G1386*Ayarlar!$B$3+Ayarlar!$B$4+Ayarlar!$B$5)+Ayarlar!$B$8)/((1-Ayarlar!$B$6)*(1-Ayarlar!$B$7-Ayarlar!$B$9)),0))</f>
        <v/>
      </c>
      <c r="K1386" s="12">
        <f>IF(OR(G1386="",F1386=""),"",(F1386*(1-Ayarlar!$B$6)-(F1386*(1-Ayarlar!$B$6)*Ayarlar!$B$7+Ayarlar!$B$8)-(G1386*Ayarlar!$B$3+Ayarlar!$B$4+Ayarlar!$B$5))/(F1386*(1-Ayarlar!$B$6)))</f>
        <v/>
      </c>
      <c r="L1386" s="9">
        <f>IF(G1386="","GRAM EKSİK",IF(F1386&gt;30000,"FİYAT ŞÜPHELİ",IF(K1386&lt;0,"ZARARDA",IF(F1386&lt;I1386,"RİSKLİ","ok"))))</f>
        <v/>
      </c>
      <c r="M1386" s="13" t="inlineStr">
        <is>
          <t>https://www.etsy.com/listing/1713308864</t>
        </is>
      </c>
    </row>
    <row r="1387">
      <c r="A1387" s="3" t="inlineStr">
        <is>
          <t>love</t>
        </is>
      </c>
      <c r="B1387" s="3" t="inlineStr">
        <is>
          <t>10K Gold Nugget Heart Pendant Necklace / Diamond Cut Rope Ch</t>
        </is>
      </c>
      <c r="C1387" s="3" t="n">
        <v>1713308864</v>
      </c>
      <c r="D1387" s="3" t="inlineStr">
        <is>
          <t>PNUG2-25-16</t>
        </is>
      </c>
      <c r="E1387" s="3" t="inlineStr">
        <is>
          <t>description</t>
        </is>
      </c>
      <c r="F1387" s="14" t="n">
        <v>603</v>
      </c>
      <c r="G1387" s="17" t="n">
        <v>3.84</v>
      </c>
      <c r="H1387" s="14">
        <f>IF(G1387="","",G1387*Ayarlar!$B$3+Ayarlar!$B$4+Ayarlar!$B$5)</f>
        <v/>
      </c>
      <c r="I1387" s="14">
        <f>IF(G1387="","",ROUNDUP(((G1387*Ayarlar!$B$3+Ayarlar!$B$4+Ayarlar!$B$5)+Ayarlar!$B$8)/((1-Ayarlar!$B$6)*(1-Ayarlar!$B$7)),0))</f>
        <v/>
      </c>
      <c r="J1387" s="14">
        <f>IF(G1387="","",ROUNDUP(((G1387*Ayarlar!$B$3+Ayarlar!$B$4+Ayarlar!$B$5)+Ayarlar!$B$8)/((1-Ayarlar!$B$6)*(1-Ayarlar!$B$7-Ayarlar!$B$9)),0))</f>
        <v/>
      </c>
      <c r="K1387" s="15">
        <f>IF(OR(G1387="",F1387=""),"",(F1387*(1-Ayarlar!$B$6)-(F1387*(1-Ayarlar!$B$6)*Ayarlar!$B$7+Ayarlar!$B$8)-(G1387*Ayarlar!$B$3+Ayarlar!$B$4+Ayarlar!$B$5))/(F1387*(1-Ayarlar!$B$6)))</f>
        <v/>
      </c>
      <c r="L1387" s="3">
        <f>IF(G1387="","GRAM EKSİK",IF(F1387&gt;30000,"FİYAT ŞÜPHELİ",IF(K1387&lt;0,"ZARARDA",IF(F1387&lt;I1387,"RİSKLİ","ok"))))</f>
        <v/>
      </c>
      <c r="M1387" s="16" t="inlineStr">
        <is>
          <t>https://www.etsy.com/listing/1713308864</t>
        </is>
      </c>
    </row>
    <row r="1388">
      <c r="A1388" s="9" t="inlineStr">
        <is>
          <t>love</t>
        </is>
      </c>
      <c r="B1388" s="9" t="inlineStr">
        <is>
          <t>10K Gold Nugget Heart Pendant Necklace / Diamond Cut Rope Ch</t>
        </is>
      </c>
      <c r="C1388" s="9" t="n">
        <v>1713308864</v>
      </c>
      <c r="D1388" s="9" t="inlineStr">
        <is>
          <t>PNUG2-25-18</t>
        </is>
      </c>
      <c r="E1388" s="9" t="inlineStr">
        <is>
          <t>description</t>
        </is>
      </c>
      <c r="F1388" s="10" t="n">
        <v>645</v>
      </c>
      <c r="G1388" s="18" t="n">
        <v>4.12</v>
      </c>
      <c r="H1388" s="10">
        <f>IF(G1388="","",G1388*Ayarlar!$B$3+Ayarlar!$B$4+Ayarlar!$B$5)</f>
        <v/>
      </c>
      <c r="I1388" s="10">
        <f>IF(G1388="","",ROUNDUP(((G1388*Ayarlar!$B$3+Ayarlar!$B$4+Ayarlar!$B$5)+Ayarlar!$B$8)/((1-Ayarlar!$B$6)*(1-Ayarlar!$B$7)),0))</f>
        <v/>
      </c>
      <c r="J1388" s="10">
        <f>IF(G1388="","",ROUNDUP(((G1388*Ayarlar!$B$3+Ayarlar!$B$4+Ayarlar!$B$5)+Ayarlar!$B$8)/((1-Ayarlar!$B$6)*(1-Ayarlar!$B$7-Ayarlar!$B$9)),0))</f>
        <v/>
      </c>
      <c r="K1388" s="12">
        <f>IF(OR(G1388="",F1388=""),"",(F1388*(1-Ayarlar!$B$6)-(F1388*(1-Ayarlar!$B$6)*Ayarlar!$B$7+Ayarlar!$B$8)-(G1388*Ayarlar!$B$3+Ayarlar!$B$4+Ayarlar!$B$5))/(F1388*(1-Ayarlar!$B$6)))</f>
        <v/>
      </c>
      <c r="L1388" s="9">
        <f>IF(G1388="","GRAM EKSİK",IF(F1388&gt;30000,"FİYAT ŞÜPHELİ",IF(K1388&lt;0,"ZARARDA",IF(F1388&lt;I1388,"RİSKLİ","ok"))))</f>
        <v/>
      </c>
      <c r="M1388" s="13" t="inlineStr">
        <is>
          <t>https://www.etsy.com/listing/1713308864</t>
        </is>
      </c>
    </row>
    <row r="1389">
      <c r="A1389" s="3" t="inlineStr">
        <is>
          <t>love</t>
        </is>
      </c>
      <c r="B1389" s="3" t="inlineStr">
        <is>
          <t>10K Gold Nugget Heart Pendant Necklace / Diamond Cut Rope Ch</t>
        </is>
      </c>
      <c r="C1389" s="3" t="n">
        <v>1713308864</v>
      </c>
      <c r="D1389" s="3" t="inlineStr">
        <is>
          <t>PNUG2-25-20</t>
        </is>
      </c>
      <c r="E1389" s="3" t="inlineStr">
        <is>
          <t>description</t>
        </is>
      </c>
      <c r="F1389" s="14" t="n">
        <v>689</v>
      </c>
      <c r="G1389" s="17" t="n">
        <v>4.39</v>
      </c>
      <c r="H1389" s="14">
        <f>IF(G1389="","",G1389*Ayarlar!$B$3+Ayarlar!$B$4+Ayarlar!$B$5)</f>
        <v/>
      </c>
      <c r="I1389" s="14">
        <f>IF(G1389="","",ROUNDUP(((G1389*Ayarlar!$B$3+Ayarlar!$B$4+Ayarlar!$B$5)+Ayarlar!$B$8)/((1-Ayarlar!$B$6)*(1-Ayarlar!$B$7)),0))</f>
        <v/>
      </c>
      <c r="J1389" s="14">
        <f>IF(G1389="","",ROUNDUP(((G1389*Ayarlar!$B$3+Ayarlar!$B$4+Ayarlar!$B$5)+Ayarlar!$B$8)/((1-Ayarlar!$B$6)*(1-Ayarlar!$B$7-Ayarlar!$B$9)),0))</f>
        <v/>
      </c>
      <c r="K1389" s="15">
        <f>IF(OR(G1389="",F1389=""),"",(F1389*(1-Ayarlar!$B$6)-(F1389*(1-Ayarlar!$B$6)*Ayarlar!$B$7+Ayarlar!$B$8)-(G1389*Ayarlar!$B$3+Ayarlar!$B$4+Ayarlar!$B$5))/(F1389*(1-Ayarlar!$B$6)))</f>
        <v/>
      </c>
      <c r="L1389" s="3">
        <f>IF(G1389="","GRAM EKSİK",IF(F1389&gt;30000,"FİYAT ŞÜPHELİ",IF(K1389&lt;0,"ZARARDA",IF(F1389&lt;I1389,"RİSKLİ","ok"))))</f>
        <v/>
      </c>
      <c r="M1389" s="16" t="inlineStr">
        <is>
          <t>https://www.etsy.com/listing/1713308864</t>
        </is>
      </c>
    </row>
    <row r="1390">
      <c r="A1390" s="9" t="inlineStr">
        <is>
          <t>love</t>
        </is>
      </c>
      <c r="B1390" s="9" t="inlineStr">
        <is>
          <t>10K Gold Nugget Heart Pendant Necklace / Diamond Cut Rope Ch</t>
        </is>
      </c>
      <c r="C1390" s="9" t="n">
        <v>1713308864</v>
      </c>
      <c r="D1390" s="9" t="inlineStr">
        <is>
          <t>PNUG2-25-22</t>
        </is>
      </c>
      <c r="E1390" s="9" t="inlineStr">
        <is>
          <t>description</t>
        </is>
      </c>
      <c r="F1390" s="10" t="n">
        <v>746</v>
      </c>
      <c r="G1390" s="18" t="n">
        <v>4.67</v>
      </c>
      <c r="H1390" s="10">
        <f>IF(G1390="","",G1390*Ayarlar!$B$3+Ayarlar!$B$4+Ayarlar!$B$5)</f>
        <v/>
      </c>
      <c r="I1390" s="10">
        <f>IF(G1390="","",ROUNDUP(((G1390*Ayarlar!$B$3+Ayarlar!$B$4+Ayarlar!$B$5)+Ayarlar!$B$8)/((1-Ayarlar!$B$6)*(1-Ayarlar!$B$7)),0))</f>
        <v/>
      </c>
      <c r="J1390" s="10">
        <f>IF(G1390="","",ROUNDUP(((G1390*Ayarlar!$B$3+Ayarlar!$B$4+Ayarlar!$B$5)+Ayarlar!$B$8)/((1-Ayarlar!$B$6)*(1-Ayarlar!$B$7-Ayarlar!$B$9)),0))</f>
        <v/>
      </c>
      <c r="K1390" s="12">
        <f>IF(OR(G1390="",F1390=""),"",(F1390*(1-Ayarlar!$B$6)-(F1390*(1-Ayarlar!$B$6)*Ayarlar!$B$7+Ayarlar!$B$8)-(G1390*Ayarlar!$B$3+Ayarlar!$B$4+Ayarlar!$B$5))/(F1390*(1-Ayarlar!$B$6)))</f>
        <v/>
      </c>
      <c r="L1390" s="9">
        <f>IF(G1390="","GRAM EKSİK",IF(F1390&gt;30000,"FİYAT ŞÜPHELİ",IF(K1390&lt;0,"ZARARDA",IF(F1390&lt;I1390,"RİSKLİ","ok"))))</f>
        <v/>
      </c>
      <c r="M1390" s="13" t="inlineStr">
        <is>
          <t>https://www.etsy.com/listing/1713308864</t>
        </is>
      </c>
    </row>
    <row r="1391">
      <c r="A1391" s="3" t="inlineStr">
        <is>
          <t>love</t>
        </is>
      </c>
      <c r="B1391" s="3" t="inlineStr">
        <is>
          <t>10K Gold Nugget Heart Pendant Necklace / Diamond Cut Rope Ch</t>
        </is>
      </c>
      <c r="C1391" s="3" t="n">
        <v>1713308864</v>
      </c>
      <c r="D1391" s="3" t="inlineStr">
        <is>
          <t>PNUG2-25-24</t>
        </is>
      </c>
      <c r="E1391" s="3" t="inlineStr">
        <is>
          <t>description</t>
        </is>
      </c>
      <c r="F1391" s="14" t="n">
        <v>788</v>
      </c>
      <c r="G1391" s="17" t="n">
        <v>4.94</v>
      </c>
      <c r="H1391" s="14">
        <f>IF(G1391="","",G1391*Ayarlar!$B$3+Ayarlar!$B$4+Ayarlar!$B$5)</f>
        <v/>
      </c>
      <c r="I1391" s="14">
        <f>IF(G1391="","",ROUNDUP(((G1391*Ayarlar!$B$3+Ayarlar!$B$4+Ayarlar!$B$5)+Ayarlar!$B$8)/((1-Ayarlar!$B$6)*(1-Ayarlar!$B$7)),0))</f>
        <v/>
      </c>
      <c r="J1391" s="14">
        <f>IF(G1391="","",ROUNDUP(((G1391*Ayarlar!$B$3+Ayarlar!$B$4+Ayarlar!$B$5)+Ayarlar!$B$8)/((1-Ayarlar!$B$6)*(1-Ayarlar!$B$7-Ayarlar!$B$9)),0))</f>
        <v/>
      </c>
      <c r="K1391" s="15">
        <f>IF(OR(G1391="",F1391=""),"",(F1391*(1-Ayarlar!$B$6)-(F1391*(1-Ayarlar!$B$6)*Ayarlar!$B$7+Ayarlar!$B$8)-(G1391*Ayarlar!$B$3+Ayarlar!$B$4+Ayarlar!$B$5))/(F1391*(1-Ayarlar!$B$6)))</f>
        <v/>
      </c>
      <c r="L1391" s="3">
        <f>IF(G1391="","GRAM EKSİK",IF(F1391&gt;30000,"FİYAT ŞÜPHELİ",IF(K1391&lt;0,"ZARARDA",IF(F1391&lt;I1391,"RİSKLİ","ok"))))</f>
        <v/>
      </c>
      <c r="M1391" s="16" t="inlineStr">
        <is>
          <t>https://www.etsy.com/listing/1713308864</t>
        </is>
      </c>
    </row>
    <row r="1392">
      <c r="A1392" s="9" t="inlineStr">
        <is>
          <t>love</t>
        </is>
      </c>
      <c r="B1392" s="9" t="inlineStr">
        <is>
          <t>10K Gold Nugget Heart Pendant Necklace / Diamond Cut Rope Ch</t>
        </is>
      </c>
      <c r="C1392" s="9" t="n">
        <v>1713308864</v>
      </c>
      <c r="D1392" s="9" t="inlineStr">
        <is>
          <t>PNUG2-3-16</t>
        </is>
      </c>
      <c r="E1392" s="9" t="inlineStr">
        <is>
          <t>description</t>
        </is>
      </c>
      <c r="F1392" s="10" t="n">
        <v>675</v>
      </c>
      <c r="G1392" s="18" t="n">
        <v>4.52</v>
      </c>
      <c r="H1392" s="10">
        <f>IF(G1392="","",G1392*Ayarlar!$B$3+Ayarlar!$B$4+Ayarlar!$B$5)</f>
        <v/>
      </c>
      <c r="I1392" s="10">
        <f>IF(G1392="","",ROUNDUP(((G1392*Ayarlar!$B$3+Ayarlar!$B$4+Ayarlar!$B$5)+Ayarlar!$B$8)/((1-Ayarlar!$B$6)*(1-Ayarlar!$B$7)),0))</f>
        <v/>
      </c>
      <c r="J1392" s="10">
        <f>IF(G1392="","",ROUNDUP(((G1392*Ayarlar!$B$3+Ayarlar!$B$4+Ayarlar!$B$5)+Ayarlar!$B$8)/((1-Ayarlar!$B$6)*(1-Ayarlar!$B$7-Ayarlar!$B$9)),0))</f>
        <v/>
      </c>
      <c r="K1392" s="12">
        <f>IF(OR(G1392="",F1392=""),"",(F1392*(1-Ayarlar!$B$6)-(F1392*(1-Ayarlar!$B$6)*Ayarlar!$B$7+Ayarlar!$B$8)-(G1392*Ayarlar!$B$3+Ayarlar!$B$4+Ayarlar!$B$5))/(F1392*(1-Ayarlar!$B$6)))</f>
        <v/>
      </c>
      <c r="L1392" s="9">
        <f>IF(G1392="","GRAM EKSİK",IF(F1392&gt;30000,"FİYAT ŞÜPHELİ",IF(K1392&lt;0,"ZARARDA",IF(F1392&lt;I1392,"RİSKLİ","ok"))))</f>
        <v/>
      </c>
      <c r="M1392" s="13" t="inlineStr">
        <is>
          <t>https://www.etsy.com/listing/1713308864</t>
        </is>
      </c>
    </row>
    <row r="1393">
      <c r="A1393" s="3" t="inlineStr">
        <is>
          <t>love</t>
        </is>
      </c>
      <c r="B1393" s="3" t="inlineStr">
        <is>
          <t>10K Gold Nugget Heart Pendant Necklace / Diamond Cut Rope Ch</t>
        </is>
      </c>
      <c r="C1393" s="3" t="n">
        <v>1713308864</v>
      </c>
      <c r="D1393" s="3" t="inlineStr">
        <is>
          <t>PNUG2-3-18</t>
        </is>
      </c>
      <c r="E1393" s="3" t="inlineStr">
        <is>
          <t>description</t>
        </is>
      </c>
      <c r="F1393" s="14" t="n">
        <v>719</v>
      </c>
      <c r="G1393" s="17" t="n">
        <v>4.88</v>
      </c>
      <c r="H1393" s="14">
        <f>IF(G1393="","",G1393*Ayarlar!$B$3+Ayarlar!$B$4+Ayarlar!$B$5)</f>
        <v/>
      </c>
      <c r="I1393" s="14">
        <f>IF(G1393="","",ROUNDUP(((G1393*Ayarlar!$B$3+Ayarlar!$B$4+Ayarlar!$B$5)+Ayarlar!$B$8)/((1-Ayarlar!$B$6)*(1-Ayarlar!$B$7)),0))</f>
        <v/>
      </c>
      <c r="J1393" s="14">
        <f>IF(G1393="","",ROUNDUP(((G1393*Ayarlar!$B$3+Ayarlar!$B$4+Ayarlar!$B$5)+Ayarlar!$B$8)/((1-Ayarlar!$B$6)*(1-Ayarlar!$B$7-Ayarlar!$B$9)),0))</f>
        <v/>
      </c>
      <c r="K1393" s="15">
        <f>IF(OR(G1393="",F1393=""),"",(F1393*(1-Ayarlar!$B$6)-(F1393*(1-Ayarlar!$B$6)*Ayarlar!$B$7+Ayarlar!$B$8)-(G1393*Ayarlar!$B$3+Ayarlar!$B$4+Ayarlar!$B$5))/(F1393*(1-Ayarlar!$B$6)))</f>
        <v/>
      </c>
      <c r="L1393" s="3">
        <f>IF(G1393="","GRAM EKSİK",IF(F1393&gt;30000,"FİYAT ŞÜPHELİ",IF(K1393&lt;0,"ZARARDA",IF(F1393&lt;I1393,"RİSKLİ","ok"))))</f>
        <v/>
      </c>
      <c r="M1393" s="16" t="inlineStr">
        <is>
          <t>https://www.etsy.com/listing/1713308864</t>
        </is>
      </c>
    </row>
    <row r="1394">
      <c r="A1394" s="9" t="inlineStr">
        <is>
          <t>love</t>
        </is>
      </c>
      <c r="B1394" s="9" t="inlineStr">
        <is>
          <t>10K Gold Nugget Heart Pendant Necklace / Diamond Cut Rope Ch</t>
        </is>
      </c>
      <c r="C1394" s="9" t="n">
        <v>1713308864</v>
      </c>
      <c r="D1394" s="9" t="inlineStr">
        <is>
          <t>PNUG2-3-20</t>
        </is>
      </c>
      <c r="E1394" s="9" t="inlineStr">
        <is>
          <t>description</t>
        </is>
      </c>
      <c r="F1394" s="10" t="n">
        <v>831</v>
      </c>
      <c r="G1394" s="18" t="n">
        <v>5.24</v>
      </c>
      <c r="H1394" s="10">
        <f>IF(G1394="","",G1394*Ayarlar!$B$3+Ayarlar!$B$4+Ayarlar!$B$5)</f>
        <v/>
      </c>
      <c r="I1394" s="10">
        <f>IF(G1394="","",ROUNDUP(((G1394*Ayarlar!$B$3+Ayarlar!$B$4+Ayarlar!$B$5)+Ayarlar!$B$8)/((1-Ayarlar!$B$6)*(1-Ayarlar!$B$7)),0))</f>
        <v/>
      </c>
      <c r="J1394" s="10">
        <f>IF(G1394="","",ROUNDUP(((G1394*Ayarlar!$B$3+Ayarlar!$B$4+Ayarlar!$B$5)+Ayarlar!$B$8)/((1-Ayarlar!$B$6)*(1-Ayarlar!$B$7-Ayarlar!$B$9)),0))</f>
        <v/>
      </c>
      <c r="K1394" s="12">
        <f>IF(OR(G1394="",F1394=""),"",(F1394*(1-Ayarlar!$B$6)-(F1394*(1-Ayarlar!$B$6)*Ayarlar!$B$7+Ayarlar!$B$8)-(G1394*Ayarlar!$B$3+Ayarlar!$B$4+Ayarlar!$B$5))/(F1394*(1-Ayarlar!$B$6)))</f>
        <v/>
      </c>
      <c r="L1394" s="9">
        <f>IF(G1394="","GRAM EKSİK",IF(F1394&gt;30000,"FİYAT ŞÜPHELİ",IF(K1394&lt;0,"ZARARDA",IF(F1394&lt;I1394,"RİSKLİ","ok"))))</f>
        <v/>
      </c>
      <c r="M1394" s="13" t="inlineStr">
        <is>
          <t>https://www.etsy.com/listing/1713308864</t>
        </is>
      </c>
    </row>
    <row r="1395">
      <c r="A1395" s="3" t="inlineStr">
        <is>
          <t>love</t>
        </is>
      </c>
      <c r="B1395" s="3" t="inlineStr">
        <is>
          <t>10K Gold Nugget Heart Pendant Necklace / Diamond Cut Rope Ch</t>
        </is>
      </c>
      <c r="C1395" s="3" t="n">
        <v>1713308864</v>
      </c>
      <c r="D1395" s="3" t="inlineStr">
        <is>
          <t>PNUG2-3-22</t>
        </is>
      </c>
      <c r="E1395" s="3" t="inlineStr">
        <is>
          <t>description</t>
        </is>
      </c>
      <c r="F1395" s="14" t="n">
        <v>820</v>
      </c>
      <c r="G1395" s="17" t="n">
        <v>5.6</v>
      </c>
      <c r="H1395" s="14">
        <f>IF(G1395="","",G1395*Ayarlar!$B$3+Ayarlar!$B$4+Ayarlar!$B$5)</f>
        <v/>
      </c>
      <c r="I1395" s="14">
        <f>IF(G1395="","",ROUNDUP(((G1395*Ayarlar!$B$3+Ayarlar!$B$4+Ayarlar!$B$5)+Ayarlar!$B$8)/((1-Ayarlar!$B$6)*(1-Ayarlar!$B$7)),0))</f>
        <v/>
      </c>
      <c r="J1395" s="14">
        <f>IF(G1395="","",ROUNDUP(((G1395*Ayarlar!$B$3+Ayarlar!$B$4+Ayarlar!$B$5)+Ayarlar!$B$8)/((1-Ayarlar!$B$6)*(1-Ayarlar!$B$7-Ayarlar!$B$9)),0))</f>
        <v/>
      </c>
      <c r="K1395" s="15">
        <f>IF(OR(G1395="",F1395=""),"",(F1395*(1-Ayarlar!$B$6)-(F1395*(1-Ayarlar!$B$6)*Ayarlar!$B$7+Ayarlar!$B$8)-(G1395*Ayarlar!$B$3+Ayarlar!$B$4+Ayarlar!$B$5))/(F1395*(1-Ayarlar!$B$6)))</f>
        <v/>
      </c>
      <c r="L1395" s="3">
        <f>IF(G1395="","GRAM EKSİK",IF(F1395&gt;30000,"FİYAT ŞÜPHELİ",IF(K1395&lt;0,"ZARARDA",IF(F1395&lt;I1395,"RİSKLİ","ok"))))</f>
        <v/>
      </c>
      <c r="M1395" s="16" t="inlineStr">
        <is>
          <t>https://www.etsy.com/listing/1713308864</t>
        </is>
      </c>
    </row>
    <row r="1396">
      <c r="A1396" s="9" t="inlineStr">
        <is>
          <t>love</t>
        </is>
      </c>
      <c r="B1396" s="9" t="inlineStr">
        <is>
          <t>10K Gold Nugget Heart Pendant Necklace / Diamond Cut Rope Ch</t>
        </is>
      </c>
      <c r="C1396" s="9" t="n">
        <v>1713308864</v>
      </c>
      <c r="D1396" s="9" t="inlineStr">
        <is>
          <t>PNUG2-3-24</t>
        </is>
      </c>
      <c r="E1396" s="9" t="inlineStr">
        <is>
          <t>description</t>
        </is>
      </c>
      <c r="F1396" s="10" t="n">
        <v>863</v>
      </c>
      <c r="G1396" s="18" t="n">
        <v>5.96</v>
      </c>
      <c r="H1396" s="10">
        <f>IF(G1396="","",G1396*Ayarlar!$B$3+Ayarlar!$B$4+Ayarlar!$B$5)</f>
        <v/>
      </c>
      <c r="I1396" s="10">
        <f>IF(G1396="","",ROUNDUP(((G1396*Ayarlar!$B$3+Ayarlar!$B$4+Ayarlar!$B$5)+Ayarlar!$B$8)/((1-Ayarlar!$B$6)*(1-Ayarlar!$B$7)),0))</f>
        <v/>
      </c>
      <c r="J1396" s="10">
        <f>IF(G1396="","",ROUNDUP(((G1396*Ayarlar!$B$3+Ayarlar!$B$4+Ayarlar!$B$5)+Ayarlar!$B$8)/((1-Ayarlar!$B$6)*(1-Ayarlar!$B$7-Ayarlar!$B$9)),0))</f>
        <v/>
      </c>
      <c r="K1396" s="12">
        <f>IF(OR(G1396="",F1396=""),"",(F1396*(1-Ayarlar!$B$6)-(F1396*(1-Ayarlar!$B$6)*Ayarlar!$B$7+Ayarlar!$B$8)-(G1396*Ayarlar!$B$3+Ayarlar!$B$4+Ayarlar!$B$5))/(F1396*(1-Ayarlar!$B$6)))</f>
        <v/>
      </c>
      <c r="L1396" s="9">
        <f>IF(G1396="","GRAM EKSİK",IF(F1396&gt;30000,"FİYAT ŞÜPHELİ",IF(K1396&lt;0,"ZARARDA",IF(F1396&lt;I1396,"RİSKLİ","ok"))))</f>
        <v/>
      </c>
      <c r="M1396" s="13" t="inlineStr">
        <is>
          <t>https://www.etsy.com/listing/1713308864</t>
        </is>
      </c>
    </row>
    <row r="1397">
      <c r="A1397" s="3" t="inlineStr">
        <is>
          <t>love</t>
        </is>
      </c>
      <c r="B1397" s="3" t="inlineStr">
        <is>
          <t>10K Gold Nugget Heart Pendant Necklace / Diamond Cut Rope Ch</t>
        </is>
      </c>
      <c r="C1397" s="3" t="n">
        <v>1713308864</v>
      </c>
      <c r="D1397" s="3" t="inlineStr">
        <is>
          <t>PNUG2-35-16</t>
        </is>
      </c>
      <c r="E1397" s="3" t="inlineStr">
        <is>
          <t>description</t>
        </is>
      </c>
      <c r="F1397" s="14" t="n">
        <v>751</v>
      </c>
      <c r="G1397" s="17" t="n">
        <v>5.74</v>
      </c>
      <c r="H1397" s="14">
        <f>IF(G1397="","",G1397*Ayarlar!$B$3+Ayarlar!$B$4+Ayarlar!$B$5)</f>
        <v/>
      </c>
      <c r="I1397" s="14">
        <f>IF(G1397="","",ROUNDUP(((G1397*Ayarlar!$B$3+Ayarlar!$B$4+Ayarlar!$B$5)+Ayarlar!$B$8)/((1-Ayarlar!$B$6)*(1-Ayarlar!$B$7)),0))</f>
        <v/>
      </c>
      <c r="J1397" s="14">
        <f>IF(G1397="","",ROUNDUP(((G1397*Ayarlar!$B$3+Ayarlar!$B$4+Ayarlar!$B$5)+Ayarlar!$B$8)/((1-Ayarlar!$B$6)*(1-Ayarlar!$B$7-Ayarlar!$B$9)),0))</f>
        <v/>
      </c>
      <c r="K1397" s="15">
        <f>IF(OR(G1397="",F1397=""),"",(F1397*(1-Ayarlar!$B$6)-(F1397*(1-Ayarlar!$B$6)*Ayarlar!$B$7+Ayarlar!$B$8)-(G1397*Ayarlar!$B$3+Ayarlar!$B$4+Ayarlar!$B$5))/(F1397*(1-Ayarlar!$B$6)))</f>
        <v/>
      </c>
      <c r="L1397" s="3">
        <f>IF(G1397="","GRAM EKSİK",IF(F1397&gt;30000,"FİYAT ŞÜPHELİ",IF(K1397&lt;0,"ZARARDA",IF(F1397&lt;I1397,"RİSKLİ","ok"))))</f>
        <v/>
      </c>
      <c r="M1397" s="16" t="inlineStr">
        <is>
          <t>https://www.etsy.com/listing/1713308864</t>
        </is>
      </c>
    </row>
    <row r="1398">
      <c r="A1398" s="9" t="inlineStr">
        <is>
          <t>love</t>
        </is>
      </c>
      <c r="B1398" s="9" t="inlineStr">
        <is>
          <t>10K Gold Nugget Heart Pendant Necklace / Diamond Cut Rope Ch</t>
        </is>
      </c>
      <c r="C1398" s="9" t="n">
        <v>1713308864</v>
      </c>
      <c r="D1398" s="9" t="inlineStr">
        <is>
          <t>PNUG2-35-18</t>
        </is>
      </c>
      <c r="E1398" s="9" t="inlineStr">
        <is>
          <t>description</t>
        </is>
      </c>
      <c r="F1398" s="10" t="n">
        <v>794</v>
      </c>
      <c r="G1398" s="18" t="n">
        <v>6.25</v>
      </c>
      <c r="H1398" s="10">
        <f>IF(G1398="","",G1398*Ayarlar!$B$3+Ayarlar!$B$4+Ayarlar!$B$5)</f>
        <v/>
      </c>
      <c r="I1398" s="10">
        <f>IF(G1398="","",ROUNDUP(((G1398*Ayarlar!$B$3+Ayarlar!$B$4+Ayarlar!$B$5)+Ayarlar!$B$8)/((1-Ayarlar!$B$6)*(1-Ayarlar!$B$7)),0))</f>
        <v/>
      </c>
      <c r="J1398" s="10">
        <f>IF(G1398="","",ROUNDUP(((G1398*Ayarlar!$B$3+Ayarlar!$B$4+Ayarlar!$B$5)+Ayarlar!$B$8)/((1-Ayarlar!$B$6)*(1-Ayarlar!$B$7-Ayarlar!$B$9)),0))</f>
        <v/>
      </c>
      <c r="K1398" s="12">
        <f>IF(OR(G1398="",F1398=""),"",(F1398*(1-Ayarlar!$B$6)-(F1398*(1-Ayarlar!$B$6)*Ayarlar!$B$7+Ayarlar!$B$8)-(G1398*Ayarlar!$B$3+Ayarlar!$B$4+Ayarlar!$B$5))/(F1398*(1-Ayarlar!$B$6)))</f>
        <v/>
      </c>
      <c r="L1398" s="9">
        <f>IF(G1398="","GRAM EKSİK",IF(F1398&gt;30000,"FİYAT ŞÜPHELİ",IF(K1398&lt;0,"ZARARDA",IF(F1398&lt;I1398,"RİSKLİ","ok"))))</f>
        <v/>
      </c>
      <c r="M1398" s="13" t="inlineStr">
        <is>
          <t>https://www.etsy.com/listing/1713308864</t>
        </is>
      </c>
    </row>
    <row r="1399">
      <c r="A1399" s="3" t="inlineStr">
        <is>
          <t>love</t>
        </is>
      </c>
      <c r="B1399" s="3" t="inlineStr">
        <is>
          <t>10K Gold Nugget Heart Pendant Necklace / Diamond Cut Rope Ch</t>
        </is>
      </c>
      <c r="C1399" s="3" t="n">
        <v>1713308864</v>
      </c>
      <c r="D1399" s="3" t="inlineStr">
        <is>
          <t>PNUG2-35-20</t>
        </is>
      </c>
      <c r="E1399" s="3" t="inlineStr">
        <is>
          <t>description</t>
        </is>
      </c>
      <c r="F1399" s="14" t="n">
        <v>838</v>
      </c>
      <c r="G1399" s="17" t="n">
        <v>6.76</v>
      </c>
      <c r="H1399" s="14">
        <f>IF(G1399="","",G1399*Ayarlar!$B$3+Ayarlar!$B$4+Ayarlar!$B$5)</f>
        <v/>
      </c>
      <c r="I1399" s="14">
        <f>IF(G1399="","",ROUNDUP(((G1399*Ayarlar!$B$3+Ayarlar!$B$4+Ayarlar!$B$5)+Ayarlar!$B$8)/((1-Ayarlar!$B$6)*(1-Ayarlar!$B$7)),0))</f>
        <v/>
      </c>
      <c r="J1399" s="14">
        <f>IF(G1399="","",ROUNDUP(((G1399*Ayarlar!$B$3+Ayarlar!$B$4+Ayarlar!$B$5)+Ayarlar!$B$8)/((1-Ayarlar!$B$6)*(1-Ayarlar!$B$7-Ayarlar!$B$9)),0))</f>
        <v/>
      </c>
      <c r="K1399" s="15">
        <f>IF(OR(G1399="",F1399=""),"",(F1399*(1-Ayarlar!$B$6)-(F1399*(1-Ayarlar!$B$6)*Ayarlar!$B$7+Ayarlar!$B$8)-(G1399*Ayarlar!$B$3+Ayarlar!$B$4+Ayarlar!$B$5))/(F1399*(1-Ayarlar!$B$6)))</f>
        <v/>
      </c>
      <c r="L1399" s="3">
        <f>IF(G1399="","GRAM EKSİK",IF(F1399&gt;30000,"FİYAT ŞÜPHELİ",IF(K1399&lt;0,"ZARARDA",IF(F1399&lt;I1399,"RİSKLİ","ok"))))</f>
        <v/>
      </c>
      <c r="M1399" s="16" t="inlineStr">
        <is>
          <t>https://www.etsy.com/listing/1713308864</t>
        </is>
      </c>
    </row>
    <row r="1400">
      <c r="A1400" s="9" t="inlineStr">
        <is>
          <t>love</t>
        </is>
      </c>
      <c r="B1400" s="9" t="inlineStr">
        <is>
          <t>10K Gold Nugget Heart Pendant Necklace / Diamond Cut Rope Ch</t>
        </is>
      </c>
      <c r="C1400" s="9" t="n">
        <v>1713308864</v>
      </c>
      <c r="D1400" s="9" t="inlineStr">
        <is>
          <t>PNUG2-35-22</t>
        </is>
      </c>
      <c r="E1400" s="9" t="inlineStr">
        <is>
          <t>description</t>
        </is>
      </c>
      <c r="F1400" s="10" t="n">
        <v>897</v>
      </c>
      <c r="G1400" s="18" t="n">
        <v>7.27</v>
      </c>
      <c r="H1400" s="10">
        <f>IF(G1400="","",G1400*Ayarlar!$B$3+Ayarlar!$B$4+Ayarlar!$B$5)</f>
        <v/>
      </c>
      <c r="I1400" s="10">
        <f>IF(G1400="","",ROUNDUP(((G1400*Ayarlar!$B$3+Ayarlar!$B$4+Ayarlar!$B$5)+Ayarlar!$B$8)/((1-Ayarlar!$B$6)*(1-Ayarlar!$B$7)),0))</f>
        <v/>
      </c>
      <c r="J1400" s="10">
        <f>IF(G1400="","",ROUNDUP(((G1400*Ayarlar!$B$3+Ayarlar!$B$4+Ayarlar!$B$5)+Ayarlar!$B$8)/((1-Ayarlar!$B$6)*(1-Ayarlar!$B$7-Ayarlar!$B$9)),0))</f>
        <v/>
      </c>
      <c r="K1400" s="12">
        <f>IF(OR(G1400="",F1400=""),"",(F1400*(1-Ayarlar!$B$6)-(F1400*(1-Ayarlar!$B$6)*Ayarlar!$B$7+Ayarlar!$B$8)-(G1400*Ayarlar!$B$3+Ayarlar!$B$4+Ayarlar!$B$5))/(F1400*(1-Ayarlar!$B$6)))</f>
        <v/>
      </c>
      <c r="L1400" s="9">
        <f>IF(G1400="","GRAM EKSİK",IF(F1400&gt;30000,"FİYAT ŞÜPHELİ",IF(K1400&lt;0,"ZARARDA",IF(F1400&lt;I1400,"RİSKLİ","ok"))))</f>
        <v/>
      </c>
      <c r="M1400" s="13" t="inlineStr">
        <is>
          <t>https://www.etsy.com/listing/1713308864</t>
        </is>
      </c>
    </row>
    <row r="1401">
      <c r="A1401" s="3" t="inlineStr">
        <is>
          <t>love</t>
        </is>
      </c>
      <c r="B1401" s="3" t="inlineStr">
        <is>
          <t>10K Gold Nugget Heart Pendant Necklace / Diamond Cut Rope Ch</t>
        </is>
      </c>
      <c r="C1401" s="3" t="n">
        <v>1713308864</v>
      </c>
      <c r="D1401" s="3" t="inlineStr">
        <is>
          <t>PNUG2-35-24</t>
        </is>
      </c>
      <c r="E1401" s="3" t="inlineStr">
        <is>
          <t>description</t>
        </is>
      </c>
      <c r="F1401" s="14" t="n">
        <v>940</v>
      </c>
      <c r="G1401" s="17" t="n">
        <v>7.78</v>
      </c>
      <c r="H1401" s="14">
        <f>IF(G1401="","",G1401*Ayarlar!$B$3+Ayarlar!$B$4+Ayarlar!$B$5)</f>
        <v/>
      </c>
      <c r="I1401" s="14">
        <f>IF(G1401="","",ROUNDUP(((G1401*Ayarlar!$B$3+Ayarlar!$B$4+Ayarlar!$B$5)+Ayarlar!$B$8)/((1-Ayarlar!$B$6)*(1-Ayarlar!$B$7)),0))</f>
        <v/>
      </c>
      <c r="J1401" s="14">
        <f>IF(G1401="","",ROUNDUP(((G1401*Ayarlar!$B$3+Ayarlar!$B$4+Ayarlar!$B$5)+Ayarlar!$B$8)/((1-Ayarlar!$B$6)*(1-Ayarlar!$B$7-Ayarlar!$B$9)),0))</f>
        <v/>
      </c>
      <c r="K1401" s="15">
        <f>IF(OR(G1401="",F1401=""),"",(F1401*(1-Ayarlar!$B$6)-(F1401*(1-Ayarlar!$B$6)*Ayarlar!$B$7+Ayarlar!$B$8)-(G1401*Ayarlar!$B$3+Ayarlar!$B$4+Ayarlar!$B$5))/(F1401*(1-Ayarlar!$B$6)))</f>
        <v/>
      </c>
      <c r="L1401" s="3">
        <f>IF(G1401="","GRAM EKSİK",IF(F1401&gt;30000,"FİYAT ŞÜPHELİ",IF(K1401&lt;0,"ZARARDA",IF(F1401&lt;I1401,"RİSKLİ","ok"))))</f>
        <v/>
      </c>
      <c r="M1401" s="16" t="inlineStr">
        <is>
          <t>https://www.etsy.com/listing/1713308864</t>
        </is>
      </c>
    </row>
    <row r="1402">
      <c r="A1402" s="9" t="inlineStr">
        <is>
          <t>love</t>
        </is>
      </c>
      <c r="B1402" s="9" t="inlineStr">
        <is>
          <t>10K Gold Nugget Heart Pendant Necklace / Diamond Cut Rope Ch</t>
        </is>
      </c>
      <c r="C1402" s="9" t="n">
        <v>1713308864</v>
      </c>
      <c r="D1402" s="9" t="inlineStr">
        <is>
          <t>PNUG3</t>
        </is>
      </c>
      <c r="E1402" s="9" t="inlineStr">
        <is>
          <t>description</t>
        </is>
      </c>
      <c r="F1402" s="10" t="n">
        <v>490</v>
      </c>
      <c r="G1402" s="18" t="n">
        <v>3.64</v>
      </c>
      <c r="H1402" s="10">
        <f>IF(G1402="","",G1402*Ayarlar!$B$3+Ayarlar!$B$4+Ayarlar!$B$5)</f>
        <v/>
      </c>
      <c r="I1402" s="10">
        <f>IF(G1402="","",ROUNDUP(((G1402*Ayarlar!$B$3+Ayarlar!$B$4+Ayarlar!$B$5)+Ayarlar!$B$8)/((1-Ayarlar!$B$6)*(1-Ayarlar!$B$7)),0))</f>
        <v/>
      </c>
      <c r="J1402" s="10">
        <f>IF(G1402="","",ROUNDUP(((G1402*Ayarlar!$B$3+Ayarlar!$B$4+Ayarlar!$B$5)+Ayarlar!$B$8)/((1-Ayarlar!$B$6)*(1-Ayarlar!$B$7-Ayarlar!$B$9)),0))</f>
        <v/>
      </c>
      <c r="K1402" s="12">
        <f>IF(OR(G1402="",F1402=""),"",(F1402*(1-Ayarlar!$B$6)-(F1402*(1-Ayarlar!$B$6)*Ayarlar!$B$7+Ayarlar!$B$8)-(G1402*Ayarlar!$B$3+Ayarlar!$B$4+Ayarlar!$B$5))/(F1402*(1-Ayarlar!$B$6)))</f>
        <v/>
      </c>
      <c r="L1402" s="9">
        <f>IF(G1402="","GRAM EKSİK",IF(F1402&gt;30000,"FİYAT ŞÜPHELİ",IF(K1402&lt;0,"ZARARDA",IF(F1402&lt;I1402,"RİSKLİ","ok"))))</f>
        <v/>
      </c>
      <c r="M1402" s="13" t="inlineStr">
        <is>
          <t>https://www.etsy.com/listing/1713308864</t>
        </is>
      </c>
    </row>
    <row r="1403">
      <c r="A1403" s="3" t="inlineStr">
        <is>
          <t>love</t>
        </is>
      </c>
      <c r="B1403" s="3" t="inlineStr">
        <is>
          <t>10K Gold Nugget Heart Pendant Necklace / Diamond Cut Rope Ch</t>
        </is>
      </c>
      <c r="C1403" s="3" t="n">
        <v>1713308864</v>
      </c>
      <c r="D1403" s="3" t="inlineStr">
        <is>
          <t>PNUG3-25-16</t>
        </is>
      </c>
      <c r="E1403" s="3" t="inlineStr">
        <is>
          <t>description</t>
        </is>
      </c>
      <c r="F1403" s="14" t="n">
        <v>779</v>
      </c>
      <c r="G1403" s="17" t="n">
        <v>5.84</v>
      </c>
      <c r="H1403" s="14">
        <f>IF(G1403="","",G1403*Ayarlar!$B$3+Ayarlar!$B$4+Ayarlar!$B$5)</f>
        <v/>
      </c>
      <c r="I1403" s="14">
        <f>IF(G1403="","",ROUNDUP(((G1403*Ayarlar!$B$3+Ayarlar!$B$4+Ayarlar!$B$5)+Ayarlar!$B$8)/((1-Ayarlar!$B$6)*(1-Ayarlar!$B$7)),0))</f>
        <v/>
      </c>
      <c r="J1403" s="14">
        <f>IF(G1403="","",ROUNDUP(((G1403*Ayarlar!$B$3+Ayarlar!$B$4+Ayarlar!$B$5)+Ayarlar!$B$8)/((1-Ayarlar!$B$6)*(1-Ayarlar!$B$7-Ayarlar!$B$9)),0))</f>
        <v/>
      </c>
      <c r="K1403" s="15">
        <f>IF(OR(G1403="",F1403=""),"",(F1403*(1-Ayarlar!$B$6)-(F1403*(1-Ayarlar!$B$6)*Ayarlar!$B$7+Ayarlar!$B$8)-(G1403*Ayarlar!$B$3+Ayarlar!$B$4+Ayarlar!$B$5))/(F1403*(1-Ayarlar!$B$6)))</f>
        <v/>
      </c>
      <c r="L1403" s="3">
        <f>IF(G1403="","GRAM EKSİK",IF(F1403&gt;30000,"FİYAT ŞÜPHELİ",IF(K1403&lt;0,"ZARARDA",IF(F1403&lt;I1403,"RİSKLİ","ok"))))</f>
        <v/>
      </c>
      <c r="M1403" s="16" t="inlineStr">
        <is>
          <t>https://www.etsy.com/listing/1713308864</t>
        </is>
      </c>
    </row>
    <row r="1404">
      <c r="A1404" s="9" t="inlineStr">
        <is>
          <t>love</t>
        </is>
      </c>
      <c r="B1404" s="9" t="inlineStr">
        <is>
          <t>10K Gold Nugget Heart Pendant Necklace / Diamond Cut Rope Ch</t>
        </is>
      </c>
      <c r="C1404" s="9" t="n">
        <v>1713308864</v>
      </c>
      <c r="D1404" s="9" t="inlineStr">
        <is>
          <t>PNUG3-25-18</t>
        </is>
      </c>
      <c r="E1404" s="9" t="inlineStr">
        <is>
          <t>description</t>
        </is>
      </c>
      <c r="F1404" s="10" t="n">
        <v>821</v>
      </c>
      <c r="G1404" s="18" t="n">
        <v>6.12</v>
      </c>
      <c r="H1404" s="10">
        <f>IF(G1404="","",G1404*Ayarlar!$B$3+Ayarlar!$B$4+Ayarlar!$B$5)</f>
        <v/>
      </c>
      <c r="I1404" s="10">
        <f>IF(G1404="","",ROUNDUP(((G1404*Ayarlar!$B$3+Ayarlar!$B$4+Ayarlar!$B$5)+Ayarlar!$B$8)/((1-Ayarlar!$B$6)*(1-Ayarlar!$B$7)),0))</f>
        <v/>
      </c>
      <c r="J1404" s="10">
        <f>IF(G1404="","",ROUNDUP(((G1404*Ayarlar!$B$3+Ayarlar!$B$4+Ayarlar!$B$5)+Ayarlar!$B$8)/((1-Ayarlar!$B$6)*(1-Ayarlar!$B$7-Ayarlar!$B$9)),0))</f>
        <v/>
      </c>
      <c r="K1404" s="12">
        <f>IF(OR(G1404="",F1404=""),"",(F1404*(1-Ayarlar!$B$6)-(F1404*(1-Ayarlar!$B$6)*Ayarlar!$B$7+Ayarlar!$B$8)-(G1404*Ayarlar!$B$3+Ayarlar!$B$4+Ayarlar!$B$5))/(F1404*(1-Ayarlar!$B$6)))</f>
        <v/>
      </c>
      <c r="L1404" s="9">
        <f>IF(G1404="","GRAM EKSİK",IF(F1404&gt;30000,"FİYAT ŞÜPHELİ",IF(K1404&lt;0,"ZARARDA",IF(F1404&lt;I1404,"RİSKLİ","ok"))))</f>
        <v/>
      </c>
      <c r="M1404" s="13" t="inlineStr">
        <is>
          <t>https://www.etsy.com/listing/1713308864</t>
        </is>
      </c>
    </row>
    <row r="1405">
      <c r="A1405" s="3" t="inlineStr">
        <is>
          <t>love</t>
        </is>
      </c>
      <c r="B1405" s="3" t="inlineStr">
        <is>
          <t>10K Gold Nugget Heart Pendant Necklace / Diamond Cut Rope Ch</t>
        </is>
      </c>
      <c r="C1405" s="3" t="n">
        <v>1713308864</v>
      </c>
      <c r="D1405" s="3" t="inlineStr">
        <is>
          <t>PNUG3-25-20</t>
        </is>
      </c>
      <c r="E1405" s="3" t="inlineStr">
        <is>
          <t>description</t>
        </is>
      </c>
      <c r="F1405" s="14" t="n">
        <v>865</v>
      </c>
      <c r="G1405" s="17" t="n">
        <v>6.39</v>
      </c>
      <c r="H1405" s="14">
        <f>IF(G1405="","",G1405*Ayarlar!$B$3+Ayarlar!$B$4+Ayarlar!$B$5)</f>
        <v/>
      </c>
      <c r="I1405" s="14">
        <f>IF(G1405="","",ROUNDUP(((G1405*Ayarlar!$B$3+Ayarlar!$B$4+Ayarlar!$B$5)+Ayarlar!$B$8)/((1-Ayarlar!$B$6)*(1-Ayarlar!$B$7)),0))</f>
        <v/>
      </c>
      <c r="J1405" s="14">
        <f>IF(G1405="","",ROUNDUP(((G1405*Ayarlar!$B$3+Ayarlar!$B$4+Ayarlar!$B$5)+Ayarlar!$B$8)/((1-Ayarlar!$B$6)*(1-Ayarlar!$B$7-Ayarlar!$B$9)),0))</f>
        <v/>
      </c>
      <c r="K1405" s="15">
        <f>IF(OR(G1405="",F1405=""),"",(F1405*(1-Ayarlar!$B$6)-(F1405*(1-Ayarlar!$B$6)*Ayarlar!$B$7+Ayarlar!$B$8)-(G1405*Ayarlar!$B$3+Ayarlar!$B$4+Ayarlar!$B$5))/(F1405*(1-Ayarlar!$B$6)))</f>
        <v/>
      </c>
      <c r="L1405" s="3">
        <f>IF(G1405="","GRAM EKSİK",IF(F1405&gt;30000,"FİYAT ŞÜPHELİ",IF(K1405&lt;0,"ZARARDA",IF(F1405&lt;I1405,"RİSKLİ","ok"))))</f>
        <v/>
      </c>
      <c r="M1405" s="16" t="inlineStr">
        <is>
          <t>https://www.etsy.com/listing/1713308864</t>
        </is>
      </c>
    </row>
    <row r="1406">
      <c r="A1406" s="9" t="inlineStr">
        <is>
          <t>love</t>
        </is>
      </c>
      <c r="B1406" s="9" t="inlineStr">
        <is>
          <t>10K Gold Nugget Heart Pendant Necklace / Diamond Cut Rope Ch</t>
        </is>
      </c>
      <c r="C1406" s="9" t="n">
        <v>1713308864</v>
      </c>
      <c r="D1406" s="9" t="inlineStr">
        <is>
          <t>PNUG3-25-22</t>
        </is>
      </c>
      <c r="E1406" s="9" t="inlineStr">
        <is>
          <t>description</t>
        </is>
      </c>
      <c r="F1406" s="10" t="n">
        <v>907</v>
      </c>
      <c r="G1406" s="18" t="n">
        <v>6.67</v>
      </c>
      <c r="H1406" s="10">
        <f>IF(G1406="","",G1406*Ayarlar!$B$3+Ayarlar!$B$4+Ayarlar!$B$5)</f>
        <v/>
      </c>
      <c r="I1406" s="10">
        <f>IF(G1406="","",ROUNDUP(((G1406*Ayarlar!$B$3+Ayarlar!$B$4+Ayarlar!$B$5)+Ayarlar!$B$8)/((1-Ayarlar!$B$6)*(1-Ayarlar!$B$7)),0))</f>
        <v/>
      </c>
      <c r="J1406" s="10">
        <f>IF(G1406="","",ROUNDUP(((G1406*Ayarlar!$B$3+Ayarlar!$B$4+Ayarlar!$B$5)+Ayarlar!$B$8)/((1-Ayarlar!$B$6)*(1-Ayarlar!$B$7-Ayarlar!$B$9)),0))</f>
        <v/>
      </c>
      <c r="K1406" s="12">
        <f>IF(OR(G1406="",F1406=""),"",(F1406*(1-Ayarlar!$B$6)-(F1406*(1-Ayarlar!$B$6)*Ayarlar!$B$7+Ayarlar!$B$8)-(G1406*Ayarlar!$B$3+Ayarlar!$B$4+Ayarlar!$B$5))/(F1406*(1-Ayarlar!$B$6)))</f>
        <v/>
      </c>
      <c r="L1406" s="9">
        <f>IF(G1406="","GRAM EKSİK",IF(F1406&gt;30000,"FİYAT ŞÜPHELİ",IF(K1406&lt;0,"ZARARDA",IF(F1406&lt;I1406,"RİSKLİ","ok"))))</f>
        <v/>
      </c>
      <c r="M1406" s="13" t="inlineStr">
        <is>
          <t>https://www.etsy.com/listing/1713308864</t>
        </is>
      </c>
    </row>
    <row r="1407">
      <c r="A1407" s="3" t="inlineStr">
        <is>
          <t>love</t>
        </is>
      </c>
      <c r="B1407" s="3" t="inlineStr">
        <is>
          <t>10K Gold Nugget Heart Pendant Necklace / Diamond Cut Rope Ch</t>
        </is>
      </c>
      <c r="C1407" s="3" t="n">
        <v>1713308864</v>
      </c>
      <c r="D1407" s="3" t="inlineStr">
        <is>
          <t>PNUG3-25-24</t>
        </is>
      </c>
      <c r="E1407" s="3" t="inlineStr">
        <is>
          <t>description</t>
        </is>
      </c>
      <c r="F1407" s="14" t="n">
        <v>951</v>
      </c>
      <c r="G1407" s="17" t="n">
        <v>6.94</v>
      </c>
      <c r="H1407" s="14">
        <f>IF(G1407="","",G1407*Ayarlar!$B$3+Ayarlar!$B$4+Ayarlar!$B$5)</f>
        <v/>
      </c>
      <c r="I1407" s="14">
        <f>IF(G1407="","",ROUNDUP(((G1407*Ayarlar!$B$3+Ayarlar!$B$4+Ayarlar!$B$5)+Ayarlar!$B$8)/((1-Ayarlar!$B$6)*(1-Ayarlar!$B$7)),0))</f>
        <v/>
      </c>
      <c r="J1407" s="14">
        <f>IF(G1407="","",ROUNDUP(((G1407*Ayarlar!$B$3+Ayarlar!$B$4+Ayarlar!$B$5)+Ayarlar!$B$8)/((1-Ayarlar!$B$6)*(1-Ayarlar!$B$7-Ayarlar!$B$9)),0))</f>
        <v/>
      </c>
      <c r="K1407" s="15">
        <f>IF(OR(G1407="",F1407=""),"",(F1407*(1-Ayarlar!$B$6)-(F1407*(1-Ayarlar!$B$6)*Ayarlar!$B$7+Ayarlar!$B$8)-(G1407*Ayarlar!$B$3+Ayarlar!$B$4+Ayarlar!$B$5))/(F1407*(1-Ayarlar!$B$6)))</f>
        <v/>
      </c>
      <c r="L1407" s="3">
        <f>IF(G1407="","GRAM EKSİK",IF(F1407&gt;30000,"FİYAT ŞÜPHELİ",IF(K1407&lt;0,"ZARARDA",IF(F1407&lt;I1407,"RİSKLİ","ok"))))</f>
        <v/>
      </c>
      <c r="M1407" s="16" t="inlineStr">
        <is>
          <t>https://www.etsy.com/listing/1713308864</t>
        </is>
      </c>
    </row>
    <row r="1408">
      <c r="A1408" s="9" t="inlineStr">
        <is>
          <t>love</t>
        </is>
      </c>
      <c r="B1408" s="9" t="inlineStr">
        <is>
          <t>10K Gold Nugget Heart Pendant Necklace / Diamond Cut Rope Ch</t>
        </is>
      </c>
      <c r="C1408" s="9" t="n">
        <v>1713308864</v>
      </c>
      <c r="D1408" s="9" t="inlineStr">
        <is>
          <t>PNUG3-3-16</t>
        </is>
      </c>
      <c r="E1408" s="9" t="inlineStr">
        <is>
          <t>description</t>
        </is>
      </c>
      <c r="F1408" s="10" t="n">
        <v>851</v>
      </c>
      <c r="G1408" s="18" t="n">
        <v>6.52</v>
      </c>
      <c r="H1408" s="10">
        <f>IF(G1408="","",G1408*Ayarlar!$B$3+Ayarlar!$B$4+Ayarlar!$B$5)</f>
        <v/>
      </c>
      <c r="I1408" s="10">
        <f>IF(G1408="","",ROUNDUP(((G1408*Ayarlar!$B$3+Ayarlar!$B$4+Ayarlar!$B$5)+Ayarlar!$B$8)/((1-Ayarlar!$B$6)*(1-Ayarlar!$B$7)),0))</f>
        <v/>
      </c>
      <c r="J1408" s="10">
        <f>IF(G1408="","",ROUNDUP(((G1408*Ayarlar!$B$3+Ayarlar!$B$4+Ayarlar!$B$5)+Ayarlar!$B$8)/((1-Ayarlar!$B$6)*(1-Ayarlar!$B$7-Ayarlar!$B$9)),0))</f>
        <v/>
      </c>
      <c r="K1408" s="12">
        <f>IF(OR(G1408="",F1408=""),"",(F1408*(1-Ayarlar!$B$6)-(F1408*(1-Ayarlar!$B$6)*Ayarlar!$B$7+Ayarlar!$B$8)-(G1408*Ayarlar!$B$3+Ayarlar!$B$4+Ayarlar!$B$5))/(F1408*(1-Ayarlar!$B$6)))</f>
        <v/>
      </c>
      <c r="L1408" s="9">
        <f>IF(G1408="","GRAM EKSİK",IF(F1408&gt;30000,"FİYAT ŞÜPHELİ",IF(K1408&lt;0,"ZARARDA",IF(F1408&lt;I1408,"RİSKLİ","ok"))))</f>
        <v/>
      </c>
      <c r="M1408" s="13" t="inlineStr">
        <is>
          <t>https://www.etsy.com/listing/1713308864</t>
        </is>
      </c>
    </row>
    <row r="1409">
      <c r="A1409" s="3" t="inlineStr">
        <is>
          <t>love</t>
        </is>
      </c>
      <c r="B1409" s="3" t="inlineStr">
        <is>
          <t>10K Gold Nugget Heart Pendant Necklace / Diamond Cut Rope Ch</t>
        </is>
      </c>
      <c r="C1409" s="3" t="n">
        <v>1713308864</v>
      </c>
      <c r="D1409" s="3" t="inlineStr">
        <is>
          <t>PNUG3-3-18</t>
        </is>
      </c>
      <c r="E1409" s="3" t="inlineStr">
        <is>
          <t>description</t>
        </is>
      </c>
      <c r="F1409" s="14" t="n">
        <v>895</v>
      </c>
      <c r="G1409" s="17" t="n">
        <v>6.88</v>
      </c>
      <c r="H1409" s="14">
        <f>IF(G1409="","",G1409*Ayarlar!$B$3+Ayarlar!$B$4+Ayarlar!$B$5)</f>
        <v/>
      </c>
      <c r="I1409" s="14">
        <f>IF(G1409="","",ROUNDUP(((G1409*Ayarlar!$B$3+Ayarlar!$B$4+Ayarlar!$B$5)+Ayarlar!$B$8)/((1-Ayarlar!$B$6)*(1-Ayarlar!$B$7)),0))</f>
        <v/>
      </c>
      <c r="J1409" s="14">
        <f>IF(G1409="","",ROUNDUP(((G1409*Ayarlar!$B$3+Ayarlar!$B$4+Ayarlar!$B$5)+Ayarlar!$B$8)/((1-Ayarlar!$B$6)*(1-Ayarlar!$B$7-Ayarlar!$B$9)),0))</f>
        <v/>
      </c>
      <c r="K1409" s="15">
        <f>IF(OR(G1409="",F1409=""),"",(F1409*(1-Ayarlar!$B$6)-(F1409*(1-Ayarlar!$B$6)*Ayarlar!$B$7+Ayarlar!$B$8)-(G1409*Ayarlar!$B$3+Ayarlar!$B$4+Ayarlar!$B$5))/(F1409*(1-Ayarlar!$B$6)))</f>
        <v/>
      </c>
      <c r="L1409" s="3">
        <f>IF(G1409="","GRAM EKSİK",IF(F1409&gt;30000,"FİYAT ŞÜPHELİ",IF(K1409&lt;0,"ZARARDA",IF(F1409&lt;I1409,"RİSKLİ","ok"))))</f>
        <v/>
      </c>
      <c r="M1409" s="16" t="inlineStr">
        <is>
          <t>https://www.etsy.com/listing/1713308864</t>
        </is>
      </c>
    </row>
    <row r="1410">
      <c r="A1410" s="9" t="inlineStr">
        <is>
          <t>love</t>
        </is>
      </c>
      <c r="B1410" s="9" t="inlineStr">
        <is>
          <t>10K Gold Nugget Heart Pendant Necklace / Diamond Cut Rope Ch</t>
        </is>
      </c>
      <c r="C1410" s="9" t="n">
        <v>1713308864</v>
      </c>
      <c r="D1410" s="9" t="inlineStr">
        <is>
          <t>PNUG3-3-20</t>
        </is>
      </c>
      <c r="E1410" s="9" t="inlineStr">
        <is>
          <t>description</t>
        </is>
      </c>
      <c r="F1410" s="10" t="n">
        <v>938</v>
      </c>
      <c r="G1410" s="18" t="n">
        <v>7.24</v>
      </c>
      <c r="H1410" s="10">
        <f>IF(G1410="","",G1410*Ayarlar!$B$3+Ayarlar!$B$4+Ayarlar!$B$5)</f>
        <v/>
      </c>
      <c r="I1410" s="10">
        <f>IF(G1410="","",ROUNDUP(((G1410*Ayarlar!$B$3+Ayarlar!$B$4+Ayarlar!$B$5)+Ayarlar!$B$8)/((1-Ayarlar!$B$6)*(1-Ayarlar!$B$7)),0))</f>
        <v/>
      </c>
      <c r="J1410" s="10">
        <f>IF(G1410="","",ROUNDUP(((G1410*Ayarlar!$B$3+Ayarlar!$B$4+Ayarlar!$B$5)+Ayarlar!$B$8)/((1-Ayarlar!$B$6)*(1-Ayarlar!$B$7-Ayarlar!$B$9)),0))</f>
        <v/>
      </c>
      <c r="K1410" s="12">
        <f>IF(OR(G1410="",F1410=""),"",(F1410*(1-Ayarlar!$B$6)-(F1410*(1-Ayarlar!$B$6)*Ayarlar!$B$7+Ayarlar!$B$8)-(G1410*Ayarlar!$B$3+Ayarlar!$B$4+Ayarlar!$B$5))/(F1410*(1-Ayarlar!$B$6)))</f>
        <v/>
      </c>
      <c r="L1410" s="9">
        <f>IF(G1410="","GRAM EKSİK",IF(F1410&gt;30000,"FİYAT ŞÜPHELİ",IF(K1410&lt;0,"ZARARDA",IF(F1410&lt;I1410,"RİSKLİ","ok"))))</f>
        <v/>
      </c>
      <c r="M1410" s="13" t="inlineStr">
        <is>
          <t>https://www.etsy.com/listing/1713308864</t>
        </is>
      </c>
    </row>
    <row r="1411">
      <c r="A1411" s="3" t="inlineStr">
        <is>
          <t>love</t>
        </is>
      </c>
      <c r="B1411" s="3" t="inlineStr">
        <is>
          <t>10K Gold Nugget Heart Pendant Necklace / Diamond Cut Rope Ch</t>
        </is>
      </c>
      <c r="C1411" s="3" t="n">
        <v>1713308864</v>
      </c>
      <c r="D1411" s="3" t="inlineStr">
        <is>
          <t>PNUG3-3-22</t>
        </is>
      </c>
      <c r="E1411" s="3" t="inlineStr">
        <is>
          <t>description</t>
        </is>
      </c>
      <c r="F1411" s="14" t="n">
        <v>981</v>
      </c>
      <c r="G1411" s="17" t="n">
        <v>7.6</v>
      </c>
      <c r="H1411" s="14">
        <f>IF(G1411="","",G1411*Ayarlar!$B$3+Ayarlar!$B$4+Ayarlar!$B$5)</f>
        <v/>
      </c>
      <c r="I1411" s="14">
        <f>IF(G1411="","",ROUNDUP(((G1411*Ayarlar!$B$3+Ayarlar!$B$4+Ayarlar!$B$5)+Ayarlar!$B$8)/((1-Ayarlar!$B$6)*(1-Ayarlar!$B$7)),0))</f>
        <v/>
      </c>
      <c r="J1411" s="14">
        <f>IF(G1411="","",ROUNDUP(((G1411*Ayarlar!$B$3+Ayarlar!$B$4+Ayarlar!$B$5)+Ayarlar!$B$8)/((1-Ayarlar!$B$6)*(1-Ayarlar!$B$7-Ayarlar!$B$9)),0))</f>
        <v/>
      </c>
      <c r="K1411" s="15">
        <f>IF(OR(G1411="",F1411=""),"",(F1411*(1-Ayarlar!$B$6)-(F1411*(1-Ayarlar!$B$6)*Ayarlar!$B$7+Ayarlar!$B$8)-(G1411*Ayarlar!$B$3+Ayarlar!$B$4+Ayarlar!$B$5))/(F1411*(1-Ayarlar!$B$6)))</f>
        <v/>
      </c>
      <c r="L1411" s="3">
        <f>IF(G1411="","GRAM EKSİK",IF(F1411&gt;30000,"FİYAT ŞÜPHELİ",IF(K1411&lt;0,"ZARARDA",IF(F1411&lt;I1411,"RİSKLİ","ok"))))</f>
        <v/>
      </c>
      <c r="M1411" s="16" t="inlineStr">
        <is>
          <t>https://www.etsy.com/listing/1713308864</t>
        </is>
      </c>
    </row>
    <row r="1412">
      <c r="A1412" s="9" t="inlineStr">
        <is>
          <t>love</t>
        </is>
      </c>
      <c r="B1412" s="9" t="inlineStr">
        <is>
          <t>10K Gold Nugget Heart Pendant Necklace / Diamond Cut Rope Ch</t>
        </is>
      </c>
      <c r="C1412" s="9" t="n">
        <v>1713308864</v>
      </c>
      <c r="D1412" s="9" t="inlineStr">
        <is>
          <t>PNUG3-3-24</t>
        </is>
      </c>
      <c r="E1412" s="9" t="inlineStr">
        <is>
          <t>description</t>
        </is>
      </c>
      <c r="F1412" s="10" t="n">
        <v>1024</v>
      </c>
      <c r="G1412" s="18" t="n">
        <v>7.96</v>
      </c>
      <c r="H1412" s="10">
        <f>IF(G1412="","",G1412*Ayarlar!$B$3+Ayarlar!$B$4+Ayarlar!$B$5)</f>
        <v/>
      </c>
      <c r="I1412" s="10">
        <f>IF(G1412="","",ROUNDUP(((G1412*Ayarlar!$B$3+Ayarlar!$B$4+Ayarlar!$B$5)+Ayarlar!$B$8)/((1-Ayarlar!$B$6)*(1-Ayarlar!$B$7)),0))</f>
        <v/>
      </c>
      <c r="J1412" s="10">
        <f>IF(G1412="","",ROUNDUP(((G1412*Ayarlar!$B$3+Ayarlar!$B$4+Ayarlar!$B$5)+Ayarlar!$B$8)/((1-Ayarlar!$B$6)*(1-Ayarlar!$B$7-Ayarlar!$B$9)),0))</f>
        <v/>
      </c>
      <c r="K1412" s="12">
        <f>IF(OR(G1412="",F1412=""),"",(F1412*(1-Ayarlar!$B$6)-(F1412*(1-Ayarlar!$B$6)*Ayarlar!$B$7+Ayarlar!$B$8)-(G1412*Ayarlar!$B$3+Ayarlar!$B$4+Ayarlar!$B$5))/(F1412*(1-Ayarlar!$B$6)))</f>
        <v/>
      </c>
      <c r="L1412" s="9">
        <f>IF(G1412="","GRAM EKSİK",IF(F1412&gt;30000,"FİYAT ŞÜPHELİ",IF(K1412&lt;0,"ZARARDA",IF(F1412&lt;I1412,"RİSKLİ","ok"))))</f>
        <v/>
      </c>
      <c r="M1412" s="13" t="inlineStr">
        <is>
          <t>https://www.etsy.com/listing/1713308864</t>
        </is>
      </c>
    </row>
    <row r="1413">
      <c r="A1413" s="3" t="inlineStr">
        <is>
          <t>love</t>
        </is>
      </c>
      <c r="B1413" s="3" t="inlineStr">
        <is>
          <t>10K Gold Nugget Heart Pendant Necklace / Diamond Cut Rope Ch</t>
        </is>
      </c>
      <c r="C1413" s="3" t="n">
        <v>1713308864</v>
      </c>
      <c r="D1413" s="3" t="inlineStr">
        <is>
          <t>PNUG3-35-16</t>
        </is>
      </c>
      <c r="E1413" s="3" t="inlineStr">
        <is>
          <t>description</t>
        </is>
      </c>
      <c r="F1413" s="14" t="n">
        <v>926</v>
      </c>
      <c r="G1413" s="17" t="n">
        <v>7.74</v>
      </c>
      <c r="H1413" s="14">
        <f>IF(G1413="","",G1413*Ayarlar!$B$3+Ayarlar!$B$4+Ayarlar!$B$5)</f>
        <v/>
      </c>
      <c r="I1413" s="14">
        <f>IF(G1413="","",ROUNDUP(((G1413*Ayarlar!$B$3+Ayarlar!$B$4+Ayarlar!$B$5)+Ayarlar!$B$8)/((1-Ayarlar!$B$6)*(1-Ayarlar!$B$7)),0))</f>
        <v/>
      </c>
      <c r="J1413" s="14">
        <f>IF(G1413="","",ROUNDUP(((G1413*Ayarlar!$B$3+Ayarlar!$B$4+Ayarlar!$B$5)+Ayarlar!$B$8)/((1-Ayarlar!$B$6)*(1-Ayarlar!$B$7-Ayarlar!$B$9)),0))</f>
        <v/>
      </c>
      <c r="K1413" s="15">
        <f>IF(OR(G1413="",F1413=""),"",(F1413*(1-Ayarlar!$B$6)-(F1413*(1-Ayarlar!$B$6)*Ayarlar!$B$7+Ayarlar!$B$8)-(G1413*Ayarlar!$B$3+Ayarlar!$B$4+Ayarlar!$B$5))/(F1413*(1-Ayarlar!$B$6)))</f>
        <v/>
      </c>
      <c r="L1413" s="3">
        <f>IF(G1413="","GRAM EKSİK",IF(F1413&gt;30000,"FİYAT ŞÜPHELİ",IF(K1413&lt;0,"ZARARDA",IF(F1413&lt;I1413,"RİSKLİ","ok"))))</f>
        <v/>
      </c>
      <c r="M1413" s="16" t="inlineStr">
        <is>
          <t>https://www.etsy.com/listing/1713308864</t>
        </is>
      </c>
    </row>
    <row r="1414">
      <c r="A1414" s="9" t="inlineStr">
        <is>
          <t>love</t>
        </is>
      </c>
      <c r="B1414" s="9" t="inlineStr">
        <is>
          <t>10K Gold Nugget Heart Pendant Necklace / Diamond Cut Rope Ch</t>
        </is>
      </c>
      <c r="C1414" s="9" t="n">
        <v>1713308864</v>
      </c>
      <c r="D1414" s="9" t="inlineStr">
        <is>
          <t>PNUG3-35-18</t>
        </is>
      </c>
      <c r="E1414" s="9" t="inlineStr">
        <is>
          <t>description</t>
        </is>
      </c>
      <c r="F1414" s="10" t="n">
        <v>971</v>
      </c>
      <c r="G1414" s="18" t="n">
        <v>8.25</v>
      </c>
      <c r="H1414" s="10">
        <f>IF(G1414="","",G1414*Ayarlar!$B$3+Ayarlar!$B$4+Ayarlar!$B$5)</f>
        <v/>
      </c>
      <c r="I1414" s="10">
        <f>IF(G1414="","",ROUNDUP(((G1414*Ayarlar!$B$3+Ayarlar!$B$4+Ayarlar!$B$5)+Ayarlar!$B$8)/((1-Ayarlar!$B$6)*(1-Ayarlar!$B$7)),0))</f>
        <v/>
      </c>
      <c r="J1414" s="10">
        <f>IF(G1414="","",ROUNDUP(((G1414*Ayarlar!$B$3+Ayarlar!$B$4+Ayarlar!$B$5)+Ayarlar!$B$8)/((1-Ayarlar!$B$6)*(1-Ayarlar!$B$7-Ayarlar!$B$9)),0))</f>
        <v/>
      </c>
      <c r="K1414" s="12">
        <f>IF(OR(G1414="",F1414=""),"",(F1414*(1-Ayarlar!$B$6)-(F1414*(1-Ayarlar!$B$6)*Ayarlar!$B$7+Ayarlar!$B$8)-(G1414*Ayarlar!$B$3+Ayarlar!$B$4+Ayarlar!$B$5))/(F1414*(1-Ayarlar!$B$6)))</f>
        <v/>
      </c>
      <c r="L1414" s="9">
        <f>IF(G1414="","GRAM EKSİK",IF(F1414&gt;30000,"FİYAT ŞÜPHELİ",IF(K1414&lt;0,"ZARARDA",IF(F1414&lt;I1414,"RİSKLİ","ok"))))</f>
        <v/>
      </c>
      <c r="M1414" s="13" t="inlineStr">
        <is>
          <t>https://www.etsy.com/listing/1713308864</t>
        </is>
      </c>
    </row>
    <row r="1415">
      <c r="A1415" s="3" t="inlineStr">
        <is>
          <t>love</t>
        </is>
      </c>
      <c r="B1415" s="3" t="inlineStr">
        <is>
          <t>10K Gold Nugget Heart Pendant Necklace / Diamond Cut Rope Ch</t>
        </is>
      </c>
      <c r="C1415" s="3" t="n">
        <v>1713308864</v>
      </c>
      <c r="D1415" s="3" t="inlineStr">
        <is>
          <t>PNUG3-35-20</t>
        </is>
      </c>
      <c r="E1415" s="3" t="inlineStr">
        <is>
          <t>description</t>
        </is>
      </c>
      <c r="F1415" s="14" t="n">
        <v>1014</v>
      </c>
      <c r="G1415" s="17" t="n">
        <v>8.76</v>
      </c>
      <c r="H1415" s="14">
        <f>IF(G1415="","",G1415*Ayarlar!$B$3+Ayarlar!$B$4+Ayarlar!$B$5)</f>
        <v/>
      </c>
      <c r="I1415" s="14">
        <f>IF(G1415="","",ROUNDUP(((G1415*Ayarlar!$B$3+Ayarlar!$B$4+Ayarlar!$B$5)+Ayarlar!$B$8)/((1-Ayarlar!$B$6)*(1-Ayarlar!$B$7)),0))</f>
        <v/>
      </c>
      <c r="J1415" s="14">
        <f>IF(G1415="","",ROUNDUP(((G1415*Ayarlar!$B$3+Ayarlar!$B$4+Ayarlar!$B$5)+Ayarlar!$B$8)/((1-Ayarlar!$B$6)*(1-Ayarlar!$B$7-Ayarlar!$B$9)),0))</f>
        <v/>
      </c>
      <c r="K1415" s="15">
        <f>IF(OR(G1415="",F1415=""),"",(F1415*(1-Ayarlar!$B$6)-(F1415*(1-Ayarlar!$B$6)*Ayarlar!$B$7+Ayarlar!$B$8)-(G1415*Ayarlar!$B$3+Ayarlar!$B$4+Ayarlar!$B$5))/(F1415*(1-Ayarlar!$B$6)))</f>
        <v/>
      </c>
      <c r="L1415" s="3">
        <f>IF(G1415="","GRAM EKSİK",IF(F1415&gt;30000,"FİYAT ŞÜPHELİ",IF(K1415&lt;0,"ZARARDA",IF(F1415&lt;I1415,"RİSKLİ","ok"))))</f>
        <v/>
      </c>
      <c r="M1415" s="16" t="inlineStr">
        <is>
          <t>https://www.etsy.com/listing/1713308864</t>
        </is>
      </c>
    </row>
    <row r="1416">
      <c r="A1416" s="9" t="inlineStr">
        <is>
          <t>love</t>
        </is>
      </c>
      <c r="B1416" s="9" t="inlineStr">
        <is>
          <t>10K Gold Nugget Heart Pendant Necklace / Diamond Cut Rope Ch</t>
        </is>
      </c>
      <c r="C1416" s="9" t="n">
        <v>1713308864</v>
      </c>
      <c r="D1416" s="9" t="inlineStr">
        <is>
          <t>PNUG3-35-22</t>
        </is>
      </c>
      <c r="E1416" s="9" t="inlineStr">
        <is>
          <t>description</t>
        </is>
      </c>
      <c r="F1416" s="10" t="n">
        <v>1059</v>
      </c>
      <c r="G1416" s="18" t="n">
        <v>9.27</v>
      </c>
      <c r="H1416" s="10">
        <f>IF(G1416="","",G1416*Ayarlar!$B$3+Ayarlar!$B$4+Ayarlar!$B$5)</f>
        <v/>
      </c>
      <c r="I1416" s="10">
        <f>IF(G1416="","",ROUNDUP(((G1416*Ayarlar!$B$3+Ayarlar!$B$4+Ayarlar!$B$5)+Ayarlar!$B$8)/((1-Ayarlar!$B$6)*(1-Ayarlar!$B$7)),0))</f>
        <v/>
      </c>
      <c r="J1416" s="10">
        <f>IF(G1416="","",ROUNDUP(((G1416*Ayarlar!$B$3+Ayarlar!$B$4+Ayarlar!$B$5)+Ayarlar!$B$8)/((1-Ayarlar!$B$6)*(1-Ayarlar!$B$7-Ayarlar!$B$9)),0))</f>
        <v/>
      </c>
      <c r="K1416" s="12">
        <f>IF(OR(G1416="",F1416=""),"",(F1416*(1-Ayarlar!$B$6)-(F1416*(1-Ayarlar!$B$6)*Ayarlar!$B$7+Ayarlar!$B$8)-(G1416*Ayarlar!$B$3+Ayarlar!$B$4+Ayarlar!$B$5))/(F1416*(1-Ayarlar!$B$6)))</f>
        <v/>
      </c>
      <c r="L1416" s="9">
        <f>IF(G1416="","GRAM EKSİK",IF(F1416&gt;30000,"FİYAT ŞÜPHELİ",IF(K1416&lt;0,"ZARARDA",IF(F1416&lt;I1416,"RİSKLİ","ok"))))</f>
        <v/>
      </c>
      <c r="M1416" s="13" t="inlineStr">
        <is>
          <t>https://www.etsy.com/listing/1713308864</t>
        </is>
      </c>
    </row>
    <row r="1417">
      <c r="A1417" s="3" t="inlineStr">
        <is>
          <t>love</t>
        </is>
      </c>
      <c r="B1417" s="3" t="inlineStr">
        <is>
          <t>10K Gold Nugget Heart Pendant Necklace / Diamond Cut Rope Ch</t>
        </is>
      </c>
      <c r="C1417" s="3" t="n">
        <v>1713308864</v>
      </c>
      <c r="D1417" s="3" t="inlineStr">
        <is>
          <t>PNUG3-35-24</t>
        </is>
      </c>
      <c r="E1417" s="3" t="inlineStr">
        <is>
          <t>description</t>
        </is>
      </c>
      <c r="F1417" s="14" t="n">
        <v>1103</v>
      </c>
      <c r="G1417" s="17" t="n">
        <v>9.779999999999999</v>
      </c>
      <c r="H1417" s="14">
        <f>IF(G1417="","",G1417*Ayarlar!$B$3+Ayarlar!$B$4+Ayarlar!$B$5)</f>
        <v/>
      </c>
      <c r="I1417" s="14">
        <f>IF(G1417="","",ROUNDUP(((G1417*Ayarlar!$B$3+Ayarlar!$B$4+Ayarlar!$B$5)+Ayarlar!$B$8)/((1-Ayarlar!$B$6)*(1-Ayarlar!$B$7)),0))</f>
        <v/>
      </c>
      <c r="J1417" s="14">
        <f>IF(G1417="","",ROUNDUP(((G1417*Ayarlar!$B$3+Ayarlar!$B$4+Ayarlar!$B$5)+Ayarlar!$B$8)/((1-Ayarlar!$B$6)*(1-Ayarlar!$B$7-Ayarlar!$B$9)),0))</f>
        <v/>
      </c>
      <c r="K1417" s="15">
        <f>IF(OR(G1417="",F1417=""),"",(F1417*(1-Ayarlar!$B$6)-(F1417*(1-Ayarlar!$B$6)*Ayarlar!$B$7+Ayarlar!$B$8)-(G1417*Ayarlar!$B$3+Ayarlar!$B$4+Ayarlar!$B$5))/(F1417*(1-Ayarlar!$B$6)))</f>
        <v/>
      </c>
      <c r="L1417" s="3">
        <f>IF(G1417="","GRAM EKSİK",IF(F1417&gt;30000,"FİYAT ŞÜPHELİ",IF(K1417&lt;0,"ZARARDA",IF(F1417&lt;I1417,"RİSKLİ","ok"))))</f>
        <v/>
      </c>
      <c r="M1417" s="16" t="inlineStr">
        <is>
          <t>https://www.etsy.com/listing/1713308864</t>
        </is>
      </c>
    </row>
    <row r="1418">
      <c r="A1418" s="9" t="inlineStr">
        <is>
          <t>love</t>
        </is>
      </c>
      <c r="B1418" s="9" t="inlineStr">
        <is>
          <t>10K Gold Teddy Bear Bracelet / Diamond Cut Charm, 7.5"</t>
        </is>
      </c>
      <c r="C1418" s="9" t="n">
        <v>1726181962</v>
      </c>
      <c r="D1418" s="9" t="inlineStr">
        <is>
          <t>BTED1-7.5</t>
        </is>
      </c>
      <c r="E1418" s="9" t="inlineStr">
        <is>
          <t>description</t>
        </is>
      </c>
      <c r="F1418" s="10" t="n">
        <v>758</v>
      </c>
      <c r="G1418" s="18" t="n">
        <v>8.050000000000001</v>
      </c>
      <c r="H1418" s="10">
        <f>IF(G1418="","",G1418*Ayarlar!$B$3+Ayarlar!$B$4+Ayarlar!$B$5)</f>
        <v/>
      </c>
      <c r="I1418" s="10">
        <f>IF(G1418="","",ROUNDUP(((G1418*Ayarlar!$B$3+Ayarlar!$B$4+Ayarlar!$B$5)+Ayarlar!$B$8)/((1-Ayarlar!$B$6)*(1-Ayarlar!$B$7)),0))</f>
        <v/>
      </c>
      <c r="J1418" s="10">
        <f>IF(G1418="","",ROUNDUP(((G1418*Ayarlar!$B$3+Ayarlar!$B$4+Ayarlar!$B$5)+Ayarlar!$B$8)/((1-Ayarlar!$B$6)*(1-Ayarlar!$B$7-Ayarlar!$B$9)),0))</f>
        <v/>
      </c>
      <c r="K1418" s="12">
        <f>IF(OR(G1418="",F1418=""),"",(F1418*(1-Ayarlar!$B$6)-(F1418*(1-Ayarlar!$B$6)*Ayarlar!$B$7+Ayarlar!$B$8)-(G1418*Ayarlar!$B$3+Ayarlar!$B$4+Ayarlar!$B$5))/(F1418*(1-Ayarlar!$B$6)))</f>
        <v/>
      </c>
      <c r="L1418" s="9">
        <f>IF(G1418="","GRAM EKSİK",IF(F1418&gt;30000,"FİYAT ŞÜPHELİ",IF(K1418&lt;0,"ZARARDA",IF(F1418&lt;I1418,"RİSKLİ","ok"))))</f>
        <v/>
      </c>
      <c r="M1418" s="13" t="inlineStr">
        <is>
          <t>https://www.etsy.com/listing/1726181962</t>
        </is>
      </c>
    </row>
    <row r="1419">
      <c r="A1419" s="3" t="inlineStr">
        <is>
          <t>love</t>
        </is>
      </c>
      <c r="B1419" s="3" t="inlineStr">
        <is>
          <t>10K Yellow Gold Graduated Heart Hoop Earrings / Diamond Cut</t>
        </is>
      </c>
      <c r="C1419" s="3" t="n">
        <v>1230866961</v>
      </c>
      <c r="D1419" s="3" t="inlineStr">
        <is>
          <t>E5-1</t>
        </is>
      </c>
      <c r="E1419" s="3" t="inlineStr">
        <is>
          <t>—</t>
        </is>
      </c>
      <c r="F1419" s="14" t="n">
        <v>124.98</v>
      </c>
      <c r="G1419" s="11" t="n"/>
      <c r="H1419" s="14">
        <f>IF(G1419="","",G1419*Ayarlar!$B$3+Ayarlar!$B$4+Ayarlar!$B$5)</f>
        <v/>
      </c>
      <c r="I1419" s="14">
        <f>IF(G1419="","",ROUNDUP(((G1419*Ayarlar!$B$3+Ayarlar!$B$4+Ayarlar!$B$5)+Ayarlar!$B$8)/((1-Ayarlar!$B$6)*(1-Ayarlar!$B$7)),0))</f>
        <v/>
      </c>
      <c r="J1419" s="14">
        <f>IF(G1419="","",ROUNDUP(((G1419*Ayarlar!$B$3+Ayarlar!$B$4+Ayarlar!$B$5)+Ayarlar!$B$8)/((1-Ayarlar!$B$6)*(1-Ayarlar!$B$7-Ayarlar!$B$9)),0))</f>
        <v/>
      </c>
      <c r="K1419" s="15">
        <f>IF(OR(G1419="",F1419=""),"",(F1419*(1-Ayarlar!$B$6)-(F1419*(1-Ayarlar!$B$6)*Ayarlar!$B$7+Ayarlar!$B$8)-(G1419*Ayarlar!$B$3+Ayarlar!$B$4+Ayarlar!$B$5))/(F1419*(1-Ayarlar!$B$6)))</f>
        <v/>
      </c>
      <c r="L1419" s="3">
        <f>IF(G1419="","GRAM EKSİK",IF(F1419&gt;30000,"FİYAT ŞÜPHELİ",IF(K1419&lt;0,"ZARARDA",IF(F1419&lt;I1419,"RİSKLİ","ok"))))</f>
        <v/>
      </c>
      <c r="M1419" s="16" t="inlineStr">
        <is>
          <t>https://www.etsy.com/listing/1230866961</t>
        </is>
      </c>
    </row>
    <row r="1420">
      <c r="A1420" s="9" t="inlineStr">
        <is>
          <t>love</t>
        </is>
      </c>
      <c r="B1420" s="9" t="inlineStr">
        <is>
          <t>10K Yellow Gold Graduated Heart Hoop Earrings / Diamond Cut</t>
        </is>
      </c>
      <c r="C1420" s="9" t="n">
        <v>1230866961</v>
      </c>
      <c r="D1420" s="9" t="inlineStr">
        <is>
          <t>E5-2</t>
        </is>
      </c>
      <c r="E1420" s="9" t="inlineStr">
        <is>
          <t>shipstation</t>
        </is>
      </c>
      <c r="F1420" s="10" t="n">
        <v>450</v>
      </c>
      <c r="G1420" s="18" t="n">
        <v>4.57</v>
      </c>
      <c r="H1420" s="10">
        <f>IF(G1420="","",G1420*Ayarlar!$B$3+Ayarlar!$B$4+Ayarlar!$B$5)</f>
        <v/>
      </c>
      <c r="I1420" s="10">
        <f>IF(G1420="","",ROUNDUP(((G1420*Ayarlar!$B$3+Ayarlar!$B$4+Ayarlar!$B$5)+Ayarlar!$B$8)/((1-Ayarlar!$B$6)*(1-Ayarlar!$B$7)),0))</f>
        <v/>
      </c>
      <c r="J1420" s="10">
        <f>IF(G1420="","",ROUNDUP(((G1420*Ayarlar!$B$3+Ayarlar!$B$4+Ayarlar!$B$5)+Ayarlar!$B$8)/((1-Ayarlar!$B$6)*(1-Ayarlar!$B$7-Ayarlar!$B$9)),0))</f>
        <v/>
      </c>
      <c r="K1420" s="12">
        <f>IF(OR(G1420="",F1420=""),"",(F1420*(1-Ayarlar!$B$6)-(F1420*(1-Ayarlar!$B$6)*Ayarlar!$B$7+Ayarlar!$B$8)-(G1420*Ayarlar!$B$3+Ayarlar!$B$4+Ayarlar!$B$5))/(F1420*(1-Ayarlar!$B$6)))</f>
        <v/>
      </c>
      <c r="L1420" s="9">
        <f>IF(G1420="","GRAM EKSİK",IF(F1420&gt;30000,"FİYAT ŞÜPHELİ",IF(K1420&lt;0,"ZARARDA",IF(F1420&lt;I1420,"RİSKLİ","ok"))))</f>
        <v/>
      </c>
      <c r="M1420" s="13" t="inlineStr">
        <is>
          <t>https://www.etsy.com/listing/1230866961</t>
        </is>
      </c>
    </row>
    <row r="1421">
      <c r="A1421" s="3" t="inlineStr">
        <is>
          <t>love</t>
        </is>
      </c>
      <c r="B1421" s="3" t="inlineStr">
        <is>
          <t>10K Yellow Gold Graduated Heart Hoop Earrings / Diamond Cut</t>
        </is>
      </c>
      <c r="C1421" s="3" t="n">
        <v>1230866961</v>
      </c>
      <c r="D1421" s="3" t="inlineStr">
        <is>
          <t>E5-3</t>
        </is>
      </c>
      <c r="E1421" s="3" t="inlineStr">
        <is>
          <t>description</t>
        </is>
      </c>
      <c r="F1421" s="14" t="n">
        <v>671</v>
      </c>
      <c r="G1421" s="17" t="n">
        <v>5.83</v>
      </c>
      <c r="H1421" s="14">
        <f>IF(G1421="","",G1421*Ayarlar!$B$3+Ayarlar!$B$4+Ayarlar!$B$5)</f>
        <v/>
      </c>
      <c r="I1421" s="14">
        <f>IF(G1421="","",ROUNDUP(((G1421*Ayarlar!$B$3+Ayarlar!$B$4+Ayarlar!$B$5)+Ayarlar!$B$8)/((1-Ayarlar!$B$6)*(1-Ayarlar!$B$7)),0))</f>
        <v/>
      </c>
      <c r="J1421" s="14">
        <f>IF(G1421="","",ROUNDUP(((G1421*Ayarlar!$B$3+Ayarlar!$B$4+Ayarlar!$B$5)+Ayarlar!$B$8)/((1-Ayarlar!$B$6)*(1-Ayarlar!$B$7-Ayarlar!$B$9)),0))</f>
        <v/>
      </c>
      <c r="K1421" s="15">
        <f>IF(OR(G1421="",F1421=""),"",(F1421*(1-Ayarlar!$B$6)-(F1421*(1-Ayarlar!$B$6)*Ayarlar!$B$7+Ayarlar!$B$8)-(G1421*Ayarlar!$B$3+Ayarlar!$B$4+Ayarlar!$B$5))/(F1421*(1-Ayarlar!$B$6)))</f>
        <v/>
      </c>
      <c r="L1421" s="3">
        <f>IF(G1421="","GRAM EKSİK",IF(F1421&gt;30000,"FİYAT ŞÜPHELİ",IF(K1421&lt;0,"ZARARDA",IF(F1421&lt;I1421,"RİSKLİ","ok"))))</f>
        <v/>
      </c>
      <c r="M1421" s="16" t="inlineStr">
        <is>
          <t>https://www.etsy.com/listing/1230866961</t>
        </is>
      </c>
    </row>
    <row r="1422">
      <c r="A1422" s="9" t="inlineStr">
        <is>
          <t>love</t>
        </is>
      </c>
      <c r="B1422" s="9" t="inlineStr">
        <is>
          <t>14K Gold Heart Bamboo Hoop Earrings / Diamond Cut Jewelry</t>
        </is>
      </c>
      <c r="C1422" s="9" t="n">
        <v>1652142260</v>
      </c>
      <c r="D1422" s="9" t="inlineStr">
        <is>
          <t>EHRB-20</t>
        </is>
      </c>
      <c r="E1422" s="9" t="inlineStr">
        <is>
          <t>description</t>
        </is>
      </c>
      <c r="F1422" s="10" t="n">
        <v>301</v>
      </c>
      <c r="G1422" s="18" t="n">
        <v>1.75</v>
      </c>
      <c r="H1422" s="10">
        <f>IF(G1422="","",G1422*Ayarlar!$B$3+Ayarlar!$B$4+Ayarlar!$B$5)</f>
        <v/>
      </c>
      <c r="I1422" s="10">
        <f>IF(G1422="","",ROUNDUP(((G1422*Ayarlar!$B$3+Ayarlar!$B$4+Ayarlar!$B$5)+Ayarlar!$B$8)/((1-Ayarlar!$B$6)*(1-Ayarlar!$B$7)),0))</f>
        <v/>
      </c>
      <c r="J1422" s="10">
        <f>IF(G1422="","",ROUNDUP(((G1422*Ayarlar!$B$3+Ayarlar!$B$4+Ayarlar!$B$5)+Ayarlar!$B$8)/((1-Ayarlar!$B$6)*(1-Ayarlar!$B$7-Ayarlar!$B$9)),0))</f>
        <v/>
      </c>
      <c r="K1422" s="12">
        <f>IF(OR(G1422="",F1422=""),"",(F1422*(1-Ayarlar!$B$6)-(F1422*(1-Ayarlar!$B$6)*Ayarlar!$B$7+Ayarlar!$B$8)-(G1422*Ayarlar!$B$3+Ayarlar!$B$4+Ayarlar!$B$5))/(F1422*(1-Ayarlar!$B$6)))</f>
        <v/>
      </c>
      <c r="L1422" s="9">
        <f>IF(G1422="","GRAM EKSİK",IF(F1422&gt;30000,"FİYAT ŞÜPHELİ",IF(K1422&lt;0,"ZARARDA",IF(F1422&lt;I1422,"RİSKLİ","ok"))))</f>
        <v/>
      </c>
      <c r="M1422" s="13" t="inlineStr">
        <is>
          <t>https://www.etsy.com/listing/1652142260</t>
        </is>
      </c>
    </row>
    <row r="1423">
      <c r="A1423" s="3" t="inlineStr">
        <is>
          <t>love</t>
        </is>
      </c>
      <c r="B1423" s="3" t="inlineStr">
        <is>
          <t>14K Gold Heart Bamboo Hoop Earrings / Diamond Cut Jewelry</t>
        </is>
      </c>
      <c r="C1423" s="3" t="n">
        <v>1652142260</v>
      </c>
      <c r="D1423" s="3" t="inlineStr">
        <is>
          <t>EHRB-26</t>
        </is>
      </c>
      <c r="E1423" s="3" t="inlineStr">
        <is>
          <t>shipstation</t>
        </is>
      </c>
      <c r="F1423" s="14" t="n">
        <v>491</v>
      </c>
      <c r="G1423" s="17" t="n">
        <v>2.8</v>
      </c>
      <c r="H1423" s="14">
        <f>IF(G1423="","",G1423*Ayarlar!$B$3+Ayarlar!$B$4+Ayarlar!$B$5)</f>
        <v/>
      </c>
      <c r="I1423" s="14">
        <f>IF(G1423="","",ROUNDUP(((G1423*Ayarlar!$B$3+Ayarlar!$B$4+Ayarlar!$B$5)+Ayarlar!$B$8)/((1-Ayarlar!$B$6)*(1-Ayarlar!$B$7)),0))</f>
        <v/>
      </c>
      <c r="J1423" s="14">
        <f>IF(G1423="","",ROUNDUP(((G1423*Ayarlar!$B$3+Ayarlar!$B$4+Ayarlar!$B$5)+Ayarlar!$B$8)/((1-Ayarlar!$B$6)*(1-Ayarlar!$B$7-Ayarlar!$B$9)),0))</f>
        <v/>
      </c>
      <c r="K1423" s="15">
        <f>IF(OR(G1423="",F1423=""),"",(F1423*(1-Ayarlar!$B$6)-(F1423*(1-Ayarlar!$B$6)*Ayarlar!$B$7+Ayarlar!$B$8)-(G1423*Ayarlar!$B$3+Ayarlar!$B$4+Ayarlar!$B$5))/(F1423*(1-Ayarlar!$B$6)))</f>
        <v/>
      </c>
      <c r="L1423" s="3">
        <f>IF(G1423="","GRAM EKSİK",IF(F1423&gt;30000,"FİYAT ŞÜPHELİ",IF(K1423&lt;0,"ZARARDA",IF(F1423&lt;I1423,"RİSKLİ","ok"))))</f>
        <v/>
      </c>
      <c r="M1423" s="16" t="inlineStr">
        <is>
          <t>https://www.etsy.com/listing/1652142260</t>
        </is>
      </c>
    </row>
    <row r="1424">
      <c r="A1424" s="9" t="inlineStr">
        <is>
          <t>love</t>
        </is>
      </c>
      <c r="B1424" s="9" t="inlineStr">
        <is>
          <t>14K Gold Heart Bamboo Hoop Earrings / Diamond Cut Jewelry</t>
        </is>
      </c>
      <c r="C1424" s="9" t="n">
        <v>1652142260</v>
      </c>
      <c r="D1424" s="9" t="inlineStr">
        <is>
          <t>EHRB-37</t>
        </is>
      </c>
      <c r="E1424" s="9" t="inlineStr">
        <is>
          <t>shipstation</t>
        </is>
      </c>
      <c r="F1424" s="10" t="n">
        <v>925</v>
      </c>
      <c r="G1424" s="18" t="n">
        <v>5.3</v>
      </c>
      <c r="H1424" s="10">
        <f>IF(G1424="","",G1424*Ayarlar!$B$3+Ayarlar!$B$4+Ayarlar!$B$5)</f>
        <v/>
      </c>
      <c r="I1424" s="10">
        <f>IF(G1424="","",ROUNDUP(((G1424*Ayarlar!$B$3+Ayarlar!$B$4+Ayarlar!$B$5)+Ayarlar!$B$8)/((1-Ayarlar!$B$6)*(1-Ayarlar!$B$7)),0))</f>
        <v/>
      </c>
      <c r="J1424" s="10">
        <f>IF(G1424="","",ROUNDUP(((G1424*Ayarlar!$B$3+Ayarlar!$B$4+Ayarlar!$B$5)+Ayarlar!$B$8)/((1-Ayarlar!$B$6)*(1-Ayarlar!$B$7-Ayarlar!$B$9)),0))</f>
        <v/>
      </c>
      <c r="K1424" s="12">
        <f>IF(OR(G1424="",F1424=""),"",(F1424*(1-Ayarlar!$B$6)-(F1424*(1-Ayarlar!$B$6)*Ayarlar!$B$7+Ayarlar!$B$8)-(G1424*Ayarlar!$B$3+Ayarlar!$B$4+Ayarlar!$B$5))/(F1424*(1-Ayarlar!$B$6)))</f>
        <v/>
      </c>
      <c r="L1424" s="9">
        <f>IF(G1424="","GRAM EKSİK",IF(F1424&gt;30000,"FİYAT ŞÜPHELİ",IF(K1424&lt;0,"ZARARDA",IF(F1424&lt;I1424,"RİSKLİ","ok"))))</f>
        <v/>
      </c>
      <c r="M1424" s="13" t="inlineStr">
        <is>
          <t>https://www.etsy.com/listing/1652142260</t>
        </is>
      </c>
    </row>
    <row r="1425">
      <c r="A1425" s="3" t="inlineStr">
        <is>
          <t>love</t>
        </is>
      </c>
      <c r="B1425" s="3" t="inlineStr">
        <is>
          <t>14K Gold Puffed Hoop Earrings / Diamond Cut, Shiny Yellow Go</t>
        </is>
      </c>
      <c r="C1425" s="3" t="n">
        <v>1834635671</v>
      </c>
      <c r="D1425" s="3" t="inlineStr">
        <is>
          <t>EG101F-32</t>
        </is>
      </c>
      <c r="E1425" s="3" t="inlineStr">
        <is>
          <t>description</t>
        </is>
      </c>
      <c r="F1425" s="14" t="n">
        <v>558</v>
      </c>
      <c r="G1425" s="17" t="n">
        <v>3.3</v>
      </c>
      <c r="H1425" s="14">
        <f>IF(G1425="","",G1425*Ayarlar!$B$3+Ayarlar!$B$4+Ayarlar!$B$5)</f>
        <v/>
      </c>
      <c r="I1425" s="14">
        <f>IF(G1425="","",ROUNDUP(((G1425*Ayarlar!$B$3+Ayarlar!$B$4+Ayarlar!$B$5)+Ayarlar!$B$8)/((1-Ayarlar!$B$6)*(1-Ayarlar!$B$7)),0))</f>
        <v/>
      </c>
      <c r="J1425" s="14">
        <f>IF(G1425="","",ROUNDUP(((G1425*Ayarlar!$B$3+Ayarlar!$B$4+Ayarlar!$B$5)+Ayarlar!$B$8)/((1-Ayarlar!$B$6)*(1-Ayarlar!$B$7-Ayarlar!$B$9)),0))</f>
        <v/>
      </c>
      <c r="K1425" s="15">
        <f>IF(OR(G1425="",F1425=""),"",(F1425*(1-Ayarlar!$B$6)-(F1425*(1-Ayarlar!$B$6)*Ayarlar!$B$7+Ayarlar!$B$8)-(G1425*Ayarlar!$B$3+Ayarlar!$B$4+Ayarlar!$B$5))/(F1425*(1-Ayarlar!$B$6)))</f>
        <v/>
      </c>
      <c r="L1425" s="3">
        <f>IF(G1425="","GRAM EKSİK",IF(F1425&gt;30000,"FİYAT ŞÜPHELİ",IF(K1425&lt;0,"ZARARDA",IF(F1425&lt;I1425,"RİSKLİ","ok"))))</f>
        <v/>
      </c>
      <c r="M1425" s="16" t="inlineStr">
        <is>
          <t>https://www.etsy.com/listing/1834635671</t>
        </is>
      </c>
    </row>
    <row r="1426">
      <c r="A1426" s="9" t="inlineStr">
        <is>
          <t>love</t>
        </is>
      </c>
      <c r="B1426" s="9" t="inlineStr">
        <is>
          <t>14K Gold Puffed Hoop Earrings / Diamond Cut, Shiny Yellow Go</t>
        </is>
      </c>
      <c r="C1426" s="9" t="n">
        <v>1834635671</v>
      </c>
      <c r="D1426" s="9" t="inlineStr">
        <is>
          <t>EG101F-42</t>
        </is>
      </c>
      <c r="E1426" s="9" t="inlineStr">
        <is>
          <t>description</t>
        </is>
      </c>
      <c r="F1426" s="10" t="n">
        <v>1002</v>
      </c>
      <c r="G1426" s="18" t="n">
        <v>5.68</v>
      </c>
      <c r="H1426" s="10">
        <f>IF(G1426="","",G1426*Ayarlar!$B$3+Ayarlar!$B$4+Ayarlar!$B$5)</f>
        <v/>
      </c>
      <c r="I1426" s="10">
        <f>IF(G1426="","",ROUNDUP(((G1426*Ayarlar!$B$3+Ayarlar!$B$4+Ayarlar!$B$5)+Ayarlar!$B$8)/((1-Ayarlar!$B$6)*(1-Ayarlar!$B$7)),0))</f>
        <v/>
      </c>
      <c r="J1426" s="10">
        <f>IF(G1426="","",ROUNDUP(((G1426*Ayarlar!$B$3+Ayarlar!$B$4+Ayarlar!$B$5)+Ayarlar!$B$8)/((1-Ayarlar!$B$6)*(1-Ayarlar!$B$7-Ayarlar!$B$9)),0))</f>
        <v/>
      </c>
      <c r="K1426" s="12">
        <f>IF(OR(G1426="",F1426=""),"",(F1426*(1-Ayarlar!$B$6)-(F1426*(1-Ayarlar!$B$6)*Ayarlar!$B$7+Ayarlar!$B$8)-(G1426*Ayarlar!$B$3+Ayarlar!$B$4+Ayarlar!$B$5))/(F1426*(1-Ayarlar!$B$6)))</f>
        <v/>
      </c>
      <c r="L1426" s="9">
        <f>IF(G1426="","GRAM EKSİK",IF(F1426&gt;30000,"FİYAT ŞÜPHELİ",IF(K1426&lt;0,"ZARARDA",IF(F1426&lt;I1426,"RİSKLİ","ok"))))</f>
        <v/>
      </c>
      <c r="M1426" s="13" t="inlineStr">
        <is>
          <t>https://www.etsy.com/listing/1834635671</t>
        </is>
      </c>
    </row>
    <row r="1427">
      <c r="A1427" s="3" t="inlineStr">
        <is>
          <t>love</t>
        </is>
      </c>
      <c r="B1427" s="3" t="inlineStr">
        <is>
          <t>14K Solid Gold Butterfly Charm with CZ Diamond, 30mm Pendant</t>
        </is>
      </c>
      <c r="C1427" s="3" t="n">
        <v>1448783390</v>
      </c>
      <c r="D1427" s="3" t="inlineStr">
        <is>
          <t>P4F</t>
        </is>
      </c>
      <c r="E1427" s="3" t="inlineStr">
        <is>
          <t>description</t>
        </is>
      </c>
      <c r="F1427" s="14" t="n">
        <v>546</v>
      </c>
      <c r="G1427" s="17" t="n">
        <v>3.26</v>
      </c>
      <c r="H1427" s="14">
        <f>IF(G1427="","",G1427*Ayarlar!$B$3+Ayarlar!$B$4+Ayarlar!$B$5)</f>
        <v/>
      </c>
      <c r="I1427" s="14">
        <f>IF(G1427="","",ROUNDUP(((G1427*Ayarlar!$B$3+Ayarlar!$B$4+Ayarlar!$B$5)+Ayarlar!$B$8)/((1-Ayarlar!$B$6)*(1-Ayarlar!$B$7)),0))</f>
        <v/>
      </c>
      <c r="J1427" s="14">
        <f>IF(G1427="","",ROUNDUP(((G1427*Ayarlar!$B$3+Ayarlar!$B$4+Ayarlar!$B$5)+Ayarlar!$B$8)/((1-Ayarlar!$B$6)*(1-Ayarlar!$B$7-Ayarlar!$B$9)),0))</f>
        <v/>
      </c>
      <c r="K1427" s="15">
        <f>IF(OR(G1427="",F1427=""),"",(F1427*(1-Ayarlar!$B$6)-(F1427*(1-Ayarlar!$B$6)*Ayarlar!$B$7+Ayarlar!$B$8)-(G1427*Ayarlar!$B$3+Ayarlar!$B$4+Ayarlar!$B$5))/(F1427*(1-Ayarlar!$B$6)))</f>
        <v/>
      </c>
      <c r="L1427" s="3">
        <f>IF(G1427="","GRAM EKSİK",IF(F1427&gt;30000,"FİYAT ŞÜPHELİ",IF(K1427&lt;0,"ZARARDA",IF(F1427&lt;I1427,"RİSKLİ","ok"))))</f>
        <v/>
      </c>
      <c r="M1427" s="16" t="inlineStr">
        <is>
          <t>https://www.etsy.com/listing/1448783390</t>
        </is>
      </c>
    </row>
    <row r="1428">
      <c r="A1428" s="9" t="inlineStr">
        <is>
          <t>love</t>
        </is>
      </c>
      <c r="B1428" s="9" t="inlineStr">
        <is>
          <t>14K Yellow Gold Puffed Heart Hoop Earrings / Chunky Jewelry</t>
        </is>
      </c>
      <c r="C1428" s="9" t="n">
        <v>1656788008</v>
      </c>
      <c r="D1428" s="9" t="inlineStr">
        <is>
          <t>EPHR-35</t>
        </is>
      </c>
      <c r="E1428" s="9" t="inlineStr">
        <is>
          <t>description</t>
        </is>
      </c>
      <c r="F1428" s="10" t="n">
        <v>1051</v>
      </c>
      <c r="G1428" s="18" t="n">
        <v>6.41</v>
      </c>
      <c r="H1428" s="10">
        <f>IF(G1428="","",G1428*Ayarlar!$B$3+Ayarlar!$B$4+Ayarlar!$B$5)</f>
        <v/>
      </c>
      <c r="I1428" s="10">
        <f>IF(G1428="","",ROUNDUP(((G1428*Ayarlar!$B$3+Ayarlar!$B$4+Ayarlar!$B$5)+Ayarlar!$B$8)/((1-Ayarlar!$B$6)*(1-Ayarlar!$B$7)),0))</f>
        <v/>
      </c>
      <c r="J1428" s="10">
        <f>IF(G1428="","",ROUNDUP(((G1428*Ayarlar!$B$3+Ayarlar!$B$4+Ayarlar!$B$5)+Ayarlar!$B$8)/((1-Ayarlar!$B$6)*(1-Ayarlar!$B$7-Ayarlar!$B$9)),0))</f>
        <v/>
      </c>
      <c r="K1428" s="12">
        <f>IF(OR(G1428="",F1428=""),"",(F1428*(1-Ayarlar!$B$6)-(F1428*(1-Ayarlar!$B$6)*Ayarlar!$B$7+Ayarlar!$B$8)-(G1428*Ayarlar!$B$3+Ayarlar!$B$4+Ayarlar!$B$5))/(F1428*(1-Ayarlar!$B$6)))</f>
        <v/>
      </c>
      <c r="L1428" s="9">
        <f>IF(G1428="","GRAM EKSİK",IF(F1428&gt;30000,"FİYAT ŞÜPHELİ",IF(K1428&lt;0,"ZARARDA",IF(F1428&lt;I1428,"RİSKLİ","ok"))))</f>
        <v/>
      </c>
      <c r="M1428" s="13" t="inlineStr">
        <is>
          <t>https://www.etsy.com/listing/1656788008</t>
        </is>
      </c>
    </row>
    <row r="1429">
      <c r="A1429" s="3" t="inlineStr">
        <is>
          <t>love</t>
        </is>
      </c>
      <c r="B1429" s="3" t="inlineStr">
        <is>
          <t>14K Yellow Gold Puffed Heart Hoop Earrings / Chunky Jewelry</t>
        </is>
      </c>
      <c r="C1429" s="3" t="n">
        <v>1656788008</v>
      </c>
      <c r="D1429" s="3" t="inlineStr">
        <is>
          <t>EPHR-45</t>
        </is>
      </c>
      <c r="E1429" s="3" t="inlineStr">
        <is>
          <t>description</t>
        </is>
      </c>
      <c r="F1429" s="14" t="n">
        <v>1676</v>
      </c>
      <c r="G1429" s="17" t="n">
        <v>10.16</v>
      </c>
      <c r="H1429" s="14">
        <f>IF(G1429="","",G1429*Ayarlar!$B$3+Ayarlar!$B$4+Ayarlar!$B$5)</f>
        <v/>
      </c>
      <c r="I1429" s="14">
        <f>IF(G1429="","",ROUNDUP(((G1429*Ayarlar!$B$3+Ayarlar!$B$4+Ayarlar!$B$5)+Ayarlar!$B$8)/((1-Ayarlar!$B$6)*(1-Ayarlar!$B$7)),0))</f>
        <v/>
      </c>
      <c r="J1429" s="14">
        <f>IF(G1429="","",ROUNDUP(((G1429*Ayarlar!$B$3+Ayarlar!$B$4+Ayarlar!$B$5)+Ayarlar!$B$8)/((1-Ayarlar!$B$6)*(1-Ayarlar!$B$7-Ayarlar!$B$9)),0))</f>
        <v/>
      </c>
      <c r="K1429" s="15">
        <f>IF(OR(G1429="",F1429=""),"",(F1429*(1-Ayarlar!$B$6)-(F1429*(1-Ayarlar!$B$6)*Ayarlar!$B$7+Ayarlar!$B$8)-(G1429*Ayarlar!$B$3+Ayarlar!$B$4+Ayarlar!$B$5))/(F1429*(1-Ayarlar!$B$6)))</f>
        <v/>
      </c>
      <c r="L1429" s="3">
        <f>IF(G1429="","GRAM EKSİK",IF(F1429&gt;30000,"FİYAT ŞÜPHELİ",IF(K1429&lt;0,"ZARARDA",IF(F1429&lt;I1429,"RİSKLİ","ok"))))</f>
        <v/>
      </c>
      <c r="M1429" s="16" t="inlineStr">
        <is>
          <t>https://www.etsy.com/listing/1656788008</t>
        </is>
      </c>
    </row>
    <row r="1430">
      <c r="A1430" s="9" t="inlineStr">
        <is>
          <t>protection</t>
        </is>
      </c>
      <c r="B1430" s="9" t="inlineStr">
        <is>
          <t>10K Gold Hamsa Necklace / CZ Stone Evil Eye Pendant, Rope Ch</t>
        </is>
      </c>
      <c r="C1430" s="9" t="n">
        <v>1731430357</v>
      </c>
      <c r="D1430" s="9" t="inlineStr">
        <is>
          <t>PHS-1</t>
        </is>
      </c>
      <c r="E1430" s="9" t="inlineStr">
        <is>
          <t>description</t>
        </is>
      </c>
      <c r="F1430" s="10" t="n">
        <v>343</v>
      </c>
      <c r="G1430" s="18" t="n">
        <v>1.87</v>
      </c>
      <c r="H1430" s="10">
        <f>IF(G1430="","",G1430*Ayarlar!$B$3+Ayarlar!$B$4+Ayarlar!$B$5)</f>
        <v/>
      </c>
      <c r="I1430" s="10">
        <f>IF(G1430="","",ROUNDUP(((G1430*Ayarlar!$B$3+Ayarlar!$B$4+Ayarlar!$B$5)+Ayarlar!$B$8)/((1-Ayarlar!$B$6)*(1-Ayarlar!$B$7)),0))</f>
        <v/>
      </c>
      <c r="J1430" s="10">
        <f>IF(G1430="","",ROUNDUP(((G1430*Ayarlar!$B$3+Ayarlar!$B$4+Ayarlar!$B$5)+Ayarlar!$B$8)/((1-Ayarlar!$B$6)*(1-Ayarlar!$B$7-Ayarlar!$B$9)),0))</f>
        <v/>
      </c>
      <c r="K1430" s="12">
        <f>IF(OR(G1430="",F1430=""),"",(F1430*(1-Ayarlar!$B$6)-(F1430*(1-Ayarlar!$B$6)*Ayarlar!$B$7+Ayarlar!$B$8)-(G1430*Ayarlar!$B$3+Ayarlar!$B$4+Ayarlar!$B$5))/(F1430*(1-Ayarlar!$B$6)))</f>
        <v/>
      </c>
      <c r="L1430" s="9">
        <f>IF(G1430="","GRAM EKSİK",IF(F1430&gt;30000,"FİYAT ŞÜPHELİ",IF(K1430&lt;0,"ZARARDA",IF(F1430&lt;I1430,"RİSKLİ","ok"))))</f>
        <v/>
      </c>
      <c r="M1430" s="13" t="inlineStr">
        <is>
          <t>https://www.etsy.com/listing/1731430357</t>
        </is>
      </c>
    </row>
    <row r="1431">
      <c r="A1431" s="3" t="inlineStr">
        <is>
          <t>protection</t>
        </is>
      </c>
      <c r="B1431" s="3" t="inlineStr">
        <is>
          <t>10K Gold Hamsa Necklace / CZ Stone Evil Eye Pendant, Rope Ch</t>
        </is>
      </c>
      <c r="C1431" s="3" t="n">
        <v>1731430357</v>
      </c>
      <c r="D1431" s="3" t="inlineStr">
        <is>
          <t>PHS-2</t>
        </is>
      </c>
      <c r="E1431" s="3" t="inlineStr">
        <is>
          <t>description</t>
        </is>
      </c>
      <c r="F1431" s="14" t="n">
        <v>528</v>
      </c>
      <c r="G1431" s="17" t="n">
        <v>2.92</v>
      </c>
      <c r="H1431" s="14">
        <f>IF(G1431="","",G1431*Ayarlar!$B$3+Ayarlar!$B$4+Ayarlar!$B$5)</f>
        <v/>
      </c>
      <c r="I1431" s="14">
        <f>IF(G1431="","",ROUNDUP(((G1431*Ayarlar!$B$3+Ayarlar!$B$4+Ayarlar!$B$5)+Ayarlar!$B$8)/((1-Ayarlar!$B$6)*(1-Ayarlar!$B$7)),0))</f>
        <v/>
      </c>
      <c r="J1431" s="14">
        <f>IF(G1431="","",ROUNDUP(((G1431*Ayarlar!$B$3+Ayarlar!$B$4+Ayarlar!$B$5)+Ayarlar!$B$8)/((1-Ayarlar!$B$6)*(1-Ayarlar!$B$7-Ayarlar!$B$9)),0))</f>
        <v/>
      </c>
      <c r="K1431" s="15">
        <f>IF(OR(G1431="",F1431=""),"",(F1431*(1-Ayarlar!$B$6)-(F1431*(1-Ayarlar!$B$6)*Ayarlar!$B$7+Ayarlar!$B$8)-(G1431*Ayarlar!$B$3+Ayarlar!$B$4+Ayarlar!$B$5))/(F1431*(1-Ayarlar!$B$6)))</f>
        <v/>
      </c>
      <c r="L1431" s="3">
        <f>IF(G1431="","GRAM EKSİK",IF(F1431&gt;30000,"FİYAT ŞÜPHELİ",IF(K1431&lt;0,"ZARARDA",IF(F1431&lt;I1431,"RİSKLİ","ok"))))</f>
        <v/>
      </c>
      <c r="M1431" s="16" t="inlineStr">
        <is>
          <t>https://www.etsy.com/listing/1731430357</t>
        </is>
      </c>
    </row>
    <row r="1432">
      <c r="A1432" s="9" t="inlineStr">
        <is>
          <t>protection</t>
        </is>
      </c>
      <c r="B1432" s="9" t="inlineStr">
        <is>
          <t>10K Gold Hamsa Necklace / CZ Stone Evil Eye Pendant, Rope Ch</t>
        </is>
      </c>
      <c r="C1432" s="9" t="n">
        <v>1731430357</v>
      </c>
      <c r="D1432" s="9" t="inlineStr">
        <is>
          <t>PHS-3</t>
        </is>
      </c>
      <c r="E1432" s="9" t="inlineStr">
        <is>
          <t>description</t>
        </is>
      </c>
      <c r="F1432" s="10" t="n">
        <v>755</v>
      </c>
      <c r="G1432" s="18" t="n">
        <v>4.2</v>
      </c>
      <c r="H1432" s="10">
        <f>IF(G1432="","",G1432*Ayarlar!$B$3+Ayarlar!$B$4+Ayarlar!$B$5)</f>
        <v/>
      </c>
      <c r="I1432" s="10">
        <f>IF(G1432="","",ROUNDUP(((G1432*Ayarlar!$B$3+Ayarlar!$B$4+Ayarlar!$B$5)+Ayarlar!$B$8)/((1-Ayarlar!$B$6)*(1-Ayarlar!$B$7)),0))</f>
        <v/>
      </c>
      <c r="J1432" s="10">
        <f>IF(G1432="","",ROUNDUP(((G1432*Ayarlar!$B$3+Ayarlar!$B$4+Ayarlar!$B$5)+Ayarlar!$B$8)/((1-Ayarlar!$B$6)*(1-Ayarlar!$B$7-Ayarlar!$B$9)),0))</f>
        <v/>
      </c>
      <c r="K1432" s="12">
        <f>IF(OR(G1432="",F1432=""),"",(F1432*(1-Ayarlar!$B$6)-(F1432*(1-Ayarlar!$B$6)*Ayarlar!$B$7+Ayarlar!$B$8)-(G1432*Ayarlar!$B$3+Ayarlar!$B$4+Ayarlar!$B$5))/(F1432*(1-Ayarlar!$B$6)))</f>
        <v/>
      </c>
      <c r="L1432" s="9">
        <f>IF(G1432="","GRAM EKSİK",IF(F1432&gt;30000,"FİYAT ŞÜPHELİ",IF(K1432&lt;0,"ZARARDA",IF(F1432&lt;I1432,"RİSKLİ","ok"))))</f>
        <v/>
      </c>
      <c r="M1432" s="13" t="inlineStr">
        <is>
          <t>https://www.etsy.com/listing/1731430357</t>
        </is>
      </c>
    </row>
    <row r="1433">
      <c r="A1433" s="3" t="inlineStr">
        <is>
          <t>protection</t>
        </is>
      </c>
      <c r="B1433" s="3" t="inlineStr">
        <is>
          <t>10K Gold Hamsa Necklace / CZ Stone Evil Eye Pendant, Rope Ch</t>
        </is>
      </c>
      <c r="C1433" s="3" t="n">
        <v>1731430357</v>
      </c>
      <c r="D1433" s="3" t="inlineStr">
        <is>
          <t>PHS-4</t>
        </is>
      </c>
      <c r="E1433" s="3" t="inlineStr">
        <is>
          <t>description</t>
        </is>
      </c>
      <c r="F1433" s="14" t="n">
        <v>1080</v>
      </c>
      <c r="G1433" s="17" t="n">
        <v>6.04</v>
      </c>
      <c r="H1433" s="14">
        <f>IF(G1433="","",G1433*Ayarlar!$B$3+Ayarlar!$B$4+Ayarlar!$B$5)</f>
        <v/>
      </c>
      <c r="I1433" s="14">
        <f>IF(G1433="","",ROUNDUP(((G1433*Ayarlar!$B$3+Ayarlar!$B$4+Ayarlar!$B$5)+Ayarlar!$B$8)/((1-Ayarlar!$B$6)*(1-Ayarlar!$B$7)),0))</f>
        <v/>
      </c>
      <c r="J1433" s="14">
        <f>IF(G1433="","",ROUNDUP(((G1433*Ayarlar!$B$3+Ayarlar!$B$4+Ayarlar!$B$5)+Ayarlar!$B$8)/((1-Ayarlar!$B$6)*(1-Ayarlar!$B$7-Ayarlar!$B$9)),0))</f>
        <v/>
      </c>
      <c r="K1433" s="15">
        <f>IF(OR(G1433="",F1433=""),"",(F1433*(1-Ayarlar!$B$6)-(F1433*(1-Ayarlar!$B$6)*Ayarlar!$B$7+Ayarlar!$B$8)-(G1433*Ayarlar!$B$3+Ayarlar!$B$4+Ayarlar!$B$5))/(F1433*(1-Ayarlar!$B$6)))</f>
        <v/>
      </c>
      <c r="L1433" s="3">
        <f>IF(G1433="","GRAM EKSİK",IF(F1433&gt;30000,"FİYAT ŞÜPHELİ",IF(K1433&lt;0,"ZARARDA",IF(F1433&lt;I1433,"RİSKLİ","ok"))))</f>
        <v/>
      </c>
      <c r="M1433" s="16" t="inlineStr">
        <is>
          <t>https://www.etsy.com/listing/1731430357</t>
        </is>
      </c>
    </row>
    <row r="1434">
      <c r="A1434" s="9" t="inlineStr">
        <is>
          <t>protection</t>
        </is>
      </c>
      <c r="B1434" s="9" t="inlineStr">
        <is>
          <t>10K Gold Hamsa Necklace / CZ Stone Evil Eye Pendant, Rope Ch</t>
        </is>
      </c>
      <c r="C1434" s="9" t="n">
        <v>1731430357</v>
      </c>
      <c r="D1434" s="9" t="inlineStr">
        <is>
          <t>PHS1-25-16</t>
        </is>
      </c>
      <c r="E1434" s="9" t="inlineStr">
        <is>
          <t>description</t>
        </is>
      </c>
      <c r="F1434" s="10" t="n">
        <v>732</v>
      </c>
      <c r="G1434" s="18" t="n">
        <v>4.07</v>
      </c>
      <c r="H1434" s="10">
        <f>IF(G1434="","",G1434*Ayarlar!$B$3+Ayarlar!$B$4+Ayarlar!$B$5)</f>
        <v/>
      </c>
      <c r="I1434" s="10">
        <f>IF(G1434="","",ROUNDUP(((G1434*Ayarlar!$B$3+Ayarlar!$B$4+Ayarlar!$B$5)+Ayarlar!$B$8)/((1-Ayarlar!$B$6)*(1-Ayarlar!$B$7)),0))</f>
        <v/>
      </c>
      <c r="J1434" s="10">
        <f>IF(G1434="","",ROUNDUP(((G1434*Ayarlar!$B$3+Ayarlar!$B$4+Ayarlar!$B$5)+Ayarlar!$B$8)/((1-Ayarlar!$B$6)*(1-Ayarlar!$B$7-Ayarlar!$B$9)),0))</f>
        <v/>
      </c>
      <c r="K1434" s="12">
        <f>IF(OR(G1434="",F1434=""),"",(F1434*(1-Ayarlar!$B$6)-(F1434*(1-Ayarlar!$B$6)*Ayarlar!$B$7+Ayarlar!$B$8)-(G1434*Ayarlar!$B$3+Ayarlar!$B$4+Ayarlar!$B$5))/(F1434*(1-Ayarlar!$B$6)))</f>
        <v/>
      </c>
      <c r="L1434" s="9">
        <f>IF(G1434="","GRAM EKSİK",IF(F1434&gt;30000,"FİYAT ŞÜPHELİ",IF(K1434&lt;0,"ZARARDA",IF(F1434&lt;I1434,"RİSKLİ","ok"))))</f>
        <v/>
      </c>
      <c r="M1434" s="13" t="inlineStr">
        <is>
          <t>https://www.etsy.com/listing/1731430357</t>
        </is>
      </c>
    </row>
    <row r="1435">
      <c r="A1435" s="3" t="inlineStr">
        <is>
          <t>protection</t>
        </is>
      </c>
      <c r="B1435" s="3" t="inlineStr">
        <is>
          <t>10K Gold Hamsa Necklace / CZ Stone Evil Eye Pendant, Rope Ch</t>
        </is>
      </c>
      <c r="C1435" s="3" t="n">
        <v>1731430357</v>
      </c>
      <c r="D1435" s="3" t="inlineStr">
        <is>
          <t>PHS1-25-18</t>
        </is>
      </c>
      <c r="E1435" s="3" t="inlineStr">
        <is>
          <t>description</t>
        </is>
      </c>
      <c r="F1435" s="14" t="n">
        <v>781</v>
      </c>
      <c r="G1435" s="17" t="n">
        <v>4.35</v>
      </c>
      <c r="H1435" s="14">
        <f>IF(G1435="","",G1435*Ayarlar!$B$3+Ayarlar!$B$4+Ayarlar!$B$5)</f>
        <v/>
      </c>
      <c r="I1435" s="14">
        <f>IF(G1435="","",ROUNDUP(((G1435*Ayarlar!$B$3+Ayarlar!$B$4+Ayarlar!$B$5)+Ayarlar!$B$8)/((1-Ayarlar!$B$6)*(1-Ayarlar!$B$7)),0))</f>
        <v/>
      </c>
      <c r="J1435" s="14">
        <f>IF(G1435="","",ROUNDUP(((G1435*Ayarlar!$B$3+Ayarlar!$B$4+Ayarlar!$B$5)+Ayarlar!$B$8)/((1-Ayarlar!$B$6)*(1-Ayarlar!$B$7-Ayarlar!$B$9)),0))</f>
        <v/>
      </c>
      <c r="K1435" s="15">
        <f>IF(OR(G1435="",F1435=""),"",(F1435*(1-Ayarlar!$B$6)-(F1435*(1-Ayarlar!$B$6)*Ayarlar!$B$7+Ayarlar!$B$8)-(G1435*Ayarlar!$B$3+Ayarlar!$B$4+Ayarlar!$B$5))/(F1435*(1-Ayarlar!$B$6)))</f>
        <v/>
      </c>
      <c r="L1435" s="3">
        <f>IF(G1435="","GRAM EKSİK",IF(F1435&gt;30000,"FİYAT ŞÜPHELİ",IF(K1435&lt;0,"ZARARDA",IF(F1435&lt;I1435,"RİSKLİ","ok"))))</f>
        <v/>
      </c>
      <c r="M1435" s="16" t="inlineStr">
        <is>
          <t>https://www.etsy.com/listing/1731430357</t>
        </is>
      </c>
    </row>
    <row r="1436">
      <c r="A1436" s="9" t="inlineStr">
        <is>
          <t>protection</t>
        </is>
      </c>
      <c r="B1436" s="9" t="inlineStr">
        <is>
          <t>10K Gold Hamsa Necklace / CZ Stone Evil Eye Pendant, Rope Ch</t>
        </is>
      </c>
      <c r="C1436" s="9" t="n">
        <v>1731430357</v>
      </c>
      <c r="D1436" s="9" t="inlineStr">
        <is>
          <t>PHS1-25-20</t>
        </is>
      </c>
      <c r="E1436" s="9" t="inlineStr">
        <is>
          <t>description</t>
        </is>
      </c>
      <c r="F1436" s="10" t="n">
        <v>829</v>
      </c>
      <c r="G1436" s="18" t="n">
        <v>4.62</v>
      </c>
      <c r="H1436" s="10">
        <f>IF(G1436="","",G1436*Ayarlar!$B$3+Ayarlar!$B$4+Ayarlar!$B$5)</f>
        <v/>
      </c>
      <c r="I1436" s="10">
        <f>IF(G1436="","",ROUNDUP(((G1436*Ayarlar!$B$3+Ayarlar!$B$4+Ayarlar!$B$5)+Ayarlar!$B$8)/((1-Ayarlar!$B$6)*(1-Ayarlar!$B$7)),0))</f>
        <v/>
      </c>
      <c r="J1436" s="10">
        <f>IF(G1436="","",ROUNDUP(((G1436*Ayarlar!$B$3+Ayarlar!$B$4+Ayarlar!$B$5)+Ayarlar!$B$8)/((1-Ayarlar!$B$6)*(1-Ayarlar!$B$7-Ayarlar!$B$9)),0))</f>
        <v/>
      </c>
      <c r="K1436" s="12">
        <f>IF(OR(G1436="",F1436=""),"",(F1436*(1-Ayarlar!$B$6)-(F1436*(1-Ayarlar!$B$6)*Ayarlar!$B$7+Ayarlar!$B$8)-(G1436*Ayarlar!$B$3+Ayarlar!$B$4+Ayarlar!$B$5))/(F1436*(1-Ayarlar!$B$6)))</f>
        <v/>
      </c>
      <c r="L1436" s="9">
        <f>IF(G1436="","GRAM EKSİK",IF(F1436&gt;30000,"FİYAT ŞÜPHELİ",IF(K1436&lt;0,"ZARARDA",IF(F1436&lt;I1436,"RİSKLİ","ok"))))</f>
        <v/>
      </c>
      <c r="M1436" s="13" t="inlineStr">
        <is>
          <t>https://www.etsy.com/listing/1731430357</t>
        </is>
      </c>
    </row>
    <row r="1437">
      <c r="A1437" s="3" t="inlineStr">
        <is>
          <t>protection</t>
        </is>
      </c>
      <c r="B1437" s="3" t="inlineStr">
        <is>
          <t>10K Gold Hamsa Necklace / CZ Stone Evil Eye Pendant, Rope Ch</t>
        </is>
      </c>
      <c r="C1437" s="3" t="n">
        <v>1731430357</v>
      </c>
      <c r="D1437" s="3" t="inlineStr">
        <is>
          <t>PHS1-25-22</t>
        </is>
      </c>
      <c r="E1437" s="3" t="inlineStr">
        <is>
          <t>description</t>
        </is>
      </c>
      <c r="F1437" s="14" t="n">
        <v>879</v>
      </c>
      <c r="G1437" s="17" t="n">
        <v>4.9</v>
      </c>
      <c r="H1437" s="14">
        <f>IF(G1437="","",G1437*Ayarlar!$B$3+Ayarlar!$B$4+Ayarlar!$B$5)</f>
        <v/>
      </c>
      <c r="I1437" s="14">
        <f>IF(G1437="","",ROUNDUP(((G1437*Ayarlar!$B$3+Ayarlar!$B$4+Ayarlar!$B$5)+Ayarlar!$B$8)/((1-Ayarlar!$B$6)*(1-Ayarlar!$B$7)),0))</f>
        <v/>
      </c>
      <c r="J1437" s="14">
        <f>IF(G1437="","",ROUNDUP(((G1437*Ayarlar!$B$3+Ayarlar!$B$4+Ayarlar!$B$5)+Ayarlar!$B$8)/((1-Ayarlar!$B$6)*(1-Ayarlar!$B$7-Ayarlar!$B$9)),0))</f>
        <v/>
      </c>
      <c r="K1437" s="15">
        <f>IF(OR(G1437="",F1437=""),"",(F1437*(1-Ayarlar!$B$6)-(F1437*(1-Ayarlar!$B$6)*Ayarlar!$B$7+Ayarlar!$B$8)-(G1437*Ayarlar!$B$3+Ayarlar!$B$4+Ayarlar!$B$5))/(F1437*(1-Ayarlar!$B$6)))</f>
        <v/>
      </c>
      <c r="L1437" s="3">
        <f>IF(G1437="","GRAM EKSİK",IF(F1437&gt;30000,"FİYAT ŞÜPHELİ",IF(K1437&lt;0,"ZARARDA",IF(F1437&lt;I1437,"RİSKLİ","ok"))))</f>
        <v/>
      </c>
      <c r="M1437" s="16" t="inlineStr">
        <is>
          <t>https://www.etsy.com/listing/1731430357</t>
        </is>
      </c>
    </row>
    <row r="1438">
      <c r="A1438" s="9" t="inlineStr">
        <is>
          <t>protection</t>
        </is>
      </c>
      <c r="B1438" s="9" t="inlineStr">
        <is>
          <t>10K Gold Hamsa Necklace / CZ Stone Evil Eye Pendant, Rope Ch</t>
        </is>
      </c>
      <c r="C1438" s="9" t="n">
        <v>1731430357</v>
      </c>
      <c r="D1438" s="9" t="inlineStr">
        <is>
          <t>PHS1-25-24</t>
        </is>
      </c>
      <c r="E1438" s="9" t="inlineStr">
        <is>
          <t>description</t>
        </is>
      </c>
      <c r="F1438" s="10" t="n">
        <v>926</v>
      </c>
      <c r="G1438" s="18" t="n">
        <v>5.17</v>
      </c>
      <c r="H1438" s="10">
        <f>IF(G1438="","",G1438*Ayarlar!$B$3+Ayarlar!$B$4+Ayarlar!$B$5)</f>
        <v/>
      </c>
      <c r="I1438" s="10">
        <f>IF(G1438="","",ROUNDUP(((G1438*Ayarlar!$B$3+Ayarlar!$B$4+Ayarlar!$B$5)+Ayarlar!$B$8)/((1-Ayarlar!$B$6)*(1-Ayarlar!$B$7)),0))</f>
        <v/>
      </c>
      <c r="J1438" s="10">
        <f>IF(G1438="","",ROUNDUP(((G1438*Ayarlar!$B$3+Ayarlar!$B$4+Ayarlar!$B$5)+Ayarlar!$B$8)/((1-Ayarlar!$B$6)*(1-Ayarlar!$B$7-Ayarlar!$B$9)),0))</f>
        <v/>
      </c>
      <c r="K1438" s="12">
        <f>IF(OR(G1438="",F1438=""),"",(F1438*(1-Ayarlar!$B$6)-(F1438*(1-Ayarlar!$B$6)*Ayarlar!$B$7+Ayarlar!$B$8)-(G1438*Ayarlar!$B$3+Ayarlar!$B$4+Ayarlar!$B$5))/(F1438*(1-Ayarlar!$B$6)))</f>
        <v/>
      </c>
      <c r="L1438" s="9">
        <f>IF(G1438="","GRAM EKSİK",IF(F1438&gt;30000,"FİYAT ŞÜPHELİ",IF(K1438&lt;0,"ZARARDA",IF(F1438&lt;I1438,"RİSKLİ","ok"))))</f>
        <v/>
      </c>
      <c r="M1438" s="13" t="inlineStr">
        <is>
          <t>https://www.etsy.com/listing/1731430357</t>
        </is>
      </c>
    </row>
    <row r="1439">
      <c r="A1439" s="3" t="inlineStr">
        <is>
          <t>protection</t>
        </is>
      </c>
      <c r="B1439" s="3" t="inlineStr">
        <is>
          <t>10K Gold Hamsa Necklace / CZ Stone Evil Eye Pendant, Rope Ch</t>
        </is>
      </c>
      <c r="C1439" s="3" t="n">
        <v>1731430357</v>
      </c>
      <c r="D1439" s="3" t="inlineStr">
        <is>
          <t>PHS1-3-16</t>
        </is>
      </c>
      <c r="E1439" s="3" t="inlineStr">
        <is>
          <t>description</t>
        </is>
      </c>
      <c r="F1439" s="14" t="n">
        <v>852</v>
      </c>
      <c r="G1439" s="17" t="n">
        <v>4.75</v>
      </c>
      <c r="H1439" s="14">
        <f>IF(G1439="","",G1439*Ayarlar!$B$3+Ayarlar!$B$4+Ayarlar!$B$5)</f>
        <v/>
      </c>
      <c r="I1439" s="14">
        <f>IF(G1439="","",ROUNDUP(((G1439*Ayarlar!$B$3+Ayarlar!$B$4+Ayarlar!$B$5)+Ayarlar!$B$8)/((1-Ayarlar!$B$6)*(1-Ayarlar!$B$7)),0))</f>
        <v/>
      </c>
      <c r="J1439" s="14">
        <f>IF(G1439="","",ROUNDUP(((G1439*Ayarlar!$B$3+Ayarlar!$B$4+Ayarlar!$B$5)+Ayarlar!$B$8)/((1-Ayarlar!$B$6)*(1-Ayarlar!$B$7-Ayarlar!$B$9)),0))</f>
        <v/>
      </c>
      <c r="K1439" s="15">
        <f>IF(OR(G1439="",F1439=""),"",(F1439*(1-Ayarlar!$B$6)-(F1439*(1-Ayarlar!$B$6)*Ayarlar!$B$7+Ayarlar!$B$8)-(G1439*Ayarlar!$B$3+Ayarlar!$B$4+Ayarlar!$B$5))/(F1439*(1-Ayarlar!$B$6)))</f>
        <v/>
      </c>
      <c r="L1439" s="3">
        <f>IF(G1439="","GRAM EKSİK",IF(F1439&gt;30000,"FİYAT ŞÜPHELİ",IF(K1439&lt;0,"ZARARDA",IF(F1439&lt;I1439,"RİSKLİ","ok"))))</f>
        <v/>
      </c>
      <c r="M1439" s="16" t="inlineStr">
        <is>
          <t>https://www.etsy.com/listing/1731430357</t>
        </is>
      </c>
    </row>
    <row r="1440">
      <c r="A1440" s="9" t="inlineStr">
        <is>
          <t>protection</t>
        </is>
      </c>
      <c r="B1440" s="9" t="inlineStr">
        <is>
          <t>10K Gold Hamsa Necklace / CZ Stone Evil Eye Pendant, Rope Ch</t>
        </is>
      </c>
      <c r="C1440" s="9" t="n">
        <v>1731430357</v>
      </c>
      <c r="D1440" s="9" t="inlineStr">
        <is>
          <t>PHS1-3-18</t>
        </is>
      </c>
      <c r="E1440" s="9" t="inlineStr">
        <is>
          <t>description</t>
        </is>
      </c>
      <c r="F1440" s="10" t="n">
        <v>916</v>
      </c>
      <c r="G1440" s="18" t="n">
        <v>5.11</v>
      </c>
      <c r="H1440" s="10">
        <f>IF(G1440="","",G1440*Ayarlar!$B$3+Ayarlar!$B$4+Ayarlar!$B$5)</f>
        <v/>
      </c>
      <c r="I1440" s="10">
        <f>IF(G1440="","",ROUNDUP(((G1440*Ayarlar!$B$3+Ayarlar!$B$4+Ayarlar!$B$5)+Ayarlar!$B$8)/((1-Ayarlar!$B$6)*(1-Ayarlar!$B$7)),0))</f>
        <v/>
      </c>
      <c r="J1440" s="10">
        <f>IF(G1440="","",ROUNDUP(((G1440*Ayarlar!$B$3+Ayarlar!$B$4+Ayarlar!$B$5)+Ayarlar!$B$8)/((1-Ayarlar!$B$6)*(1-Ayarlar!$B$7-Ayarlar!$B$9)),0))</f>
        <v/>
      </c>
      <c r="K1440" s="12">
        <f>IF(OR(G1440="",F1440=""),"",(F1440*(1-Ayarlar!$B$6)-(F1440*(1-Ayarlar!$B$6)*Ayarlar!$B$7+Ayarlar!$B$8)-(G1440*Ayarlar!$B$3+Ayarlar!$B$4+Ayarlar!$B$5))/(F1440*(1-Ayarlar!$B$6)))</f>
        <v/>
      </c>
      <c r="L1440" s="9">
        <f>IF(G1440="","GRAM EKSİK",IF(F1440&gt;30000,"FİYAT ŞÜPHELİ",IF(K1440&lt;0,"ZARARDA",IF(F1440&lt;I1440,"RİSKLİ","ok"))))</f>
        <v/>
      </c>
      <c r="M1440" s="13" t="inlineStr">
        <is>
          <t>https://www.etsy.com/listing/1731430357</t>
        </is>
      </c>
    </row>
    <row r="1441">
      <c r="A1441" s="3" t="inlineStr">
        <is>
          <t>protection</t>
        </is>
      </c>
      <c r="B1441" s="3" t="inlineStr">
        <is>
          <t>10K Gold Hamsa Necklace / CZ Stone Evil Eye Pendant, Rope Ch</t>
        </is>
      </c>
      <c r="C1441" s="3" t="n">
        <v>1731430357</v>
      </c>
      <c r="D1441" s="3" t="inlineStr">
        <is>
          <t>PHS1-3-20</t>
        </is>
      </c>
      <c r="E1441" s="3" t="inlineStr">
        <is>
          <t>description</t>
        </is>
      </c>
      <c r="F1441" s="14" t="n">
        <v>979</v>
      </c>
      <c r="G1441" s="17" t="n">
        <v>5.47</v>
      </c>
      <c r="H1441" s="14">
        <f>IF(G1441="","",G1441*Ayarlar!$B$3+Ayarlar!$B$4+Ayarlar!$B$5)</f>
        <v/>
      </c>
      <c r="I1441" s="14">
        <f>IF(G1441="","",ROUNDUP(((G1441*Ayarlar!$B$3+Ayarlar!$B$4+Ayarlar!$B$5)+Ayarlar!$B$8)/((1-Ayarlar!$B$6)*(1-Ayarlar!$B$7)),0))</f>
        <v/>
      </c>
      <c r="J1441" s="14">
        <f>IF(G1441="","",ROUNDUP(((G1441*Ayarlar!$B$3+Ayarlar!$B$4+Ayarlar!$B$5)+Ayarlar!$B$8)/((1-Ayarlar!$B$6)*(1-Ayarlar!$B$7-Ayarlar!$B$9)),0))</f>
        <v/>
      </c>
      <c r="K1441" s="15">
        <f>IF(OR(G1441="",F1441=""),"",(F1441*(1-Ayarlar!$B$6)-(F1441*(1-Ayarlar!$B$6)*Ayarlar!$B$7+Ayarlar!$B$8)-(G1441*Ayarlar!$B$3+Ayarlar!$B$4+Ayarlar!$B$5))/(F1441*(1-Ayarlar!$B$6)))</f>
        <v/>
      </c>
      <c r="L1441" s="3">
        <f>IF(G1441="","GRAM EKSİK",IF(F1441&gt;30000,"FİYAT ŞÜPHELİ",IF(K1441&lt;0,"ZARARDA",IF(F1441&lt;I1441,"RİSKLİ","ok"))))</f>
        <v/>
      </c>
      <c r="M1441" s="16" t="inlineStr">
        <is>
          <t>https://www.etsy.com/listing/1731430357</t>
        </is>
      </c>
    </row>
    <row r="1442">
      <c r="A1442" s="9" t="inlineStr">
        <is>
          <t>protection</t>
        </is>
      </c>
      <c r="B1442" s="9" t="inlineStr">
        <is>
          <t>10K Gold Hamsa Necklace / CZ Stone Evil Eye Pendant, Rope Ch</t>
        </is>
      </c>
      <c r="C1442" s="9" t="n">
        <v>1731430357</v>
      </c>
      <c r="D1442" s="9" t="inlineStr">
        <is>
          <t>PHS1-3-22</t>
        </is>
      </c>
      <c r="E1442" s="9" t="inlineStr">
        <is>
          <t>description</t>
        </is>
      </c>
      <c r="F1442" s="10" t="n">
        <v>1043</v>
      </c>
      <c r="G1442" s="18" t="n">
        <v>5.83</v>
      </c>
      <c r="H1442" s="10">
        <f>IF(G1442="","",G1442*Ayarlar!$B$3+Ayarlar!$B$4+Ayarlar!$B$5)</f>
        <v/>
      </c>
      <c r="I1442" s="10">
        <f>IF(G1442="","",ROUNDUP(((G1442*Ayarlar!$B$3+Ayarlar!$B$4+Ayarlar!$B$5)+Ayarlar!$B$8)/((1-Ayarlar!$B$6)*(1-Ayarlar!$B$7)),0))</f>
        <v/>
      </c>
      <c r="J1442" s="10">
        <f>IF(G1442="","",ROUNDUP(((G1442*Ayarlar!$B$3+Ayarlar!$B$4+Ayarlar!$B$5)+Ayarlar!$B$8)/((1-Ayarlar!$B$6)*(1-Ayarlar!$B$7-Ayarlar!$B$9)),0))</f>
        <v/>
      </c>
      <c r="K1442" s="12">
        <f>IF(OR(G1442="",F1442=""),"",(F1442*(1-Ayarlar!$B$6)-(F1442*(1-Ayarlar!$B$6)*Ayarlar!$B$7+Ayarlar!$B$8)-(G1442*Ayarlar!$B$3+Ayarlar!$B$4+Ayarlar!$B$5))/(F1442*(1-Ayarlar!$B$6)))</f>
        <v/>
      </c>
      <c r="L1442" s="9">
        <f>IF(G1442="","GRAM EKSİK",IF(F1442&gt;30000,"FİYAT ŞÜPHELİ",IF(K1442&lt;0,"ZARARDA",IF(F1442&lt;I1442,"RİSKLİ","ok"))))</f>
        <v/>
      </c>
      <c r="M1442" s="13" t="inlineStr">
        <is>
          <t>https://www.etsy.com/listing/1731430357</t>
        </is>
      </c>
    </row>
    <row r="1443">
      <c r="A1443" s="3" t="inlineStr">
        <is>
          <t>protection</t>
        </is>
      </c>
      <c r="B1443" s="3" t="inlineStr">
        <is>
          <t>10K Gold Hamsa Necklace / CZ Stone Evil Eye Pendant, Rope Ch</t>
        </is>
      </c>
      <c r="C1443" s="3" t="n">
        <v>1731430357</v>
      </c>
      <c r="D1443" s="3" t="inlineStr">
        <is>
          <t>PHS1-3-24</t>
        </is>
      </c>
      <c r="E1443" s="3" t="inlineStr">
        <is>
          <t>description</t>
        </is>
      </c>
      <c r="F1443" s="14" t="n">
        <v>1107</v>
      </c>
      <c r="G1443" s="17" t="n">
        <v>6.19</v>
      </c>
      <c r="H1443" s="14">
        <f>IF(G1443="","",G1443*Ayarlar!$B$3+Ayarlar!$B$4+Ayarlar!$B$5)</f>
        <v/>
      </c>
      <c r="I1443" s="14">
        <f>IF(G1443="","",ROUNDUP(((G1443*Ayarlar!$B$3+Ayarlar!$B$4+Ayarlar!$B$5)+Ayarlar!$B$8)/((1-Ayarlar!$B$6)*(1-Ayarlar!$B$7)),0))</f>
        <v/>
      </c>
      <c r="J1443" s="14">
        <f>IF(G1443="","",ROUNDUP(((G1443*Ayarlar!$B$3+Ayarlar!$B$4+Ayarlar!$B$5)+Ayarlar!$B$8)/((1-Ayarlar!$B$6)*(1-Ayarlar!$B$7-Ayarlar!$B$9)),0))</f>
        <v/>
      </c>
      <c r="K1443" s="15">
        <f>IF(OR(G1443="",F1443=""),"",(F1443*(1-Ayarlar!$B$6)-(F1443*(1-Ayarlar!$B$6)*Ayarlar!$B$7+Ayarlar!$B$8)-(G1443*Ayarlar!$B$3+Ayarlar!$B$4+Ayarlar!$B$5))/(F1443*(1-Ayarlar!$B$6)))</f>
        <v/>
      </c>
      <c r="L1443" s="3">
        <f>IF(G1443="","GRAM EKSİK",IF(F1443&gt;30000,"FİYAT ŞÜPHELİ",IF(K1443&lt;0,"ZARARDA",IF(F1443&lt;I1443,"RİSKLİ","ok"))))</f>
        <v/>
      </c>
      <c r="M1443" s="16" t="inlineStr">
        <is>
          <t>https://www.etsy.com/listing/1731430357</t>
        </is>
      </c>
    </row>
    <row r="1444">
      <c r="A1444" s="9" t="inlineStr">
        <is>
          <t>protection</t>
        </is>
      </c>
      <c r="B1444" s="9" t="inlineStr">
        <is>
          <t>10K Gold Hamsa Necklace / CZ Stone Evil Eye Pendant, Rope Ch</t>
        </is>
      </c>
      <c r="C1444" s="9" t="n">
        <v>1731430357</v>
      </c>
      <c r="D1444" s="9" t="inlineStr">
        <is>
          <t>PHS1-35-16</t>
        </is>
      </c>
      <c r="E1444" s="9" t="inlineStr">
        <is>
          <t>description</t>
        </is>
      </c>
      <c r="F1444" s="10" t="n">
        <v>1068</v>
      </c>
      <c r="G1444" s="18" t="n">
        <v>5.97</v>
      </c>
      <c r="H1444" s="10">
        <f>IF(G1444="","",G1444*Ayarlar!$B$3+Ayarlar!$B$4+Ayarlar!$B$5)</f>
        <v/>
      </c>
      <c r="I1444" s="10">
        <f>IF(G1444="","",ROUNDUP(((G1444*Ayarlar!$B$3+Ayarlar!$B$4+Ayarlar!$B$5)+Ayarlar!$B$8)/((1-Ayarlar!$B$6)*(1-Ayarlar!$B$7)),0))</f>
        <v/>
      </c>
      <c r="J1444" s="10">
        <f>IF(G1444="","",ROUNDUP(((G1444*Ayarlar!$B$3+Ayarlar!$B$4+Ayarlar!$B$5)+Ayarlar!$B$8)/((1-Ayarlar!$B$6)*(1-Ayarlar!$B$7-Ayarlar!$B$9)),0))</f>
        <v/>
      </c>
      <c r="K1444" s="12">
        <f>IF(OR(G1444="",F1444=""),"",(F1444*(1-Ayarlar!$B$6)-(F1444*(1-Ayarlar!$B$6)*Ayarlar!$B$7+Ayarlar!$B$8)-(G1444*Ayarlar!$B$3+Ayarlar!$B$4+Ayarlar!$B$5))/(F1444*(1-Ayarlar!$B$6)))</f>
        <v/>
      </c>
      <c r="L1444" s="9">
        <f>IF(G1444="","GRAM EKSİK",IF(F1444&gt;30000,"FİYAT ŞÜPHELİ",IF(K1444&lt;0,"ZARARDA",IF(F1444&lt;I1444,"RİSKLİ","ok"))))</f>
        <v/>
      </c>
      <c r="M1444" s="13" t="inlineStr">
        <is>
          <t>https://www.etsy.com/listing/1731430357</t>
        </is>
      </c>
    </row>
    <row r="1445">
      <c r="A1445" s="3" t="inlineStr">
        <is>
          <t>protection</t>
        </is>
      </c>
      <c r="B1445" s="3" t="inlineStr">
        <is>
          <t>10K Gold Hamsa Necklace / CZ Stone Evil Eye Pendant, Rope Ch</t>
        </is>
      </c>
      <c r="C1445" s="3" t="n">
        <v>1731430357</v>
      </c>
      <c r="D1445" s="3" t="inlineStr">
        <is>
          <t>PHS1-35-18</t>
        </is>
      </c>
      <c r="E1445" s="3" t="inlineStr">
        <is>
          <t>description</t>
        </is>
      </c>
      <c r="F1445" s="14" t="n">
        <v>1158</v>
      </c>
      <c r="G1445" s="17" t="n">
        <v>6.48</v>
      </c>
      <c r="H1445" s="14">
        <f>IF(G1445="","",G1445*Ayarlar!$B$3+Ayarlar!$B$4+Ayarlar!$B$5)</f>
        <v/>
      </c>
      <c r="I1445" s="14">
        <f>IF(G1445="","",ROUNDUP(((G1445*Ayarlar!$B$3+Ayarlar!$B$4+Ayarlar!$B$5)+Ayarlar!$B$8)/((1-Ayarlar!$B$6)*(1-Ayarlar!$B$7)),0))</f>
        <v/>
      </c>
      <c r="J1445" s="14">
        <f>IF(G1445="","",ROUNDUP(((G1445*Ayarlar!$B$3+Ayarlar!$B$4+Ayarlar!$B$5)+Ayarlar!$B$8)/((1-Ayarlar!$B$6)*(1-Ayarlar!$B$7-Ayarlar!$B$9)),0))</f>
        <v/>
      </c>
      <c r="K1445" s="15">
        <f>IF(OR(G1445="",F1445=""),"",(F1445*(1-Ayarlar!$B$6)-(F1445*(1-Ayarlar!$B$6)*Ayarlar!$B$7+Ayarlar!$B$8)-(G1445*Ayarlar!$B$3+Ayarlar!$B$4+Ayarlar!$B$5))/(F1445*(1-Ayarlar!$B$6)))</f>
        <v/>
      </c>
      <c r="L1445" s="3">
        <f>IF(G1445="","GRAM EKSİK",IF(F1445&gt;30000,"FİYAT ŞÜPHELİ",IF(K1445&lt;0,"ZARARDA",IF(F1445&lt;I1445,"RİSKLİ","ok"))))</f>
        <v/>
      </c>
      <c r="M1445" s="16" t="inlineStr">
        <is>
          <t>https://www.etsy.com/listing/1731430357</t>
        </is>
      </c>
    </row>
    <row r="1446">
      <c r="A1446" s="9" t="inlineStr">
        <is>
          <t>protection</t>
        </is>
      </c>
      <c r="B1446" s="9" t="inlineStr">
        <is>
          <t>10K Gold Hamsa Necklace / CZ Stone Evil Eye Pendant, Rope Ch</t>
        </is>
      </c>
      <c r="C1446" s="9" t="n">
        <v>1731430357</v>
      </c>
      <c r="D1446" s="9" t="inlineStr">
        <is>
          <t>PHS1-35-20</t>
        </is>
      </c>
      <c r="E1446" s="9" t="inlineStr">
        <is>
          <t>description</t>
        </is>
      </c>
      <c r="F1446" s="10" t="n">
        <v>1248</v>
      </c>
      <c r="G1446" s="18" t="n">
        <v>6.99</v>
      </c>
      <c r="H1446" s="10">
        <f>IF(G1446="","",G1446*Ayarlar!$B$3+Ayarlar!$B$4+Ayarlar!$B$5)</f>
        <v/>
      </c>
      <c r="I1446" s="10">
        <f>IF(G1446="","",ROUNDUP(((G1446*Ayarlar!$B$3+Ayarlar!$B$4+Ayarlar!$B$5)+Ayarlar!$B$8)/((1-Ayarlar!$B$6)*(1-Ayarlar!$B$7)),0))</f>
        <v/>
      </c>
      <c r="J1446" s="10">
        <f>IF(G1446="","",ROUNDUP(((G1446*Ayarlar!$B$3+Ayarlar!$B$4+Ayarlar!$B$5)+Ayarlar!$B$8)/((1-Ayarlar!$B$6)*(1-Ayarlar!$B$7-Ayarlar!$B$9)),0))</f>
        <v/>
      </c>
      <c r="K1446" s="12">
        <f>IF(OR(G1446="",F1446=""),"",(F1446*(1-Ayarlar!$B$6)-(F1446*(1-Ayarlar!$B$6)*Ayarlar!$B$7+Ayarlar!$B$8)-(G1446*Ayarlar!$B$3+Ayarlar!$B$4+Ayarlar!$B$5))/(F1446*(1-Ayarlar!$B$6)))</f>
        <v/>
      </c>
      <c r="L1446" s="9">
        <f>IF(G1446="","GRAM EKSİK",IF(F1446&gt;30000,"FİYAT ŞÜPHELİ",IF(K1446&lt;0,"ZARARDA",IF(F1446&lt;I1446,"RİSKLİ","ok"))))</f>
        <v/>
      </c>
      <c r="M1446" s="13" t="inlineStr">
        <is>
          <t>https://www.etsy.com/listing/1731430357</t>
        </is>
      </c>
    </row>
    <row r="1447">
      <c r="A1447" s="3" t="inlineStr">
        <is>
          <t>protection</t>
        </is>
      </c>
      <c r="B1447" s="3" t="inlineStr">
        <is>
          <t>10K Gold Hamsa Necklace / CZ Stone Evil Eye Pendant, Rope Ch</t>
        </is>
      </c>
      <c r="C1447" s="3" t="n">
        <v>1731430357</v>
      </c>
      <c r="D1447" s="3" t="inlineStr">
        <is>
          <t>PHS1-35-22</t>
        </is>
      </c>
      <c r="E1447" s="3" t="inlineStr">
        <is>
          <t>description</t>
        </is>
      </c>
      <c r="F1447" s="14" t="n">
        <v>1338</v>
      </c>
      <c r="G1447" s="17" t="n">
        <v>7.5</v>
      </c>
      <c r="H1447" s="14">
        <f>IF(G1447="","",G1447*Ayarlar!$B$3+Ayarlar!$B$4+Ayarlar!$B$5)</f>
        <v/>
      </c>
      <c r="I1447" s="14">
        <f>IF(G1447="","",ROUNDUP(((G1447*Ayarlar!$B$3+Ayarlar!$B$4+Ayarlar!$B$5)+Ayarlar!$B$8)/((1-Ayarlar!$B$6)*(1-Ayarlar!$B$7)),0))</f>
        <v/>
      </c>
      <c r="J1447" s="14">
        <f>IF(G1447="","",ROUNDUP(((G1447*Ayarlar!$B$3+Ayarlar!$B$4+Ayarlar!$B$5)+Ayarlar!$B$8)/((1-Ayarlar!$B$6)*(1-Ayarlar!$B$7-Ayarlar!$B$9)),0))</f>
        <v/>
      </c>
      <c r="K1447" s="15">
        <f>IF(OR(G1447="",F1447=""),"",(F1447*(1-Ayarlar!$B$6)-(F1447*(1-Ayarlar!$B$6)*Ayarlar!$B$7+Ayarlar!$B$8)-(G1447*Ayarlar!$B$3+Ayarlar!$B$4+Ayarlar!$B$5))/(F1447*(1-Ayarlar!$B$6)))</f>
        <v/>
      </c>
      <c r="L1447" s="3">
        <f>IF(G1447="","GRAM EKSİK",IF(F1447&gt;30000,"FİYAT ŞÜPHELİ",IF(K1447&lt;0,"ZARARDA",IF(F1447&lt;I1447,"RİSKLİ","ok"))))</f>
        <v/>
      </c>
      <c r="M1447" s="16" t="inlineStr">
        <is>
          <t>https://www.etsy.com/listing/1731430357</t>
        </is>
      </c>
    </row>
    <row r="1448">
      <c r="A1448" s="9" t="inlineStr">
        <is>
          <t>protection</t>
        </is>
      </c>
      <c r="B1448" s="9" t="inlineStr">
        <is>
          <t>10K Gold Hamsa Necklace / CZ Stone Evil Eye Pendant, Rope Ch</t>
        </is>
      </c>
      <c r="C1448" s="9" t="n">
        <v>1731430357</v>
      </c>
      <c r="D1448" s="9" t="inlineStr">
        <is>
          <t>PHS1-35-24</t>
        </is>
      </c>
      <c r="E1448" s="9" t="inlineStr">
        <is>
          <t>description</t>
        </is>
      </c>
      <c r="F1448" s="10" t="n">
        <v>1429</v>
      </c>
      <c r="G1448" s="18" t="n">
        <v>8.01</v>
      </c>
      <c r="H1448" s="10">
        <f>IF(G1448="","",G1448*Ayarlar!$B$3+Ayarlar!$B$4+Ayarlar!$B$5)</f>
        <v/>
      </c>
      <c r="I1448" s="10">
        <f>IF(G1448="","",ROUNDUP(((G1448*Ayarlar!$B$3+Ayarlar!$B$4+Ayarlar!$B$5)+Ayarlar!$B$8)/((1-Ayarlar!$B$6)*(1-Ayarlar!$B$7)),0))</f>
        <v/>
      </c>
      <c r="J1448" s="10">
        <f>IF(G1448="","",ROUNDUP(((G1448*Ayarlar!$B$3+Ayarlar!$B$4+Ayarlar!$B$5)+Ayarlar!$B$8)/((1-Ayarlar!$B$6)*(1-Ayarlar!$B$7-Ayarlar!$B$9)),0))</f>
        <v/>
      </c>
      <c r="K1448" s="12">
        <f>IF(OR(G1448="",F1448=""),"",(F1448*(1-Ayarlar!$B$6)-(F1448*(1-Ayarlar!$B$6)*Ayarlar!$B$7+Ayarlar!$B$8)-(G1448*Ayarlar!$B$3+Ayarlar!$B$4+Ayarlar!$B$5))/(F1448*(1-Ayarlar!$B$6)))</f>
        <v/>
      </c>
      <c r="L1448" s="9">
        <f>IF(G1448="","GRAM EKSİK",IF(F1448&gt;30000,"FİYAT ŞÜPHELİ",IF(K1448&lt;0,"ZARARDA",IF(F1448&lt;I1448,"RİSKLİ","ok"))))</f>
        <v/>
      </c>
      <c r="M1448" s="13" t="inlineStr">
        <is>
          <t>https://www.etsy.com/listing/1731430357</t>
        </is>
      </c>
    </row>
    <row r="1449">
      <c r="A1449" s="3" t="inlineStr">
        <is>
          <t>protection</t>
        </is>
      </c>
      <c r="B1449" s="3" t="inlineStr">
        <is>
          <t>10K Gold Hamsa Necklace / CZ Stone Evil Eye Pendant, Rope Ch</t>
        </is>
      </c>
      <c r="C1449" s="3" t="n">
        <v>1731430357</v>
      </c>
      <c r="D1449" s="3" t="inlineStr">
        <is>
          <t>PHS2-25-16</t>
        </is>
      </c>
      <c r="E1449" s="3" t="inlineStr">
        <is>
          <t>description</t>
        </is>
      </c>
      <c r="F1449" s="14" t="n">
        <v>917</v>
      </c>
      <c r="G1449" s="17" t="n">
        <v>5.12</v>
      </c>
      <c r="H1449" s="14">
        <f>IF(G1449="","",G1449*Ayarlar!$B$3+Ayarlar!$B$4+Ayarlar!$B$5)</f>
        <v/>
      </c>
      <c r="I1449" s="14">
        <f>IF(G1449="","",ROUNDUP(((G1449*Ayarlar!$B$3+Ayarlar!$B$4+Ayarlar!$B$5)+Ayarlar!$B$8)/((1-Ayarlar!$B$6)*(1-Ayarlar!$B$7)),0))</f>
        <v/>
      </c>
      <c r="J1449" s="14">
        <f>IF(G1449="","",ROUNDUP(((G1449*Ayarlar!$B$3+Ayarlar!$B$4+Ayarlar!$B$5)+Ayarlar!$B$8)/((1-Ayarlar!$B$6)*(1-Ayarlar!$B$7-Ayarlar!$B$9)),0))</f>
        <v/>
      </c>
      <c r="K1449" s="15">
        <f>IF(OR(G1449="",F1449=""),"",(F1449*(1-Ayarlar!$B$6)-(F1449*(1-Ayarlar!$B$6)*Ayarlar!$B$7+Ayarlar!$B$8)-(G1449*Ayarlar!$B$3+Ayarlar!$B$4+Ayarlar!$B$5))/(F1449*(1-Ayarlar!$B$6)))</f>
        <v/>
      </c>
      <c r="L1449" s="3">
        <f>IF(G1449="","GRAM EKSİK",IF(F1449&gt;30000,"FİYAT ŞÜPHELİ",IF(K1449&lt;0,"ZARARDA",IF(F1449&lt;I1449,"RİSKLİ","ok"))))</f>
        <v/>
      </c>
      <c r="M1449" s="16" t="inlineStr">
        <is>
          <t>https://www.etsy.com/listing/1731430357</t>
        </is>
      </c>
    </row>
    <row r="1450">
      <c r="A1450" s="9" t="inlineStr">
        <is>
          <t>protection</t>
        </is>
      </c>
      <c r="B1450" s="9" t="inlineStr">
        <is>
          <t>10K Gold Hamsa Necklace / CZ Stone Evil Eye Pendant, Rope Ch</t>
        </is>
      </c>
      <c r="C1450" s="9" t="n">
        <v>1731430357</v>
      </c>
      <c r="D1450" s="9" t="inlineStr">
        <is>
          <t>PHS2-25-18</t>
        </is>
      </c>
      <c r="E1450" s="9" t="inlineStr">
        <is>
          <t>description</t>
        </is>
      </c>
      <c r="F1450" s="10" t="n">
        <v>967</v>
      </c>
      <c r="G1450" s="18" t="n">
        <v>5.4</v>
      </c>
      <c r="H1450" s="10">
        <f>IF(G1450="","",G1450*Ayarlar!$B$3+Ayarlar!$B$4+Ayarlar!$B$5)</f>
        <v/>
      </c>
      <c r="I1450" s="10">
        <f>IF(G1450="","",ROUNDUP(((G1450*Ayarlar!$B$3+Ayarlar!$B$4+Ayarlar!$B$5)+Ayarlar!$B$8)/((1-Ayarlar!$B$6)*(1-Ayarlar!$B$7)),0))</f>
        <v/>
      </c>
      <c r="J1450" s="10">
        <f>IF(G1450="","",ROUNDUP(((G1450*Ayarlar!$B$3+Ayarlar!$B$4+Ayarlar!$B$5)+Ayarlar!$B$8)/((1-Ayarlar!$B$6)*(1-Ayarlar!$B$7-Ayarlar!$B$9)),0))</f>
        <v/>
      </c>
      <c r="K1450" s="12">
        <f>IF(OR(G1450="",F1450=""),"",(F1450*(1-Ayarlar!$B$6)-(F1450*(1-Ayarlar!$B$6)*Ayarlar!$B$7+Ayarlar!$B$8)-(G1450*Ayarlar!$B$3+Ayarlar!$B$4+Ayarlar!$B$5))/(F1450*(1-Ayarlar!$B$6)))</f>
        <v/>
      </c>
      <c r="L1450" s="9">
        <f>IF(G1450="","GRAM EKSİK",IF(F1450&gt;30000,"FİYAT ŞÜPHELİ",IF(K1450&lt;0,"ZARARDA",IF(F1450&lt;I1450,"RİSKLİ","ok"))))</f>
        <v/>
      </c>
      <c r="M1450" s="13" t="inlineStr">
        <is>
          <t>https://www.etsy.com/listing/1731430357</t>
        </is>
      </c>
    </row>
    <row r="1451">
      <c r="A1451" s="3" t="inlineStr">
        <is>
          <t>protection</t>
        </is>
      </c>
      <c r="B1451" s="3" t="inlineStr">
        <is>
          <t>10K Gold Hamsa Necklace / CZ Stone Evil Eye Pendant, Rope Ch</t>
        </is>
      </c>
      <c r="C1451" s="3" t="n">
        <v>1731430357</v>
      </c>
      <c r="D1451" s="3" t="inlineStr">
        <is>
          <t>PHS2-25-20</t>
        </is>
      </c>
      <c r="E1451" s="3" t="inlineStr">
        <is>
          <t>description</t>
        </is>
      </c>
      <c r="F1451" s="14" t="n">
        <v>1015</v>
      </c>
      <c r="G1451" s="17" t="n">
        <v>5.67</v>
      </c>
      <c r="H1451" s="14">
        <f>IF(G1451="","",G1451*Ayarlar!$B$3+Ayarlar!$B$4+Ayarlar!$B$5)</f>
        <v/>
      </c>
      <c r="I1451" s="14">
        <f>IF(G1451="","",ROUNDUP(((G1451*Ayarlar!$B$3+Ayarlar!$B$4+Ayarlar!$B$5)+Ayarlar!$B$8)/((1-Ayarlar!$B$6)*(1-Ayarlar!$B$7)),0))</f>
        <v/>
      </c>
      <c r="J1451" s="14">
        <f>IF(G1451="","",ROUNDUP(((G1451*Ayarlar!$B$3+Ayarlar!$B$4+Ayarlar!$B$5)+Ayarlar!$B$8)/((1-Ayarlar!$B$6)*(1-Ayarlar!$B$7-Ayarlar!$B$9)),0))</f>
        <v/>
      </c>
      <c r="K1451" s="15">
        <f>IF(OR(G1451="",F1451=""),"",(F1451*(1-Ayarlar!$B$6)-(F1451*(1-Ayarlar!$B$6)*Ayarlar!$B$7+Ayarlar!$B$8)-(G1451*Ayarlar!$B$3+Ayarlar!$B$4+Ayarlar!$B$5))/(F1451*(1-Ayarlar!$B$6)))</f>
        <v/>
      </c>
      <c r="L1451" s="3">
        <f>IF(G1451="","GRAM EKSİK",IF(F1451&gt;30000,"FİYAT ŞÜPHELİ",IF(K1451&lt;0,"ZARARDA",IF(F1451&lt;I1451,"RİSKLİ","ok"))))</f>
        <v/>
      </c>
      <c r="M1451" s="16" t="inlineStr">
        <is>
          <t>https://www.etsy.com/listing/1731430357</t>
        </is>
      </c>
    </row>
    <row r="1452">
      <c r="A1452" s="9" t="inlineStr">
        <is>
          <t>protection</t>
        </is>
      </c>
      <c r="B1452" s="9" t="inlineStr">
        <is>
          <t>10K Gold Hamsa Necklace / CZ Stone Evil Eye Pendant, Rope Ch</t>
        </is>
      </c>
      <c r="C1452" s="9" t="n">
        <v>1731430357</v>
      </c>
      <c r="D1452" s="9" t="inlineStr">
        <is>
          <t>PHS2-25-22</t>
        </is>
      </c>
      <c r="E1452" s="9" t="inlineStr">
        <is>
          <t>description</t>
        </is>
      </c>
      <c r="F1452" s="10" t="n">
        <v>1064</v>
      </c>
      <c r="G1452" s="18" t="n">
        <v>5.95</v>
      </c>
      <c r="H1452" s="10">
        <f>IF(G1452="","",G1452*Ayarlar!$B$3+Ayarlar!$B$4+Ayarlar!$B$5)</f>
        <v/>
      </c>
      <c r="I1452" s="10">
        <f>IF(G1452="","",ROUNDUP(((G1452*Ayarlar!$B$3+Ayarlar!$B$4+Ayarlar!$B$5)+Ayarlar!$B$8)/((1-Ayarlar!$B$6)*(1-Ayarlar!$B$7)),0))</f>
        <v/>
      </c>
      <c r="J1452" s="10">
        <f>IF(G1452="","",ROUNDUP(((G1452*Ayarlar!$B$3+Ayarlar!$B$4+Ayarlar!$B$5)+Ayarlar!$B$8)/((1-Ayarlar!$B$6)*(1-Ayarlar!$B$7-Ayarlar!$B$9)),0))</f>
        <v/>
      </c>
      <c r="K1452" s="12">
        <f>IF(OR(G1452="",F1452=""),"",(F1452*(1-Ayarlar!$B$6)-(F1452*(1-Ayarlar!$B$6)*Ayarlar!$B$7+Ayarlar!$B$8)-(G1452*Ayarlar!$B$3+Ayarlar!$B$4+Ayarlar!$B$5))/(F1452*(1-Ayarlar!$B$6)))</f>
        <v/>
      </c>
      <c r="L1452" s="9">
        <f>IF(G1452="","GRAM EKSİK",IF(F1452&gt;30000,"FİYAT ŞÜPHELİ",IF(K1452&lt;0,"ZARARDA",IF(F1452&lt;I1452,"RİSKLİ","ok"))))</f>
        <v/>
      </c>
      <c r="M1452" s="13" t="inlineStr">
        <is>
          <t>https://www.etsy.com/listing/1731430357</t>
        </is>
      </c>
    </row>
    <row r="1453">
      <c r="A1453" s="3" t="inlineStr">
        <is>
          <t>protection</t>
        </is>
      </c>
      <c r="B1453" s="3" t="inlineStr">
        <is>
          <t>10K Gold Hamsa Necklace / CZ Stone Evil Eye Pendant, Rope Ch</t>
        </is>
      </c>
      <c r="C1453" s="3" t="n">
        <v>1731430357</v>
      </c>
      <c r="D1453" s="3" t="inlineStr">
        <is>
          <t>PHS2-25-24</t>
        </is>
      </c>
      <c r="E1453" s="3" t="inlineStr">
        <is>
          <t>description</t>
        </is>
      </c>
      <c r="F1453" s="14" t="n">
        <v>1112</v>
      </c>
      <c r="G1453" s="17" t="n">
        <v>6.22</v>
      </c>
      <c r="H1453" s="14">
        <f>IF(G1453="","",G1453*Ayarlar!$B$3+Ayarlar!$B$4+Ayarlar!$B$5)</f>
        <v/>
      </c>
      <c r="I1453" s="14">
        <f>IF(G1453="","",ROUNDUP(((G1453*Ayarlar!$B$3+Ayarlar!$B$4+Ayarlar!$B$5)+Ayarlar!$B$8)/((1-Ayarlar!$B$6)*(1-Ayarlar!$B$7)),0))</f>
        <v/>
      </c>
      <c r="J1453" s="14">
        <f>IF(G1453="","",ROUNDUP(((G1453*Ayarlar!$B$3+Ayarlar!$B$4+Ayarlar!$B$5)+Ayarlar!$B$8)/((1-Ayarlar!$B$6)*(1-Ayarlar!$B$7-Ayarlar!$B$9)),0))</f>
        <v/>
      </c>
      <c r="K1453" s="15">
        <f>IF(OR(G1453="",F1453=""),"",(F1453*(1-Ayarlar!$B$6)-(F1453*(1-Ayarlar!$B$6)*Ayarlar!$B$7+Ayarlar!$B$8)-(G1453*Ayarlar!$B$3+Ayarlar!$B$4+Ayarlar!$B$5))/(F1453*(1-Ayarlar!$B$6)))</f>
        <v/>
      </c>
      <c r="L1453" s="3">
        <f>IF(G1453="","GRAM EKSİK",IF(F1453&gt;30000,"FİYAT ŞÜPHELİ",IF(K1453&lt;0,"ZARARDA",IF(F1453&lt;I1453,"RİSKLİ","ok"))))</f>
        <v/>
      </c>
      <c r="M1453" s="16" t="inlineStr">
        <is>
          <t>https://www.etsy.com/listing/1731430357</t>
        </is>
      </c>
    </row>
    <row r="1454">
      <c r="A1454" s="9" t="inlineStr">
        <is>
          <t>protection</t>
        </is>
      </c>
      <c r="B1454" s="9" t="inlineStr">
        <is>
          <t>10K Gold Hamsa Necklace / CZ Stone Evil Eye Pendant, Rope Ch</t>
        </is>
      </c>
      <c r="C1454" s="9" t="n">
        <v>1731430357</v>
      </c>
      <c r="D1454" s="9" t="inlineStr">
        <is>
          <t>PHS2-3-16</t>
        </is>
      </c>
      <c r="E1454" s="9" t="inlineStr">
        <is>
          <t>description</t>
        </is>
      </c>
      <c r="F1454" s="10" t="n">
        <v>1038</v>
      </c>
      <c r="G1454" s="18" t="n">
        <v>5.8</v>
      </c>
      <c r="H1454" s="10">
        <f>IF(G1454="","",G1454*Ayarlar!$B$3+Ayarlar!$B$4+Ayarlar!$B$5)</f>
        <v/>
      </c>
      <c r="I1454" s="10">
        <f>IF(G1454="","",ROUNDUP(((G1454*Ayarlar!$B$3+Ayarlar!$B$4+Ayarlar!$B$5)+Ayarlar!$B$8)/((1-Ayarlar!$B$6)*(1-Ayarlar!$B$7)),0))</f>
        <v/>
      </c>
      <c r="J1454" s="10">
        <f>IF(G1454="","",ROUNDUP(((G1454*Ayarlar!$B$3+Ayarlar!$B$4+Ayarlar!$B$5)+Ayarlar!$B$8)/((1-Ayarlar!$B$6)*(1-Ayarlar!$B$7-Ayarlar!$B$9)),0))</f>
        <v/>
      </c>
      <c r="K1454" s="12">
        <f>IF(OR(G1454="",F1454=""),"",(F1454*(1-Ayarlar!$B$6)-(F1454*(1-Ayarlar!$B$6)*Ayarlar!$B$7+Ayarlar!$B$8)-(G1454*Ayarlar!$B$3+Ayarlar!$B$4+Ayarlar!$B$5))/(F1454*(1-Ayarlar!$B$6)))</f>
        <v/>
      </c>
      <c r="L1454" s="9">
        <f>IF(G1454="","GRAM EKSİK",IF(F1454&gt;30000,"FİYAT ŞÜPHELİ",IF(K1454&lt;0,"ZARARDA",IF(F1454&lt;I1454,"RİSKLİ","ok"))))</f>
        <v/>
      </c>
      <c r="M1454" s="13" t="inlineStr">
        <is>
          <t>https://www.etsy.com/listing/1731430357</t>
        </is>
      </c>
    </row>
    <row r="1455">
      <c r="A1455" s="3" t="inlineStr">
        <is>
          <t>protection</t>
        </is>
      </c>
      <c r="B1455" s="3" t="inlineStr">
        <is>
          <t>10K Gold Hamsa Necklace / CZ Stone Evil Eye Pendant, Rope Ch</t>
        </is>
      </c>
      <c r="C1455" s="3" t="n">
        <v>1731430357</v>
      </c>
      <c r="D1455" s="3" t="inlineStr">
        <is>
          <t>PHS2-3-18</t>
        </is>
      </c>
      <c r="E1455" s="3" t="inlineStr">
        <is>
          <t>description</t>
        </is>
      </c>
      <c r="F1455" s="14" t="n">
        <v>1101</v>
      </c>
      <c r="G1455" s="17" t="n">
        <v>6.16</v>
      </c>
      <c r="H1455" s="14">
        <f>IF(G1455="","",G1455*Ayarlar!$B$3+Ayarlar!$B$4+Ayarlar!$B$5)</f>
        <v/>
      </c>
      <c r="I1455" s="14">
        <f>IF(G1455="","",ROUNDUP(((G1455*Ayarlar!$B$3+Ayarlar!$B$4+Ayarlar!$B$5)+Ayarlar!$B$8)/((1-Ayarlar!$B$6)*(1-Ayarlar!$B$7)),0))</f>
        <v/>
      </c>
      <c r="J1455" s="14">
        <f>IF(G1455="","",ROUNDUP(((G1455*Ayarlar!$B$3+Ayarlar!$B$4+Ayarlar!$B$5)+Ayarlar!$B$8)/((1-Ayarlar!$B$6)*(1-Ayarlar!$B$7-Ayarlar!$B$9)),0))</f>
        <v/>
      </c>
      <c r="K1455" s="15">
        <f>IF(OR(G1455="",F1455=""),"",(F1455*(1-Ayarlar!$B$6)-(F1455*(1-Ayarlar!$B$6)*Ayarlar!$B$7+Ayarlar!$B$8)-(G1455*Ayarlar!$B$3+Ayarlar!$B$4+Ayarlar!$B$5))/(F1455*(1-Ayarlar!$B$6)))</f>
        <v/>
      </c>
      <c r="L1455" s="3">
        <f>IF(G1455="","GRAM EKSİK",IF(F1455&gt;30000,"FİYAT ŞÜPHELİ",IF(K1455&lt;0,"ZARARDA",IF(F1455&lt;I1455,"RİSKLİ","ok"))))</f>
        <v/>
      </c>
      <c r="M1455" s="16" t="inlineStr">
        <is>
          <t>https://www.etsy.com/listing/1731430357</t>
        </is>
      </c>
    </row>
    <row r="1456">
      <c r="A1456" s="9" t="inlineStr">
        <is>
          <t>protection</t>
        </is>
      </c>
      <c r="B1456" s="9" t="inlineStr">
        <is>
          <t>10K Gold Hamsa Necklace / CZ Stone Evil Eye Pendant, Rope Ch</t>
        </is>
      </c>
      <c r="C1456" s="9" t="n">
        <v>1731430357</v>
      </c>
      <c r="D1456" s="9" t="inlineStr">
        <is>
          <t>PHS2-3-20</t>
        </is>
      </c>
      <c r="E1456" s="9" t="inlineStr">
        <is>
          <t>description</t>
        </is>
      </c>
      <c r="F1456" s="10" t="n">
        <v>1165</v>
      </c>
      <c r="G1456" s="18" t="n">
        <v>6.52</v>
      </c>
      <c r="H1456" s="10">
        <f>IF(G1456="","",G1456*Ayarlar!$B$3+Ayarlar!$B$4+Ayarlar!$B$5)</f>
        <v/>
      </c>
      <c r="I1456" s="10">
        <f>IF(G1456="","",ROUNDUP(((G1456*Ayarlar!$B$3+Ayarlar!$B$4+Ayarlar!$B$5)+Ayarlar!$B$8)/((1-Ayarlar!$B$6)*(1-Ayarlar!$B$7)),0))</f>
        <v/>
      </c>
      <c r="J1456" s="10">
        <f>IF(G1456="","",ROUNDUP(((G1456*Ayarlar!$B$3+Ayarlar!$B$4+Ayarlar!$B$5)+Ayarlar!$B$8)/((1-Ayarlar!$B$6)*(1-Ayarlar!$B$7-Ayarlar!$B$9)),0))</f>
        <v/>
      </c>
      <c r="K1456" s="12">
        <f>IF(OR(G1456="",F1456=""),"",(F1456*(1-Ayarlar!$B$6)-(F1456*(1-Ayarlar!$B$6)*Ayarlar!$B$7+Ayarlar!$B$8)-(G1456*Ayarlar!$B$3+Ayarlar!$B$4+Ayarlar!$B$5))/(F1456*(1-Ayarlar!$B$6)))</f>
        <v/>
      </c>
      <c r="L1456" s="9">
        <f>IF(G1456="","GRAM EKSİK",IF(F1456&gt;30000,"FİYAT ŞÜPHELİ",IF(K1456&lt;0,"ZARARDA",IF(F1456&lt;I1456,"RİSKLİ","ok"))))</f>
        <v/>
      </c>
      <c r="M1456" s="13" t="inlineStr">
        <is>
          <t>https://www.etsy.com/listing/1731430357</t>
        </is>
      </c>
    </row>
    <row r="1457">
      <c r="A1457" s="3" t="inlineStr">
        <is>
          <t>protection</t>
        </is>
      </c>
      <c r="B1457" s="3" t="inlineStr">
        <is>
          <t>10K Gold Hamsa Necklace / CZ Stone Evil Eye Pendant, Rope Ch</t>
        </is>
      </c>
      <c r="C1457" s="3" t="n">
        <v>1731430357</v>
      </c>
      <c r="D1457" s="3" t="inlineStr">
        <is>
          <t>PHS2-3-22</t>
        </is>
      </c>
      <c r="E1457" s="3" t="inlineStr">
        <is>
          <t>description</t>
        </is>
      </c>
      <c r="F1457" s="14" t="n">
        <v>1229</v>
      </c>
      <c r="G1457" s="17" t="n">
        <v>6.88</v>
      </c>
      <c r="H1457" s="14">
        <f>IF(G1457="","",G1457*Ayarlar!$B$3+Ayarlar!$B$4+Ayarlar!$B$5)</f>
        <v/>
      </c>
      <c r="I1457" s="14">
        <f>IF(G1457="","",ROUNDUP(((G1457*Ayarlar!$B$3+Ayarlar!$B$4+Ayarlar!$B$5)+Ayarlar!$B$8)/((1-Ayarlar!$B$6)*(1-Ayarlar!$B$7)),0))</f>
        <v/>
      </c>
      <c r="J1457" s="14">
        <f>IF(G1457="","",ROUNDUP(((G1457*Ayarlar!$B$3+Ayarlar!$B$4+Ayarlar!$B$5)+Ayarlar!$B$8)/((1-Ayarlar!$B$6)*(1-Ayarlar!$B$7-Ayarlar!$B$9)),0))</f>
        <v/>
      </c>
      <c r="K1457" s="15">
        <f>IF(OR(G1457="",F1457=""),"",(F1457*(1-Ayarlar!$B$6)-(F1457*(1-Ayarlar!$B$6)*Ayarlar!$B$7+Ayarlar!$B$8)-(G1457*Ayarlar!$B$3+Ayarlar!$B$4+Ayarlar!$B$5))/(F1457*(1-Ayarlar!$B$6)))</f>
        <v/>
      </c>
      <c r="L1457" s="3">
        <f>IF(G1457="","GRAM EKSİK",IF(F1457&gt;30000,"FİYAT ŞÜPHELİ",IF(K1457&lt;0,"ZARARDA",IF(F1457&lt;I1457,"RİSKLİ","ok"))))</f>
        <v/>
      </c>
      <c r="M1457" s="16" t="inlineStr">
        <is>
          <t>https://www.etsy.com/listing/1731430357</t>
        </is>
      </c>
    </row>
    <row r="1458">
      <c r="A1458" s="9" t="inlineStr">
        <is>
          <t>protection</t>
        </is>
      </c>
      <c r="B1458" s="9" t="inlineStr">
        <is>
          <t>10K Gold Hamsa Necklace / CZ Stone Evil Eye Pendant, Rope Ch</t>
        </is>
      </c>
      <c r="C1458" s="9" t="n">
        <v>1731430357</v>
      </c>
      <c r="D1458" s="9" t="inlineStr">
        <is>
          <t>PHS2-3-24</t>
        </is>
      </c>
      <c r="E1458" s="9" t="inlineStr">
        <is>
          <t>description</t>
        </is>
      </c>
      <c r="F1458" s="10" t="n">
        <v>1292</v>
      </c>
      <c r="G1458" s="18" t="n">
        <v>7.24</v>
      </c>
      <c r="H1458" s="10">
        <f>IF(G1458="","",G1458*Ayarlar!$B$3+Ayarlar!$B$4+Ayarlar!$B$5)</f>
        <v/>
      </c>
      <c r="I1458" s="10">
        <f>IF(G1458="","",ROUNDUP(((G1458*Ayarlar!$B$3+Ayarlar!$B$4+Ayarlar!$B$5)+Ayarlar!$B$8)/((1-Ayarlar!$B$6)*(1-Ayarlar!$B$7)),0))</f>
        <v/>
      </c>
      <c r="J1458" s="10">
        <f>IF(G1458="","",ROUNDUP(((G1458*Ayarlar!$B$3+Ayarlar!$B$4+Ayarlar!$B$5)+Ayarlar!$B$8)/((1-Ayarlar!$B$6)*(1-Ayarlar!$B$7-Ayarlar!$B$9)),0))</f>
        <v/>
      </c>
      <c r="K1458" s="12">
        <f>IF(OR(G1458="",F1458=""),"",(F1458*(1-Ayarlar!$B$6)-(F1458*(1-Ayarlar!$B$6)*Ayarlar!$B$7+Ayarlar!$B$8)-(G1458*Ayarlar!$B$3+Ayarlar!$B$4+Ayarlar!$B$5))/(F1458*(1-Ayarlar!$B$6)))</f>
        <v/>
      </c>
      <c r="L1458" s="9">
        <f>IF(G1458="","GRAM EKSİK",IF(F1458&gt;30000,"FİYAT ŞÜPHELİ",IF(K1458&lt;0,"ZARARDA",IF(F1458&lt;I1458,"RİSKLİ","ok"))))</f>
        <v/>
      </c>
      <c r="M1458" s="13" t="inlineStr">
        <is>
          <t>https://www.etsy.com/listing/1731430357</t>
        </is>
      </c>
    </row>
    <row r="1459">
      <c r="A1459" s="3" t="inlineStr">
        <is>
          <t>protection</t>
        </is>
      </c>
      <c r="B1459" s="3" t="inlineStr">
        <is>
          <t>10K Gold Hamsa Necklace / CZ Stone Evil Eye Pendant, Rope Ch</t>
        </is>
      </c>
      <c r="C1459" s="3" t="n">
        <v>1731430357</v>
      </c>
      <c r="D1459" s="3" t="inlineStr">
        <is>
          <t>PHS2-35-16</t>
        </is>
      </c>
      <c r="E1459" s="3" t="inlineStr">
        <is>
          <t>description</t>
        </is>
      </c>
      <c r="F1459" s="14" t="n">
        <v>1254</v>
      </c>
      <c r="G1459" s="17" t="n">
        <v>7.02</v>
      </c>
      <c r="H1459" s="14">
        <f>IF(G1459="","",G1459*Ayarlar!$B$3+Ayarlar!$B$4+Ayarlar!$B$5)</f>
        <v/>
      </c>
      <c r="I1459" s="14">
        <f>IF(G1459="","",ROUNDUP(((G1459*Ayarlar!$B$3+Ayarlar!$B$4+Ayarlar!$B$5)+Ayarlar!$B$8)/((1-Ayarlar!$B$6)*(1-Ayarlar!$B$7)),0))</f>
        <v/>
      </c>
      <c r="J1459" s="14">
        <f>IF(G1459="","",ROUNDUP(((G1459*Ayarlar!$B$3+Ayarlar!$B$4+Ayarlar!$B$5)+Ayarlar!$B$8)/((1-Ayarlar!$B$6)*(1-Ayarlar!$B$7-Ayarlar!$B$9)),0))</f>
        <v/>
      </c>
      <c r="K1459" s="15">
        <f>IF(OR(G1459="",F1459=""),"",(F1459*(1-Ayarlar!$B$6)-(F1459*(1-Ayarlar!$B$6)*Ayarlar!$B$7+Ayarlar!$B$8)-(G1459*Ayarlar!$B$3+Ayarlar!$B$4+Ayarlar!$B$5))/(F1459*(1-Ayarlar!$B$6)))</f>
        <v/>
      </c>
      <c r="L1459" s="3">
        <f>IF(G1459="","GRAM EKSİK",IF(F1459&gt;30000,"FİYAT ŞÜPHELİ",IF(K1459&lt;0,"ZARARDA",IF(F1459&lt;I1459,"RİSKLİ","ok"))))</f>
        <v/>
      </c>
      <c r="M1459" s="16" t="inlineStr">
        <is>
          <t>https://www.etsy.com/listing/1731430357</t>
        </is>
      </c>
    </row>
    <row r="1460">
      <c r="A1460" s="9" t="inlineStr">
        <is>
          <t>protection</t>
        </is>
      </c>
      <c r="B1460" s="9" t="inlineStr">
        <is>
          <t>10K Gold Hamsa Necklace / CZ Stone Evil Eye Pendant, Rope Ch</t>
        </is>
      </c>
      <c r="C1460" s="9" t="n">
        <v>1731430357</v>
      </c>
      <c r="D1460" s="9" t="inlineStr">
        <is>
          <t>PHS2-35-18</t>
        </is>
      </c>
      <c r="E1460" s="9" t="inlineStr">
        <is>
          <t>description</t>
        </is>
      </c>
      <c r="F1460" s="10" t="n">
        <v>1344</v>
      </c>
      <c r="G1460" s="18" t="n">
        <v>7.53</v>
      </c>
      <c r="H1460" s="10">
        <f>IF(G1460="","",G1460*Ayarlar!$B$3+Ayarlar!$B$4+Ayarlar!$B$5)</f>
        <v/>
      </c>
      <c r="I1460" s="10">
        <f>IF(G1460="","",ROUNDUP(((G1460*Ayarlar!$B$3+Ayarlar!$B$4+Ayarlar!$B$5)+Ayarlar!$B$8)/((1-Ayarlar!$B$6)*(1-Ayarlar!$B$7)),0))</f>
        <v/>
      </c>
      <c r="J1460" s="10">
        <f>IF(G1460="","",ROUNDUP(((G1460*Ayarlar!$B$3+Ayarlar!$B$4+Ayarlar!$B$5)+Ayarlar!$B$8)/((1-Ayarlar!$B$6)*(1-Ayarlar!$B$7-Ayarlar!$B$9)),0))</f>
        <v/>
      </c>
      <c r="K1460" s="12">
        <f>IF(OR(G1460="",F1460=""),"",(F1460*(1-Ayarlar!$B$6)-(F1460*(1-Ayarlar!$B$6)*Ayarlar!$B$7+Ayarlar!$B$8)-(G1460*Ayarlar!$B$3+Ayarlar!$B$4+Ayarlar!$B$5))/(F1460*(1-Ayarlar!$B$6)))</f>
        <v/>
      </c>
      <c r="L1460" s="9">
        <f>IF(G1460="","GRAM EKSİK",IF(F1460&gt;30000,"FİYAT ŞÜPHELİ",IF(K1460&lt;0,"ZARARDA",IF(F1460&lt;I1460,"RİSKLİ","ok"))))</f>
        <v/>
      </c>
      <c r="M1460" s="13" t="inlineStr">
        <is>
          <t>https://www.etsy.com/listing/1731430357</t>
        </is>
      </c>
    </row>
    <row r="1461">
      <c r="A1461" s="3" t="inlineStr">
        <is>
          <t>protection</t>
        </is>
      </c>
      <c r="B1461" s="3" t="inlineStr">
        <is>
          <t>10K Gold Hamsa Necklace / CZ Stone Evil Eye Pendant, Rope Ch</t>
        </is>
      </c>
      <c r="C1461" s="3" t="n">
        <v>1731430357</v>
      </c>
      <c r="D1461" s="3" t="inlineStr">
        <is>
          <t>PHS2-35-20</t>
        </is>
      </c>
      <c r="E1461" s="3" t="inlineStr">
        <is>
          <t>description</t>
        </is>
      </c>
      <c r="F1461" s="14" t="n">
        <v>1434</v>
      </c>
      <c r="G1461" s="17" t="n">
        <v>8.039999999999999</v>
      </c>
      <c r="H1461" s="14">
        <f>IF(G1461="","",G1461*Ayarlar!$B$3+Ayarlar!$B$4+Ayarlar!$B$5)</f>
        <v/>
      </c>
      <c r="I1461" s="14">
        <f>IF(G1461="","",ROUNDUP(((G1461*Ayarlar!$B$3+Ayarlar!$B$4+Ayarlar!$B$5)+Ayarlar!$B$8)/((1-Ayarlar!$B$6)*(1-Ayarlar!$B$7)),0))</f>
        <v/>
      </c>
      <c r="J1461" s="14">
        <f>IF(G1461="","",ROUNDUP(((G1461*Ayarlar!$B$3+Ayarlar!$B$4+Ayarlar!$B$5)+Ayarlar!$B$8)/((1-Ayarlar!$B$6)*(1-Ayarlar!$B$7-Ayarlar!$B$9)),0))</f>
        <v/>
      </c>
      <c r="K1461" s="15">
        <f>IF(OR(G1461="",F1461=""),"",(F1461*(1-Ayarlar!$B$6)-(F1461*(1-Ayarlar!$B$6)*Ayarlar!$B$7+Ayarlar!$B$8)-(G1461*Ayarlar!$B$3+Ayarlar!$B$4+Ayarlar!$B$5))/(F1461*(1-Ayarlar!$B$6)))</f>
        <v/>
      </c>
      <c r="L1461" s="3">
        <f>IF(G1461="","GRAM EKSİK",IF(F1461&gt;30000,"FİYAT ŞÜPHELİ",IF(K1461&lt;0,"ZARARDA",IF(F1461&lt;I1461,"RİSKLİ","ok"))))</f>
        <v/>
      </c>
      <c r="M1461" s="16" t="inlineStr">
        <is>
          <t>https://www.etsy.com/listing/1731430357</t>
        </is>
      </c>
    </row>
    <row r="1462">
      <c r="A1462" s="9" t="inlineStr">
        <is>
          <t>protection</t>
        </is>
      </c>
      <c r="B1462" s="9" t="inlineStr">
        <is>
          <t>10K Gold Hamsa Necklace / CZ Stone Evil Eye Pendant, Rope Ch</t>
        </is>
      </c>
      <c r="C1462" s="9" t="n">
        <v>1731430357</v>
      </c>
      <c r="D1462" s="9" t="inlineStr">
        <is>
          <t>PHS2-35-22</t>
        </is>
      </c>
      <c r="E1462" s="9" t="inlineStr">
        <is>
          <t>description</t>
        </is>
      </c>
      <c r="F1462" s="10" t="n">
        <v>1524</v>
      </c>
      <c r="G1462" s="18" t="n">
        <v>8.550000000000001</v>
      </c>
      <c r="H1462" s="10">
        <f>IF(G1462="","",G1462*Ayarlar!$B$3+Ayarlar!$B$4+Ayarlar!$B$5)</f>
        <v/>
      </c>
      <c r="I1462" s="10">
        <f>IF(G1462="","",ROUNDUP(((G1462*Ayarlar!$B$3+Ayarlar!$B$4+Ayarlar!$B$5)+Ayarlar!$B$8)/((1-Ayarlar!$B$6)*(1-Ayarlar!$B$7)),0))</f>
        <v/>
      </c>
      <c r="J1462" s="10">
        <f>IF(G1462="","",ROUNDUP(((G1462*Ayarlar!$B$3+Ayarlar!$B$4+Ayarlar!$B$5)+Ayarlar!$B$8)/((1-Ayarlar!$B$6)*(1-Ayarlar!$B$7-Ayarlar!$B$9)),0))</f>
        <v/>
      </c>
      <c r="K1462" s="12">
        <f>IF(OR(G1462="",F1462=""),"",(F1462*(1-Ayarlar!$B$6)-(F1462*(1-Ayarlar!$B$6)*Ayarlar!$B$7+Ayarlar!$B$8)-(G1462*Ayarlar!$B$3+Ayarlar!$B$4+Ayarlar!$B$5))/(F1462*(1-Ayarlar!$B$6)))</f>
        <v/>
      </c>
      <c r="L1462" s="9">
        <f>IF(G1462="","GRAM EKSİK",IF(F1462&gt;30000,"FİYAT ŞÜPHELİ",IF(K1462&lt;0,"ZARARDA",IF(F1462&lt;I1462,"RİSKLİ","ok"))))</f>
        <v/>
      </c>
      <c r="M1462" s="13" t="inlineStr">
        <is>
          <t>https://www.etsy.com/listing/1731430357</t>
        </is>
      </c>
    </row>
    <row r="1463">
      <c r="A1463" s="3" t="inlineStr">
        <is>
          <t>protection</t>
        </is>
      </c>
      <c r="B1463" s="3" t="inlineStr">
        <is>
          <t>10K Gold Hamsa Necklace / CZ Stone Evil Eye Pendant, Rope Ch</t>
        </is>
      </c>
      <c r="C1463" s="3" t="n">
        <v>1731430357</v>
      </c>
      <c r="D1463" s="3" t="inlineStr">
        <is>
          <t>PHS2-35-24</t>
        </is>
      </c>
      <c r="E1463" s="3" t="inlineStr">
        <is>
          <t>description</t>
        </is>
      </c>
      <c r="F1463" s="14" t="n">
        <v>1614</v>
      </c>
      <c r="G1463" s="17" t="n">
        <v>9.06</v>
      </c>
      <c r="H1463" s="14">
        <f>IF(G1463="","",G1463*Ayarlar!$B$3+Ayarlar!$B$4+Ayarlar!$B$5)</f>
        <v/>
      </c>
      <c r="I1463" s="14">
        <f>IF(G1463="","",ROUNDUP(((G1463*Ayarlar!$B$3+Ayarlar!$B$4+Ayarlar!$B$5)+Ayarlar!$B$8)/((1-Ayarlar!$B$6)*(1-Ayarlar!$B$7)),0))</f>
        <v/>
      </c>
      <c r="J1463" s="14">
        <f>IF(G1463="","",ROUNDUP(((G1463*Ayarlar!$B$3+Ayarlar!$B$4+Ayarlar!$B$5)+Ayarlar!$B$8)/((1-Ayarlar!$B$6)*(1-Ayarlar!$B$7-Ayarlar!$B$9)),0))</f>
        <v/>
      </c>
      <c r="K1463" s="15">
        <f>IF(OR(G1463="",F1463=""),"",(F1463*(1-Ayarlar!$B$6)-(F1463*(1-Ayarlar!$B$6)*Ayarlar!$B$7+Ayarlar!$B$8)-(G1463*Ayarlar!$B$3+Ayarlar!$B$4+Ayarlar!$B$5))/(F1463*(1-Ayarlar!$B$6)))</f>
        <v/>
      </c>
      <c r="L1463" s="3">
        <f>IF(G1463="","GRAM EKSİK",IF(F1463&gt;30000,"FİYAT ŞÜPHELİ",IF(K1463&lt;0,"ZARARDA",IF(F1463&lt;I1463,"RİSKLİ","ok"))))</f>
        <v/>
      </c>
      <c r="M1463" s="16" t="inlineStr">
        <is>
          <t>https://www.etsy.com/listing/1731430357</t>
        </is>
      </c>
    </row>
    <row r="1464">
      <c r="A1464" s="9" t="inlineStr">
        <is>
          <t>protection</t>
        </is>
      </c>
      <c r="B1464" s="9" t="inlineStr">
        <is>
          <t>10K Gold Hamsa Necklace / CZ Stone Evil Eye Pendant, Rope Ch</t>
        </is>
      </c>
      <c r="C1464" s="9" t="n">
        <v>1731430357</v>
      </c>
      <c r="D1464" s="9" t="inlineStr">
        <is>
          <t>PHS3-25-16</t>
        </is>
      </c>
      <c r="E1464" s="9" t="inlineStr">
        <is>
          <t>description</t>
        </is>
      </c>
      <c r="F1464" s="10" t="n">
        <v>1144</v>
      </c>
      <c r="G1464" s="18" t="n">
        <v>6.4</v>
      </c>
      <c r="H1464" s="10">
        <f>IF(G1464="","",G1464*Ayarlar!$B$3+Ayarlar!$B$4+Ayarlar!$B$5)</f>
        <v/>
      </c>
      <c r="I1464" s="10">
        <f>IF(G1464="","",ROUNDUP(((G1464*Ayarlar!$B$3+Ayarlar!$B$4+Ayarlar!$B$5)+Ayarlar!$B$8)/((1-Ayarlar!$B$6)*(1-Ayarlar!$B$7)),0))</f>
        <v/>
      </c>
      <c r="J1464" s="10">
        <f>IF(G1464="","",ROUNDUP(((G1464*Ayarlar!$B$3+Ayarlar!$B$4+Ayarlar!$B$5)+Ayarlar!$B$8)/((1-Ayarlar!$B$6)*(1-Ayarlar!$B$7-Ayarlar!$B$9)),0))</f>
        <v/>
      </c>
      <c r="K1464" s="12">
        <f>IF(OR(G1464="",F1464=""),"",(F1464*(1-Ayarlar!$B$6)-(F1464*(1-Ayarlar!$B$6)*Ayarlar!$B$7+Ayarlar!$B$8)-(G1464*Ayarlar!$B$3+Ayarlar!$B$4+Ayarlar!$B$5))/(F1464*(1-Ayarlar!$B$6)))</f>
        <v/>
      </c>
      <c r="L1464" s="9">
        <f>IF(G1464="","GRAM EKSİK",IF(F1464&gt;30000,"FİYAT ŞÜPHELİ",IF(K1464&lt;0,"ZARARDA",IF(F1464&lt;I1464,"RİSKLİ","ok"))))</f>
        <v/>
      </c>
      <c r="M1464" s="13" t="inlineStr">
        <is>
          <t>https://www.etsy.com/listing/1731430357</t>
        </is>
      </c>
    </row>
    <row r="1465">
      <c r="A1465" s="3" t="inlineStr">
        <is>
          <t>protection</t>
        </is>
      </c>
      <c r="B1465" s="3" t="inlineStr">
        <is>
          <t>10K Gold Hamsa Necklace / CZ Stone Evil Eye Pendant, Rope Ch</t>
        </is>
      </c>
      <c r="C1465" s="3" t="n">
        <v>1731430357</v>
      </c>
      <c r="D1465" s="3" t="inlineStr">
        <is>
          <t>PHS3-25-18</t>
        </is>
      </c>
      <c r="E1465" s="3" t="inlineStr">
        <is>
          <t>description</t>
        </is>
      </c>
      <c r="F1465" s="14" t="n">
        <v>1193</v>
      </c>
      <c r="G1465" s="17" t="n">
        <v>6.68</v>
      </c>
      <c r="H1465" s="14">
        <f>IF(G1465="","",G1465*Ayarlar!$B$3+Ayarlar!$B$4+Ayarlar!$B$5)</f>
        <v/>
      </c>
      <c r="I1465" s="14">
        <f>IF(G1465="","",ROUNDUP(((G1465*Ayarlar!$B$3+Ayarlar!$B$4+Ayarlar!$B$5)+Ayarlar!$B$8)/((1-Ayarlar!$B$6)*(1-Ayarlar!$B$7)),0))</f>
        <v/>
      </c>
      <c r="J1465" s="14">
        <f>IF(G1465="","",ROUNDUP(((G1465*Ayarlar!$B$3+Ayarlar!$B$4+Ayarlar!$B$5)+Ayarlar!$B$8)/((1-Ayarlar!$B$6)*(1-Ayarlar!$B$7-Ayarlar!$B$9)),0))</f>
        <v/>
      </c>
      <c r="K1465" s="15">
        <f>IF(OR(G1465="",F1465=""),"",(F1465*(1-Ayarlar!$B$6)-(F1465*(1-Ayarlar!$B$6)*Ayarlar!$B$7+Ayarlar!$B$8)-(G1465*Ayarlar!$B$3+Ayarlar!$B$4+Ayarlar!$B$5))/(F1465*(1-Ayarlar!$B$6)))</f>
        <v/>
      </c>
      <c r="L1465" s="3">
        <f>IF(G1465="","GRAM EKSİK",IF(F1465&gt;30000,"FİYAT ŞÜPHELİ",IF(K1465&lt;0,"ZARARDA",IF(F1465&lt;I1465,"RİSKLİ","ok"))))</f>
        <v/>
      </c>
      <c r="M1465" s="16" t="inlineStr">
        <is>
          <t>https://www.etsy.com/listing/1731430357</t>
        </is>
      </c>
    </row>
    <row r="1466">
      <c r="A1466" s="9" t="inlineStr">
        <is>
          <t>protection</t>
        </is>
      </c>
      <c r="B1466" s="9" t="inlineStr">
        <is>
          <t>10K Gold Hamsa Necklace / CZ Stone Evil Eye Pendant, Rope Ch</t>
        </is>
      </c>
      <c r="C1466" s="9" t="n">
        <v>1731430357</v>
      </c>
      <c r="D1466" s="9" t="inlineStr">
        <is>
          <t>PHS3-25-20</t>
        </is>
      </c>
      <c r="E1466" s="9" t="inlineStr">
        <is>
          <t>description</t>
        </is>
      </c>
      <c r="F1466" s="10" t="n">
        <v>1241</v>
      </c>
      <c r="G1466" s="18" t="n">
        <v>6.95</v>
      </c>
      <c r="H1466" s="10">
        <f>IF(G1466="","",G1466*Ayarlar!$B$3+Ayarlar!$B$4+Ayarlar!$B$5)</f>
        <v/>
      </c>
      <c r="I1466" s="10">
        <f>IF(G1466="","",ROUNDUP(((G1466*Ayarlar!$B$3+Ayarlar!$B$4+Ayarlar!$B$5)+Ayarlar!$B$8)/((1-Ayarlar!$B$6)*(1-Ayarlar!$B$7)),0))</f>
        <v/>
      </c>
      <c r="J1466" s="10">
        <f>IF(G1466="","",ROUNDUP(((G1466*Ayarlar!$B$3+Ayarlar!$B$4+Ayarlar!$B$5)+Ayarlar!$B$8)/((1-Ayarlar!$B$6)*(1-Ayarlar!$B$7-Ayarlar!$B$9)),0))</f>
        <v/>
      </c>
      <c r="K1466" s="12">
        <f>IF(OR(G1466="",F1466=""),"",(F1466*(1-Ayarlar!$B$6)-(F1466*(1-Ayarlar!$B$6)*Ayarlar!$B$7+Ayarlar!$B$8)-(G1466*Ayarlar!$B$3+Ayarlar!$B$4+Ayarlar!$B$5))/(F1466*(1-Ayarlar!$B$6)))</f>
        <v/>
      </c>
      <c r="L1466" s="9">
        <f>IF(G1466="","GRAM EKSİK",IF(F1466&gt;30000,"FİYAT ŞÜPHELİ",IF(K1466&lt;0,"ZARARDA",IF(F1466&lt;I1466,"RİSKLİ","ok"))))</f>
        <v/>
      </c>
      <c r="M1466" s="13" t="inlineStr">
        <is>
          <t>https://www.etsy.com/listing/1731430357</t>
        </is>
      </c>
    </row>
    <row r="1467">
      <c r="A1467" s="3" t="inlineStr">
        <is>
          <t>protection</t>
        </is>
      </c>
      <c r="B1467" s="3" t="inlineStr">
        <is>
          <t>10K Gold Hamsa Necklace / CZ Stone Evil Eye Pendant, Rope Ch</t>
        </is>
      </c>
      <c r="C1467" s="3" t="n">
        <v>1731430357</v>
      </c>
      <c r="D1467" s="3" t="inlineStr">
        <is>
          <t>PHS3-25-22</t>
        </is>
      </c>
      <c r="E1467" s="3" t="inlineStr">
        <is>
          <t>description</t>
        </is>
      </c>
      <c r="F1467" s="14" t="n">
        <v>1291</v>
      </c>
      <c r="G1467" s="17" t="n">
        <v>7.23</v>
      </c>
      <c r="H1467" s="14">
        <f>IF(G1467="","",G1467*Ayarlar!$B$3+Ayarlar!$B$4+Ayarlar!$B$5)</f>
        <v/>
      </c>
      <c r="I1467" s="14">
        <f>IF(G1467="","",ROUNDUP(((G1467*Ayarlar!$B$3+Ayarlar!$B$4+Ayarlar!$B$5)+Ayarlar!$B$8)/((1-Ayarlar!$B$6)*(1-Ayarlar!$B$7)),0))</f>
        <v/>
      </c>
      <c r="J1467" s="14">
        <f>IF(G1467="","",ROUNDUP(((G1467*Ayarlar!$B$3+Ayarlar!$B$4+Ayarlar!$B$5)+Ayarlar!$B$8)/((1-Ayarlar!$B$6)*(1-Ayarlar!$B$7-Ayarlar!$B$9)),0))</f>
        <v/>
      </c>
      <c r="K1467" s="15">
        <f>IF(OR(G1467="",F1467=""),"",(F1467*(1-Ayarlar!$B$6)-(F1467*(1-Ayarlar!$B$6)*Ayarlar!$B$7+Ayarlar!$B$8)-(G1467*Ayarlar!$B$3+Ayarlar!$B$4+Ayarlar!$B$5))/(F1467*(1-Ayarlar!$B$6)))</f>
        <v/>
      </c>
      <c r="L1467" s="3">
        <f>IF(G1467="","GRAM EKSİK",IF(F1467&gt;30000,"FİYAT ŞÜPHELİ",IF(K1467&lt;0,"ZARARDA",IF(F1467&lt;I1467,"RİSKLİ","ok"))))</f>
        <v/>
      </c>
      <c r="M1467" s="16" t="inlineStr">
        <is>
          <t>https://www.etsy.com/listing/1731430357</t>
        </is>
      </c>
    </row>
    <row r="1468">
      <c r="A1468" s="9" t="inlineStr">
        <is>
          <t>protection</t>
        </is>
      </c>
      <c r="B1468" s="9" t="inlineStr">
        <is>
          <t>10K Gold Hamsa Necklace / CZ Stone Evil Eye Pendant, Rope Ch</t>
        </is>
      </c>
      <c r="C1468" s="9" t="n">
        <v>1731430357</v>
      </c>
      <c r="D1468" s="9" t="inlineStr">
        <is>
          <t>PHS3-25-24</t>
        </is>
      </c>
      <c r="E1468" s="9" t="inlineStr">
        <is>
          <t>description</t>
        </is>
      </c>
      <c r="F1468" s="10" t="n">
        <v>1338</v>
      </c>
      <c r="G1468" s="18" t="n">
        <v>7.5</v>
      </c>
      <c r="H1468" s="10">
        <f>IF(G1468="","",G1468*Ayarlar!$B$3+Ayarlar!$B$4+Ayarlar!$B$5)</f>
        <v/>
      </c>
      <c r="I1468" s="10">
        <f>IF(G1468="","",ROUNDUP(((G1468*Ayarlar!$B$3+Ayarlar!$B$4+Ayarlar!$B$5)+Ayarlar!$B$8)/((1-Ayarlar!$B$6)*(1-Ayarlar!$B$7)),0))</f>
        <v/>
      </c>
      <c r="J1468" s="10">
        <f>IF(G1468="","",ROUNDUP(((G1468*Ayarlar!$B$3+Ayarlar!$B$4+Ayarlar!$B$5)+Ayarlar!$B$8)/((1-Ayarlar!$B$6)*(1-Ayarlar!$B$7-Ayarlar!$B$9)),0))</f>
        <v/>
      </c>
      <c r="K1468" s="12">
        <f>IF(OR(G1468="",F1468=""),"",(F1468*(1-Ayarlar!$B$6)-(F1468*(1-Ayarlar!$B$6)*Ayarlar!$B$7+Ayarlar!$B$8)-(G1468*Ayarlar!$B$3+Ayarlar!$B$4+Ayarlar!$B$5))/(F1468*(1-Ayarlar!$B$6)))</f>
        <v/>
      </c>
      <c r="L1468" s="9">
        <f>IF(G1468="","GRAM EKSİK",IF(F1468&gt;30000,"FİYAT ŞÜPHELİ",IF(K1468&lt;0,"ZARARDA",IF(F1468&lt;I1468,"RİSKLİ","ok"))))</f>
        <v/>
      </c>
      <c r="M1468" s="13" t="inlineStr">
        <is>
          <t>https://www.etsy.com/listing/1731430357</t>
        </is>
      </c>
    </row>
    <row r="1469">
      <c r="A1469" s="3" t="inlineStr">
        <is>
          <t>protection</t>
        </is>
      </c>
      <c r="B1469" s="3" t="inlineStr">
        <is>
          <t>10K Gold Hamsa Necklace / CZ Stone Evil Eye Pendant, Rope Ch</t>
        </is>
      </c>
      <c r="C1469" s="3" t="n">
        <v>1731430357</v>
      </c>
      <c r="D1469" s="3" t="inlineStr">
        <is>
          <t>PHS3-3-16</t>
        </is>
      </c>
      <c r="E1469" s="3" t="inlineStr">
        <is>
          <t>description</t>
        </is>
      </c>
      <c r="F1469" s="14" t="n">
        <v>1264</v>
      </c>
      <c r="G1469" s="17" t="n">
        <v>7.08</v>
      </c>
      <c r="H1469" s="14">
        <f>IF(G1469="","",G1469*Ayarlar!$B$3+Ayarlar!$B$4+Ayarlar!$B$5)</f>
        <v/>
      </c>
      <c r="I1469" s="14">
        <f>IF(G1469="","",ROUNDUP(((G1469*Ayarlar!$B$3+Ayarlar!$B$4+Ayarlar!$B$5)+Ayarlar!$B$8)/((1-Ayarlar!$B$6)*(1-Ayarlar!$B$7)),0))</f>
        <v/>
      </c>
      <c r="J1469" s="14">
        <f>IF(G1469="","",ROUNDUP(((G1469*Ayarlar!$B$3+Ayarlar!$B$4+Ayarlar!$B$5)+Ayarlar!$B$8)/((1-Ayarlar!$B$6)*(1-Ayarlar!$B$7-Ayarlar!$B$9)),0))</f>
        <v/>
      </c>
      <c r="K1469" s="15">
        <f>IF(OR(G1469="",F1469=""),"",(F1469*(1-Ayarlar!$B$6)-(F1469*(1-Ayarlar!$B$6)*Ayarlar!$B$7+Ayarlar!$B$8)-(G1469*Ayarlar!$B$3+Ayarlar!$B$4+Ayarlar!$B$5))/(F1469*(1-Ayarlar!$B$6)))</f>
        <v/>
      </c>
      <c r="L1469" s="3">
        <f>IF(G1469="","GRAM EKSİK",IF(F1469&gt;30000,"FİYAT ŞÜPHELİ",IF(K1469&lt;0,"ZARARDA",IF(F1469&lt;I1469,"RİSKLİ","ok"))))</f>
        <v/>
      </c>
      <c r="M1469" s="16" t="inlineStr">
        <is>
          <t>https://www.etsy.com/listing/1731430357</t>
        </is>
      </c>
    </row>
    <row r="1470">
      <c r="A1470" s="9" t="inlineStr">
        <is>
          <t>protection</t>
        </is>
      </c>
      <c r="B1470" s="9" t="inlineStr">
        <is>
          <t>10K Gold Hamsa Necklace / CZ Stone Evil Eye Pendant, Rope Ch</t>
        </is>
      </c>
      <c r="C1470" s="9" t="n">
        <v>1731430357</v>
      </c>
      <c r="D1470" s="9" t="inlineStr">
        <is>
          <t>PHS3-3-18</t>
        </is>
      </c>
      <c r="E1470" s="9" t="inlineStr">
        <is>
          <t>description</t>
        </is>
      </c>
      <c r="F1470" s="10" t="n">
        <v>1328</v>
      </c>
      <c r="G1470" s="18" t="n">
        <v>7.44</v>
      </c>
      <c r="H1470" s="10">
        <f>IF(G1470="","",G1470*Ayarlar!$B$3+Ayarlar!$B$4+Ayarlar!$B$5)</f>
        <v/>
      </c>
      <c r="I1470" s="10">
        <f>IF(G1470="","",ROUNDUP(((G1470*Ayarlar!$B$3+Ayarlar!$B$4+Ayarlar!$B$5)+Ayarlar!$B$8)/((1-Ayarlar!$B$6)*(1-Ayarlar!$B$7)),0))</f>
        <v/>
      </c>
      <c r="J1470" s="10">
        <f>IF(G1470="","",ROUNDUP(((G1470*Ayarlar!$B$3+Ayarlar!$B$4+Ayarlar!$B$5)+Ayarlar!$B$8)/((1-Ayarlar!$B$6)*(1-Ayarlar!$B$7-Ayarlar!$B$9)),0))</f>
        <v/>
      </c>
      <c r="K1470" s="12">
        <f>IF(OR(G1470="",F1470=""),"",(F1470*(1-Ayarlar!$B$6)-(F1470*(1-Ayarlar!$B$6)*Ayarlar!$B$7+Ayarlar!$B$8)-(G1470*Ayarlar!$B$3+Ayarlar!$B$4+Ayarlar!$B$5))/(F1470*(1-Ayarlar!$B$6)))</f>
        <v/>
      </c>
      <c r="L1470" s="9">
        <f>IF(G1470="","GRAM EKSİK",IF(F1470&gt;30000,"FİYAT ŞÜPHELİ",IF(K1470&lt;0,"ZARARDA",IF(F1470&lt;I1470,"RİSKLİ","ok"))))</f>
        <v/>
      </c>
      <c r="M1470" s="13" t="inlineStr">
        <is>
          <t>https://www.etsy.com/listing/1731430357</t>
        </is>
      </c>
    </row>
    <row r="1471">
      <c r="A1471" s="3" t="inlineStr">
        <is>
          <t>protection</t>
        </is>
      </c>
      <c r="B1471" s="3" t="inlineStr">
        <is>
          <t>10K Gold Hamsa Necklace / CZ Stone Evil Eye Pendant, Rope Ch</t>
        </is>
      </c>
      <c r="C1471" s="3" t="n">
        <v>1731430357</v>
      </c>
      <c r="D1471" s="3" t="inlineStr">
        <is>
          <t>PHS3-3-20</t>
        </is>
      </c>
      <c r="E1471" s="3" t="inlineStr">
        <is>
          <t>description</t>
        </is>
      </c>
      <c r="F1471" s="14" t="n">
        <v>1391</v>
      </c>
      <c r="G1471" s="17" t="n">
        <v>7.8</v>
      </c>
      <c r="H1471" s="14">
        <f>IF(G1471="","",G1471*Ayarlar!$B$3+Ayarlar!$B$4+Ayarlar!$B$5)</f>
        <v/>
      </c>
      <c r="I1471" s="14">
        <f>IF(G1471="","",ROUNDUP(((G1471*Ayarlar!$B$3+Ayarlar!$B$4+Ayarlar!$B$5)+Ayarlar!$B$8)/((1-Ayarlar!$B$6)*(1-Ayarlar!$B$7)),0))</f>
        <v/>
      </c>
      <c r="J1471" s="14">
        <f>IF(G1471="","",ROUNDUP(((G1471*Ayarlar!$B$3+Ayarlar!$B$4+Ayarlar!$B$5)+Ayarlar!$B$8)/((1-Ayarlar!$B$6)*(1-Ayarlar!$B$7-Ayarlar!$B$9)),0))</f>
        <v/>
      </c>
      <c r="K1471" s="15">
        <f>IF(OR(G1471="",F1471=""),"",(F1471*(1-Ayarlar!$B$6)-(F1471*(1-Ayarlar!$B$6)*Ayarlar!$B$7+Ayarlar!$B$8)-(G1471*Ayarlar!$B$3+Ayarlar!$B$4+Ayarlar!$B$5))/(F1471*(1-Ayarlar!$B$6)))</f>
        <v/>
      </c>
      <c r="L1471" s="3">
        <f>IF(G1471="","GRAM EKSİK",IF(F1471&gt;30000,"FİYAT ŞÜPHELİ",IF(K1471&lt;0,"ZARARDA",IF(F1471&lt;I1471,"RİSKLİ","ok"))))</f>
        <v/>
      </c>
      <c r="M1471" s="16" t="inlineStr">
        <is>
          <t>https://www.etsy.com/listing/1731430357</t>
        </is>
      </c>
    </row>
    <row r="1472">
      <c r="A1472" s="9" t="inlineStr">
        <is>
          <t>protection</t>
        </is>
      </c>
      <c r="B1472" s="9" t="inlineStr">
        <is>
          <t>10K Gold Hamsa Necklace / CZ Stone Evil Eye Pendant, Rope Ch</t>
        </is>
      </c>
      <c r="C1472" s="9" t="n">
        <v>1731430357</v>
      </c>
      <c r="D1472" s="9" t="inlineStr">
        <is>
          <t>PHS3-3-22</t>
        </is>
      </c>
      <c r="E1472" s="9" t="inlineStr">
        <is>
          <t>description</t>
        </is>
      </c>
      <c r="F1472" s="10" t="n">
        <v>1455</v>
      </c>
      <c r="G1472" s="18" t="n">
        <v>8.16</v>
      </c>
      <c r="H1472" s="10">
        <f>IF(G1472="","",G1472*Ayarlar!$B$3+Ayarlar!$B$4+Ayarlar!$B$5)</f>
        <v/>
      </c>
      <c r="I1472" s="10">
        <f>IF(G1472="","",ROUNDUP(((G1472*Ayarlar!$B$3+Ayarlar!$B$4+Ayarlar!$B$5)+Ayarlar!$B$8)/((1-Ayarlar!$B$6)*(1-Ayarlar!$B$7)),0))</f>
        <v/>
      </c>
      <c r="J1472" s="10">
        <f>IF(G1472="","",ROUNDUP(((G1472*Ayarlar!$B$3+Ayarlar!$B$4+Ayarlar!$B$5)+Ayarlar!$B$8)/((1-Ayarlar!$B$6)*(1-Ayarlar!$B$7-Ayarlar!$B$9)),0))</f>
        <v/>
      </c>
      <c r="K1472" s="12">
        <f>IF(OR(G1472="",F1472=""),"",(F1472*(1-Ayarlar!$B$6)-(F1472*(1-Ayarlar!$B$6)*Ayarlar!$B$7+Ayarlar!$B$8)-(G1472*Ayarlar!$B$3+Ayarlar!$B$4+Ayarlar!$B$5))/(F1472*(1-Ayarlar!$B$6)))</f>
        <v/>
      </c>
      <c r="L1472" s="9">
        <f>IF(G1472="","GRAM EKSİK",IF(F1472&gt;30000,"FİYAT ŞÜPHELİ",IF(K1472&lt;0,"ZARARDA",IF(F1472&lt;I1472,"RİSKLİ","ok"))))</f>
        <v/>
      </c>
      <c r="M1472" s="13" t="inlineStr">
        <is>
          <t>https://www.etsy.com/listing/1731430357</t>
        </is>
      </c>
    </row>
    <row r="1473">
      <c r="A1473" s="3" t="inlineStr">
        <is>
          <t>protection</t>
        </is>
      </c>
      <c r="B1473" s="3" t="inlineStr">
        <is>
          <t>10K Gold Hamsa Necklace / CZ Stone Evil Eye Pendant, Rope Ch</t>
        </is>
      </c>
      <c r="C1473" s="3" t="n">
        <v>1731430357</v>
      </c>
      <c r="D1473" s="3" t="inlineStr">
        <is>
          <t>PHS3-3-24</t>
        </is>
      </c>
      <c r="E1473" s="3" t="inlineStr">
        <is>
          <t>description</t>
        </is>
      </c>
      <c r="F1473" s="14" t="n">
        <v>1519</v>
      </c>
      <c r="G1473" s="17" t="n">
        <v>8.52</v>
      </c>
      <c r="H1473" s="14">
        <f>IF(G1473="","",G1473*Ayarlar!$B$3+Ayarlar!$B$4+Ayarlar!$B$5)</f>
        <v/>
      </c>
      <c r="I1473" s="14">
        <f>IF(G1473="","",ROUNDUP(((G1473*Ayarlar!$B$3+Ayarlar!$B$4+Ayarlar!$B$5)+Ayarlar!$B$8)/((1-Ayarlar!$B$6)*(1-Ayarlar!$B$7)),0))</f>
        <v/>
      </c>
      <c r="J1473" s="14">
        <f>IF(G1473="","",ROUNDUP(((G1473*Ayarlar!$B$3+Ayarlar!$B$4+Ayarlar!$B$5)+Ayarlar!$B$8)/((1-Ayarlar!$B$6)*(1-Ayarlar!$B$7-Ayarlar!$B$9)),0))</f>
        <v/>
      </c>
      <c r="K1473" s="15">
        <f>IF(OR(G1473="",F1473=""),"",(F1473*(1-Ayarlar!$B$6)-(F1473*(1-Ayarlar!$B$6)*Ayarlar!$B$7+Ayarlar!$B$8)-(G1473*Ayarlar!$B$3+Ayarlar!$B$4+Ayarlar!$B$5))/(F1473*(1-Ayarlar!$B$6)))</f>
        <v/>
      </c>
      <c r="L1473" s="3">
        <f>IF(G1473="","GRAM EKSİK",IF(F1473&gt;30000,"FİYAT ŞÜPHELİ",IF(K1473&lt;0,"ZARARDA",IF(F1473&lt;I1473,"RİSKLİ","ok"))))</f>
        <v/>
      </c>
      <c r="M1473" s="16" t="inlineStr">
        <is>
          <t>https://www.etsy.com/listing/1731430357</t>
        </is>
      </c>
    </row>
    <row r="1474">
      <c r="A1474" s="9" t="inlineStr">
        <is>
          <t>protection</t>
        </is>
      </c>
      <c r="B1474" s="9" t="inlineStr">
        <is>
          <t>10K Gold Hamsa Necklace / CZ Stone Evil Eye Pendant, Rope Ch</t>
        </is>
      </c>
      <c r="C1474" s="9" t="n">
        <v>1731430357</v>
      </c>
      <c r="D1474" s="9" t="inlineStr">
        <is>
          <t>PHS3-35-16</t>
        </is>
      </c>
      <c r="E1474" s="9" t="inlineStr">
        <is>
          <t>description</t>
        </is>
      </c>
      <c r="F1474" s="10" t="n">
        <v>1480</v>
      </c>
      <c r="G1474" s="18" t="n">
        <v>8.300000000000001</v>
      </c>
      <c r="H1474" s="10">
        <f>IF(G1474="","",G1474*Ayarlar!$B$3+Ayarlar!$B$4+Ayarlar!$B$5)</f>
        <v/>
      </c>
      <c r="I1474" s="10">
        <f>IF(G1474="","",ROUNDUP(((G1474*Ayarlar!$B$3+Ayarlar!$B$4+Ayarlar!$B$5)+Ayarlar!$B$8)/((1-Ayarlar!$B$6)*(1-Ayarlar!$B$7)),0))</f>
        <v/>
      </c>
      <c r="J1474" s="10">
        <f>IF(G1474="","",ROUNDUP(((G1474*Ayarlar!$B$3+Ayarlar!$B$4+Ayarlar!$B$5)+Ayarlar!$B$8)/((1-Ayarlar!$B$6)*(1-Ayarlar!$B$7-Ayarlar!$B$9)),0))</f>
        <v/>
      </c>
      <c r="K1474" s="12">
        <f>IF(OR(G1474="",F1474=""),"",(F1474*(1-Ayarlar!$B$6)-(F1474*(1-Ayarlar!$B$6)*Ayarlar!$B$7+Ayarlar!$B$8)-(G1474*Ayarlar!$B$3+Ayarlar!$B$4+Ayarlar!$B$5))/(F1474*(1-Ayarlar!$B$6)))</f>
        <v/>
      </c>
      <c r="L1474" s="9">
        <f>IF(G1474="","GRAM EKSİK",IF(F1474&gt;30000,"FİYAT ŞÜPHELİ",IF(K1474&lt;0,"ZARARDA",IF(F1474&lt;I1474,"RİSKLİ","ok"))))</f>
        <v/>
      </c>
      <c r="M1474" s="13" t="inlineStr">
        <is>
          <t>https://www.etsy.com/listing/1731430357</t>
        </is>
      </c>
    </row>
    <row r="1475">
      <c r="A1475" s="3" t="inlineStr">
        <is>
          <t>protection</t>
        </is>
      </c>
      <c r="B1475" s="3" t="inlineStr">
        <is>
          <t>10K Gold Hamsa Necklace / CZ Stone Evil Eye Pendant, Rope Ch</t>
        </is>
      </c>
      <c r="C1475" s="3" t="n">
        <v>1731430357</v>
      </c>
      <c r="D1475" s="3" t="inlineStr">
        <is>
          <t>PHS3-35-18</t>
        </is>
      </c>
      <c r="E1475" s="3" t="inlineStr">
        <is>
          <t>description</t>
        </is>
      </c>
      <c r="F1475" s="14" t="n">
        <v>1570</v>
      </c>
      <c r="G1475" s="17" t="n">
        <v>8.81</v>
      </c>
      <c r="H1475" s="14">
        <f>IF(G1475="","",G1475*Ayarlar!$B$3+Ayarlar!$B$4+Ayarlar!$B$5)</f>
        <v/>
      </c>
      <c r="I1475" s="14">
        <f>IF(G1475="","",ROUNDUP(((G1475*Ayarlar!$B$3+Ayarlar!$B$4+Ayarlar!$B$5)+Ayarlar!$B$8)/((1-Ayarlar!$B$6)*(1-Ayarlar!$B$7)),0))</f>
        <v/>
      </c>
      <c r="J1475" s="14">
        <f>IF(G1475="","",ROUNDUP(((G1475*Ayarlar!$B$3+Ayarlar!$B$4+Ayarlar!$B$5)+Ayarlar!$B$8)/((1-Ayarlar!$B$6)*(1-Ayarlar!$B$7-Ayarlar!$B$9)),0))</f>
        <v/>
      </c>
      <c r="K1475" s="15">
        <f>IF(OR(G1475="",F1475=""),"",(F1475*(1-Ayarlar!$B$6)-(F1475*(1-Ayarlar!$B$6)*Ayarlar!$B$7+Ayarlar!$B$8)-(G1475*Ayarlar!$B$3+Ayarlar!$B$4+Ayarlar!$B$5))/(F1475*(1-Ayarlar!$B$6)))</f>
        <v/>
      </c>
      <c r="L1475" s="3">
        <f>IF(G1475="","GRAM EKSİK",IF(F1475&gt;30000,"FİYAT ŞÜPHELİ",IF(K1475&lt;0,"ZARARDA",IF(F1475&lt;I1475,"RİSKLİ","ok"))))</f>
        <v/>
      </c>
      <c r="M1475" s="16" t="inlineStr">
        <is>
          <t>https://www.etsy.com/listing/1731430357</t>
        </is>
      </c>
    </row>
    <row r="1476">
      <c r="A1476" s="9" t="inlineStr">
        <is>
          <t>protection</t>
        </is>
      </c>
      <c r="B1476" s="9" t="inlineStr">
        <is>
          <t>10K Gold Hamsa Necklace / CZ Stone Evil Eye Pendant, Rope Ch</t>
        </is>
      </c>
      <c r="C1476" s="9" t="n">
        <v>1731430357</v>
      </c>
      <c r="D1476" s="9" t="inlineStr">
        <is>
          <t>PHS3-35-20</t>
        </is>
      </c>
      <c r="E1476" s="9" t="inlineStr">
        <is>
          <t>description</t>
        </is>
      </c>
      <c r="F1476" s="10" t="n">
        <v>1660</v>
      </c>
      <c r="G1476" s="18" t="n">
        <v>9.32</v>
      </c>
      <c r="H1476" s="10">
        <f>IF(G1476="","",G1476*Ayarlar!$B$3+Ayarlar!$B$4+Ayarlar!$B$5)</f>
        <v/>
      </c>
      <c r="I1476" s="10">
        <f>IF(G1476="","",ROUNDUP(((G1476*Ayarlar!$B$3+Ayarlar!$B$4+Ayarlar!$B$5)+Ayarlar!$B$8)/((1-Ayarlar!$B$6)*(1-Ayarlar!$B$7)),0))</f>
        <v/>
      </c>
      <c r="J1476" s="10">
        <f>IF(G1476="","",ROUNDUP(((G1476*Ayarlar!$B$3+Ayarlar!$B$4+Ayarlar!$B$5)+Ayarlar!$B$8)/((1-Ayarlar!$B$6)*(1-Ayarlar!$B$7-Ayarlar!$B$9)),0))</f>
        <v/>
      </c>
      <c r="K1476" s="12">
        <f>IF(OR(G1476="",F1476=""),"",(F1476*(1-Ayarlar!$B$6)-(F1476*(1-Ayarlar!$B$6)*Ayarlar!$B$7+Ayarlar!$B$8)-(G1476*Ayarlar!$B$3+Ayarlar!$B$4+Ayarlar!$B$5))/(F1476*(1-Ayarlar!$B$6)))</f>
        <v/>
      </c>
      <c r="L1476" s="9">
        <f>IF(G1476="","GRAM EKSİK",IF(F1476&gt;30000,"FİYAT ŞÜPHELİ",IF(K1476&lt;0,"ZARARDA",IF(F1476&lt;I1476,"RİSKLİ","ok"))))</f>
        <v/>
      </c>
      <c r="M1476" s="13" t="inlineStr">
        <is>
          <t>https://www.etsy.com/listing/1731430357</t>
        </is>
      </c>
    </row>
    <row r="1477">
      <c r="A1477" s="3" t="inlineStr">
        <is>
          <t>protection</t>
        </is>
      </c>
      <c r="B1477" s="3" t="inlineStr">
        <is>
          <t>10K Gold Hamsa Necklace / CZ Stone Evil Eye Pendant, Rope Ch</t>
        </is>
      </c>
      <c r="C1477" s="3" t="n">
        <v>1731430357</v>
      </c>
      <c r="D1477" s="3" t="inlineStr">
        <is>
          <t>PHS3-35-22</t>
        </is>
      </c>
      <c r="E1477" s="3" t="inlineStr">
        <is>
          <t>description</t>
        </is>
      </c>
      <c r="F1477" s="14" t="n">
        <v>1751</v>
      </c>
      <c r="G1477" s="17" t="n">
        <v>9.83</v>
      </c>
      <c r="H1477" s="14">
        <f>IF(G1477="","",G1477*Ayarlar!$B$3+Ayarlar!$B$4+Ayarlar!$B$5)</f>
        <v/>
      </c>
      <c r="I1477" s="14">
        <f>IF(G1477="","",ROUNDUP(((G1477*Ayarlar!$B$3+Ayarlar!$B$4+Ayarlar!$B$5)+Ayarlar!$B$8)/((1-Ayarlar!$B$6)*(1-Ayarlar!$B$7)),0))</f>
        <v/>
      </c>
      <c r="J1477" s="14">
        <f>IF(G1477="","",ROUNDUP(((G1477*Ayarlar!$B$3+Ayarlar!$B$4+Ayarlar!$B$5)+Ayarlar!$B$8)/((1-Ayarlar!$B$6)*(1-Ayarlar!$B$7-Ayarlar!$B$9)),0))</f>
        <v/>
      </c>
      <c r="K1477" s="15">
        <f>IF(OR(G1477="",F1477=""),"",(F1477*(1-Ayarlar!$B$6)-(F1477*(1-Ayarlar!$B$6)*Ayarlar!$B$7+Ayarlar!$B$8)-(G1477*Ayarlar!$B$3+Ayarlar!$B$4+Ayarlar!$B$5))/(F1477*(1-Ayarlar!$B$6)))</f>
        <v/>
      </c>
      <c r="L1477" s="3">
        <f>IF(G1477="","GRAM EKSİK",IF(F1477&gt;30000,"FİYAT ŞÜPHELİ",IF(K1477&lt;0,"ZARARDA",IF(F1477&lt;I1477,"RİSKLİ","ok"))))</f>
        <v/>
      </c>
      <c r="M1477" s="16" t="inlineStr">
        <is>
          <t>https://www.etsy.com/listing/1731430357</t>
        </is>
      </c>
    </row>
    <row r="1478">
      <c r="A1478" s="9" t="inlineStr">
        <is>
          <t>protection</t>
        </is>
      </c>
      <c r="B1478" s="9" t="inlineStr">
        <is>
          <t>10K Gold Hamsa Necklace / CZ Stone Evil Eye Pendant, Rope Ch</t>
        </is>
      </c>
      <c r="C1478" s="9" t="n">
        <v>1731430357</v>
      </c>
      <c r="D1478" s="9" t="inlineStr">
        <is>
          <t>PHS3-35-24</t>
        </is>
      </c>
      <c r="E1478" s="9" t="inlineStr">
        <is>
          <t>description</t>
        </is>
      </c>
      <c r="F1478" s="10" t="n">
        <v>1841</v>
      </c>
      <c r="G1478" s="18" t="n">
        <v>10.34</v>
      </c>
      <c r="H1478" s="10">
        <f>IF(G1478="","",G1478*Ayarlar!$B$3+Ayarlar!$B$4+Ayarlar!$B$5)</f>
        <v/>
      </c>
      <c r="I1478" s="10">
        <f>IF(G1478="","",ROUNDUP(((G1478*Ayarlar!$B$3+Ayarlar!$B$4+Ayarlar!$B$5)+Ayarlar!$B$8)/((1-Ayarlar!$B$6)*(1-Ayarlar!$B$7)),0))</f>
        <v/>
      </c>
      <c r="J1478" s="10">
        <f>IF(G1478="","",ROUNDUP(((G1478*Ayarlar!$B$3+Ayarlar!$B$4+Ayarlar!$B$5)+Ayarlar!$B$8)/((1-Ayarlar!$B$6)*(1-Ayarlar!$B$7-Ayarlar!$B$9)),0))</f>
        <v/>
      </c>
      <c r="K1478" s="12">
        <f>IF(OR(G1478="",F1478=""),"",(F1478*(1-Ayarlar!$B$6)-(F1478*(1-Ayarlar!$B$6)*Ayarlar!$B$7+Ayarlar!$B$8)-(G1478*Ayarlar!$B$3+Ayarlar!$B$4+Ayarlar!$B$5))/(F1478*(1-Ayarlar!$B$6)))</f>
        <v/>
      </c>
      <c r="L1478" s="9">
        <f>IF(G1478="","GRAM EKSİK",IF(F1478&gt;30000,"FİYAT ŞÜPHELİ",IF(K1478&lt;0,"ZARARDA",IF(F1478&lt;I1478,"RİSKLİ","ok"))))</f>
        <v/>
      </c>
      <c r="M1478" s="13" t="inlineStr">
        <is>
          <t>https://www.etsy.com/listing/1731430357</t>
        </is>
      </c>
    </row>
    <row r="1479">
      <c r="A1479" s="3" t="inlineStr">
        <is>
          <t>protection</t>
        </is>
      </c>
      <c r="B1479" s="3" t="inlineStr">
        <is>
          <t>10K Gold Hamsa Necklace / CZ Stone Evil Eye Pendant, Rope Ch</t>
        </is>
      </c>
      <c r="C1479" s="3" t="n">
        <v>1731430357</v>
      </c>
      <c r="D1479" s="3" t="inlineStr">
        <is>
          <t>PHS4-25-16</t>
        </is>
      </c>
      <c r="E1479" s="3" t="inlineStr">
        <is>
          <t>description</t>
        </is>
      </c>
      <c r="F1479" s="14" t="n">
        <v>1469</v>
      </c>
      <c r="G1479" s="17" t="n">
        <v>8.24</v>
      </c>
      <c r="H1479" s="14">
        <f>IF(G1479="","",G1479*Ayarlar!$B$3+Ayarlar!$B$4+Ayarlar!$B$5)</f>
        <v/>
      </c>
      <c r="I1479" s="14">
        <f>IF(G1479="","",ROUNDUP(((G1479*Ayarlar!$B$3+Ayarlar!$B$4+Ayarlar!$B$5)+Ayarlar!$B$8)/((1-Ayarlar!$B$6)*(1-Ayarlar!$B$7)),0))</f>
        <v/>
      </c>
      <c r="J1479" s="14">
        <f>IF(G1479="","",ROUNDUP(((G1479*Ayarlar!$B$3+Ayarlar!$B$4+Ayarlar!$B$5)+Ayarlar!$B$8)/((1-Ayarlar!$B$6)*(1-Ayarlar!$B$7-Ayarlar!$B$9)),0))</f>
        <v/>
      </c>
      <c r="K1479" s="15">
        <f>IF(OR(G1479="",F1479=""),"",(F1479*(1-Ayarlar!$B$6)-(F1479*(1-Ayarlar!$B$6)*Ayarlar!$B$7+Ayarlar!$B$8)-(G1479*Ayarlar!$B$3+Ayarlar!$B$4+Ayarlar!$B$5))/(F1479*(1-Ayarlar!$B$6)))</f>
        <v/>
      </c>
      <c r="L1479" s="3">
        <f>IF(G1479="","GRAM EKSİK",IF(F1479&gt;30000,"FİYAT ŞÜPHELİ",IF(K1479&lt;0,"ZARARDA",IF(F1479&lt;I1479,"RİSKLİ","ok"))))</f>
        <v/>
      </c>
      <c r="M1479" s="16" t="inlineStr">
        <is>
          <t>https://www.etsy.com/listing/1731430357</t>
        </is>
      </c>
    </row>
    <row r="1480">
      <c r="A1480" s="9" t="inlineStr">
        <is>
          <t>protection</t>
        </is>
      </c>
      <c r="B1480" s="9" t="inlineStr">
        <is>
          <t>10K Gold Hamsa Necklace / CZ Stone Evil Eye Pendant, Rope Ch</t>
        </is>
      </c>
      <c r="C1480" s="9" t="n">
        <v>1731430357</v>
      </c>
      <c r="D1480" s="9" t="inlineStr">
        <is>
          <t>PHS4-25-18</t>
        </is>
      </c>
      <c r="E1480" s="9" t="inlineStr">
        <is>
          <t>description</t>
        </is>
      </c>
      <c r="F1480" s="10" t="n">
        <v>1519</v>
      </c>
      <c r="G1480" s="18" t="n">
        <v>8.52</v>
      </c>
      <c r="H1480" s="10">
        <f>IF(G1480="","",G1480*Ayarlar!$B$3+Ayarlar!$B$4+Ayarlar!$B$5)</f>
        <v/>
      </c>
      <c r="I1480" s="10">
        <f>IF(G1480="","",ROUNDUP(((G1480*Ayarlar!$B$3+Ayarlar!$B$4+Ayarlar!$B$5)+Ayarlar!$B$8)/((1-Ayarlar!$B$6)*(1-Ayarlar!$B$7)),0))</f>
        <v/>
      </c>
      <c r="J1480" s="10">
        <f>IF(G1480="","",ROUNDUP(((G1480*Ayarlar!$B$3+Ayarlar!$B$4+Ayarlar!$B$5)+Ayarlar!$B$8)/((1-Ayarlar!$B$6)*(1-Ayarlar!$B$7-Ayarlar!$B$9)),0))</f>
        <v/>
      </c>
      <c r="K1480" s="12">
        <f>IF(OR(G1480="",F1480=""),"",(F1480*(1-Ayarlar!$B$6)-(F1480*(1-Ayarlar!$B$6)*Ayarlar!$B$7+Ayarlar!$B$8)-(G1480*Ayarlar!$B$3+Ayarlar!$B$4+Ayarlar!$B$5))/(F1480*(1-Ayarlar!$B$6)))</f>
        <v/>
      </c>
      <c r="L1480" s="9">
        <f>IF(G1480="","GRAM EKSİK",IF(F1480&gt;30000,"FİYAT ŞÜPHELİ",IF(K1480&lt;0,"ZARARDA",IF(F1480&lt;I1480,"RİSKLİ","ok"))))</f>
        <v/>
      </c>
      <c r="M1480" s="13" t="inlineStr">
        <is>
          <t>https://www.etsy.com/listing/1731430357</t>
        </is>
      </c>
    </row>
    <row r="1481">
      <c r="A1481" s="3" t="inlineStr">
        <is>
          <t>protection</t>
        </is>
      </c>
      <c r="B1481" s="3" t="inlineStr">
        <is>
          <t>10K Gold Hamsa Necklace / CZ Stone Evil Eye Pendant, Rope Ch</t>
        </is>
      </c>
      <c r="C1481" s="3" t="n">
        <v>1731430357</v>
      </c>
      <c r="D1481" s="3" t="inlineStr">
        <is>
          <t>PHS4-25-20</t>
        </is>
      </c>
      <c r="E1481" s="3" t="inlineStr">
        <is>
          <t>description</t>
        </is>
      </c>
      <c r="F1481" s="14" t="n">
        <v>1567</v>
      </c>
      <c r="G1481" s="17" t="n">
        <v>8.789999999999999</v>
      </c>
      <c r="H1481" s="14">
        <f>IF(G1481="","",G1481*Ayarlar!$B$3+Ayarlar!$B$4+Ayarlar!$B$5)</f>
        <v/>
      </c>
      <c r="I1481" s="14">
        <f>IF(G1481="","",ROUNDUP(((G1481*Ayarlar!$B$3+Ayarlar!$B$4+Ayarlar!$B$5)+Ayarlar!$B$8)/((1-Ayarlar!$B$6)*(1-Ayarlar!$B$7)),0))</f>
        <v/>
      </c>
      <c r="J1481" s="14">
        <f>IF(G1481="","",ROUNDUP(((G1481*Ayarlar!$B$3+Ayarlar!$B$4+Ayarlar!$B$5)+Ayarlar!$B$8)/((1-Ayarlar!$B$6)*(1-Ayarlar!$B$7-Ayarlar!$B$9)),0))</f>
        <v/>
      </c>
      <c r="K1481" s="15">
        <f>IF(OR(G1481="",F1481=""),"",(F1481*(1-Ayarlar!$B$6)-(F1481*(1-Ayarlar!$B$6)*Ayarlar!$B$7+Ayarlar!$B$8)-(G1481*Ayarlar!$B$3+Ayarlar!$B$4+Ayarlar!$B$5))/(F1481*(1-Ayarlar!$B$6)))</f>
        <v/>
      </c>
      <c r="L1481" s="3">
        <f>IF(G1481="","GRAM EKSİK",IF(F1481&gt;30000,"FİYAT ŞÜPHELİ",IF(K1481&lt;0,"ZARARDA",IF(F1481&lt;I1481,"RİSKLİ","ok"))))</f>
        <v/>
      </c>
      <c r="M1481" s="16" t="inlineStr">
        <is>
          <t>https://www.etsy.com/listing/1731430357</t>
        </is>
      </c>
    </row>
    <row r="1482">
      <c r="A1482" s="9" t="inlineStr">
        <is>
          <t>protection</t>
        </is>
      </c>
      <c r="B1482" s="9" t="inlineStr">
        <is>
          <t>10K Gold Hamsa Necklace / CZ Stone Evil Eye Pendant, Rope Ch</t>
        </is>
      </c>
      <c r="C1482" s="9" t="n">
        <v>1731430357</v>
      </c>
      <c r="D1482" s="9" t="inlineStr">
        <is>
          <t>PHS4-25-22</t>
        </is>
      </c>
      <c r="E1482" s="9" t="inlineStr">
        <is>
          <t>description</t>
        </is>
      </c>
      <c r="F1482" s="10" t="n">
        <v>1616</v>
      </c>
      <c r="G1482" s="18" t="n">
        <v>9.07</v>
      </c>
      <c r="H1482" s="10">
        <f>IF(G1482="","",G1482*Ayarlar!$B$3+Ayarlar!$B$4+Ayarlar!$B$5)</f>
        <v/>
      </c>
      <c r="I1482" s="10">
        <f>IF(G1482="","",ROUNDUP(((G1482*Ayarlar!$B$3+Ayarlar!$B$4+Ayarlar!$B$5)+Ayarlar!$B$8)/((1-Ayarlar!$B$6)*(1-Ayarlar!$B$7)),0))</f>
        <v/>
      </c>
      <c r="J1482" s="10">
        <f>IF(G1482="","",ROUNDUP(((G1482*Ayarlar!$B$3+Ayarlar!$B$4+Ayarlar!$B$5)+Ayarlar!$B$8)/((1-Ayarlar!$B$6)*(1-Ayarlar!$B$7-Ayarlar!$B$9)),0))</f>
        <v/>
      </c>
      <c r="K1482" s="12">
        <f>IF(OR(G1482="",F1482=""),"",(F1482*(1-Ayarlar!$B$6)-(F1482*(1-Ayarlar!$B$6)*Ayarlar!$B$7+Ayarlar!$B$8)-(G1482*Ayarlar!$B$3+Ayarlar!$B$4+Ayarlar!$B$5))/(F1482*(1-Ayarlar!$B$6)))</f>
        <v/>
      </c>
      <c r="L1482" s="9">
        <f>IF(G1482="","GRAM EKSİK",IF(F1482&gt;30000,"FİYAT ŞÜPHELİ",IF(K1482&lt;0,"ZARARDA",IF(F1482&lt;I1482,"RİSKLİ","ok"))))</f>
        <v/>
      </c>
      <c r="M1482" s="13" t="inlineStr">
        <is>
          <t>https://www.etsy.com/listing/1731430357</t>
        </is>
      </c>
    </row>
    <row r="1483">
      <c r="A1483" s="3" t="inlineStr">
        <is>
          <t>protection</t>
        </is>
      </c>
      <c r="B1483" s="3" t="inlineStr">
        <is>
          <t>10K Gold Hamsa Necklace / CZ Stone Evil Eye Pendant, Rope Ch</t>
        </is>
      </c>
      <c r="C1483" s="3" t="n">
        <v>1731430357</v>
      </c>
      <c r="D1483" s="3" t="inlineStr">
        <is>
          <t>PHS4-25-24</t>
        </is>
      </c>
      <c r="E1483" s="3" t="inlineStr">
        <is>
          <t>description</t>
        </is>
      </c>
      <c r="F1483" s="14" t="n">
        <v>1664</v>
      </c>
      <c r="G1483" s="17" t="n">
        <v>9.34</v>
      </c>
      <c r="H1483" s="14">
        <f>IF(G1483="","",G1483*Ayarlar!$B$3+Ayarlar!$B$4+Ayarlar!$B$5)</f>
        <v/>
      </c>
      <c r="I1483" s="14">
        <f>IF(G1483="","",ROUNDUP(((G1483*Ayarlar!$B$3+Ayarlar!$B$4+Ayarlar!$B$5)+Ayarlar!$B$8)/((1-Ayarlar!$B$6)*(1-Ayarlar!$B$7)),0))</f>
        <v/>
      </c>
      <c r="J1483" s="14">
        <f>IF(G1483="","",ROUNDUP(((G1483*Ayarlar!$B$3+Ayarlar!$B$4+Ayarlar!$B$5)+Ayarlar!$B$8)/((1-Ayarlar!$B$6)*(1-Ayarlar!$B$7-Ayarlar!$B$9)),0))</f>
        <v/>
      </c>
      <c r="K1483" s="15">
        <f>IF(OR(G1483="",F1483=""),"",(F1483*(1-Ayarlar!$B$6)-(F1483*(1-Ayarlar!$B$6)*Ayarlar!$B$7+Ayarlar!$B$8)-(G1483*Ayarlar!$B$3+Ayarlar!$B$4+Ayarlar!$B$5))/(F1483*(1-Ayarlar!$B$6)))</f>
        <v/>
      </c>
      <c r="L1483" s="3">
        <f>IF(G1483="","GRAM EKSİK",IF(F1483&gt;30000,"FİYAT ŞÜPHELİ",IF(K1483&lt;0,"ZARARDA",IF(F1483&lt;I1483,"RİSKLİ","ok"))))</f>
        <v/>
      </c>
      <c r="M1483" s="16" t="inlineStr">
        <is>
          <t>https://www.etsy.com/listing/1731430357</t>
        </is>
      </c>
    </row>
    <row r="1484">
      <c r="A1484" s="9" t="inlineStr">
        <is>
          <t>protection</t>
        </is>
      </c>
      <c r="B1484" s="9" t="inlineStr">
        <is>
          <t>10K Gold Hamsa Necklace / CZ Stone Evil Eye Pendant, Rope Ch</t>
        </is>
      </c>
      <c r="C1484" s="9" t="n">
        <v>1731430357</v>
      </c>
      <c r="D1484" s="9" t="inlineStr">
        <is>
          <t>PHS4-3-16</t>
        </is>
      </c>
      <c r="E1484" s="9" t="inlineStr">
        <is>
          <t>description</t>
        </is>
      </c>
      <c r="F1484" s="10" t="n">
        <v>1590</v>
      </c>
      <c r="G1484" s="18" t="n">
        <v>8.92</v>
      </c>
      <c r="H1484" s="10">
        <f>IF(G1484="","",G1484*Ayarlar!$B$3+Ayarlar!$B$4+Ayarlar!$B$5)</f>
        <v/>
      </c>
      <c r="I1484" s="10">
        <f>IF(G1484="","",ROUNDUP(((G1484*Ayarlar!$B$3+Ayarlar!$B$4+Ayarlar!$B$5)+Ayarlar!$B$8)/((1-Ayarlar!$B$6)*(1-Ayarlar!$B$7)),0))</f>
        <v/>
      </c>
      <c r="J1484" s="10">
        <f>IF(G1484="","",ROUNDUP(((G1484*Ayarlar!$B$3+Ayarlar!$B$4+Ayarlar!$B$5)+Ayarlar!$B$8)/((1-Ayarlar!$B$6)*(1-Ayarlar!$B$7-Ayarlar!$B$9)),0))</f>
        <v/>
      </c>
      <c r="K1484" s="12">
        <f>IF(OR(G1484="",F1484=""),"",(F1484*(1-Ayarlar!$B$6)-(F1484*(1-Ayarlar!$B$6)*Ayarlar!$B$7+Ayarlar!$B$8)-(G1484*Ayarlar!$B$3+Ayarlar!$B$4+Ayarlar!$B$5))/(F1484*(1-Ayarlar!$B$6)))</f>
        <v/>
      </c>
      <c r="L1484" s="9">
        <f>IF(G1484="","GRAM EKSİK",IF(F1484&gt;30000,"FİYAT ŞÜPHELİ",IF(K1484&lt;0,"ZARARDA",IF(F1484&lt;I1484,"RİSKLİ","ok"))))</f>
        <v/>
      </c>
      <c r="M1484" s="13" t="inlineStr">
        <is>
          <t>https://www.etsy.com/listing/1731430357</t>
        </is>
      </c>
    </row>
    <row r="1485">
      <c r="A1485" s="3" t="inlineStr">
        <is>
          <t>protection</t>
        </is>
      </c>
      <c r="B1485" s="3" t="inlineStr">
        <is>
          <t>10K Gold Hamsa Necklace / CZ Stone Evil Eye Pendant, Rope Ch</t>
        </is>
      </c>
      <c r="C1485" s="3" t="n">
        <v>1731430357</v>
      </c>
      <c r="D1485" s="3" t="inlineStr">
        <is>
          <t>PHS4-3-18</t>
        </is>
      </c>
      <c r="E1485" s="3" t="inlineStr">
        <is>
          <t>description</t>
        </is>
      </c>
      <c r="F1485" s="14" t="n">
        <v>1653</v>
      </c>
      <c r="G1485" s="17" t="n">
        <v>9.279999999999999</v>
      </c>
      <c r="H1485" s="14">
        <f>IF(G1485="","",G1485*Ayarlar!$B$3+Ayarlar!$B$4+Ayarlar!$B$5)</f>
        <v/>
      </c>
      <c r="I1485" s="14">
        <f>IF(G1485="","",ROUNDUP(((G1485*Ayarlar!$B$3+Ayarlar!$B$4+Ayarlar!$B$5)+Ayarlar!$B$8)/((1-Ayarlar!$B$6)*(1-Ayarlar!$B$7)),0))</f>
        <v/>
      </c>
      <c r="J1485" s="14">
        <f>IF(G1485="","",ROUNDUP(((G1485*Ayarlar!$B$3+Ayarlar!$B$4+Ayarlar!$B$5)+Ayarlar!$B$8)/((1-Ayarlar!$B$6)*(1-Ayarlar!$B$7-Ayarlar!$B$9)),0))</f>
        <v/>
      </c>
      <c r="K1485" s="15">
        <f>IF(OR(G1485="",F1485=""),"",(F1485*(1-Ayarlar!$B$6)-(F1485*(1-Ayarlar!$B$6)*Ayarlar!$B$7+Ayarlar!$B$8)-(G1485*Ayarlar!$B$3+Ayarlar!$B$4+Ayarlar!$B$5))/(F1485*(1-Ayarlar!$B$6)))</f>
        <v/>
      </c>
      <c r="L1485" s="3">
        <f>IF(G1485="","GRAM EKSİK",IF(F1485&gt;30000,"FİYAT ŞÜPHELİ",IF(K1485&lt;0,"ZARARDA",IF(F1485&lt;I1485,"RİSKLİ","ok"))))</f>
        <v/>
      </c>
      <c r="M1485" s="16" t="inlineStr">
        <is>
          <t>https://www.etsy.com/listing/1731430357</t>
        </is>
      </c>
    </row>
    <row r="1486">
      <c r="A1486" s="9" t="inlineStr">
        <is>
          <t>protection</t>
        </is>
      </c>
      <c r="B1486" s="9" t="inlineStr">
        <is>
          <t>10K Gold Hamsa Necklace / CZ Stone Evil Eye Pendant, Rope Ch</t>
        </is>
      </c>
      <c r="C1486" s="9" t="n">
        <v>1731430357</v>
      </c>
      <c r="D1486" s="9" t="inlineStr">
        <is>
          <t>PHS4-3-20</t>
        </is>
      </c>
      <c r="E1486" s="9" t="inlineStr">
        <is>
          <t>description</t>
        </is>
      </c>
      <c r="F1486" s="10" t="n">
        <v>1717</v>
      </c>
      <c r="G1486" s="18" t="n">
        <v>9.640000000000001</v>
      </c>
      <c r="H1486" s="10">
        <f>IF(G1486="","",G1486*Ayarlar!$B$3+Ayarlar!$B$4+Ayarlar!$B$5)</f>
        <v/>
      </c>
      <c r="I1486" s="10">
        <f>IF(G1486="","",ROUNDUP(((G1486*Ayarlar!$B$3+Ayarlar!$B$4+Ayarlar!$B$5)+Ayarlar!$B$8)/((1-Ayarlar!$B$6)*(1-Ayarlar!$B$7)),0))</f>
        <v/>
      </c>
      <c r="J1486" s="10">
        <f>IF(G1486="","",ROUNDUP(((G1486*Ayarlar!$B$3+Ayarlar!$B$4+Ayarlar!$B$5)+Ayarlar!$B$8)/((1-Ayarlar!$B$6)*(1-Ayarlar!$B$7-Ayarlar!$B$9)),0))</f>
        <v/>
      </c>
      <c r="K1486" s="12">
        <f>IF(OR(G1486="",F1486=""),"",(F1486*(1-Ayarlar!$B$6)-(F1486*(1-Ayarlar!$B$6)*Ayarlar!$B$7+Ayarlar!$B$8)-(G1486*Ayarlar!$B$3+Ayarlar!$B$4+Ayarlar!$B$5))/(F1486*(1-Ayarlar!$B$6)))</f>
        <v/>
      </c>
      <c r="L1486" s="9">
        <f>IF(G1486="","GRAM EKSİK",IF(F1486&gt;30000,"FİYAT ŞÜPHELİ",IF(K1486&lt;0,"ZARARDA",IF(F1486&lt;I1486,"RİSKLİ","ok"))))</f>
        <v/>
      </c>
      <c r="M1486" s="13" t="inlineStr">
        <is>
          <t>https://www.etsy.com/listing/1731430357</t>
        </is>
      </c>
    </row>
    <row r="1487">
      <c r="A1487" s="3" t="inlineStr">
        <is>
          <t>protection</t>
        </is>
      </c>
      <c r="B1487" s="3" t="inlineStr">
        <is>
          <t>10K Gold Hamsa Necklace / CZ Stone Evil Eye Pendant, Rope Ch</t>
        </is>
      </c>
      <c r="C1487" s="3" t="n">
        <v>1731430357</v>
      </c>
      <c r="D1487" s="3" t="inlineStr">
        <is>
          <t>PHS4-3-22</t>
        </is>
      </c>
      <c r="E1487" s="3" t="inlineStr">
        <is>
          <t>description</t>
        </is>
      </c>
      <c r="F1487" s="14" t="n">
        <v>1781</v>
      </c>
      <c r="G1487" s="17" t="n">
        <v>10</v>
      </c>
      <c r="H1487" s="14">
        <f>IF(G1487="","",G1487*Ayarlar!$B$3+Ayarlar!$B$4+Ayarlar!$B$5)</f>
        <v/>
      </c>
      <c r="I1487" s="14">
        <f>IF(G1487="","",ROUNDUP(((G1487*Ayarlar!$B$3+Ayarlar!$B$4+Ayarlar!$B$5)+Ayarlar!$B$8)/((1-Ayarlar!$B$6)*(1-Ayarlar!$B$7)),0))</f>
        <v/>
      </c>
      <c r="J1487" s="14">
        <f>IF(G1487="","",ROUNDUP(((G1487*Ayarlar!$B$3+Ayarlar!$B$4+Ayarlar!$B$5)+Ayarlar!$B$8)/((1-Ayarlar!$B$6)*(1-Ayarlar!$B$7-Ayarlar!$B$9)),0))</f>
        <v/>
      </c>
      <c r="K1487" s="15">
        <f>IF(OR(G1487="",F1487=""),"",(F1487*(1-Ayarlar!$B$6)-(F1487*(1-Ayarlar!$B$6)*Ayarlar!$B$7+Ayarlar!$B$8)-(G1487*Ayarlar!$B$3+Ayarlar!$B$4+Ayarlar!$B$5))/(F1487*(1-Ayarlar!$B$6)))</f>
        <v/>
      </c>
      <c r="L1487" s="3">
        <f>IF(G1487="","GRAM EKSİK",IF(F1487&gt;30000,"FİYAT ŞÜPHELİ",IF(K1487&lt;0,"ZARARDA",IF(F1487&lt;I1487,"RİSKLİ","ok"))))</f>
        <v/>
      </c>
      <c r="M1487" s="16" t="inlineStr">
        <is>
          <t>https://www.etsy.com/listing/1731430357</t>
        </is>
      </c>
    </row>
    <row r="1488">
      <c r="A1488" s="9" t="inlineStr">
        <is>
          <t>protection</t>
        </is>
      </c>
      <c r="B1488" s="9" t="inlineStr">
        <is>
          <t>10K Gold Hamsa Necklace / CZ Stone Evil Eye Pendant, Rope Ch</t>
        </is>
      </c>
      <c r="C1488" s="9" t="n">
        <v>1731430357</v>
      </c>
      <c r="D1488" s="9" t="inlineStr">
        <is>
          <t>PHS4-3-24</t>
        </is>
      </c>
      <c r="E1488" s="9" t="inlineStr">
        <is>
          <t>description</t>
        </is>
      </c>
      <c r="F1488" s="10" t="n">
        <v>1844</v>
      </c>
      <c r="G1488" s="18" t="n">
        <v>10.36</v>
      </c>
      <c r="H1488" s="10">
        <f>IF(G1488="","",G1488*Ayarlar!$B$3+Ayarlar!$B$4+Ayarlar!$B$5)</f>
        <v/>
      </c>
      <c r="I1488" s="10">
        <f>IF(G1488="","",ROUNDUP(((G1488*Ayarlar!$B$3+Ayarlar!$B$4+Ayarlar!$B$5)+Ayarlar!$B$8)/((1-Ayarlar!$B$6)*(1-Ayarlar!$B$7)),0))</f>
        <v/>
      </c>
      <c r="J1488" s="10">
        <f>IF(G1488="","",ROUNDUP(((G1488*Ayarlar!$B$3+Ayarlar!$B$4+Ayarlar!$B$5)+Ayarlar!$B$8)/((1-Ayarlar!$B$6)*(1-Ayarlar!$B$7-Ayarlar!$B$9)),0))</f>
        <v/>
      </c>
      <c r="K1488" s="12">
        <f>IF(OR(G1488="",F1488=""),"",(F1488*(1-Ayarlar!$B$6)-(F1488*(1-Ayarlar!$B$6)*Ayarlar!$B$7+Ayarlar!$B$8)-(G1488*Ayarlar!$B$3+Ayarlar!$B$4+Ayarlar!$B$5))/(F1488*(1-Ayarlar!$B$6)))</f>
        <v/>
      </c>
      <c r="L1488" s="9">
        <f>IF(G1488="","GRAM EKSİK",IF(F1488&gt;30000,"FİYAT ŞÜPHELİ",IF(K1488&lt;0,"ZARARDA",IF(F1488&lt;I1488,"RİSKLİ","ok"))))</f>
        <v/>
      </c>
      <c r="M1488" s="13" t="inlineStr">
        <is>
          <t>https://www.etsy.com/listing/1731430357</t>
        </is>
      </c>
    </row>
    <row r="1489">
      <c r="A1489" s="3" t="inlineStr">
        <is>
          <t>protection</t>
        </is>
      </c>
      <c r="B1489" s="3" t="inlineStr">
        <is>
          <t>10K Gold Hamsa Necklace / CZ Stone Evil Eye Pendant, Rope Ch</t>
        </is>
      </c>
      <c r="C1489" s="3" t="n">
        <v>1731430357</v>
      </c>
      <c r="D1489" s="3" t="inlineStr">
        <is>
          <t>PHS4-35-16</t>
        </is>
      </c>
      <c r="E1489" s="3" t="inlineStr">
        <is>
          <t>description</t>
        </is>
      </c>
      <c r="F1489" s="14" t="n">
        <v>1805</v>
      </c>
      <c r="G1489" s="17" t="n">
        <v>10.14</v>
      </c>
      <c r="H1489" s="14">
        <f>IF(G1489="","",G1489*Ayarlar!$B$3+Ayarlar!$B$4+Ayarlar!$B$5)</f>
        <v/>
      </c>
      <c r="I1489" s="14">
        <f>IF(G1489="","",ROUNDUP(((G1489*Ayarlar!$B$3+Ayarlar!$B$4+Ayarlar!$B$5)+Ayarlar!$B$8)/((1-Ayarlar!$B$6)*(1-Ayarlar!$B$7)),0))</f>
        <v/>
      </c>
      <c r="J1489" s="14">
        <f>IF(G1489="","",ROUNDUP(((G1489*Ayarlar!$B$3+Ayarlar!$B$4+Ayarlar!$B$5)+Ayarlar!$B$8)/((1-Ayarlar!$B$6)*(1-Ayarlar!$B$7-Ayarlar!$B$9)),0))</f>
        <v/>
      </c>
      <c r="K1489" s="15">
        <f>IF(OR(G1489="",F1489=""),"",(F1489*(1-Ayarlar!$B$6)-(F1489*(1-Ayarlar!$B$6)*Ayarlar!$B$7+Ayarlar!$B$8)-(G1489*Ayarlar!$B$3+Ayarlar!$B$4+Ayarlar!$B$5))/(F1489*(1-Ayarlar!$B$6)))</f>
        <v/>
      </c>
      <c r="L1489" s="3">
        <f>IF(G1489="","GRAM EKSİK",IF(F1489&gt;30000,"FİYAT ŞÜPHELİ",IF(K1489&lt;0,"ZARARDA",IF(F1489&lt;I1489,"RİSKLİ","ok"))))</f>
        <v/>
      </c>
      <c r="M1489" s="16" t="inlineStr">
        <is>
          <t>https://www.etsy.com/listing/1731430357</t>
        </is>
      </c>
    </row>
    <row r="1490">
      <c r="A1490" s="9" t="inlineStr">
        <is>
          <t>protection</t>
        </is>
      </c>
      <c r="B1490" s="9" t="inlineStr">
        <is>
          <t>10K Gold Hamsa Necklace / CZ Stone Evil Eye Pendant, Rope Ch</t>
        </is>
      </c>
      <c r="C1490" s="9" t="n">
        <v>1731430357</v>
      </c>
      <c r="D1490" s="9" t="inlineStr">
        <is>
          <t>PHS4-35-18</t>
        </is>
      </c>
      <c r="E1490" s="9" t="inlineStr">
        <is>
          <t>description</t>
        </is>
      </c>
      <c r="F1490" s="10" t="n">
        <v>1896</v>
      </c>
      <c r="G1490" s="18" t="n">
        <v>10.65</v>
      </c>
      <c r="H1490" s="10">
        <f>IF(G1490="","",G1490*Ayarlar!$B$3+Ayarlar!$B$4+Ayarlar!$B$5)</f>
        <v/>
      </c>
      <c r="I1490" s="10">
        <f>IF(G1490="","",ROUNDUP(((G1490*Ayarlar!$B$3+Ayarlar!$B$4+Ayarlar!$B$5)+Ayarlar!$B$8)/((1-Ayarlar!$B$6)*(1-Ayarlar!$B$7)),0))</f>
        <v/>
      </c>
      <c r="J1490" s="10">
        <f>IF(G1490="","",ROUNDUP(((G1490*Ayarlar!$B$3+Ayarlar!$B$4+Ayarlar!$B$5)+Ayarlar!$B$8)/((1-Ayarlar!$B$6)*(1-Ayarlar!$B$7-Ayarlar!$B$9)),0))</f>
        <v/>
      </c>
      <c r="K1490" s="12">
        <f>IF(OR(G1490="",F1490=""),"",(F1490*(1-Ayarlar!$B$6)-(F1490*(1-Ayarlar!$B$6)*Ayarlar!$B$7+Ayarlar!$B$8)-(G1490*Ayarlar!$B$3+Ayarlar!$B$4+Ayarlar!$B$5))/(F1490*(1-Ayarlar!$B$6)))</f>
        <v/>
      </c>
      <c r="L1490" s="9">
        <f>IF(G1490="","GRAM EKSİK",IF(F1490&gt;30000,"FİYAT ŞÜPHELİ",IF(K1490&lt;0,"ZARARDA",IF(F1490&lt;I1490,"RİSKLİ","ok"))))</f>
        <v/>
      </c>
      <c r="M1490" s="13" t="inlineStr">
        <is>
          <t>https://www.etsy.com/listing/1731430357</t>
        </is>
      </c>
    </row>
    <row r="1491">
      <c r="A1491" s="3" t="inlineStr">
        <is>
          <t>protection</t>
        </is>
      </c>
      <c r="B1491" s="3" t="inlineStr">
        <is>
          <t>10K Gold Hamsa Necklace / CZ Stone Evil Eye Pendant, Rope Ch</t>
        </is>
      </c>
      <c r="C1491" s="3" t="n">
        <v>1731430357</v>
      </c>
      <c r="D1491" s="3" t="inlineStr">
        <is>
          <t>PHS4-35-20</t>
        </is>
      </c>
      <c r="E1491" s="3" t="inlineStr">
        <is>
          <t>description</t>
        </is>
      </c>
      <c r="F1491" s="14" t="n">
        <v>1986</v>
      </c>
      <c r="G1491" s="17" t="n">
        <v>11.16</v>
      </c>
      <c r="H1491" s="14">
        <f>IF(G1491="","",G1491*Ayarlar!$B$3+Ayarlar!$B$4+Ayarlar!$B$5)</f>
        <v/>
      </c>
      <c r="I1491" s="14">
        <f>IF(G1491="","",ROUNDUP(((G1491*Ayarlar!$B$3+Ayarlar!$B$4+Ayarlar!$B$5)+Ayarlar!$B$8)/((1-Ayarlar!$B$6)*(1-Ayarlar!$B$7)),0))</f>
        <v/>
      </c>
      <c r="J1491" s="14">
        <f>IF(G1491="","",ROUNDUP(((G1491*Ayarlar!$B$3+Ayarlar!$B$4+Ayarlar!$B$5)+Ayarlar!$B$8)/((1-Ayarlar!$B$6)*(1-Ayarlar!$B$7-Ayarlar!$B$9)),0))</f>
        <v/>
      </c>
      <c r="K1491" s="15">
        <f>IF(OR(G1491="",F1491=""),"",(F1491*(1-Ayarlar!$B$6)-(F1491*(1-Ayarlar!$B$6)*Ayarlar!$B$7+Ayarlar!$B$8)-(G1491*Ayarlar!$B$3+Ayarlar!$B$4+Ayarlar!$B$5))/(F1491*(1-Ayarlar!$B$6)))</f>
        <v/>
      </c>
      <c r="L1491" s="3">
        <f>IF(G1491="","GRAM EKSİK",IF(F1491&gt;30000,"FİYAT ŞÜPHELİ",IF(K1491&lt;0,"ZARARDA",IF(F1491&lt;I1491,"RİSKLİ","ok"))))</f>
        <v/>
      </c>
      <c r="M1491" s="16" t="inlineStr">
        <is>
          <t>https://www.etsy.com/listing/1731430357</t>
        </is>
      </c>
    </row>
    <row r="1492">
      <c r="A1492" s="9" t="inlineStr">
        <is>
          <t>protection</t>
        </is>
      </c>
      <c r="B1492" s="9" t="inlineStr">
        <is>
          <t>10K Gold Hamsa Necklace / CZ Stone Evil Eye Pendant, Rope Ch</t>
        </is>
      </c>
      <c r="C1492" s="9" t="n">
        <v>1731430357</v>
      </c>
      <c r="D1492" s="9" t="inlineStr">
        <is>
          <t>PHS4-35-22</t>
        </is>
      </c>
      <c r="E1492" s="9" t="inlineStr">
        <is>
          <t>description</t>
        </is>
      </c>
      <c r="F1492" s="10" t="n">
        <v>2076</v>
      </c>
      <c r="G1492" s="18" t="n">
        <v>11.67</v>
      </c>
      <c r="H1492" s="10">
        <f>IF(G1492="","",G1492*Ayarlar!$B$3+Ayarlar!$B$4+Ayarlar!$B$5)</f>
        <v/>
      </c>
      <c r="I1492" s="10">
        <f>IF(G1492="","",ROUNDUP(((G1492*Ayarlar!$B$3+Ayarlar!$B$4+Ayarlar!$B$5)+Ayarlar!$B$8)/((1-Ayarlar!$B$6)*(1-Ayarlar!$B$7)),0))</f>
        <v/>
      </c>
      <c r="J1492" s="10">
        <f>IF(G1492="","",ROUNDUP(((G1492*Ayarlar!$B$3+Ayarlar!$B$4+Ayarlar!$B$5)+Ayarlar!$B$8)/((1-Ayarlar!$B$6)*(1-Ayarlar!$B$7-Ayarlar!$B$9)),0))</f>
        <v/>
      </c>
      <c r="K1492" s="12">
        <f>IF(OR(G1492="",F1492=""),"",(F1492*(1-Ayarlar!$B$6)-(F1492*(1-Ayarlar!$B$6)*Ayarlar!$B$7+Ayarlar!$B$8)-(G1492*Ayarlar!$B$3+Ayarlar!$B$4+Ayarlar!$B$5))/(F1492*(1-Ayarlar!$B$6)))</f>
        <v/>
      </c>
      <c r="L1492" s="9">
        <f>IF(G1492="","GRAM EKSİK",IF(F1492&gt;30000,"FİYAT ŞÜPHELİ",IF(K1492&lt;0,"ZARARDA",IF(F1492&lt;I1492,"RİSKLİ","ok"))))</f>
        <v/>
      </c>
      <c r="M1492" s="13" t="inlineStr">
        <is>
          <t>https://www.etsy.com/listing/1731430357</t>
        </is>
      </c>
    </row>
    <row r="1493">
      <c r="A1493" s="3" t="inlineStr">
        <is>
          <t>protection</t>
        </is>
      </c>
      <c r="B1493" s="3" t="inlineStr">
        <is>
          <t>10K Gold Hamsa Necklace / CZ Stone Evil Eye Pendant, Rope Ch</t>
        </is>
      </c>
      <c r="C1493" s="3" t="n">
        <v>1731430357</v>
      </c>
      <c r="D1493" s="3" t="inlineStr">
        <is>
          <t>PHS4-35-24</t>
        </is>
      </c>
      <c r="E1493" s="3" t="inlineStr">
        <is>
          <t>description</t>
        </is>
      </c>
      <c r="F1493" s="14" t="n">
        <v>2166</v>
      </c>
      <c r="G1493" s="17" t="n">
        <v>12.18</v>
      </c>
      <c r="H1493" s="14">
        <f>IF(G1493="","",G1493*Ayarlar!$B$3+Ayarlar!$B$4+Ayarlar!$B$5)</f>
        <v/>
      </c>
      <c r="I1493" s="14">
        <f>IF(G1493="","",ROUNDUP(((G1493*Ayarlar!$B$3+Ayarlar!$B$4+Ayarlar!$B$5)+Ayarlar!$B$8)/((1-Ayarlar!$B$6)*(1-Ayarlar!$B$7)),0))</f>
        <v/>
      </c>
      <c r="J1493" s="14">
        <f>IF(G1493="","",ROUNDUP(((G1493*Ayarlar!$B$3+Ayarlar!$B$4+Ayarlar!$B$5)+Ayarlar!$B$8)/((1-Ayarlar!$B$6)*(1-Ayarlar!$B$7-Ayarlar!$B$9)),0))</f>
        <v/>
      </c>
      <c r="K1493" s="15">
        <f>IF(OR(G1493="",F1493=""),"",(F1493*(1-Ayarlar!$B$6)-(F1493*(1-Ayarlar!$B$6)*Ayarlar!$B$7+Ayarlar!$B$8)-(G1493*Ayarlar!$B$3+Ayarlar!$B$4+Ayarlar!$B$5))/(F1493*(1-Ayarlar!$B$6)))</f>
        <v/>
      </c>
      <c r="L1493" s="3">
        <f>IF(G1493="","GRAM EKSİK",IF(F1493&gt;30000,"FİYAT ŞÜPHELİ",IF(K1493&lt;0,"ZARARDA",IF(F1493&lt;I1493,"RİSKLİ","ok"))))</f>
        <v/>
      </c>
      <c r="M1493" s="16" t="inlineStr">
        <is>
          <t>https://www.etsy.com/listing/1731430357</t>
        </is>
      </c>
    </row>
    <row r="1494">
      <c r="A1494" s="9" t="inlineStr">
        <is>
          <t>protection</t>
        </is>
      </c>
      <c r="B1494" s="9" t="inlineStr">
        <is>
          <t>10K Gold Hamsa Pendant Necklace / CZ Stone Evil Eye, Rope Ch</t>
        </is>
      </c>
      <c r="C1494" s="9" t="n">
        <v>1717808152</v>
      </c>
      <c r="D1494" s="9" t="inlineStr">
        <is>
          <t>PHSBL-1</t>
        </is>
      </c>
      <c r="E1494" s="9" t="inlineStr">
        <is>
          <t>description</t>
        </is>
      </c>
      <c r="F1494" s="10" t="n">
        <v>413</v>
      </c>
      <c r="G1494" s="18" t="n">
        <v>2.27</v>
      </c>
      <c r="H1494" s="10">
        <f>IF(G1494="","",G1494*Ayarlar!$B$3+Ayarlar!$B$4+Ayarlar!$B$5)</f>
        <v/>
      </c>
      <c r="I1494" s="10">
        <f>IF(G1494="","",ROUNDUP(((G1494*Ayarlar!$B$3+Ayarlar!$B$4+Ayarlar!$B$5)+Ayarlar!$B$8)/((1-Ayarlar!$B$6)*(1-Ayarlar!$B$7)),0))</f>
        <v/>
      </c>
      <c r="J1494" s="10">
        <f>IF(G1494="","",ROUNDUP(((G1494*Ayarlar!$B$3+Ayarlar!$B$4+Ayarlar!$B$5)+Ayarlar!$B$8)/((1-Ayarlar!$B$6)*(1-Ayarlar!$B$7-Ayarlar!$B$9)),0))</f>
        <v/>
      </c>
      <c r="K1494" s="12">
        <f>IF(OR(G1494="",F1494=""),"",(F1494*(1-Ayarlar!$B$6)-(F1494*(1-Ayarlar!$B$6)*Ayarlar!$B$7+Ayarlar!$B$8)-(G1494*Ayarlar!$B$3+Ayarlar!$B$4+Ayarlar!$B$5))/(F1494*(1-Ayarlar!$B$6)))</f>
        <v/>
      </c>
      <c r="L1494" s="9">
        <f>IF(G1494="","GRAM EKSİK",IF(F1494&gt;30000,"FİYAT ŞÜPHELİ",IF(K1494&lt;0,"ZARARDA",IF(F1494&lt;I1494,"RİSKLİ","ok"))))</f>
        <v/>
      </c>
      <c r="M1494" s="13" t="inlineStr">
        <is>
          <t>https://www.etsy.com/listing/1717808152</t>
        </is>
      </c>
    </row>
    <row r="1495">
      <c r="A1495" s="3" t="inlineStr">
        <is>
          <t>protection</t>
        </is>
      </c>
      <c r="B1495" s="3" t="inlineStr">
        <is>
          <t>10K Gold Hamsa Pendant Necklace / CZ Stone Evil Eye, Rope Ch</t>
        </is>
      </c>
      <c r="C1495" s="3" t="n">
        <v>1717808152</v>
      </c>
      <c r="D1495" s="3" t="inlineStr">
        <is>
          <t>PHSBL-2</t>
        </is>
      </c>
      <c r="E1495" s="3" t="inlineStr">
        <is>
          <t>description</t>
        </is>
      </c>
      <c r="F1495" s="14" t="n">
        <v>608</v>
      </c>
      <c r="G1495" s="17" t="n">
        <v>3.37</v>
      </c>
      <c r="H1495" s="14">
        <f>IF(G1495="","",G1495*Ayarlar!$B$3+Ayarlar!$B$4+Ayarlar!$B$5)</f>
        <v/>
      </c>
      <c r="I1495" s="14">
        <f>IF(G1495="","",ROUNDUP(((G1495*Ayarlar!$B$3+Ayarlar!$B$4+Ayarlar!$B$5)+Ayarlar!$B$8)/((1-Ayarlar!$B$6)*(1-Ayarlar!$B$7)),0))</f>
        <v/>
      </c>
      <c r="J1495" s="14">
        <f>IF(G1495="","",ROUNDUP(((G1495*Ayarlar!$B$3+Ayarlar!$B$4+Ayarlar!$B$5)+Ayarlar!$B$8)/((1-Ayarlar!$B$6)*(1-Ayarlar!$B$7-Ayarlar!$B$9)),0))</f>
        <v/>
      </c>
      <c r="K1495" s="15">
        <f>IF(OR(G1495="",F1495=""),"",(F1495*(1-Ayarlar!$B$6)-(F1495*(1-Ayarlar!$B$6)*Ayarlar!$B$7+Ayarlar!$B$8)-(G1495*Ayarlar!$B$3+Ayarlar!$B$4+Ayarlar!$B$5))/(F1495*(1-Ayarlar!$B$6)))</f>
        <v/>
      </c>
      <c r="L1495" s="3">
        <f>IF(G1495="","GRAM EKSİK",IF(F1495&gt;30000,"FİYAT ŞÜPHELİ",IF(K1495&lt;0,"ZARARDA",IF(F1495&lt;I1495,"RİSKLİ","ok"))))</f>
        <v/>
      </c>
      <c r="M1495" s="16" t="inlineStr">
        <is>
          <t>https://www.etsy.com/listing/1717808152</t>
        </is>
      </c>
    </row>
    <row r="1496">
      <c r="A1496" s="9" t="inlineStr">
        <is>
          <t>protection</t>
        </is>
      </c>
      <c r="B1496" s="9" t="inlineStr">
        <is>
          <t>10K Gold Hamsa Pendant Necklace / CZ Stone Evil Eye, Rope Ch</t>
        </is>
      </c>
      <c r="C1496" s="9" t="n">
        <v>1717808152</v>
      </c>
      <c r="D1496" s="9" t="inlineStr">
        <is>
          <t>PHSBL-3</t>
        </is>
      </c>
      <c r="E1496" s="9" t="inlineStr">
        <is>
          <t>description</t>
        </is>
      </c>
      <c r="F1496" s="10" t="n">
        <v>852</v>
      </c>
      <c r="G1496" s="18" t="n">
        <v>4.75</v>
      </c>
      <c r="H1496" s="10">
        <f>IF(G1496="","",G1496*Ayarlar!$B$3+Ayarlar!$B$4+Ayarlar!$B$5)</f>
        <v/>
      </c>
      <c r="I1496" s="10">
        <f>IF(G1496="","",ROUNDUP(((G1496*Ayarlar!$B$3+Ayarlar!$B$4+Ayarlar!$B$5)+Ayarlar!$B$8)/((1-Ayarlar!$B$6)*(1-Ayarlar!$B$7)),0))</f>
        <v/>
      </c>
      <c r="J1496" s="10">
        <f>IF(G1496="","",ROUNDUP(((G1496*Ayarlar!$B$3+Ayarlar!$B$4+Ayarlar!$B$5)+Ayarlar!$B$8)/((1-Ayarlar!$B$6)*(1-Ayarlar!$B$7-Ayarlar!$B$9)),0))</f>
        <v/>
      </c>
      <c r="K1496" s="12">
        <f>IF(OR(G1496="",F1496=""),"",(F1496*(1-Ayarlar!$B$6)-(F1496*(1-Ayarlar!$B$6)*Ayarlar!$B$7+Ayarlar!$B$8)-(G1496*Ayarlar!$B$3+Ayarlar!$B$4+Ayarlar!$B$5))/(F1496*(1-Ayarlar!$B$6)))</f>
        <v/>
      </c>
      <c r="L1496" s="9">
        <f>IF(G1496="","GRAM EKSİK",IF(F1496&gt;30000,"FİYAT ŞÜPHELİ",IF(K1496&lt;0,"ZARARDA",IF(F1496&lt;I1496,"RİSKLİ","ok"))))</f>
        <v/>
      </c>
      <c r="M1496" s="13" t="inlineStr">
        <is>
          <t>https://www.etsy.com/listing/1717808152</t>
        </is>
      </c>
    </row>
    <row r="1497">
      <c r="A1497" s="3" t="inlineStr">
        <is>
          <t>protection</t>
        </is>
      </c>
      <c r="B1497" s="3" t="inlineStr">
        <is>
          <t>10K Gold Hamsa Pendant Necklace / CZ Stone Evil Eye, Rope Ch</t>
        </is>
      </c>
      <c r="C1497" s="3" t="n">
        <v>1717808152</v>
      </c>
      <c r="D1497" s="3" t="inlineStr">
        <is>
          <t>PHSBL-4</t>
        </is>
      </c>
      <c r="E1497" s="3" t="inlineStr">
        <is>
          <t>description</t>
        </is>
      </c>
      <c r="F1497" s="14" t="n">
        <v>1116</v>
      </c>
      <c r="G1497" s="17" t="n">
        <v>6.24</v>
      </c>
      <c r="H1497" s="14">
        <f>IF(G1497="","",G1497*Ayarlar!$B$3+Ayarlar!$B$4+Ayarlar!$B$5)</f>
        <v/>
      </c>
      <c r="I1497" s="14">
        <f>IF(G1497="","",ROUNDUP(((G1497*Ayarlar!$B$3+Ayarlar!$B$4+Ayarlar!$B$5)+Ayarlar!$B$8)/((1-Ayarlar!$B$6)*(1-Ayarlar!$B$7)),0))</f>
        <v/>
      </c>
      <c r="J1497" s="14">
        <f>IF(G1497="","",ROUNDUP(((G1497*Ayarlar!$B$3+Ayarlar!$B$4+Ayarlar!$B$5)+Ayarlar!$B$8)/((1-Ayarlar!$B$6)*(1-Ayarlar!$B$7-Ayarlar!$B$9)),0))</f>
        <v/>
      </c>
      <c r="K1497" s="15">
        <f>IF(OR(G1497="",F1497=""),"",(F1497*(1-Ayarlar!$B$6)-(F1497*(1-Ayarlar!$B$6)*Ayarlar!$B$7+Ayarlar!$B$8)-(G1497*Ayarlar!$B$3+Ayarlar!$B$4+Ayarlar!$B$5))/(F1497*(1-Ayarlar!$B$6)))</f>
        <v/>
      </c>
      <c r="L1497" s="3">
        <f>IF(G1497="","GRAM EKSİK",IF(F1497&gt;30000,"FİYAT ŞÜPHELİ",IF(K1497&lt;0,"ZARARDA",IF(F1497&lt;I1497,"RİSKLİ","ok"))))</f>
        <v/>
      </c>
      <c r="M1497" s="16" t="inlineStr">
        <is>
          <t>https://www.etsy.com/listing/1717808152</t>
        </is>
      </c>
    </row>
    <row r="1498">
      <c r="A1498" s="9" t="inlineStr">
        <is>
          <t>protection</t>
        </is>
      </c>
      <c r="B1498" s="9" t="inlineStr">
        <is>
          <t>10K Gold Hamsa Pendant Necklace / CZ Stone Evil Eye, Rope Ch</t>
        </is>
      </c>
      <c r="C1498" s="9" t="n">
        <v>1717808152</v>
      </c>
      <c r="D1498" s="9" t="inlineStr">
        <is>
          <t>PHSBL1-25-16</t>
        </is>
      </c>
      <c r="E1498" s="9" t="inlineStr">
        <is>
          <t>description</t>
        </is>
      </c>
      <c r="F1498" s="10" t="n">
        <v>802</v>
      </c>
      <c r="G1498" s="18" t="n">
        <v>4.47</v>
      </c>
      <c r="H1498" s="10">
        <f>IF(G1498="","",G1498*Ayarlar!$B$3+Ayarlar!$B$4+Ayarlar!$B$5)</f>
        <v/>
      </c>
      <c r="I1498" s="10">
        <f>IF(G1498="","",ROUNDUP(((G1498*Ayarlar!$B$3+Ayarlar!$B$4+Ayarlar!$B$5)+Ayarlar!$B$8)/((1-Ayarlar!$B$6)*(1-Ayarlar!$B$7)),0))</f>
        <v/>
      </c>
      <c r="J1498" s="10">
        <f>IF(G1498="","",ROUNDUP(((G1498*Ayarlar!$B$3+Ayarlar!$B$4+Ayarlar!$B$5)+Ayarlar!$B$8)/((1-Ayarlar!$B$6)*(1-Ayarlar!$B$7-Ayarlar!$B$9)),0))</f>
        <v/>
      </c>
      <c r="K1498" s="12">
        <f>IF(OR(G1498="",F1498=""),"",(F1498*(1-Ayarlar!$B$6)-(F1498*(1-Ayarlar!$B$6)*Ayarlar!$B$7+Ayarlar!$B$8)-(G1498*Ayarlar!$B$3+Ayarlar!$B$4+Ayarlar!$B$5))/(F1498*(1-Ayarlar!$B$6)))</f>
        <v/>
      </c>
      <c r="L1498" s="9">
        <f>IF(G1498="","GRAM EKSİK",IF(F1498&gt;30000,"FİYAT ŞÜPHELİ",IF(K1498&lt;0,"ZARARDA",IF(F1498&lt;I1498,"RİSKLİ","ok"))))</f>
        <v/>
      </c>
      <c r="M1498" s="13" t="inlineStr">
        <is>
          <t>https://www.etsy.com/listing/1717808152</t>
        </is>
      </c>
    </row>
    <row r="1499">
      <c r="A1499" s="3" t="inlineStr">
        <is>
          <t>protection</t>
        </is>
      </c>
      <c r="B1499" s="3" t="inlineStr">
        <is>
          <t>10K Gold Hamsa Pendant Necklace / CZ Stone Evil Eye, Rope Ch</t>
        </is>
      </c>
      <c r="C1499" s="3" t="n">
        <v>1717808152</v>
      </c>
      <c r="D1499" s="3" t="inlineStr">
        <is>
          <t>PHSBL1-25-18</t>
        </is>
      </c>
      <c r="E1499" s="3" t="inlineStr">
        <is>
          <t>description</t>
        </is>
      </c>
      <c r="F1499" s="14" t="n">
        <v>852</v>
      </c>
      <c r="G1499" s="17" t="n">
        <v>4.75</v>
      </c>
      <c r="H1499" s="14">
        <f>IF(G1499="","",G1499*Ayarlar!$B$3+Ayarlar!$B$4+Ayarlar!$B$5)</f>
        <v/>
      </c>
      <c r="I1499" s="14">
        <f>IF(G1499="","",ROUNDUP(((G1499*Ayarlar!$B$3+Ayarlar!$B$4+Ayarlar!$B$5)+Ayarlar!$B$8)/((1-Ayarlar!$B$6)*(1-Ayarlar!$B$7)),0))</f>
        <v/>
      </c>
      <c r="J1499" s="14">
        <f>IF(G1499="","",ROUNDUP(((G1499*Ayarlar!$B$3+Ayarlar!$B$4+Ayarlar!$B$5)+Ayarlar!$B$8)/((1-Ayarlar!$B$6)*(1-Ayarlar!$B$7-Ayarlar!$B$9)),0))</f>
        <v/>
      </c>
      <c r="K1499" s="15">
        <f>IF(OR(G1499="",F1499=""),"",(F1499*(1-Ayarlar!$B$6)-(F1499*(1-Ayarlar!$B$6)*Ayarlar!$B$7+Ayarlar!$B$8)-(G1499*Ayarlar!$B$3+Ayarlar!$B$4+Ayarlar!$B$5))/(F1499*(1-Ayarlar!$B$6)))</f>
        <v/>
      </c>
      <c r="L1499" s="3">
        <f>IF(G1499="","GRAM EKSİK",IF(F1499&gt;30000,"FİYAT ŞÜPHELİ",IF(K1499&lt;0,"ZARARDA",IF(F1499&lt;I1499,"RİSKLİ","ok"))))</f>
        <v/>
      </c>
      <c r="M1499" s="16" t="inlineStr">
        <is>
          <t>https://www.etsy.com/listing/1717808152</t>
        </is>
      </c>
    </row>
    <row r="1500">
      <c r="A1500" s="9" t="inlineStr">
        <is>
          <t>protection</t>
        </is>
      </c>
      <c r="B1500" s="9" t="inlineStr">
        <is>
          <t>10K Gold Hamsa Pendant Necklace / CZ Stone Evil Eye, Rope Ch</t>
        </is>
      </c>
      <c r="C1500" s="9" t="n">
        <v>1717808152</v>
      </c>
      <c r="D1500" s="9" t="inlineStr">
        <is>
          <t>PHSBL1-25-20</t>
        </is>
      </c>
      <c r="E1500" s="9" t="inlineStr">
        <is>
          <t>description</t>
        </is>
      </c>
      <c r="F1500" s="10" t="n">
        <v>900</v>
      </c>
      <c r="G1500" s="18" t="n">
        <v>5.02</v>
      </c>
      <c r="H1500" s="10">
        <f>IF(G1500="","",G1500*Ayarlar!$B$3+Ayarlar!$B$4+Ayarlar!$B$5)</f>
        <v/>
      </c>
      <c r="I1500" s="10">
        <f>IF(G1500="","",ROUNDUP(((G1500*Ayarlar!$B$3+Ayarlar!$B$4+Ayarlar!$B$5)+Ayarlar!$B$8)/((1-Ayarlar!$B$6)*(1-Ayarlar!$B$7)),0))</f>
        <v/>
      </c>
      <c r="J1500" s="10">
        <f>IF(G1500="","",ROUNDUP(((G1500*Ayarlar!$B$3+Ayarlar!$B$4+Ayarlar!$B$5)+Ayarlar!$B$8)/((1-Ayarlar!$B$6)*(1-Ayarlar!$B$7-Ayarlar!$B$9)),0))</f>
        <v/>
      </c>
      <c r="K1500" s="12">
        <f>IF(OR(G1500="",F1500=""),"",(F1500*(1-Ayarlar!$B$6)-(F1500*(1-Ayarlar!$B$6)*Ayarlar!$B$7+Ayarlar!$B$8)-(G1500*Ayarlar!$B$3+Ayarlar!$B$4+Ayarlar!$B$5))/(F1500*(1-Ayarlar!$B$6)))</f>
        <v/>
      </c>
      <c r="L1500" s="9">
        <f>IF(G1500="","GRAM EKSİK",IF(F1500&gt;30000,"FİYAT ŞÜPHELİ",IF(K1500&lt;0,"ZARARDA",IF(F1500&lt;I1500,"RİSKLİ","ok"))))</f>
        <v/>
      </c>
      <c r="M1500" s="13" t="inlineStr">
        <is>
          <t>https://www.etsy.com/listing/1717808152</t>
        </is>
      </c>
    </row>
    <row r="1501">
      <c r="A1501" s="3" t="inlineStr">
        <is>
          <t>protection</t>
        </is>
      </c>
      <c r="B1501" s="3" t="inlineStr">
        <is>
          <t>10K Gold Hamsa Pendant Necklace / CZ Stone Evil Eye, Rope Ch</t>
        </is>
      </c>
      <c r="C1501" s="3" t="n">
        <v>1717808152</v>
      </c>
      <c r="D1501" s="3" t="inlineStr">
        <is>
          <t>PHSBL1-25-22</t>
        </is>
      </c>
      <c r="E1501" s="3" t="inlineStr">
        <is>
          <t>description</t>
        </is>
      </c>
      <c r="F1501" s="14" t="n">
        <v>949</v>
      </c>
      <c r="G1501" s="17" t="n">
        <v>5.3</v>
      </c>
      <c r="H1501" s="14">
        <f>IF(G1501="","",G1501*Ayarlar!$B$3+Ayarlar!$B$4+Ayarlar!$B$5)</f>
        <v/>
      </c>
      <c r="I1501" s="14">
        <f>IF(G1501="","",ROUNDUP(((G1501*Ayarlar!$B$3+Ayarlar!$B$4+Ayarlar!$B$5)+Ayarlar!$B$8)/((1-Ayarlar!$B$6)*(1-Ayarlar!$B$7)),0))</f>
        <v/>
      </c>
      <c r="J1501" s="14">
        <f>IF(G1501="","",ROUNDUP(((G1501*Ayarlar!$B$3+Ayarlar!$B$4+Ayarlar!$B$5)+Ayarlar!$B$8)/((1-Ayarlar!$B$6)*(1-Ayarlar!$B$7-Ayarlar!$B$9)),0))</f>
        <v/>
      </c>
      <c r="K1501" s="15">
        <f>IF(OR(G1501="",F1501=""),"",(F1501*(1-Ayarlar!$B$6)-(F1501*(1-Ayarlar!$B$6)*Ayarlar!$B$7+Ayarlar!$B$8)-(G1501*Ayarlar!$B$3+Ayarlar!$B$4+Ayarlar!$B$5))/(F1501*(1-Ayarlar!$B$6)))</f>
        <v/>
      </c>
      <c r="L1501" s="3">
        <f>IF(G1501="","GRAM EKSİK",IF(F1501&gt;30000,"FİYAT ŞÜPHELİ",IF(K1501&lt;0,"ZARARDA",IF(F1501&lt;I1501,"RİSKLİ","ok"))))</f>
        <v/>
      </c>
      <c r="M1501" s="16" t="inlineStr">
        <is>
          <t>https://www.etsy.com/listing/1717808152</t>
        </is>
      </c>
    </row>
    <row r="1502">
      <c r="A1502" s="9" t="inlineStr">
        <is>
          <t>protection</t>
        </is>
      </c>
      <c r="B1502" s="9" t="inlineStr">
        <is>
          <t>10K Gold Hamsa Pendant Necklace / CZ Stone Evil Eye, Rope Ch</t>
        </is>
      </c>
      <c r="C1502" s="9" t="n">
        <v>1717808152</v>
      </c>
      <c r="D1502" s="9" t="inlineStr">
        <is>
          <t>PHSBL1-25-24</t>
        </is>
      </c>
      <c r="E1502" s="9" t="inlineStr">
        <is>
          <t>description</t>
        </is>
      </c>
      <c r="F1502" s="10" t="n">
        <v>997</v>
      </c>
      <c r="G1502" s="18" t="n">
        <v>5.57</v>
      </c>
      <c r="H1502" s="10">
        <f>IF(G1502="","",G1502*Ayarlar!$B$3+Ayarlar!$B$4+Ayarlar!$B$5)</f>
        <v/>
      </c>
      <c r="I1502" s="10">
        <f>IF(G1502="","",ROUNDUP(((G1502*Ayarlar!$B$3+Ayarlar!$B$4+Ayarlar!$B$5)+Ayarlar!$B$8)/((1-Ayarlar!$B$6)*(1-Ayarlar!$B$7)),0))</f>
        <v/>
      </c>
      <c r="J1502" s="10">
        <f>IF(G1502="","",ROUNDUP(((G1502*Ayarlar!$B$3+Ayarlar!$B$4+Ayarlar!$B$5)+Ayarlar!$B$8)/((1-Ayarlar!$B$6)*(1-Ayarlar!$B$7-Ayarlar!$B$9)),0))</f>
        <v/>
      </c>
      <c r="K1502" s="12">
        <f>IF(OR(G1502="",F1502=""),"",(F1502*(1-Ayarlar!$B$6)-(F1502*(1-Ayarlar!$B$6)*Ayarlar!$B$7+Ayarlar!$B$8)-(G1502*Ayarlar!$B$3+Ayarlar!$B$4+Ayarlar!$B$5))/(F1502*(1-Ayarlar!$B$6)))</f>
        <v/>
      </c>
      <c r="L1502" s="9">
        <f>IF(G1502="","GRAM EKSİK",IF(F1502&gt;30000,"FİYAT ŞÜPHELİ",IF(K1502&lt;0,"ZARARDA",IF(F1502&lt;I1502,"RİSKLİ","ok"))))</f>
        <v/>
      </c>
      <c r="M1502" s="13" t="inlineStr">
        <is>
          <t>https://www.etsy.com/listing/1717808152</t>
        </is>
      </c>
    </row>
    <row r="1503">
      <c r="A1503" s="3" t="inlineStr">
        <is>
          <t>protection</t>
        </is>
      </c>
      <c r="B1503" s="3" t="inlineStr">
        <is>
          <t>10K Gold Hamsa Pendant Necklace / CZ Stone Evil Eye, Rope Ch</t>
        </is>
      </c>
      <c r="C1503" s="3" t="n">
        <v>1717808152</v>
      </c>
      <c r="D1503" s="3" t="inlineStr">
        <is>
          <t>PHSBL1-3-16</t>
        </is>
      </c>
      <c r="E1503" s="3" t="inlineStr">
        <is>
          <t>description</t>
        </is>
      </c>
      <c r="F1503" s="14" t="n">
        <v>923</v>
      </c>
      <c r="G1503" s="17" t="n">
        <v>5.15</v>
      </c>
      <c r="H1503" s="14">
        <f>IF(G1503="","",G1503*Ayarlar!$B$3+Ayarlar!$B$4+Ayarlar!$B$5)</f>
        <v/>
      </c>
      <c r="I1503" s="14">
        <f>IF(G1503="","",ROUNDUP(((G1503*Ayarlar!$B$3+Ayarlar!$B$4+Ayarlar!$B$5)+Ayarlar!$B$8)/((1-Ayarlar!$B$6)*(1-Ayarlar!$B$7)),0))</f>
        <v/>
      </c>
      <c r="J1503" s="14">
        <f>IF(G1503="","",ROUNDUP(((G1503*Ayarlar!$B$3+Ayarlar!$B$4+Ayarlar!$B$5)+Ayarlar!$B$8)/((1-Ayarlar!$B$6)*(1-Ayarlar!$B$7-Ayarlar!$B$9)),0))</f>
        <v/>
      </c>
      <c r="K1503" s="15">
        <f>IF(OR(G1503="",F1503=""),"",(F1503*(1-Ayarlar!$B$6)-(F1503*(1-Ayarlar!$B$6)*Ayarlar!$B$7+Ayarlar!$B$8)-(G1503*Ayarlar!$B$3+Ayarlar!$B$4+Ayarlar!$B$5))/(F1503*(1-Ayarlar!$B$6)))</f>
        <v/>
      </c>
      <c r="L1503" s="3">
        <f>IF(G1503="","GRAM EKSİK",IF(F1503&gt;30000,"FİYAT ŞÜPHELİ",IF(K1503&lt;0,"ZARARDA",IF(F1503&lt;I1503,"RİSKLİ","ok"))))</f>
        <v/>
      </c>
      <c r="M1503" s="16" t="inlineStr">
        <is>
          <t>https://www.etsy.com/listing/1717808152</t>
        </is>
      </c>
    </row>
    <row r="1504">
      <c r="A1504" s="9" t="inlineStr">
        <is>
          <t>protection</t>
        </is>
      </c>
      <c r="B1504" s="9" t="inlineStr">
        <is>
          <t>10K Gold Hamsa Pendant Necklace / CZ Stone Evil Eye, Rope Ch</t>
        </is>
      </c>
      <c r="C1504" s="9" t="n">
        <v>1717808152</v>
      </c>
      <c r="D1504" s="9" t="inlineStr">
        <is>
          <t>PHSBL1-3-18</t>
        </is>
      </c>
      <c r="E1504" s="9" t="inlineStr">
        <is>
          <t>description</t>
        </is>
      </c>
      <c r="F1504" s="10" t="n">
        <v>986</v>
      </c>
      <c r="G1504" s="18" t="n">
        <v>5.51</v>
      </c>
      <c r="H1504" s="10">
        <f>IF(G1504="","",G1504*Ayarlar!$B$3+Ayarlar!$B$4+Ayarlar!$B$5)</f>
        <v/>
      </c>
      <c r="I1504" s="10">
        <f>IF(G1504="","",ROUNDUP(((G1504*Ayarlar!$B$3+Ayarlar!$B$4+Ayarlar!$B$5)+Ayarlar!$B$8)/((1-Ayarlar!$B$6)*(1-Ayarlar!$B$7)),0))</f>
        <v/>
      </c>
      <c r="J1504" s="10">
        <f>IF(G1504="","",ROUNDUP(((G1504*Ayarlar!$B$3+Ayarlar!$B$4+Ayarlar!$B$5)+Ayarlar!$B$8)/((1-Ayarlar!$B$6)*(1-Ayarlar!$B$7-Ayarlar!$B$9)),0))</f>
        <v/>
      </c>
      <c r="K1504" s="12">
        <f>IF(OR(G1504="",F1504=""),"",(F1504*(1-Ayarlar!$B$6)-(F1504*(1-Ayarlar!$B$6)*Ayarlar!$B$7+Ayarlar!$B$8)-(G1504*Ayarlar!$B$3+Ayarlar!$B$4+Ayarlar!$B$5))/(F1504*(1-Ayarlar!$B$6)))</f>
        <v/>
      </c>
      <c r="L1504" s="9">
        <f>IF(G1504="","GRAM EKSİK",IF(F1504&gt;30000,"FİYAT ŞÜPHELİ",IF(K1504&lt;0,"ZARARDA",IF(F1504&lt;I1504,"RİSKLİ","ok"))))</f>
        <v/>
      </c>
      <c r="M1504" s="13" t="inlineStr">
        <is>
          <t>https://www.etsy.com/listing/1717808152</t>
        </is>
      </c>
    </row>
    <row r="1505">
      <c r="A1505" s="3" t="inlineStr">
        <is>
          <t>protection</t>
        </is>
      </c>
      <c r="B1505" s="3" t="inlineStr">
        <is>
          <t>10K Gold Hamsa Pendant Necklace / CZ Stone Evil Eye, Rope Ch</t>
        </is>
      </c>
      <c r="C1505" s="3" t="n">
        <v>1717808152</v>
      </c>
      <c r="D1505" s="3" t="inlineStr">
        <is>
          <t>PHSBL1-3-20</t>
        </is>
      </c>
      <c r="E1505" s="3" t="inlineStr">
        <is>
          <t>description</t>
        </is>
      </c>
      <c r="F1505" s="14" t="n">
        <v>1050</v>
      </c>
      <c r="G1505" s="17" t="n">
        <v>5.87</v>
      </c>
      <c r="H1505" s="14">
        <f>IF(G1505="","",G1505*Ayarlar!$B$3+Ayarlar!$B$4+Ayarlar!$B$5)</f>
        <v/>
      </c>
      <c r="I1505" s="14">
        <f>IF(G1505="","",ROUNDUP(((G1505*Ayarlar!$B$3+Ayarlar!$B$4+Ayarlar!$B$5)+Ayarlar!$B$8)/((1-Ayarlar!$B$6)*(1-Ayarlar!$B$7)),0))</f>
        <v/>
      </c>
      <c r="J1505" s="14">
        <f>IF(G1505="","",ROUNDUP(((G1505*Ayarlar!$B$3+Ayarlar!$B$4+Ayarlar!$B$5)+Ayarlar!$B$8)/((1-Ayarlar!$B$6)*(1-Ayarlar!$B$7-Ayarlar!$B$9)),0))</f>
        <v/>
      </c>
      <c r="K1505" s="15">
        <f>IF(OR(G1505="",F1505=""),"",(F1505*(1-Ayarlar!$B$6)-(F1505*(1-Ayarlar!$B$6)*Ayarlar!$B$7+Ayarlar!$B$8)-(G1505*Ayarlar!$B$3+Ayarlar!$B$4+Ayarlar!$B$5))/(F1505*(1-Ayarlar!$B$6)))</f>
        <v/>
      </c>
      <c r="L1505" s="3">
        <f>IF(G1505="","GRAM EKSİK",IF(F1505&gt;30000,"FİYAT ŞÜPHELİ",IF(K1505&lt;0,"ZARARDA",IF(F1505&lt;I1505,"RİSKLİ","ok"))))</f>
        <v/>
      </c>
      <c r="M1505" s="16" t="inlineStr">
        <is>
          <t>https://www.etsy.com/listing/1717808152</t>
        </is>
      </c>
    </row>
    <row r="1506">
      <c r="A1506" s="9" t="inlineStr">
        <is>
          <t>protection</t>
        </is>
      </c>
      <c r="B1506" s="9" t="inlineStr">
        <is>
          <t>10K Gold Hamsa Pendant Necklace / CZ Stone Evil Eye, Rope Ch</t>
        </is>
      </c>
      <c r="C1506" s="9" t="n">
        <v>1717808152</v>
      </c>
      <c r="D1506" s="9" t="inlineStr">
        <is>
          <t>PHSBL1-3-22</t>
        </is>
      </c>
      <c r="E1506" s="9" t="inlineStr">
        <is>
          <t>description</t>
        </is>
      </c>
      <c r="F1506" s="10" t="n">
        <v>1114</v>
      </c>
      <c r="G1506" s="18" t="n">
        <v>6.23</v>
      </c>
      <c r="H1506" s="10">
        <f>IF(G1506="","",G1506*Ayarlar!$B$3+Ayarlar!$B$4+Ayarlar!$B$5)</f>
        <v/>
      </c>
      <c r="I1506" s="10">
        <f>IF(G1506="","",ROUNDUP(((G1506*Ayarlar!$B$3+Ayarlar!$B$4+Ayarlar!$B$5)+Ayarlar!$B$8)/((1-Ayarlar!$B$6)*(1-Ayarlar!$B$7)),0))</f>
        <v/>
      </c>
      <c r="J1506" s="10">
        <f>IF(G1506="","",ROUNDUP(((G1506*Ayarlar!$B$3+Ayarlar!$B$4+Ayarlar!$B$5)+Ayarlar!$B$8)/((1-Ayarlar!$B$6)*(1-Ayarlar!$B$7-Ayarlar!$B$9)),0))</f>
        <v/>
      </c>
      <c r="K1506" s="12">
        <f>IF(OR(G1506="",F1506=""),"",(F1506*(1-Ayarlar!$B$6)-(F1506*(1-Ayarlar!$B$6)*Ayarlar!$B$7+Ayarlar!$B$8)-(G1506*Ayarlar!$B$3+Ayarlar!$B$4+Ayarlar!$B$5))/(F1506*(1-Ayarlar!$B$6)))</f>
        <v/>
      </c>
      <c r="L1506" s="9">
        <f>IF(G1506="","GRAM EKSİK",IF(F1506&gt;30000,"FİYAT ŞÜPHELİ",IF(K1506&lt;0,"ZARARDA",IF(F1506&lt;I1506,"RİSKLİ","ok"))))</f>
        <v/>
      </c>
      <c r="M1506" s="13" t="inlineStr">
        <is>
          <t>https://www.etsy.com/listing/1717808152</t>
        </is>
      </c>
    </row>
    <row r="1507">
      <c r="A1507" s="3" t="inlineStr">
        <is>
          <t>protection</t>
        </is>
      </c>
      <c r="B1507" s="3" t="inlineStr">
        <is>
          <t>10K Gold Hamsa Pendant Necklace / CZ Stone Evil Eye, Rope Ch</t>
        </is>
      </c>
      <c r="C1507" s="3" t="n">
        <v>1717808152</v>
      </c>
      <c r="D1507" s="3" t="inlineStr">
        <is>
          <t>PHSBL1-3-24</t>
        </is>
      </c>
      <c r="E1507" s="3" t="inlineStr">
        <is>
          <t>description</t>
        </is>
      </c>
      <c r="F1507" s="14" t="n">
        <v>1177</v>
      </c>
      <c r="G1507" s="17" t="n">
        <v>6.59</v>
      </c>
      <c r="H1507" s="14">
        <f>IF(G1507="","",G1507*Ayarlar!$B$3+Ayarlar!$B$4+Ayarlar!$B$5)</f>
        <v/>
      </c>
      <c r="I1507" s="14">
        <f>IF(G1507="","",ROUNDUP(((G1507*Ayarlar!$B$3+Ayarlar!$B$4+Ayarlar!$B$5)+Ayarlar!$B$8)/((1-Ayarlar!$B$6)*(1-Ayarlar!$B$7)),0))</f>
        <v/>
      </c>
      <c r="J1507" s="14">
        <f>IF(G1507="","",ROUNDUP(((G1507*Ayarlar!$B$3+Ayarlar!$B$4+Ayarlar!$B$5)+Ayarlar!$B$8)/((1-Ayarlar!$B$6)*(1-Ayarlar!$B$7-Ayarlar!$B$9)),0))</f>
        <v/>
      </c>
      <c r="K1507" s="15">
        <f>IF(OR(G1507="",F1507=""),"",(F1507*(1-Ayarlar!$B$6)-(F1507*(1-Ayarlar!$B$6)*Ayarlar!$B$7+Ayarlar!$B$8)-(G1507*Ayarlar!$B$3+Ayarlar!$B$4+Ayarlar!$B$5))/(F1507*(1-Ayarlar!$B$6)))</f>
        <v/>
      </c>
      <c r="L1507" s="3">
        <f>IF(G1507="","GRAM EKSİK",IF(F1507&gt;30000,"FİYAT ŞÜPHELİ",IF(K1507&lt;0,"ZARARDA",IF(F1507&lt;I1507,"RİSKLİ","ok"))))</f>
        <v/>
      </c>
      <c r="M1507" s="16" t="inlineStr">
        <is>
          <t>https://www.etsy.com/listing/1717808152</t>
        </is>
      </c>
    </row>
    <row r="1508">
      <c r="A1508" s="9" t="inlineStr">
        <is>
          <t>protection</t>
        </is>
      </c>
      <c r="B1508" s="9" t="inlineStr">
        <is>
          <t>10K Gold Hamsa Pendant Necklace / CZ Stone Evil Eye, Rope Ch</t>
        </is>
      </c>
      <c r="C1508" s="9" t="n">
        <v>1717808152</v>
      </c>
      <c r="D1508" s="9" t="inlineStr">
        <is>
          <t>PHSBL1-35-16</t>
        </is>
      </c>
      <c r="E1508" s="9" t="inlineStr">
        <is>
          <t>description</t>
        </is>
      </c>
      <c r="F1508" s="10" t="n">
        <v>1139</v>
      </c>
      <c r="G1508" s="18" t="n">
        <v>6.37</v>
      </c>
      <c r="H1508" s="10">
        <f>IF(G1508="","",G1508*Ayarlar!$B$3+Ayarlar!$B$4+Ayarlar!$B$5)</f>
        <v/>
      </c>
      <c r="I1508" s="10">
        <f>IF(G1508="","",ROUNDUP(((G1508*Ayarlar!$B$3+Ayarlar!$B$4+Ayarlar!$B$5)+Ayarlar!$B$8)/((1-Ayarlar!$B$6)*(1-Ayarlar!$B$7)),0))</f>
        <v/>
      </c>
      <c r="J1508" s="10">
        <f>IF(G1508="","",ROUNDUP(((G1508*Ayarlar!$B$3+Ayarlar!$B$4+Ayarlar!$B$5)+Ayarlar!$B$8)/((1-Ayarlar!$B$6)*(1-Ayarlar!$B$7-Ayarlar!$B$9)),0))</f>
        <v/>
      </c>
      <c r="K1508" s="12">
        <f>IF(OR(G1508="",F1508=""),"",(F1508*(1-Ayarlar!$B$6)-(F1508*(1-Ayarlar!$B$6)*Ayarlar!$B$7+Ayarlar!$B$8)-(G1508*Ayarlar!$B$3+Ayarlar!$B$4+Ayarlar!$B$5))/(F1508*(1-Ayarlar!$B$6)))</f>
        <v/>
      </c>
      <c r="L1508" s="9">
        <f>IF(G1508="","GRAM EKSİK",IF(F1508&gt;30000,"FİYAT ŞÜPHELİ",IF(K1508&lt;0,"ZARARDA",IF(F1508&lt;I1508,"RİSKLİ","ok"))))</f>
        <v/>
      </c>
      <c r="M1508" s="13" t="inlineStr">
        <is>
          <t>https://www.etsy.com/listing/1717808152</t>
        </is>
      </c>
    </row>
    <row r="1509">
      <c r="A1509" s="3" t="inlineStr">
        <is>
          <t>protection</t>
        </is>
      </c>
      <c r="B1509" s="3" t="inlineStr">
        <is>
          <t>10K Gold Hamsa Pendant Necklace / CZ Stone Evil Eye, Rope Ch</t>
        </is>
      </c>
      <c r="C1509" s="3" t="n">
        <v>1717808152</v>
      </c>
      <c r="D1509" s="3" t="inlineStr">
        <is>
          <t>PHSBL1-35-18</t>
        </is>
      </c>
      <c r="E1509" s="3" t="inlineStr">
        <is>
          <t>description</t>
        </is>
      </c>
      <c r="F1509" s="14" t="n">
        <v>1229</v>
      </c>
      <c r="G1509" s="17" t="n">
        <v>6.88</v>
      </c>
      <c r="H1509" s="14">
        <f>IF(G1509="","",G1509*Ayarlar!$B$3+Ayarlar!$B$4+Ayarlar!$B$5)</f>
        <v/>
      </c>
      <c r="I1509" s="14">
        <f>IF(G1509="","",ROUNDUP(((G1509*Ayarlar!$B$3+Ayarlar!$B$4+Ayarlar!$B$5)+Ayarlar!$B$8)/((1-Ayarlar!$B$6)*(1-Ayarlar!$B$7)),0))</f>
        <v/>
      </c>
      <c r="J1509" s="14">
        <f>IF(G1509="","",ROUNDUP(((G1509*Ayarlar!$B$3+Ayarlar!$B$4+Ayarlar!$B$5)+Ayarlar!$B$8)/((1-Ayarlar!$B$6)*(1-Ayarlar!$B$7-Ayarlar!$B$9)),0))</f>
        <v/>
      </c>
      <c r="K1509" s="15">
        <f>IF(OR(G1509="",F1509=""),"",(F1509*(1-Ayarlar!$B$6)-(F1509*(1-Ayarlar!$B$6)*Ayarlar!$B$7+Ayarlar!$B$8)-(G1509*Ayarlar!$B$3+Ayarlar!$B$4+Ayarlar!$B$5))/(F1509*(1-Ayarlar!$B$6)))</f>
        <v/>
      </c>
      <c r="L1509" s="3">
        <f>IF(G1509="","GRAM EKSİK",IF(F1509&gt;30000,"FİYAT ŞÜPHELİ",IF(K1509&lt;0,"ZARARDA",IF(F1509&lt;I1509,"RİSKLİ","ok"))))</f>
        <v/>
      </c>
      <c r="M1509" s="16" t="inlineStr">
        <is>
          <t>https://www.etsy.com/listing/1717808152</t>
        </is>
      </c>
    </row>
    <row r="1510">
      <c r="A1510" s="9" t="inlineStr">
        <is>
          <t>protection</t>
        </is>
      </c>
      <c r="B1510" s="9" t="inlineStr">
        <is>
          <t>10K Gold Hamsa Pendant Necklace / CZ Stone Evil Eye, Rope Ch</t>
        </is>
      </c>
      <c r="C1510" s="9" t="n">
        <v>1717808152</v>
      </c>
      <c r="D1510" s="9" t="inlineStr">
        <is>
          <t>PHSBL1-35-20</t>
        </is>
      </c>
      <c r="E1510" s="9" t="inlineStr">
        <is>
          <t>description</t>
        </is>
      </c>
      <c r="F1510" s="10" t="n">
        <v>1319</v>
      </c>
      <c r="G1510" s="18" t="n">
        <v>7.39</v>
      </c>
      <c r="H1510" s="10">
        <f>IF(G1510="","",G1510*Ayarlar!$B$3+Ayarlar!$B$4+Ayarlar!$B$5)</f>
        <v/>
      </c>
      <c r="I1510" s="10">
        <f>IF(G1510="","",ROUNDUP(((G1510*Ayarlar!$B$3+Ayarlar!$B$4+Ayarlar!$B$5)+Ayarlar!$B$8)/((1-Ayarlar!$B$6)*(1-Ayarlar!$B$7)),0))</f>
        <v/>
      </c>
      <c r="J1510" s="10">
        <f>IF(G1510="","",ROUNDUP(((G1510*Ayarlar!$B$3+Ayarlar!$B$4+Ayarlar!$B$5)+Ayarlar!$B$8)/((1-Ayarlar!$B$6)*(1-Ayarlar!$B$7-Ayarlar!$B$9)),0))</f>
        <v/>
      </c>
      <c r="K1510" s="12">
        <f>IF(OR(G1510="",F1510=""),"",(F1510*(1-Ayarlar!$B$6)-(F1510*(1-Ayarlar!$B$6)*Ayarlar!$B$7+Ayarlar!$B$8)-(G1510*Ayarlar!$B$3+Ayarlar!$B$4+Ayarlar!$B$5))/(F1510*(1-Ayarlar!$B$6)))</f>
        <v/>
      </c>
      <c r="L1510" s="9">
        <f>IF(G1510="","GRAM EKSİK",IF(F1510&gt;30000,"FİYAT ŞÜPHELİ",IF(K1510&lt;0,"ZARARDA",IF(F1510&lt;I1510,"RİSKLİ","ok"))))</f>
        <v/>
      </c>
      <c r="M1510" s="13" t="inlineStr">
        <is>
          <t>https://www.etsy.com/listing/1717808152</t>
        </is>
      </c>
    </row>
    <row r="1511">
      <c r="A1511" s="3" t="inlineStr">
        <is>
          <t>protection</t>
        </is>
      </c>
      <c r="B1511" s="3" t="inlineStr">
        <is>
          <t>10K Gold Hamsa Pendant Necklace / CZ Stone Evil Eye, Rope Ch</t>
        </is>
      </c>
      <c r="C1511" s="3" t="n">
        <v>1717808152</v>
      </c>
      <c r="D1511" s="3" t="inlineStr">
        <is>
          <t>PHSBL1-35-22</t>
        </is>
      </c>
      <c r="E1511" s="3" t="inlineStr">
        <is>
          <t>description</t>
        </is>
      </c>
      <c r="F1511" s="14" t="n">
        <v>1409</v>
      </c>
      <c r="G1511" s="17" t="n">
        <v>7.9</v>
      </c>
      <c r="H1511" s="14">
        <f>IF(G1511="","",G1511*Ayarlar!$B$3+Ayarlar!$B$4+Ayarlar!$B$5)</f>
        <v/>
      </c>
      <c r="I1511" s="14">
        <f>IF(G1511="","",ROUNDUP(((G1511*Ayarlar!$B$3+Ayarlar!$B$4+Ayarlar!$B$5)+Ayarlar!$B$8)/((1-Ayarlar!$B$6)*(1-Ayarlar!$B$7)),0))</f>
        <v/>
      </c>
      <c r="J1511" s="14">
        <f>IF(G1511="","",ROUNDUP(((G1511*Ayarlar!$B$3+Ayarlar!$B$4+Ayarlar!$B$5)+Ayarlar!$B$8)/((1-Ayarlar!$B$6)*(1-Ayarlar!$B$7-Ayarlar!$B$9)),0))</f>
        <v/>
      </c>
      <c r="K1511" s="15">
        <f>IF(OR(G1511="",F1511=""),"",(F1511*(1-Ayarlar!$B$6)-(F1511*(1-Ayarlar!$B$6)*Ayarlar!$B$7+Ayarlar!$B$8)-(G1511*Ayarlar!$B$3+Ayarlar!$B$4+Ayarlar!$B$5))/(F1511*(1-Ayarlar!$B$6)))</f>
        <v/>
      </c>
      <c r="L1511" s="3">
        <f>IF(G1511="","GRAM EKSİK",IF(F1511&gt;30000,"FİYAT ŞÜPHELİ",IF(K1511&lt;0,"ZARARDA",IF(F1511&lt;I1511,"RİSKLİ","ok"))))</f>
        <v/>
      </c>
      <c r="M1511" s="16" t="inlineStr">
        <is>
          <t>https://www.etsy.com/listing/1717808152</t>
        </is>
      </c>
    </row>
    <row r="1512">
      <c r="A1512" s="9" t="inlineStr">
        <is>
          <t>protection</t>
        </is>
      </c>
      <c r="B1512" s="9" t="inlineStr">
        <is>
          <t>10K Gold Hamsa Pendant Necklace / CZ Stone Evil Eye, Rope Ch</t>
        </is>
      </c>
      <c r="C1512" s="9" t="n">
        <v>1717808152</v>
      </c>
      <c r="D1512" s="9" t="inlineStr">
        <is>
          <t>PHSBL1-35-24</t>
        </is>
      </c>
      <c r="E1512" s="9" t="inlineStr">
        <is>
          <t>description</t>
        </is>
      </c>
      <c r="F1512" s="10" t="n">
        <v>1499</v>
      </c>
      <c r="G1512" s="18" t="n">
        <v>8.41</v>
      </c>
      <c r="H1512" s="10">
        <f>IF(G1512="","",G1512*Ayarlar!$B$3+Ayarlar!$B$4+Ayarlar!$B$5)</f>
        <v/>
      </c>
      <c r="I1512" s="10">
        <f>IF(G1512="","",ROUNDUP(((G1512*Ayarlar!$B$3+Ayarlar!$B$4+Ayarlar!$B$5)+Ayarlar!$B$8)/((1-Ayarlar!$B$6)*(1-Ayarlar!$B$7)),0))</f>
        <v/>
      </c>
      <c r="J1512" s="10">
        <f>IF(G1512="","",ROUNDUP(((G1512*Ayarlar!$B$3+Ayarlar!$B$4+Ayarlar!$B$5)+Ayarlar!$B$8)/((1-Ayarlar!$B$6)*(1-Ayarlar!$B$7-Ayarlar!$B$9)),0))</f>
        <v/>
      </c>
      <c r="K1512" s="12">
        <f>IF(OR(G1512="",F1512=""),"",(F1512*(1-Ayarlar!$B$6)-(F1512*(1-Ayarlar!$B$6)*Ayarlar!$B$7+Ayarlar!$B$8)-(G1512*Ayarlar!$B$3+Ayarlar!$B$4+Ayarlar!$B$5))/(F1512*(1-Ayarlar!$B$6)))</f>
        <v/>
      </c>
      <c r="L1512" s="9">
        <f>IF(G1512="","GRAM EKSİK",IF(F1512&gt;30000,"FİYAT ŞÜPHELİ",IF(K1512&lt;0,"ZARARDA",IF(F1512&lt;I1512,"RİSKLİ","ok"))))</f>
        <v/>
      </c>
      <c r="M1512" s="13" t="inlineStr">
        <is>
          <t>https://www.etsy.com/listing/1717808152</t>
        </is>
      </c>
    </row>
    <row r="1513">
      <c r="A1513" s="3" t="inlineStr">
        <is>
          <t>protection</t>
        </is>
      </c>
      <c r="B1513" s="3" t="inlineStr">
        <is>
          <t>10K Gold Hamsa Pendant Necklace / CZ Stone Evil Eye, Rope Ch</t>
        </is>
      </c>
      <c r="C1513" s="3" t="n">
        <v>1717808152</v>
      </c>
      <c r="D1513" s="3" t="inlineStr">
        <is>
          <t>PHSBL2-25-16</t>
        </is>
      </c>
      <c r="E1513" s="3" t="inlineStr">
        <is>
          <t>description</t>
        </is>
      </c>
      <c r="F1513" s="14" t="n">
        <v>997</v>
      </c>
      <c r="G1513" s="17" t="n">
        <v>5.57</v>
      </c>
      <c r="H1513" s="14">
        <f>IF(G1513="","",G1513*Ayarlar!$B$3+Ayarlar!$B$4+Ayarlar!$B$5)</f>
        <v/>
      </c>
      <c r="I1513" s="14">
        <f>IF(G1513="","",ROUNDUP(((G1513*Ayarlar!$B$3+Ayarlar!$B$4+Ayarlar!$B$5)+Ayarlar!$B$8)/((1-Ayarlar!$B$6)*(1-Ayarlar!$B$7)),0))</f>
        <v/>
      </c>
      <c r="J1513" s="14">
        <f>IF(G1513="","",ROUNDUP(((G1513*Ayarlar!$B$3+Ayarlar!$B$4+Ayarlar!$B$5)+Ayarlar!$B$8)/((1-Ayarlar!$B$6)*(1-Ayarlar!$B$7-Ayarlar!$B$9)),0))</f>
        <v/>
      </c>
      <c r="K1513" s="15">
        <f>IF(OR(G1513="",F1513=""),"",(F1513*(1-Ayarlar!$B$6)-(F1513*(1-Ayarlar!$B$6)*Ayarlar!$B$7+Ayarlar!$B$8)-(G1513*Ayarlar!$B$3+Ayarlar!$B$4+Ayarlar!$B$5))/(F1513*(1-Ayarlar!$B$6)))</f>
        <v/>
      </c>
      <c r="L1513" s="3">
        <f>IF(G1513="","GRAM EKSİK",IF(F1513&gt;30000,"FİYAT ŞÜPHELİ",IF(K1513&lt;0,"ZARARDA",IF(F1513&lt;I1513,"RİSKLİ","ok"))))</f>
        <v/>
      </c>
      <c r="M1513" s="16" t="inlineStr">
        <is>
          <t>https://www.etsy.com/listing/1717808152</t>
        </is>
      </c>
    </row>
    <row r="1514">
      <c r="A1514" s="9" t="inlineStr">
        <is>
          <t>protection</t>
        </is>
      </c>
      <c r="B1514" s="9" t="inlineStr">
        <is>
          <t>10K Gold Hamsa Pendant Necklace / CZ Stone Evil Eye, Rope Ch</t>
        </is>
      </c>
      <c r="C1514" s="9" t="n">
        <v>1717808152</v>
      </c>
      <c r="D1514" s="9" t="inlineStr">
        <is>
          <t>PHSBL2-25-18</t>
        </is>
      </c>
      <c r="E1514" s="9" t="inlineStr">
        <is>
          <t>description</t>
        </is>
      </c>
      <c r="F1514" s="10" t="n">
        <v>1047</v>
      </c>
      <c r="G1514" s="18" t="n">
        <v>5.85</v>
      </c>
      <c r="H1514" s="10">
        <f>IF(G1514="","",G1514*Ayarlar!$B$3+Ayarlar!$B$4+Ayarlar!$B$5)</f>
        <v/>
      </c>
      <c r="I1514" s="10">
        <f>IF(G1514="","",ROUNDUP(((G1514*Ayarlar!$B$3+Ayarlar!$B$4+Ayarlar!$B$5)+Ayarlar!$B$8)/((1-Ayarlar!$B$6)*(1-Ayarlar!$B$7)),0))</f>
        <v/>
      </c>
      <c r="J1514" s="10">
        <f>IF(G1514="","",ROUNDUP(((G1514*Ayarlar!$B$3+Ayarlar!$B$4+Ayarlar!$B$5)+Ayarlar!$B$8)/((1-Ayarlar!$B$6)*(1-Ayarlar!$B$7-Ayarlar!$B$9)),0))</f>
        <v/>
      </c>
      <c r="K1514" s="12">
        <f>IF(OR(G1514="",F1514=""),"",(F1514*(1-Ayarlar!$B$6)-(F1514*(1-Ayarlar!$B$6)*Ayarlar!$B$7+Ayarlar!$B$8)-(G1514*Ayarlar!$B$3+Ayarlar!$B$4+Ayarlar!$B$5))/(F1514*(1-Ayarlar!$B$6)))</f>
        <v/>
      </c>
      <c r="L1514" s="9">
        <f>IF(G1514="","GRAM EKSİK",IF(F1514&gt;30000,"FİYAT ŞÜPHELİ",IF(K1514&lt;0,"ZARARDA",IF(F1514&lt;I1514,"RİSKLİ","ok"))))</f>
        <v/>
      </c>
      <c r="M1514" s="13" t="inlineStr">
        <is>
          <t>https://www.etsy.com/listing/1717808152</t>
        </is>
      </c>
    </row>
    <row r="1515">
      <c r="A1515" s="3" t="inlineStr">
        <is>
          <t>protection</t>
        </is>
      </c>
      <c r="B1515" s="3" t="inlineStr">
        <is>
          <t>10K Gold Hamsa Pendant Necklace / CZ Stone Evil Eye, Rope Ch</t>
        </is>
      </c>
      <c r="C1515" s="3" t="n">
        <v>1717808152</v>
      </c>
      <c r="D1515" s="3" t="inlineStr">
        <is>
          <t>PHSBL2-25-20</t>
        </is>
      </c>
      <c r="E1515" s="3" t="inlineStr">
        <is>
          <t>description</t>
        </is>
      </c>
      <c r="F1515" s="14" t="n">
        <v>1094</v>
      </c>
      <c r="G1515" s="17" t="n">
        <v>6.12</v>
      </c>
      <c r="H1515" s="14">
        <f>IF(G1515="","",G1515*Ayarlar!$B$3+Ayarlar!$B$4+Ayarlar!$B$5)</f>
        <v/>
      </c>
      <c r="I1515" s="14">
        <f>IF(G1515="","",ROUNDUP(((G1515*Ayarlar!$B$3+Ayarlar!$B$4+Ayarlar!$B$5)+Ayarlar!$B$8)/((1-Ayarlar!$B$6)*(1-Ayarlar!$B$7)),0))</f>
        <v/>
      </c>
      <c r="J1515" s="14">
        <f>IF(G1515="","",ROUNDUP(((G1515*Ayarlar!$B$3+Ayarlar!$B$4+Ayarlar!$B$5)+Ayarlar!$B$8)/((1-Ayarlar!$B$6)*(1-Ayarlar!$B$7-Ayarlar!$B$9)),0))</f>
        <v/>
      </c>
      <c r="K1515" s="15">
        <f>IF(OR(G1515="",F1515=""),"",(F1515*(1-Ayarlar!$B$6)-(F1515*(1-Ayarlar!$B$6)*Ayarlar!$B$7+Ayarlar!$B$8)-(G1515*Ayarlar!$B$3+Ayarlar!$B$4+Ayarlar!$B$5))/(F1515*(1-Ayarlar!$B$6)))</f>
        <v/>
      </c>
      <c r="L1515" s="3">
        <f>IF(G1515="","GRAM EKSİK",IF(F1515&gt;30000,"FİYAT ŞÜPHELİ",IF(K1515&lt;0,"ZARARDA",IF(F1515&lt;I1515,"RİSKLİ","ok"))))</f>
        <v/>
      </c>
      <c r="M1515" s="16" t="inlineStr">
        <is>
          <t>https://www.etsy.com/listing/1717808152</t>
        </is>
      </c>
    </row>
    <row r="1516">
      <c r="A1516" s="9" t="inlineStr">
        <is>
          <t>protection</t>
        </is>
      </c>
      <c r="B1516" s="9" t="inlineStr">
        <is>
          <t>10K Gold Hamsa Pendant Necklace / CZ Stone Evil Eye, Rope Ch</t>
        </is>
      </c>
      <c r="C1516" s="9" t="n">
        <v>1717808152</v>
      </c>
      <c r="D1516" s="9" t="inlineStr">
        <is>
          <t>PHSBL2-25-22</t>
        </is>
      </c>
      <c r="E1516" s="9" t="inlineStr">
        <is>
          <t>description</t>
        </is>
      </c>
      <c r="F1516" s="10" t="n">
        <v>1144</v>
      </c>
      <c r="G1516" s="18" t="n">
        <v>6.4</v>
      </c>
      <c r="H1516" s="10">
        <f>IF(G1516="","",G1516*Ayarlar!$B$3+Ayarlar!$B$4+Ayarlar!$B$5)</f>
        <v/>
      </c>
      <c r="I1516" s="10">
        <f>IF(G1516="","",ROUNDUP(((G1516*Ayarlar!$B$3+Ayarlar!$B$4+Ayarlar!$B$5)+Ayarlar!$B$8)/((1-Ayarlar!$B$6)*(1-Ayarlar!$B$7)),0))</f>
        <v/>
      </c>
      <c r="J1516" s="10">
        <f>IF(G1516="","",ROUNDUP(((G1516*Ayarlar!$B$3+Ayarlar!$B$4+Ayarlar!$B$5)+Ayarlar!$B$8)/((1-Ayarlar!$B$6)*(1-Ayarlar!$B$7-Ayarlar!$B$9)),0))</f>
        <v/>
      </c>
      <c r="K1516" s="12">
        <f>IF(OR(G1516="",F1516=""),"",(F1516*(1-Ayarlar!$B$6)-(F1516*(1-Ayarlar!$B$6)*Ayarlar!$B$7+Ayarlar!$B$8)-(G1516*Ayarlar!$B$3+Ayarlar!$B$4+Ayarlar!$B$5))/(F1516*(1-Ayarlar!$B$6)))</f>
        <v/>
      </c>
      <c r="L1516" s="9">
        <f>IF(G1516="","GRAM EKSİK",IF(F1516&gt;30000,"FİYAT ŞÜPHELİ",IF(K1516&lt;0,"ZARARDA",IF(F1516&lt;I1516,"RİSKLİ","ok"))))</f>
        <v/>
      </c>
      <c r="M1516" s="13" t="inlineStr">
        <is>
          <t>https://www.etsy.com/listing/1717808152</t>
        </is>
      </c>
    </row>
    <row r="1517">
      <c r="A1517" s="3" t="inlineStr">
        <is>
          <t>protection</t>
        </is>
      </c>
      <c r="B1517" s="3" t="inlineStr">
        <is>
          <t>10K Gold Hamsa Pendant Necklace / CZ Stone Evil Eye, Rope Ch</t>
        </is>
      </c>
      <c r="C1517" s="3" t="n">
        <v>1717808152</v>
      </c>
      <c r="D1517" s="3" t="inlineStr">
        <is>
          <t>PHSBL2-25-24</t>
        </is>
      </c>
      <c r="E1517" s="3" t="inlineStr">
        <is>
          <t>description</t>
        </is>
      </c>
      <c r="F1517" s="14" t="n">
        <v>1192</v>
      </c>
      <c r="G1517" s="17" t="n">
        <v>6.67</v>
      </c>
      <c r="H1517" s="14">
        <f>IF(G1517="","",G1517*Ayarlar!$B$3+Ayarlar!$B$4+Ayarlar!$B$5)</f>
        <v/>
      </c>
      <c r="I1517" s="14">
        <f>IF(G1517="","",ROUNDUP(((G1517*Ayarlar!$B$3+Ayarlar!$B$4+Ayarlar!$B$5)+Ayarlar!$B$8)/((1-Ayarlar!$B$6)*(1-Ayarlar!$B$7)),0))</f>
        <v/>
      </c>
      <c r="J1517" s="14">
        <f>IF(G1517="","",ROUNDUP(((G1517*Ayarlar!$B$3+Ayarlar!$B$4+Ayarlar!$B$5)+Ayarlar!$B$8)/((1-Ayarlar!$B$6)*(1-Ayarlar!$B$7-Ayarlar!$B$9)),0))</f>
        <v/>
      </c>
      <c r="K1517" s="15">
        <f>IF(OR(G1517="",F1517=""),"",(F1517*(1-Ayarlar!$B$6)-(F1517*(1-Ayarlar!$B$6)*Ayarlar!$B$7+Ayarlar!$B$8)-(G1517*Ayarlar!$B$3+Ayarlar!$B$4+Ayarlar!$B$5))/(F1517*(1-Ayarlar!$B$6)))</f>
        <v/>
      </c>
      <c r="L1517" s="3">
        <f>IF(G1517="","GRAM EKSİK",IF(F1517&gt;30000,"FİYAT ŞÜPHELİ",IF(K1517&lt;0,"ZARARDA",IF(F1517&lt;I1517,"RİSKLİ","ok"))))</f>
        <v/>
      </c>
      <c r="M1517" s="16" t="inlineStr">
        <is>
          <t>https://www.etsy.com/listing/1717808152</t>
        </is>
      </c>
    </row>
    <row r="1518">
      <c r="A1518" s="9" t="inlineStr">
        <is>
          <t>protection</t>
        </is>
      </c>
      <c r="B1518" s="9" t="inlineStr">
        <is>
          <t>10K Gold Hamsa Pendant Necklace / CZ Stone Evil Eye, Rope Ch</t>
        </is>
      </c>
      <c r="C1518" s="9" t="n">
        <v>1717808152</v>
      </c>
      <c r="D1518" s="9" t="inlineStr">
        <is>
          <t>PHSBL2-3-16</t>
        </is>
      </c>
      <c r="E1518" s="9" t="inlineStr">
        <is>
          <t>description</t>
        </is>
      </c>
      <c r="F1518" s="10" t="n">
        <v>1117</v>
      </c>
      <c r="G1518" s="18" t="n">
        <v>6.25</v>
      </c>
      <c r="H1518" s="10">
        <f>IF(G1518="","",G1518*Ayarlar!$B$3+Ayarlar!$B$4+Ayarlar!$B$5)</f>
        <v/>
      </c>
      <c r="I1518" s="10">
        <f>IF(G1518="","",ROUNDUP(((G1518*Ayarlar!$B$3+Ayarlar!$B$4+Ayarlar!$B$5)+Ayarlar!$B$8)/((1-Ayarlar!$B$6)*(1-Ayarlar!$B$7)),0))</f>
        <v/>
      </c>
      <c r="J1518" s="10">
        <f>IF(G1518="","",ROUNDUP(((G1518*Ayarlar!$B$3+Ayarlar!$B$4+Ayarlar!$B$5)+Ayarlar!$B$8)/((1-Ayarlar!$B$6)*(1-Ayarlar!$B$7-Ayarlar!$B$9)),0))</f>
        <v/>
      </c>
      <c r="K1518" s="12">
        <f>IF(OR(G1518="",F1518=""),"",(F1518*(1-Ayarlar!$B$6)-(F1518*(1-Ayarlar!$B$6)*Ayarlar!$B$7+Ayarlar!$B$8)-(G1518*Ayarlar!$B$3+Ayarlar!$B$4+Ayarlar!$B$5))/(F1518*(1-Ayarlar!$B$6)))</f>
        <v/>
      </c>
      <c r="L1518" s="9">
        <f>IF(G1518="","GRAM EKSİK",IF(F1518&gt;30000,"FİYAT ŞÜPHELİ",IF(K1518&lt;0,"ZARARDA",IF(F1518&lt;I1518,"RİSKLİ","ok"))))</f>
        <v/>
      </c>
      <c r="M1518" s="13" t="inlineStr">
        <is>
          <t>https://www.etsy.com/listing/1717808152</t>
        </is>
      </c>
    </row>
    <row r="1519">
      <c r="A1519" s="3" t="inlineStr">
        <is>
          <t>protection</t>
        </is>
      </c>
      <c r="B1519" s="3" t="inlineStr">
        <is>
          <t>10K Gold Hamsa Pendant Necklace / CZ Stone Evil Eye, Rope Ch</t>
        </is>
      </c>
      <c r="C1519" s="3" t="n">
        <v>1717808152</v>
      </c>
      <c r="D1519" s="3" t="inlineStr">
        <is>
          <t>PHSBL2-3-18</t>
        </is>
      </c>
      <c r="E1519" s="3" t="inlineStr">
        <is>
          <t>description</t>
        </is>
      </c>
      <c r="F1519" s="14" t="n">
        <v>1181</v>
      </c>
      <c r="G1519" s="17" t="n">
        <v>6.61</v>
      </c>
      <c r="H1519" s="14">
        <f>IF(G1519="","",G1519*Ayarlar!$B$3+Ayarlar!$B$4+Ayarlar!$B$5)</f>
        <v/>
      </c>
      <c r="I1519" s="14">
        <f>IF(G1519="","",ROUNDUP(((G1519*Ayarlar!$B$3+Ayarlar!$B$4+Ayarlar!$B$5)+Ayarlar!$B$8)/((1-Ayarlar!$B$6)*(1-Ayarlar!$B$7)),0))</f>
        <v/>
      </c>
      <c r="J1519" s="14">
        <f>IF(G1519="","",ROUNDUP(((G1519*Ayarlar!$B$3+Ayarlar!$B$4+Ayarlar!$B$5)+Ayarlar!$B$8)/((1-Ayarlar!$B$6)*(1-Ayarlar!$B$7-Ayarlar!$B$9)),0))</f>
        <v/>
      </c>
      <c r="K1519" s="15">
        <f>IF(OR(G1519="",F1519=""),"",(F1519*(1-Ayarlar!$B$6)-(F1519*(1-Ayarlar!$B$6)*Ayarlar!$B$7+Ayarlar!$B$8)-(G1519*Ayarlar!$B$3+Ayarlar!$B$4+Ayarlar!$B$5))/(F1519*(1-Ayarlar!$B$6)))</f>
        <v/>
      </c>
      <c r="L1519" s="3">
        <f>IF(G1519="","GRAM EKSİK",IF(F1519&gt;30000,"FİYAT ŞÜPHELİ",IF(K1519&lt;0,"ZARARDA",IF(F1519&lt;I1519,"RİSKLİ","ok"))))</f>
        <v/>
      </c>
      <c r="M1519" s="16" t="inlineStr">
        <is>
          <t>https://www.etsy.com/listing/1717808152</t>
        </is>
      </c>
    </row>
    <row r="1520">
      <c r="A1520" s="9" t="inlineStr">
        <is>
          <t>protection</t>
        </is>
      </c>
      <c r="B1520" s="9" t="inlineStr">
        <is>
          <t>10K Gold Hamsa Pendant Necklace / CZ Stone Evil Eye, Rope Ch</t>
        </is>
      </c>
      <c r="C1520" s="9" t="n">
        <v>1717808152</v>
      </c>
      <c r="D1520" s="9" t="inlineStr">
        <is>
          <t>PHSBL2-3-20</t>
        </is>
      </c>
      <c r="E1520" s="9" t="inlineStr">
        <is>
          <t>description</t>
        </is>
      </c>
      <c r="F1520" s="10" t="n">
        <v>1245</v>
      </c>
      <c r="G1520" s="18" t="n">
        <v>6.97</v>
      </c>
      <c r="H1520" s="10">
        <f>IF(G1520="","",G1520*Ayarlar!$B$3+Ayarlar!$B$4+Ayarlar!$B$5)</f>
        <v/>
      </c>
      <c r="I1520" s="10">
        <f>IF(G1520="","",ROUNDUP(((G1520*Ayarlar!$B$3+Ayarlar!$B$4+Ayarlar!$B$5)+Ayarlar!$B$8)/((1-Ayarlar!$B$6)*(1-Ayarlar!$B$7)),0))</f>
        <v/>
      </c>
      <c r="J1520" s="10">
        <f>IF(G1520="","",ROUNDUP(((G1520*Ayarlar!$B$3+Ayarlar!$B$4+Ayarlar!$B$5)+Ayarlar!$B$8)/((1-Ayarlar!$B$6)*(1-Ayarlar!$B$7-Ayarlar!$B$9)),0))</f>
        <v/>
      </c>
      <c r="K1520" s="12">
        <f>IF(OR(G1520="",F1520=""),"",(F1520*(1-Ayarlar!$B$6)-(F1520*(1-Ayarlar!$B$6)*Ayarlar!$B$7+Ayarlar!$B$8)-(G1520*Ayarlar!$B$3+Ayarlar!$B$4+Ayarlar!$B$5))/(F1520*(1-Ayarlar!$B$6)))</f>
        <v/>
      </c>
      <c r="L1520" s="9">
        <f>IF(G1520="","GRAM EKSİK",IF(F1520&gt;30000,"FİYAT ŞÜPHELİ",IF(K1520&lt;0,"ZARARDA",IF(F1520&lt;I1520,"RİSKLİ","ok"))))</f>
        <v/>
      </c>
      <c r="M1520" s="13" t="inlineStr">
        <is>
          <t>https://www.etsy.com/listing/1717808152</t>
        </is>
      </c>
    </row>
    <row r="1521">
      <c r="A1521" s="3" t="inlineStr">
        <is>
          <t>protection</t>
        </is>
      </c>
      <c r="B1521" s="3" t="inlineStr">
        <is>
          <t>10K Gold Hamsa Pendant Necklace / CZ Stone Evil Eye, Rope Ch</t>
        </is>
      </c>
      <c r="C1521" s="3" t="n">
        <v>1717808152</v>
      </c>
      <c r="D1521" s="3" t="inlineStr">
        <is>
          <t>PHSBL2-3-22</t>
        </is>
      </c>
      <c r="E1521" s="3" t="inlineStr">
        <is>
          <t>description</t>
        </is>
      </c>
      <c r="F1521" s="14" t="n">
        <v>1308</v>
      </c>
      <c r="G1521" s="17" t="n">
        <v>7.33</v>
      </c>
      <c r="H1521" s="14">
        <f>IF(G1521="","",G1521*Ayarlar!$B$3+Ayarlar!$B$4+Ayarlar!$B$5)</f>
        <v/>
      </c>
      <c r="I1521" s="14">
        <f>IF(G1521="","",ROUNDUP(((G1521*Ayarlar!$B$3+Ayarlar!$B$4+Ayarlar!$B$5)+Ayarlar!$B$8)/((1-Ayarlar!$B$6)*(1-Ayarlar!$B$7)),0))</f>
        <v/>
      </c>
      <c r="J1521" s="14">
        <f>IF(G1521="","",ROUNDUP(((G1521*Ayarlar!$B$3+Ayarlar!$B$4+Ayarlar!$B$5)+Ayarlar!$B$8)/((1-Ayarlar!$B$6)*(1-Ayarlar!$B$7-Ayarlar!$B$9)),0))</f>
        <v/>
      </c>
      <c r="K1521" s="15">
        <f>IF(OR(G1521="",F1521=""),"",(F1521*(1-Ayarlar!$B$6)-(F1521*(1-Ayarlar!$B$6)*Ayarlar!$B$7+Ayarlar!$B$8)-(G1521*Ayarlar!$B$3+Ayarlar!$B$4+Ayarlar!$B$5))/(F1521*(1-Ayarlar!$B$6)))</f>
        <v/>
      </c>
      <c r="L1521" s="3">
        <f>IF(G1521="","GRAM EKSİK",IF(F1521&gt;30000,"FİYAT ŞÜPHELİ",IF(K1521&lt;0,"ZARARDA",IF(F1521&lt;I1521,"RİSKLİ","ok"))))</f>
        <v/>
      </c>
      <c r="M1521" s="16" t="inlineStr">
        <is>
          <t>https://www.etsy.com/listing/1717808152</t>
        </is>
      </c>
    </row>
    <row r="1522">
      <c r="A1522" s="9" t="inlineStr">
        <is>
          <t>protection</t>
        </is>
      </c>
      <c r="B1522" s="9" t="inlineStr">
        <is>
          <t>10K Gold Hamsa Pendant Necklace / CZ Stone Evil Eye, Rope Ch</t>
        </is>
      </c>
      <c r="C1522" s="9" t="n">
        <v>1717808152</v>
      </c>
      <c r="D1522" s="9" t="inlineStr">
        <is>
          <t>PHSBL2-3-24</t>
        </is>
      </c>
      <c r="E1522" s="9" t="inlineStr">
        <is>
          <t>description</t>
        </is>
      </c>
      <c r="F1522" s="10" t="n">
        <v>1372</v>
      </c>
      <c r="G1522" s="18" t="n">
        <v>7.69</v>
      </c>
      <c r="H1522" s="10">
        <f>IF(G1522="","",G1522*Ayarlar!$B$3+Ayarlar!$B$4+Ayarlar!$B$5)</f>
        <v/>
      </c>
      <c r="I1522" s="10">
        <f>IF(G1522="","",ROUNDUP(((G1522*Ayarlar!$B$3+Ayarlar!$B$4+Ayarlar!$B$5)+Ayarlar!$B$8)/((1-Ayarlar!$B$6)*(1-Ayarlar!$B$7)),0))</f>
        <v/>
      </c>
      <c r="J1522" s="10">
        <f>IF(G1522="","",ROUNDUP(((G1522*Ayarlar!$B$3+Ayarlar!$B$4+Ayarlar!$B$5)+Ayarlar!$B$8)/((1-Ayarlar!$B$6)*(1-Ayarlar!$B$7-Ayarlar!$B$9)),0))</f>
        <v/>
      </c>
      <c r="K1522" s="12">
        <f>IF(OR(G1522="",F1522=""),"",(F1522*(1-Ayarlar!$B$6)-(F1522*(1-Ayarlar!$B$6)*Ayarlar!$B$7+Ayarlar!$B$8)-(G1522*Ayarlar!$B$3+Ayarlar!$B$4+Ayarlar!$B$5))/(F1522*(1-Ayarlar!$B$6)))</f>
        <v/>
      </c>
      <c r="L1522" s="9">
        <f>IF(G1522="","GRAM EKSİK",IF(F1522&gt;30000,"FİYAT ŞÜPHELİ",IF(K1522&lt;0,"ZARARDA",IF(F1522&lt;I1522,"RİSKLİ","ok"))))</f>
        <v/>
      </c>
      <c r="M1522" s="13" t="inlineStr">
        <is>
          <t>https://www.etsy.com/listing/1717808152</t>
        </is>
      </c>
    </row>
    <row r="1523">
      <c r="A1523" s="3" t="inlineStr">
        <is>
          <t>protection</t>
        </is>
      </c>
      <c r="B1523" s="3" t="inlineStr">
        <is>
          <t>10K Gold Hamsa Pendant Necklace / CZ Stone Evil Eye, Rope Ch</t>
        </is>
      </c>
      <c r="C1523" s="3" t="n">
        <v>1717808152</v>
      </c>
      <c r="D1523" s="3" t="inlineStr">
        <is>
          <t>PHSBL2-35-16</t>
        </is>
      </c>
      <c r="E1523" s="3" t="inlineStr">
        <is>
          <t>description</t>
        </is>
      </c>
      <c r="F1523" s="14" t="n">
        <v>1333</v>
      </c>
      <c r="G1523" s="17" t="n">
        <v>7.47</v>
      </c>
      <c r="H1523" s="14">
        <f>IF(G1523="","",G1523*Ayarlar!$B$3+Ayarlar!$B$4+Ayarlar!$B$5)</f>
        <v/>
      </c>
      <c r="I1523" s="14">
        <f>IF(G1523="","",ROUNDUP(((G1523*Ayarlar!$B$3+Ayarlar!$B$4+Ayarlar!$B$5)+Ayarlar!$B$8)/((1-Ayarlar!$B$6)*(1-Ayarlar!$B$7)),0))</f>
        <v/>
      </c>
      <c r="J1523" s="14">
        <f>IF(G1523="","",ROUNDUP(((G1523*Ayarlar!$B$3+Ayarlar!$B$4+Ayarlar!$B$5)+Ayarlar!$B$8)/((1-Ayarlar!$B$6)*(1-Ayarlar!$B$7-Ayarlar!$B$9)),0))</f>
        <v/>
      </c>
      <c r="K1523" s="15">
        <f>IF(OR(G1523="",F1523=""),"",(F1523*(1-Ayarlar!$B$6)-(F1523*(1-Ayarlar!$B$6)*Ayarlar!$B$7+Ayarlar!$B$8)-(G1523*Ayarlar!$B$3+Ayarlar!$B$4+Ayarlar!$B$5))/(F1523*(1-Ayarlar!$B$6)))</f>
        <v/>
      </c>
      <c r="L1523" s="3">
        <f>IF(G1523="","GRAM EKSİK",IF(F1523&gt;30000,"FİYAT ŞÜPHELİ",IF(K1523&lt;0,"ZARARDA",IF(F1523&lt;I1523,"RİSKLİ","ok"))))</f>
        <v/>
      </c>
      <c r="M1523" s="16" t="inlineStr">
        <is>
          <t>https://www.etsy.com/listing/1717808152</t>
        </is>
      </c>
    </row>
    <row r="1524">
      <c r="A1524" s="9" t="inlineStr">
        <is>
          <t>protection</t>
        </is>
      </c>
      <c r="B1524" s="9" t="inlineStr">
        <is>
          <t>10K Gold Hamsa Pendant Necklace / CZ Stone Evil Eye, Rope Ch</t>
        </is>
      </c>
      <c r="C1524" s="9" t="n">
        <v>1717808152</v>
      </c>
      <c r="D1524" s="9" t="inlineStr">
        <is>
          <t>PHSBL2-35-18</t>
        </is>
      </c>
      <c r="E1524" s="9" t="inlineStr">
        <is>
          <t>description</t>
        </is>
      </c>
      <c r="F1524" s="10" t="n">
        <v>1423</v>
      </c>
      <c r="G1524" s="18" t="n">
        <v>7.98</v>
      </c>
      <c r="H1524" s="10">
        <f>IF(G1524="","",G1524*Ayarlar!$B$3+Ayarlar!$B$4+Ayarlar!$B$5)</f>
        <v/>
      </c>
      <c r="I1524" s="10">
        <f>IF(G1524="","",ROUNDUP(((G1524*Ayarlar!$B$3+Ayarlar!$B$4+Ayarlar!$B$5)+Ayarlar!$B$8)/((1-Ayarlar!$B$6)*(1-Ayarlar!$B$7)),0))</f>
        <v/>
      </c>
      <c r="J1524" s="10">
        <f>IF(G1524="","",ROUNDUP(((G1524*Ayarlar!$B$3+Ayarlar!$B$4+Ayarlar!$B$5)+Ayarlar!$B$8)/((1-Ayarlar!$B$6)*(1-Ayarlar!$B$7-Ayarlar!$B$9)),0))</f>
        <v/>
      </c>
      <c r="K1524" s="12">
        <f>IF(OR(G1524="",F1524=""),"",(F1524*(1-Ayarlar!$B$6)-(F1524*(1-Ayarlar!$B$6)*Ayarlar!$B$7+Ayarlar!$B$8)-(G1524*Ayarlar!$B$3+Ayarlar!$B$4+Ayarlar!$B$5))/(F1524*(1-Ayarlar!$B$6)))</f>
        <v/>
      </c>
      <c r="L1524" s="9">
        <f>IF(G1524="","GRAM EKSİK",IF(F1524&gt;30000,"FİYAT ŞÜPHELİ",IF(K1524&lt;0,"ZARARDA",IF(F1524&lt;I1524,"RİSKLİ","ok"))))</f>
        <v/>
      </c>
      <c r="M1524" s="13" t="inlineStr">
        <is>
          <t>https://www.etsy.com/listing/1717808152</t>
        </is>
      </c>
    </row>
    <row r="1525">
      <c r="A1525" s="3" t="inlineStr">
        <is>
          <t>protection</t>
        </is>
      </c>
      <c r="B1525" s="3" t="inlineStr">
        <is>
          <t>10K Gold Hamsa Pendant Necklace / CZ Stone Evil Eye, Rope Ch</t>
        </is>
      </c>
      <c r="C1525" s="3" t="n">
        <v>1717808152</v>
      </c>
      <c r="D1525" s="3" t="inlineStr">
        <is>
          <t>PHSBL2-35-20</t>
        </is>
      </c>
      <c r="E1525" s="3" t="inlineStr">
        <is>
          <t>description</t>
        </is>
      </c>
      <c r="F1525" s="14" t="n">
        <v>1514</v>
      </c>
      <c r="G1525" s="17" t="n">
        <v>8.49</v>
      </c>
      <c r="H1525" s="14">
        <f>IF(G1525="","",G1525*Ayarlar!$B$3+Ayarlar!$B$4+Ayarlar!$B$5)</f>
        <v/>
      </c>
      <c r="I1525" s="14">
        <f>IF(G1525="","",ROUNDUP(((G1525*Ayarlar!$B$3+Ayarlar!$B$4+Ayarlar!$B$5)+Ayarlar!$B$8)/((1-Ayarlar!$B$6)*(1-Ayarlar!$B$7)),0))</f>
        <v/>
      </c>
      <c r="J1525" s="14">
        <f>IF(G1525="","",ROUNDUP(((G1525*Ayarlar!$B$3+Ayarlar!$B$4+Ayarlar!$B$5)+Ayarlar!$B$8)/((1-Ayarlar!$B$6)*(1-Ayarlar!$B$7-Ayarlar!$B$9)),0))</f>
        <v/>
      </c>
      <c r="K1525" s="15">
        <f>IF(OR(G1525="",F1525=""),"",(F1525*(1-Ayarlar!$B$6)-(F1525*(1-Ayarlar!$B$6)*Ayarlar!$B$7+Ayarlar!$B$8)-(G1525*Ayarlar!$B$3+Ayarlar!$B$4+Ayarlar!$B$5))/(F1525*(1-Ayarlar!$B$6)))</f>
        <v/>
      </c>
      <c r="L1525" s="3">
        <f>IF(G1525="","GRAM EKSİK",IF(F1525&gt;30000,"FİYAT ŞÜPHELİ",IF(K1525&lt;0,"ZARARDA",IF(F1525&lt;I1525,"RİSKLİ","ok"))))</f>
        <v/>
      </c>
      <c r="M1525" s="16" t="inlineStr">
        <is>
          <t>https://www.etsy.com/listing/1717808152</t>
        </is>
      </c>
    </row>
    <row r="1526">
      <c r="A1526" s="9" t="inlineStr">
        <is>
          <t>protection</t>
        </is>
      </c>
      <c r="B1526" s="9" t="inlineStr">
        <is>
          <t>10K Gold Hamsa Pendant Necklace / CZ Stone Evil Eye, Rope Ch</t>
        </is>
      </c>
      <c r="C1526" s="9" t="n">
        <v>1717808152</v>
      </c>
      <c r="D1526" s="9" t="inlineStr">
        <is>
          <t>PHSBL2-35-22</t>
        </is>
      </c>
      <c r="E1526" s="9" t="inlineStr">
        <is>
          <t>description</t>
        </is>
      </c>
      <c r="F1526" s="10" t="n">
        <v>1604</v>
      </c>
      <c r="G1526" s="18" t="n">
        <v>9</v>
      </c>
      <c r="H1526" s="10">
        <f>IF(G1526="","",G1526*Ayarlar!$B$3+Ayarlar!$B$4+Ayarlar!$B$5)</f>
        <v/>
      </c>
      <c r="I1526" s="10">
        <f>IF(G1526="","",ROUNDUP(((G1526*Ayarlar!$B$3+Ayarlar!$B$4+Ayarlar!$B$5)+Ayarlar!$B$8)/((1-Ayarlar!$B$6)*(1-Ayarlar!$B$7)),0))</f>
        <v/>
      </c>
      <c r="J1526" s="10">
        <f>IF(G1526="","",ROUNDUP(((G1526*Ayarlar!$B$3+Ayarlar!$B$4+Ayarlar!$B$5)+Ayarlar!$B$8)/((1-Ayarlar!$B$6)*(1-Ayarlar!$B$7-Ayarlar!$B$9)),0))</f>
        <v/>
      </c>
      <c r="K1526" s="12">
        <f>IF(OR(G1526="",F1526=""),"",(F1526*(1-Ayarlar!$B$6)-(F1526*(1-Ayarlar!$B$6)*Ayarlar!$B$7+Ayarlar!$B$8)-(G1526*Ayarlar!$B$3+Ayarlar!$B$4+Ayarlar!$B$5))/(F1526*(1-Ayarlar!$B$6)))</f>
        <v/>
      </c>
      <c r="L1526" s="9">
        <f>IF(G1526="","GRAM EKSİK",IF(F1526&gt;30000,"FİYAT ŞÜPHELİ",IF(K1526&lt;0,"ZARARDA",IF(F1526&lt;I1526,"RİSKLİ","ok"))))</f>
        <v/>
      </c>
      <c r="M1526" s="13" t="inlineStr">
        <is>
          <t>https://www.etsy.com/listing/1717808152</t>
        </is>
      </c>
    </row>
    <row r="1527">
      <c r="A1527" s="3" t="inlineStr">
        <is>
          <t>protection</t>
        </is>
      </c>
      <c r="B1527" s="3" t="inlineStr">
        <is>
          <t>10K Gold Hamsa Pendant Necklace / CZ Stone Evil Eye, Rope Ch</t>
        </is>
      </c>
      <c r="C1527" s="3" t="n">
        <v>1717808152</v>
      </c>
      <c r="D1527" s="3" t="inlineStr">
        <is>
          <t>PHSBL2-35-24</t>
        </is>
      </c>
      <c r="E1527" s="3" t="inlineStr">
        <is>
          <t>description</t>
        </is>
      </c>
      <c r="F1527" s="14" t="n">
        <v>1694</v>
      </c>
      <c r="G1527" s="17" t="n">
        <v>9.51</v>
      </c>
      <c r="H1527" s="14">
        <f>IF(G1527="","",G1527*Ayarlar!$B$3+Ayarlar!$B$4+Ayarlar!$B$5)</f>
        <v/>
      </c>
      <c r="I1527" s="14">
        <f>IF(G1527="","",ROUNDUP(((G1527*Ayarlar!$B$3+Ayarlar!$B$4+Ayarlar!$B$5)+Ayarlar!$B$8)/((1-Ayarlar!$B$6)*(1-Ayarlar!$B$7)),0))</f>
        <v/>
      </c>
      <c r="J1527" s="14">
        <f>IF(G1527="","",ROUNDUP(((G1527*Ayarlar!$B$3+Ayarlar!$B$4+Ayarlar!$B$5)+Ayarlar!$B$8)/((1-Ayarlar!$B$6)*(1-Ayarlar!$B$7-Ayarlar!$B$9)),0))</f>
        <v/>
      </c>
      <c r="K1527" s="15">
        <f>IF(OR(G1527="",F1527=""),"",(F1527*(1-Ayarlar!$B$6)-(F1527*(1-Ayarlar!$B$6)*Ayarlar!$B$7+Ayarlar!$B$8)-(G1527*Ayarlar!$B$3+Ayarlar!$B$4+Ayarlar!$B$5))/(F1527*(1-Ayarlar!$B$6)))</f>
        <v/>
      </c>
      <c r="L1527" s="3">
        <f>IF(G1527="","GRAM EKSİK",IF(F1527&gt;30000,"FİYAT ŞÜPHELİ",IF(K1527&lt;0,"ZARARDA",IF(F1527&lt;I1527,"RİSKLİ","ok"))))</f>
        <v/>
      </c>
      <c r="M1527" s="16" t="inlineStr">
        <is>
          <t>https://www.etsy.com/listing/1717808152</t>
        </is>
      </c>
    </row>
    <row r="1528">
      <c r="A1528" s="9" t="inlineStr">
        <is>
          <t>protection</t>
        </is>
      </c>
      <c r="B1528" s="9" t="inlineStr">
        <is>
          <t>10K Gold Hamsa Pendant Necklace / CZ Stone Evil Eye, Rope Ch</t>
        </is>
      </c>
      <c r="C1528" s="9" t="n">
        <v>1717808152</v>
      </c>
      <c r="D1528" s="9" t="inlineStr">
        <is>
          <t>PHSBL3-25-16</t>
        </is>
      </c>
      <c r="E1528" s="9" t="inlineStr">
        <is>
          <t>description</t>
        </is>
      </c>
      <c r="F1528" s="10" t="n">
        <v>1241</v>
      </c>
      <c r="G1528" s="18" t="n">
        <v>6.95</v>
      </c>
      <c r="H1528" s="10">
        <f>IF(G1528="","",G1528*Ayarlar!$B$3+Ayarlar!$B$4+Ayarlar!$B$5)</f>
        <v/>
      </c>
      <c r="I1528" s="10">
        <f>IF(G1528="","",ROUNDUP(((G1528*Ayarlar!$B$3+Ayarlar!$B$4+Ayarlar!$B$5)+Ayarlar!$B$8)/((1-Ayarlar!$B$6)*(1-Ayarlar!$B$7)),0))</f>
        <v/>
      </c>
      <c r="J1528" s="10">
        <f>IF(G1528="","",ROUNDUP(((G1528*Ayarlar!$B$3+Ayarlar!$B$4+Ayarlar!$B$5)+Ayarlar!$B$8)/((1-Ayarlar!$B$6)*(1-Ayarlar!$B$7-Ayarlar!$B$9)),0))</f>
        <v/>
      </c>
      <c r="K1528" s="12">
        <f>IF(OR(G1528="",F1528=""),"",(F1528*(1-Ayarlar!$B$6)-(F1528*(1-Ayarlar!$B$6)*Ayarlar!$B$7+Ayarlar!$B$8)-(G1528*Ayarlar!$B$3+Ayarlar!$B$4+Ayarlar!$B$5))/(F1528*(1-Ayarlar!$B$6)))</f>
        <v/>
      </c>
      <c r="L1528" s="9">
        <f>IF(G1528="","GRAM EKSİK",IF(F1528&gt;30000,"FİYAT ŞÜPHELİ",IF(K1528&lt;0,"ZARARDA",IF(F1528&lt;I1528,"RİSKLİ","ok"))))</f>
        <v/>
      </c>
      <c r="M1528" s="13" t="inlineStr">
        <is>
          <t>https://www.etsy.com/listing/1717808152</t>
        </is>
      </c>
    </row>
    <row r="1529">
      <c r="A1529" s="3" t="inlineStr">
        <is>
          <t>protection</t>
        </is>
      </c>
      <c r="B1529" s="3" t="inlineStr">
        <is>
          <t>10K Gold Hamsa Pendant Necklace / CZ Stone Evil Eye, Rope Ch</t>
        </is>
      </c>
      <c r="C1529" s="3" t="n">
        <v>1717808152</v>
      </c>
      <c r="D1529" s="3" t="inlineStr">
        <is>
          <t>PHSBL3-25-18</t>
        </is>
      </c>
      <c r="E1529" s="3" t="inlineStr">
        <is>
          <t>description</t>
        </is>
      </c>
      <c r="F1529" s="14" t="n">
        <v>1291</v>
      </c>
      <c r="G1529" s="17" t="n">
        <v>7.23</v>
      </c>
      <c r="H1529" s="14">
        <f>IF(G1529="","",G1529*Ayarlar!$B$3+Ayarlar!$B$4+Ayarlar!$B$5)</f>
        <v/>
      </c>
      <c r="I1529" s="14">
        <f>IF(G1529="","",ROUNDUP(((G1529*Ayarlar!$B$3+Ayarlar!$B$4+Ayarlar!$B$5)+Ayarlar!$B$8)/((1-Ayarlar!$B$6)*(1-Ayarlar!$B$7)),0))</f>
        <v/>
      </c>
      <c r="J1529" s="14">
        <f>IF(G1529="","",ROUNDUP(((G1529*Ayarlar!$B$3+Ayarlar!$B$4+Ayarlar!$B$5)+Ayarlar!$B$8)/((1-Ayarlar!$B$6)*(1-Ayarlar!$B$7-Ayarlar!$B$9)),0))</f>
        <v/>
      </c>
      <c r="K1529" s="15">
        <f>IF(OR(G1529="",F1529=""),"",(F1529*(1-Ayarlar!$B$6)-(F1529*(1-Ayarlar!$B$6)*Ayarlar!$B$7+Ayarlar!$B$8)-(G1529*Ayarlar!$B$3+Ayarlar!$B$4+Ayarlar!$B$5))/(F1529*(1-Ayarlar!$B$6)))</f>
        <v/>
      </c>
      <c r="L1529" s="3">
        <f>IF(G1529="","GRAM EKSİK",IF(F1529&gt;30000,"FİYAT ŞÜPHELİ",IF(K1529&lt;0,"ZARARDA",IF(F1529&lt;I1529,"RİSKLİ","ok"))))</f>
        <v/>
      </c>
      <c r="M1529" s="16" t="inlineStr">
        <is>
          <t>https://www.etsy.com/listing/1717808152</t>
        </is>
      </c>
    </row>
    <row r="1530">
      <c r="A1530" s="9" t="inlineStr">
        <is>
          <t>protection</t>
        </is>
      </c>
      <c r="B1530" s="9" t="inlineStr">
        <is>
          <t>10K Gold Hamsa Pendant Necklace / CZ Stone Evil Eye, Rope Ch</t>
        </is>
      </c>
      <c r="C1530" s="9" t="n">
        <v>1717808152</v>
      </c>
      <c r="D1530" s="9" t="inlineStr">
        <is>
          <t>PHSBL3-25-20</t>
        </is>
      </c>
      <c r="E1530" s="9" t="inlineStr">
        <is>
          <t>description</t>
        </is>
      </c>
      <c r="F1530" s="10" t="n">
        <v>1338</v>
      </c>
      <c r="G1530" s="18" t="n">
        <v>7.5</v>
      </c>
      <c r="H1530" s="10">
        <f>IF(G1530="","",G1530*Ayarlar!$B$3+Ayarlar!$B$4+Ayarlar!$B$5)</f>
        <v/>
      </c>
      <c r="I1530" s="10">
        <f>IF(G1530="","",ROUNDUP(((G1530*Ayarlar!$B$3+Ayarlar!$B$4+Ayarlar!$B$5)+Ayarlar!$B$8)/((1-Ayarlar!$B$6)*(1-Ayarlar!$B$7)),0))</f>
        <v/>
      </c>
      <c r="J1530" s="10">
        <f>IF(G1530="","",ROUNDUP(((G1530*Ayarlar!$B$3+Ayarlar!$B$4+Ayarlar!$B$5)+Ayarlar!$B$8)/((1-Ayarlar!$B$6)*(1-Ayarlar!$B$7-Ayarlar!$B$9)),0))</f>
        <v/>
      </c>
      <c r="K1530" s="12">
        <f>IF(OR(G1530="",F1530=""),"",(F1530*(1-Ayarlar!$B$6)-(F1530*(1-Ayarlar!$B$6)*Ayarlar!$B$7+Ayarlar!$B$8)-(G1530*Ayarlar!$B$3+Ayarlar!$B$4+Ayarlar!$B$5))/(F1530*(1-Ayarlar!$B$6)))</f>
        <v/>
      </c>
      <c r="L1530" s="9">
        <f>IF(G1530="","GRAM EKSİK",IF(F1530&gt;30000,"FİYAT ŞÜPHELİ",IF(K1530&lt;0,"ZARARDA",IF(F1530&lt;I1530,"RİSKLİ","ok"))))</f>
        <v/>
      </c>
      <c r="M1530" s="13" t="inlineStr">
        <is>
          <t>https://www.etsy.com/listing/1717808152</t>
        </is>
      </c>
    </row>
    <row r="1531">
      <c r="A1531" s="3" t="inlineStr">
        <is>
          <t>protection</t>
        </is>
      </c>
      <c r="B1531" s="3" t="inlineStr">
        <is>
          <t>10K Gold Hamsa Pendant Necklace / CZ Stone Evil Eye, Rope Ch</t>
        </is>
      </c>
      <c r="C1531" s="3" t="n">
        <v>1717808152</v>
      </c>
      <c r="D1531" s="3" t="inlineStr">
        <is>
          <t>PHSBL3-25-22</t>
        </is>
      </c>
      <c r="E1531" s="3" t="inlineStr">
        <is>
          <t>description</t>
        </is>
      </c>
      <c r="F1531" s="14" t="n">
        <v>1388</v>
      </c>
      <c r="G1531" s="17" t="n">
        <v>7.78</v>
      </c>
      <c r="H1531" s="14">
        <f>IF(G1531="","",G1531*Ayarlar!$B$3+Ayarlar!$B$4+Ayarlar!$B$5)</f>
        <v/>
      </c>
      <c r="I1531" s="14">
        <f>IF(G1531="","",ROUNDUP(((G1531*Ayarlar!$B$3+Ayarlar!$B$4+Ayarlar!$B$5)+Ayarlar!$B$8)/((1-Ayarlar!$B$6)*(1-Ayarlar!$B$7)),0))</f>
        <v/>
      </c>
      <c r="J1531" s="14">
        <f>IF(G1531="","",ROUNDUP(((G1531*Ayarlar!$B$3+Ayarlar!$B$4+Ayarlar!$B$5)+Ayarlar!$B$8)/((1-Ayarlar!$B$6)*(1-Ayarlar!$B$7-Ayarlar!$B$9)),0))</f>
        <v/>
      </c>
      <c r="K1531" s="15">
        <f>IF(OR(G1531="",F1531=""),"",(F1531*(1-Ayarlar!$B$6)-(F1531*(1-Ayarlar!$B$6)*Ayarlar!$B$7+Ayarlar!$B$8)-(G1531*Ayarlar!$B$3+Ayarlar!$B$4+Ayarlar!$B$5))/(F1531*(1-Ayarlar!$B$6)))</f>
        <v/>
      </c>
      <c r="L1531" s="3">
        <f>IF(G1531="","GRAM EKSİK",IF(F1531&gt;30000,"FİYAT ŞÜPHELİ",IF(K1531&lt;0,"ZARARDA",IF(F1531&lt;I1531,"RİSKLİ","ok"))))</f>
        <v/>
      </c>
      <c r="M1531" s="16" t="inlineStr">
        <is>
          <t>https://www.etsy.com/listing/1717808152</t>
        </is>
      </c>
    </row>
    <row r="1532">
      <c r="A1532" s="9" t="inlineStr">
        <is>
          <t>protection</t>
        </is>
      </c>
      <c r="B1532" s="9" t="inlineStr">
        <is>
          <t>10K Gold Hamsa Pendant Necklace / CZ Stone Evil Eye, Rope Ch</t>
        </is>
      </c>
      <c r="C1532" s="9" t="n">
        <v>1717808152</v>
      </c>
      <c r="D1532" s="9" t="inlineStr">
        <is>
          <t>PHSBL3-25-24</t>
        </is>
      </c>
      <c r="E1532" s="9" t="inlineStr">
        <is>
          <t>description</t>
        </is>
      </c>
      <c r="F1532" s="10" t="n">
        <v>1436</v>
      </c>
      <c r="G1532" s="18" t="n">
        <v>8.050000000000001</v>
      </c>
      <c r="H1532" s="10">
        <f>IF(G1532="","",G1532*Ayarlar!$B$3+Ayarlar!$B$4+Ayarlar!$B$5)</f>
        <v/>
      </c>
      <c r="I1532" s="10">
        <f>IF(G1532="","",ROUNDUP(((G1532*Ayarlar!$B$3+Ayarlar!$B$4+Ayarlar!$B$5)+Ayarlar!$B$8)/((1-Ayarlar!$B$6)*(1-Ayarlar!$B$7)),0))</f>
        <v/>
      </c>
      <c r="J1532" s="10">
        <f>IF(G1532="","",ROUNDUP(((G1532*Ayarlar!$B$3+Ayarlar!$B$4+Ayarlar!$B$5)+Ayarlar!$B$8)/((1-Ayarlar!$B$6)*(1-Ayarlar!$B$7-Ayarlar!$B$9)),0))</f>
        <v/>
      </c>
      <c r="K1532" s="12">
        <f>IF(OR(G1532="",F1532=""),"",(F1532*(1-Ayarlar!$B$6)-(F1532*(1-Ayarlar!$B$6)*Ayarlar!$B$7+Ayarlar!$B$8)-(G1532*Ayarlar!$B$3+Ayarlar!$B$4+Ayarlar!$B$5))/(F1532*(1-Ayarlar!$B$6)))</f>
        <v/>
      </c>
      <c r="L1532" s="9">
        <f>IF(G1532="","GRAM EKSİK",IF(F1532&gt;30000,"FİYAT ŞÜPHELİ",IF(K1532&lt;0,"ZARARDA",IF(F1532&lt;I1532,"RİSKLİ","ok"))))</f>
        <v/>
      </c>
      <c r="M1532" s="13" t="inlineStr">
        <is>
          <t>https://www.etsy.com/listing/1717808152</t>
        </is>
      </c>
    </row>
    <row r="1533">
      <c r="A1533" s="3" t="inlineStr">
        <is>
          <t>protection</t>
        </is>
      </c>
      <c r="B1533" s="3" t="inlineStr">
        <is>
          <t>10K Gold Hamsa Pendant Necklace / CZ Stone Evil Eye, Rope Ch</t>
        </is>
      </c>
      <c r="C1533" s="3" t="n">
        <v>1717808152</v>
      </c>
      <c r="D1533" s="3" t="inlineStr">
        <is>
          <t>PHSBL3-3-16</t>
        </is>
      </c>
      <c r="E1533" s="3" t="inlineStr">
        <is>
          <t>description</t>
        </is>
      </c>
      <c r="F1533" s="14" t="n">
        <v>1361</v>
      </c>
      <c r="G1533" s="17" t="n">
        <v>7.63</v>
      </c>
      <c r="H1533" s="14">
        <f>IF(G1533="","",G1533*Ayarlar!$B$3+Ayarlar!$B$4+Ayarlar!$B$5)</f>
        <v/>
      </c>
      <c r="I1533" s="14">
        <f>IF(G1533="","",ROUNDUP(((G1533*Ayarlar!$B$3+Ayarlar!$B$4+Ayarlar!$B$5)+Ayarlar!$B$8)/((1-Ayarlar!$B$6)*(1-Ayarlar!$B$7)),0))</f>
        <v/>
      </c>
      <c r="J1533" s="14">
        <f>IF(G1533="","",ROUNDUP(((G1533*Ayarlar!$B$3+Ayarlar!$B$4+Ayarlar!$B$5)+Ayarlar!$B$8)/((1-Ayarlar!$B$6)*(1-Ayarlar!$B$7-Ayarlar!$B$9)),0))</f>
        <v/>
      </c>
      <c r="K1533" s="15">
        <f>IF(OR(G1533="",F1533=""),"",(F1533*(1-Ayarlar!$B$6)-(F1533*(1-Ayarlar!$B$6)*Ayarlar!$B$7+Ayarlar!$B$8)-(G1533*Ayarlar!$B$3+Ayarlar!$B$4+Ayarlar!$B$5))/(F1533*(1-Ayarlar!$B$6)))</f>
        <v/>
      </c>
      <c r="L1533" s="3">
        <f>IF(G1533="","GRAM EKSİK",IF(F1533&gt;30000,"FİYAT ŞÜPHELİ",IF(K1533&lt;0,"ZARARDA",IF(F1533&lt;I1533,"RİSKLİ","ok"))))</f>
        <v/>
      </c>
      <c r="M1533" s="16" t="inlineStr">
        <is>
          <t>https://www.etsy.com/listing/1717808152</t>
        </is>
      </c>
    </row>
    <row r="1534">
      <c r="A1534" s="9" t="inlineStr">
        <is>
          <t>protection</t>
        </is>
      </c>
      <c r="B1534" s="9" t="inlineStr">
        <is>
          <t>10K Gold Hamsa Pendant Necklace / CZ Stone Evil Eye, Rope Ch</t>
        </is>
      </c>
      <c r="C1534" s="9" t="n">
        <v>1717808152</v>
      </c>
      <c r="D1534" s="9" t="inlineStr">
        <is>
          <t>PHSBL3-3-18</t>
        </is>
      </c>
      <c r="E1534" s="9" t="inlineStr">
        <is>
          <t>description</t>
        </is>
      </c>
      <c r="F1534" s="10" t="n">
        <v>1425</v>
      </c>
      <c r="G1534" s="18" t="n">
        <v>7.99</v>
      </c>
      <c r="H1534" s="10">
        <f>IF(G1534="","",G1534*Ayarlar!$B$3+Ayarlar!$B$4+Ayarlar!$B$5)</f>
        <v/>
      </c>
      <c r="I1534" s="10">
        <f>IF(G1534="","",ROUNDUP(((G1534*Ayarlar!$B$3+Ayarlar!$B$4+Ayarlar!$B$5)+Ayarlar!$B$8)/((1-Ayarlar!$B$6)*(1-Ayarlar!$B$7)),0))</f>
        <v/>
      </c>
      <c r="J1534" s="10">
        <f>IF(G1534="","",ROUNDUP(((G1534*Ayarlar!$B$3+Ayarlar!$B$4+Ayarlar!$B$5)+Ayarlar!$B$8)/((1-Ayarlar!$B$6)*(1-Ayarlar!$B$7-Ayarlar!$B$9)),0))</f>
        <v/>
      </c>
      <c r="K1534" s="12">
        <f>IF(OR(G1534="",F1534=""),"",(F1534*(1-Ayarlar!$B$6)-(F1534*(1-Ayarlar!$B$6)*Ayarlar!$B$7+Ayarlar!$B$8)-(G1534*Ayarlar!$B$3+Ayarlar!$B$4+Ayarlar!$B$5))/(F1534*(1-Ayarlar!$B$6)))</f>
        <v/>
      </c>
      <c r="L1534" s="9">
        <f>IF(G1534="","GRAM EKSİK",IF(F1534&gt;30000,"FİYAT ŞÜPHELİ",IF(K1534&lt;0,"ZARARDA",IF(F1534&lt;I1534,"RİSKLİ","ok"))))</f>
        <v/>
      </c>
      <c r="M1534" s="13" t="inlineStr">
        <is>
          <t>https://www.etsy.com/listing/1717808152</t>
        </is>
      </c>
    </row>
    <row r="1535">
      <c r="A1535" s="3" t="inlineStr">
        <is>
          <t>protection</t>
        </is>
      </c>
      <c r="B1535" s="3" t="inlineStr">
        <is>
          <t>10K Gold Hamsa Pendant Necklace / CZ Stone Evil Eye, Rope Ch</t>
        </is>
      </c>
      <c r="C1535" s="3" t="n">
        <v>1717808152</v>
      </c>
      <c r="D1535" s="3" t="inlineStr">
        <is>
          <t>PHSBL3-3-20</t>
        </is>
      </c>
      <c r="E1535" s="3" t="inlineStr">
        <is>
          <t>description</t>
        </is>
      </c>
      <c r="F1535" s="14" t="n">
        <v>1489</v>
      </c>
      <c r="G1535" s="17" t="n">
        <v>8.35</v>
      </c>
      <c r="H1535" s="14">
        <f>IF(G1535="","",G1535*Ayarlar!$B$3+Ayarlar!$B$4+Ayarlar!$B$5)</f>
        <v/>
      </c>
      <c r="I1535" s="14">
        <f>IF(G1535="","",ROUNDUP(((G1535*Ayarlar!$B$3+Ayarlar!$B$4+Ayarlar!$B$5)+Ayarlar!$B$8)/((1-Ayarlar!$B$6)*(1-Ayarlar!$B$7)),0))</f>
        <v/>
      </c>
      <c r="J1535" s="14">
        <f>IF(G1535="","",ROUNDUP(((G1535*Ayarlar!$B$3+Ayarlar!$B$4+Ayarlar!$B$5)+Ayarlar!$B$8)/((1-Ayarlar!$B$6)*(1-Ayarlar!$B$7-Ayarlar!$B$9)),0))</f>
        <v/>
      </c>
      <c r="K1535" s="15">
        <f>IF(OR(G1535="",F1535=""),"",(F1535*(1-Ayarlar!$B$6)-(F1535*(1-Ayarlar!$B$6)*Ayarlar!$B$7+Ayarlar!$B$8)-(G1535*Ayarlar!$B$3+Ayarlar!$B$4+Ayarlar!$B$5))/(F1535*(1-Ayarlar!$B$6)))</f>
        <v/>
      </c>
      <c r="L1535" s="3">
        <f>IF(G1535="","GRAM EKSİK",IF(F1535&gt;30000,"FİYAT ŞÜPHELİ",IF(K1535&lt;0,"ZARARDA",IF(F1535&lt;I1535,"RİSKLİ","ok"))))</f>
        <v/>
      </c>
      <c r="M1535" s="16" t="inlineStr">
        <is>
          <t>https://www.etsy.com/listing/1717808152</t>
        </is>
      </c>
    </row>
    <row r="1536">
      <c r="A1536" s="9" t="inlineStr">
        <is>
          <t>protection</t>
        </is>
      </c>
      <c r="B1536" s="9" t="inlineStr">
        <is>
          <t>10K Gold Hamsa Pendant Necklace / CZ Stone Evil Eye, Rope Ch</t>
        </is>
      </c>
      <c r="C1536" s="9" t="n">
        <v>1717808152</v>
      </c>
      <c r="D1536" s="9" t="inlineStr">
        <is>
          <t>PHSBL3-3-22</t>
        </is>
      </c>
      <c r="E1536" s="9" t="inlineStr">
        <is>
          <t>description</t>
        </is>
      </c>
      <c r="F1536" s="10" t="n">
        <v>1552</v>
      </c>
      <c r="G1536" s="18" t="n">
        <v>8.710000000000001</v>
      </c>
      <c r="H1536" s="10">
        <f>IF(G1536="","",G1536*Ayarlar!$B$3+Ayarlar!$B$4+Ayarlar!$B$5)</f>
        <v/>
      </c>
      <c r="I1536" s="10">
        <f>IF(G1536="","",ROUNDUP(((G1536*Ayarlar!$B$3+Ayarlar!$B$4+Ayarlar!$B$5)+Ayarlar!$B$8)/((1-Ayarlar!$B$6)*(1-Ayarlar!$B$7)),0))</f>
        <v/>
      </c>
      <c r="J1536" s="10">
        <f>IF(G1536="","",ROUNDUP(((G1536*Ayarlar!$B$3+Ayarlar!$B$4+Ayarlar!$B$5)+Ayarlar!$B$8)/((1-Ayarlar!$B$6)*(1-Ayarlar!$B$7-Ayarlar!$B$9)),0))</f>
        <v/>
      </c>
      <c r="K1536" s="12">
        <f>IF(OR(G1536="",F1536=""),"",(F1536*(1-Ayarlar!$B$6)-(F1536*(1-Ayarlar!$B$6)*Ayarlar!$B$7+Ayarlar!$B$8)-(G1536*Ayarlar!$B$3+Ayarlar!$B$4+Ayarlar!$B$5))/(F1536*(1-Ayarlar!$B$6)))</f>
        <v/>
      </c>
      <c r="L1536" s="9">
        <f>IF(G1536="","GRAM EKSİK",IF(F1536&gt;30000,"FİYAT ŞÜPHELİ",IF(K1536&lt;0,"ZARARDA",IF(F1536&lt;I1536,"RİSKLİ","ok"))))</f>
        <v/>
      </c>
      <c r="M1536" s="13" t="inlineStr">
        <is>
          <t>https://www.etsy.com/listing/1717808152</t>
        </is>
      </c>
    </row>
    <row r="1537">
      <c r="A1537" s="3" t="inlineStr">
        <is>
          <t>protection</t>
        </is>
      </c>
      <c r="B1537" s="3" t="inlineStr">
        <is>
          <t>10K Gold Hamsa Pendant Necklace / CZ Stone Evil Eye, Rope Ch</t>
        </is>
      </c>
      <c r="C1537" s="3" t="n">
        <v>1717808152</v>
      </c>
      <c r="D1537" s="3" t="inlineStr">
        <is>
          <t>PHSBL3-3-24</t>
        </is>
      </c>
      <c r="E1537" s="3" t="inlineStr">
        <is>
          <t>description</t>
        </is>
      </c>
      <c r="F1537" s="14" t="n">
        <v>1616</v>
      </c>
      <c r="G1537" s="17" t="n">
        <v>9.07</v>
      </c>
      <c r="H1537" s="14">
        <f>IF(G1537="","",G1537*Ayarlar!$B$3+Ayarlar!$B$4+Ayarlar!$B$5)</f>
        <v/>
      </c>
      <c r="I1537" s="14">
        <f>IF(G1537="","",ROUNDUP(((G1537*Ayarlar!$B$3+Ayarlar!$B$4+Ayarlar!$B$5)+Ayarlar!$B$8)/((1-Ayarlar!$B$6)*(1-Ayarlar!$B$7)),0))</f>
        <v/>
      </c>
      <c r="J1537" s="14">
        <f>IF(G1537="","",ROUNDUP(((G1537*Ayarlar!$B$3+Ayarlar!$B$4+Ayarlar!$B$5)+Ayarlar!$B$8)/((1-Ayarlar!$B$6)*(1-Ayarlar!$B$7-Ayarlar!$B$9)),0))</f>
        <v/>
      </c>
      <c r="K1537" s="15">
        <f>IF(OR(G1537="",F1537=""),"",(F1537*(1-Ayarlar!$B$6)-(F1537*(1-Ayarlar!$B$6)*Ayarlar!$B$7+Ayarlar!$B$8)-(G1537*Ayarlar!$B$3+Ayarlar!$B$4+Ayarlar!$B$5))/(F1537*(1-Ayarlar!$B$6)))</f>
        <v/>
      </c>
      <c r="L1537" s="3">
        <f>IF(G1537="","GRAM EKSİK",IF(F1537&gt;30000,"FİYAT ŞÜPHELİ",IF(K1537&lt;0,"ZARARDA",IF(F1537&lt;I1537,"RİSKLİ","ok"))))</f>
        <v/>
      </c>
      <c r="M1537" s="16" t="inlineStr">
        <is>
          <t>https://www.etsy.com/listing/1717808152</t>
        </is>
      </c>
    </row>
    <row r="1538">
      <c r="A1538" s="9" t="inlineStr">
        <is>
          <t>protection</t>
        </is>
      </c>
      <c r="B1538" s="9" t="inlineStr">
        <is>
          <t>10K Gold Hamsa Pendant Necklace / CZ Stone Evil Eye, Rope Ch</t>
        </is>
      </c>
      <c r="C1538" s="9" t="n">
        <v>1717808152</v>
      </c>
      <c r="D1538" s="9" t="inlineStr">
        <is>
          <t>PHSBL3-35-16</t>
        </is>
      </c>
      <c r="E1538" s="9" t="inlineStr">
        <is>
          <t>description</t>
        </is>
      </c>
      <c r="F1538" s="10" t="n">
        <v>1577</v>
      </c>
      <c r="G1538" s="18" t="n">
        <v>8.85</v>
      </c>
      <c r="H1538" s="10">
        <f>IF(G1538="","",G1538*Ayarlar!$B$3+Ayarlar!$B$4+Ayarlar!$B$5)</f>
        <v/>
      </c>
      <c r="I1538" s="10">
        <f>IF(G1538="","",ROUNDUP(((G1538*Ayarlar!$B$3+Ayarlar!$B$4+Ayarlar!$B$5)+Ayarlar!$B$8)/((1-Ayarlar!$B$6)*(1-Ayarlar!$B$7)),0))</f>
        <v/>
      </c>
      <c r="J1538" s="10">
        <f>IF(G1538="","",ROUNDUP(((G1538*Ayarlar!$B$3+Ayarlar!$B$4+Ayarlar!$B$5)+Ayarlar!$B$8)/((1-Ayarlar!$B$6)*(1-Ayarlar!$B$7-Ayarlar!$B$9)),0))</f>
        <v/>
      </c>
      <c r="K1538" s="12">
        <f>IF(OR(G1538="",F1538=""),"",(F1538*(1-Ayarlar!$B$6)-(F1538*(1-Ayarlar!$B$6)*Ayarlar!$B$7+Ayarlar!$B$8)-(G1538*Ayarlar!$B$3+Ayarlar!$B$4+Ayarlar!$B$5))/(F1538*(1-Ayarlar!$B$6)))</f>
        <v/>
      </c>
      <c r="L1538" s="9">
        <f>IF(G1538="","GRAM EKSİK",IF(F1538&gt;30000,"FİYAT ŞÜPHELİ",IF(K1538&lt;0,"ZARARDA",IF(F1538&lt;I1538,"RİSKLİ","ok"))))</f>
        <v/>
      </c>
      <c r="M1538" s="13" t="inlineStr">
        <is>
          <t>https://www.etsy.com/listing/1717808152</t>
        </is>
      </c>
    </row>
    <row r="1539">
      <c r="A1539" s="3" t="inlineStr">
        <is>
          <t>protection</t>
        </is>
      </c>
      <c r="B1539" s="3" t="inlineStr">
        <is>
          <t>10K Gold Hamsa Pendant Necklace / CZ Stone Evil Eye, Rope Ch</t>
        </is>
      </c>
      <c r="C1539" s="3" t="n">
        <v>1717808152</v>
      </c>
      <c r="D1539" s="3" t="inlineStr">
        <is>
          <t>PHSBL3-35-18</t>
        </is>
      </c>
      <c r="E1539" s="3" t="inlineStr">
        <is>
          <t>description</t>
        </is>
      </c>
      <c r="F1539" s="14" t="n">
        <v>1667</v>
      </c>
      <c r="G1539" s="17" t="n">
        <v>9.359999999999999</v>
      </c>
      <c r="H1539" s="14">
        <f>IF(G1539="","",G1539*Ayarlar!$B$3+Ayarlar!$B$4+Ayarlar!$B$5)</f>
        <v/>
      </c>
      <c r="I1539" s="14">
        <f>IF(G1539="","",ROUNDUP(((G1539*Ayarlar!$B$3+Ayarlar!$B$4+Ayarlar!$B$5)+Ayarlar!$B$8)/((1-Ayarlar!$B$6)*(1-Ayarlar!$B$7)),0))</f>
        <v/>
      </c>
      <c r="J1539" s="14">
        <f>IF(G1539="","",ROUNDUP(((G1539*Ayarlar!$B$3+Ayarlar!$B$4+Ayarlar!$B$5)+Ayarlar!$B$8)/((1-Ayarlar!$B$6)*(1-Ayarlar!$B$7-Ayarlar!$B$9)),0))</f>
        <v/>
      </c>
      <c r="K1539" s="15">
        <f>IF(OR(G1539="",F1539=""),"",(F1539*(1-Ayarlar!$B$6)-(F1539*(1-Ayarlar!$B$6)*Ayarlar!$B$7+Ayarlar!$B$8)-(G1539*Ayarlar!$B$3+Ayarlar!$B$4+Ayarlar!$B$5))/(F1539*(1-Ayarlar!$B$6)))</f>
        <v/>
      </c>
      <c r="L1539" s="3">
        <f>IF(G1539="","GRAM EKSİK",IF(F1539&gt;30000,"FİYAT ŞÜPHELİ",IF(K1539&lt;0,"ZARARDA",IF(F1539&lt;I1539,"RİSKLİ","ok"))))</f>
        <v/>
      </c>
      <c r="M1539" s="16" t="inlineStr">
        <is>
          <t>https://www.etsy.com/listing/1717808152</t>
        </is>
      </c>
    </row>
    <row r="1540">
      <c r="A1540" s="9" t="inlineStr">
        <is>
          <t>protection</t>
        </is>
      </c>
      <c r="B1540" s="9" t="inlineStr">
        <is>
          <t>10K Gold Hamsa Pendant Necklace / CZ Stone Evil Eye, Rope Ch</t>
        </is>
      </c>
      <c r="C1540" s="9" t="n">
        <v>1717808152</v>
      </c>
      <c r="D1540" s="9" t="inlineStr">
        <is>
          <t>PHSBL3-35-20</t>
        </is>
      </c>
      <c r="E1540" s="9" t="inlineStr">
        <is>
          <t>description</t>
        </is>
      </c>
      <c r="F1540" s="10" t="n">
        <v>1758</v>
      </c>
      <c r="G1540" s="18" t="n">
        <v>9.869999999999999</v>
      </c>
      <c r="H1540" s="10">
        <f>IF(G1540="","",G1540*Ayarlar!$B$3+Ayarlar!$B$4+Ayarlar!$B$5)</f>
        <v/>
      </c>
      <c r="I1540" s="10">
        <f>IF(G1540="","",ROUNDUP(((G1540*Ayarlar!$B$3+Ayarlar!$B$4+Ayarlar!$B$5)+Ayarlar!$B$8)/((1-Ayarlar!$B$6)*(1-Ayarlar!$B$7)),0))</f>
        <v/>
      </c>
      <c r="J1540" s="10">
        <f>IF(G1540="","",ROUNDUP(((G1540*Ayarlar!$B$3+Ayarlar!$B$4+Ayarlar!$B$5)+Ayarlar!$B$8)/((1-Ayarlar!$B$6)*(1-Ayarlar!$B$7-Ayarlar!$B$9)),0))</f>
        <v/>
      </c>
      <c r="K1540" s="12">
        <f>IF(OR(G1540="",F1540=""),"",(F1540*(1-Ayarlar!$B$6)-(F1540*(1-Ayarlar!$B$6)*Ayarlar!$B$7+Ayarlar!$B$8)-(G1540*Ayarlar!$B$3+Ayarlar!$B$4+Ayarlar!$B$5))/(F1540*(1-Ayarlar!$B$6)))</f>
        <v/>
      </c>
      <c r="L1540" s="9">
        <f>IF(G1540="","GRAM EKSİK",IF(F1540&gt;30000,"FİYAT ŞÜPHELİ",IF(K1540&lt;0,"ZARARDA",IF(F1540&lt;I1540,"RİSKLİ","ok"))))</f>
        <v/>
      </c>
      <c r="M1540" s="13" t="inlineStr">
        <is>
          <t>https://www.etsy.com/listing/1717808152</t>
        </is>
      </c>
    </row>
    <row r="1541">
      <c r="A1541" s="3" t="inlineStr">
        <is>
          <t>protection</t>
        </is>
      </c>
      <c r="B1541" s="3" t="inlineStr">
        <is>
          <t>10K Gold Hamsa Pendant Necklace / CZ Stone Evil Eye, Rope Ch</t>
        </is>
      </c>
      <c r="C1541" s="3" t="n">
        <v>1717808152</v>
      </c>
      <c r="D1541" s="3" t="inlineStr">
        <is>
          <t>PHSBL3-35-22</t>
        </is>
      </c>
      <c r="E1541" s="3" t="inlineStr">
        <is>
          <t>description</t>
        </is>
      </c>
      <c r="F1541" s="14" t="n">
        <v>1848</v>
      </c>
      <c r="G1541" s="17" t="n">
        <v>10.38</v>
      </c>
      <c r="H1541" s="14">
        <f>IF(G1541="","",G1541*Ayarlar!$B$3+Ayarlar!$B$4+Ayarlar!$B$5)</f>
        <v/>
      </c>
      <c r="I1541" s="14">
        <f>IF(G1541="","",ROUNDUP(((G1541*Ayarlar!$B$3+Ayarlar!$B$4+Ayarlar!$B$5)+Ayarlar!$B$8)/((1-Ayarlar!$B$6)*(1-Ayarlar!$B$7)),0))</f>
        <v/>
      </c>
      <c r="J1541" s="14">
        <f>IF(G1541="","",ROUNDUP(((G1541*Ayarlar!$B$3+Ayarlar!$B$4+Ayarlar!$B$5)+Ayarlar!$B$8)/((1-Ayarlar!$B$6)*(1-Ayarlar!$B$7-Ayarlar!$B$9)),0))</f>
        <v/>
      </c>
      <c r="K1541" s="15">
        <f>IF(OR(G1541="",F1541=""),"",(F1541*(1-Ayarlar!$B$6)-(F1541*(1-Ayarlar!$B$6)*Ayarlar!$B$7+Ayarlar!$B$8)-(G1541*Ayarlar!$B$3+Ayarlar!$B$4+Ayarlar!$B$5))/(F1541*(1-Ayarlar!$B$6)))</f>
        <v/>
      </c>
      <c r="L1541" s="3">
        <f>IF(G1541="","GRAM EKSİK",IF(F1541&gt;30000,"FİYAT ŞÜPHELİ",IF(K1541&lt;0,"ZARARDA",IF(F1541&lt;I1541,"RİSKLİ","ok"))))</f>
        <v/>
      </c>
      <c r="M1541" s="16" t="inlineStr">
        <is>
          <t>https://www.etsy.com/listing/1717808152</t>
        </is>
      </c>
    </row>
    <row r="1542">
      <c r="A1542" s="9" t="inlineStr">
        <is>
          <t>protection</t>
        </is>
      </c>
      <c r="B1542" s="9" t="inlineStr">
        <is>
          <t>10K Gold Hamsa Pendant Necklace / CZ Stone Evil Eye, Rope Ch</t>
        </is>
      </c>
      <c r="C1542" s="9" t="n">
        <v>1717808152</v>
      </c>
      <c r="D1542" s="9" t="inlineStr">
        <is>
          <t>PHSBL3-35-24</t>
        </is>
      </c>
      <c r="E1542" s="9" t="inlineStr">
        <is>
          <t>description</t>
        </is>
      </c>
      <c r="F1542" s="10" t="n">
        <v>1938</v>
      </c>
      <c r="G1542" s="18" t="n">
        <v>10.89</v>
      </c>
      <c r="H1542" s="10">
        <f>IF(G1542="","",G1542*Ayarlar!$B$3+Ayarlar!$B$4+Ayarlar!$B$5)</f>
        <v/>
      </c>
      <c r="I1542" s="10">
        <f>IF(G1542="","",ROUNDUP(((G1542*Ayarlar!$B$3+Ayarlar!$B$4+Ayarlar!$B$5)+Ayarlar!$B$8)/((1-Ayarlar!$B$6)*(1-Ayarlar!$B$7)),0))</f>
        <v/>
      </c>
      <c r="J1542" s="10">
        <f>IF(G1542="","",ROUNDUP(((G1542*Ayarlar!$B$3+Ayarlar!$B$4+Ayarlar!$B$5)+Ayarlar!$B$8)/((1-Ayarlar!$B$6)*(1-Ayarlar!$B$7-Ayarlar!$B$9)),0))</f>
        <v/>
      </c>
      <c r="K1542" s="12">
        <f>IF(OR(G1542="",F1542=""),"",(F1542*(1-Ayarlar!$B$6)-(F1542*(1-Ayarlar!$B$6)*Ayarlar!$B$7+Ayarlar!$B$8)-(G1542*Ayarlar!$B$3+Ayarlar!$B$4+Ayarlar!$B$5))/(F1542*(1-Ayarlar!$B$6)))</f>
        <v/>
      </c>
      <c r="L1542" s="9">
        <f>IF(G1542="","GRAM EKSİK",IF(F1542&gt;30000,"FİYAT ŞÜPHELİ",IF(K1542&lt;0,"ZARARDA",IF(F1542&lt;I1542,"RİSKLİ","ok"))))</f>
        <v/>
      </c>
      <c r="M1542" s="13" t="inlineStr">
        <is>
          <t>https://www.etsy.com/listing/1717808152</t>
        </is>
      </c>
    </row>
    <row r="1543">
      <c r="A1543" s="3" t="inlineStr">
        <is>
          <t>protection</t>
        </is>
      </c>
      <c r="B1543" s="3" t="inlineStr">
        <is>
          <t>10K Gold Hamsa Pendant Necklace / CZ Stone Evil Eye, Rope Ch</t>
        </is>
      </c>
      <c r="C1543" s="3" t="n">
        <v>1717808152</v>
      </c>
      <c r="D1543" s="3" t="inlineStr">
        <is>
          <t>PHSBL4-25-16</t>
        </is>
      </c>
      <c r="E1543" s="3" t="inlineStr">
        <is>
          <t>description</t>
        </is>
      </c>
      <c r="F1543" s="14" t="n">
        <v>1505</v>
      </c>
      <c r="G1543" s="17" t="n">
        <v>8.44</v>
      </c>
      <c r="H1543" s="14">
        <f>IF(G1543="","",G1543*Ayarlar!$B$3+Ayarlar!$B$4+Ayarlar!$B$5)</f>
        <v/>
      </c>
      <c r="I1543" s="14">
        <f>IF(G1543="","",ROUNDUP(((G1543*Ayarlar!$B$3+Ayarlar!$B$4+Ayarlar!$B$5)+Ayarlar!$B$8)/((1-Ayarlar!$B$6)*(1-Ayarlar!$B$7)),0))</f>
        <v/>
      </c>
      <c r="J1543" s="14">
        <f>IF(G1543="","",ROUNDUP(((G1543*Ayarlar!$B$3+Ayarlar!$B$4+Ayarlar!$B$5)+Ayarlar!$B$8)/((1-Ayarlar!$B$6)*(1-Ayarlar!$B$7-Ayarlar!$B$9)),0))</f>
        <v/>
      </c>
      <c r="K1543" s="15">
        <f>IF(OR(G1543="",F1543=""),"",(F1543*(1-Ayarlar!$B$6)-(F1543*(1-Ayarlar!$B$6)*Ayarlar!$B$7+Ayarlar!$B$8)-(G1543*Ayarlar!$B$3+Ayarlar!$B$4+Ayarlar!$B$5))/(F1543*(1-Ayarlar!$B$6)))</f>
        <v/>
      </c>
      <c r="L1543" s="3">
        <f>IF(G1543="","GRAM EKSİK",IF(F1543&gt;30000,"FİYAT ŞÜPHELİ",IF(K1543&lt;0,"ZARARDA",IF(F1543&lt;I1543,"RİSKLİ","ok"))))</f>
        <v/>
      </c>
      <c r="M1543" s="16" t="inlineStr">
        <is>
          <t>https://www.etsy.com/listing/1717808152</t>
        </is>
      </c>
    </row>
    <row r="1544">
      <c r="A1544" s="9" t="inlineStr">
        <is>
          <t>protection</t>
        </is>
      </c>
      <c r="B1544" s="9" t="inlineStr">
        <is>
          <t>10K Gold Hamsa Pendant Necklace / CZ Stone Evil Eye, Rope Ch</t>
        </is>
      </c>
      <c r="C1544" s="9" t="n">
        <v>1717808152</v>
      </c>
      <c r="D1544" s="9" t="inlineStr">
        <is>
          <t>PHSBL4-25-18</t>
        </is>
      </c>
      <c r="E1544" s="9" t="inlineStr">
        <is>
          <t>description</t>
        </is>
      </c>
      <c r="F1544" s="10" t="n">
        <v>1554</v>
      </c>
      <c r="G1544" s="18" t="n">
        <v>8.720000000000001</v>
      </c>
      <c r="H1544" s="10">
        <f>IF(G1544="","",G1544*Ayarlar!$B$3+Ayarlar!$B$4+Ayarlar!$B$5)</f>
        <v/>
      </c>
      <c r="I1544" s="10">
        <f>IF(G1544="","",ROUNDUP(((G1544*Ayarlar!$B$3+Ayarlar!$B$4+Ayarlar!$B$5)+Ayarlar!$B$8)/((1-Ayarlar!$B$6)*(1-Ayarlar!$B$7)),0))</f>
        <v/>
      </c>
      <c r="J1544" s="10">
        <f>IF(G1544="","",ROUNDUP(((G1544*Ayarlar!$B$3+Ayarlar!$B$4+Ayarlar!$B$5)+Ayarlar!$B$8)/((1-Ayarlar!$B$6)*(1-Ayarlar!$B$7-Ayarlar!$B$9)),0))</f>
        <v/>
      </c>
      <c r="K1544" s="12">
        <f>IF(OR(G1544="",F1544=""),"",(F1544*(1-Ayarlar!$B$6)-(F1544*(1-Ayarlar!$B$6)*Ayarlar!$B$7+Ayarlar!$B$8)-(G1544*Ayarlar!$B$3+Ayarlar!$B$4+Ayarlar!$B$5))/(F1544*(1-Ayarlar!$B$6)))</f>
        <v/>
      </c>
      <c r="L1544" s="9">
        <f>IF(G1544="","GRAM EKSİK",IF(F1544&gt;30000,"FİYAT ŞÜPHELİ",IF(K1544&lt;0,"ZARARDA",IF(F1544&lt;I1544,"RİSKLİ","ok"))))</f>
        <v/>
      </c>
      <c r="M1544" s="13" t="inlineStr">
        <is>
          <t>https://www.etsy.com/listing/1717808152</t>
        </is>
      </c>
    </row>
    <row r="1545">
      <c r="A1545" s="3" t="inlineStr">
        <is>
          <t>protection</t>
        </is>
      </c>
      <c r="B1545" s="3" t="inlineStr">
        <is>
          <t>10K Gold Hamsa Pendant Necklace / CZ Stone Evil Eye, Rope Ch</t>
        </is>
      </c>
      <c r="C1545" s="3" t="n">
        <v>1717808152</v>
      </c>
      <c r="D1545" s="3" t="inlineStr">
        <is>
          <t>PHSBL4-25-20</t>
        </is>
      </c>
      <c r="E1545" s="3" t="inlineStr">
        <is>
          <t>description</t>
        </is>
      </c>
      <c r="F1545" s="14" t="n">
        <v>1602</v>
      </c>
      <c r="G1545" s="17" t="n">
        <v>8.99</v>
      </c>
      <c r="H1545" s="14">
        <f>IF(G1545="","",G1545*Ayarlar!$B$3+Ayarlar!$B$4+Ayarlar!$B$5)</f>
        <v/>
      </c>
      <c r="I1545" s="14">
        <f>IF(G1545="","",ROUNDUP(((G1545*Ayarlar!$B$3+Ayarlar!$B$4+Ayarlar!$B$5)+Ayarlar!$B$8)/((1-Ayarlar!$B$6)*(1-Ayarlar!$B$7)),0))</f>
        <v/>
      </c>
      <c r="J1545" s="14">
        <f>IF(G1545="","",ROUNDUP(((G1545*Ayarlar!$B$3+Ayarlar!$B$4+Ayarlar!$B$5)+Ayarlar!$B$8)/((1-Ayarlar!$B$6)*(1-Ayarlar!$B$7-Ayarlar!$B$9)),0))</f>
        <v/>
      </c>
      <c r="K1545" s="15">
        <f>IF(OR(G1545="",F1545=""),"",(F1545*(1-Ayarlar!$B$6)-(F1545*(1-Ayarlar!$B$6)*Ayarlar!$B$7+Ayarlar!$B$8)-(G1545*Ayarlar!$B$3+Ayarlar!$B$4+Ayarlar!$B$5))/(F1545*(1-Ayarlar!$B$6)))</f>
        <v/>
      </c>
      <c r="L1545" s="3">
        <f>IF(G1545="","GRAM EKSİK",IF(F1545&gt;30000,"FİYAT ŞÜPHELİ",IF(K1545&lt;0,"ZARARDA",IF(F1545&lt;I1545,"RİSKLİ","ok"))))</f>
        <v/>
      </c>
      <c r="M1545" s="16" t="inlineStr">
        <is>
          <t>https://www.etsy.com/listing/1717808152</t>
        </is>
      </c>
    </row>
    <row r="1546">
      <c r="A1546" s="9" t="inlineStr">
        <is>
          <t>protection</t>
        </is>
      </c>
      <c r="B1546" s="9" t="inlineStr">
        <is>
          <t>10K Gold Hamsa Pendant Necklace / CZ Stone Evil Eye, Rope Ch</t>
        </is>
      </c>
      <c r="C1546" s="9" t="n">
        <v>1717808152</v>
      </c>
      <c r="D1546" s="9" t="inlineStr">
        <is>
          <t>PHSBL4-25-22</t>
        </is>
      </c>
      <c r="E1546" s="9" t="inlineStr">
        <is>
          <t>description</t>
        </is>
      </c>
      <c r="F1546" s="10" t="n">
        <v>1652</v>
      </c>
      <c r="G1546" s="18" t="n">
        <v>9.27</v>
      </c>
      <c r="H1546" s="10">
        <f>IF(G1546="","",G1546*Ayarlar!$B$3+Ayarlar!$B$4+Ayarlar!$B$5)</f>
        <v/>
      </c>
      <c r="I1546" s="10">
        <f>IF(G1546="","",ROUNDUP(((G1546*Ayarlar!$B$3+Ayarlar!$B$4+Ayarlar!$B$5)+Ayarlar!$B$8)/((1-Ayarlar!$B$6)*(1-Ayarlar!$B$7)),0))</f>
        <v/>
      </c>
      <c r="J1546" s="10">
        <f>IF(G1546="","",ROUNDUP(((G1546*Ayarlar!$B$3+Ayarlar!$B$4+Ayarlar!$B$5)+Ayarlar!$B$8)/((1-Ayarlar!$B$6)*(1-Ayarlar!$B$7-Ayarlar!$B$9)),0))</f>
        <v/>
      </c>
      <c r="K1546" s="12">
        <f>IF(OR(G1546="",F1546=""),"",(F1546*(1-Ayarlar!$B$6)-(F1546*(1-Ayarlar!$B$6)*Ayarlar!$B$7+Ayarlar!$B$8)-(G1546*Ayarlar!$B$3+Ayarlar!$B$4+Ayarlar!$B$5))/(F1546*(1-Ayarlar!$B$6)))</f>
        <v/>
      </c>
      <c r="L1546" s="9">
        <f>IF(G1546="","GRAM EKSİK",IF(F1546&gt;30000,"FİYAT ŞÜPHELİ",IF(K1546&lt;0,"ZARARDA",IF(F1546&lt;I1546,"RİSKLİ","ok"))))</f>
        <v/>
      </c>
      <c r="M1546" s="13" t="inlineStr">
        <is>
          <t>https://www.etsy.com/listing/1717808152</t>
        </is>
      </c>
    </row>
    <row r="1547">
      <c r="A1547" s="3" t="inlineStr">
        <is>
          <t>protection</t>
        </is>
      </c>
      <c r="B1547" s="3" t="inlineStr">
        <is>
          <t>10K Gold Hamsa Pendant Necklace / CZ Stone Evil Eye, Rope Ch</t>
        </is>
      </c>
      <c r="C1547" s="3" t="n">
        <v>1717808152</v>
      </c>
      <c r="D1547" s="3" t="inlineStr">
        <is>
          <t>PHSBL4-25-24</t>
        </is>
      </c>
      <c r="E1547" s="3" t="inlineStr">
        <is>
          <t>description</t>
        </is>
      </c>
      <c r="F1547" s="14" t="n">
        <v>1699</v>
      </c>
      <c r="G1547" s="17" t="n">
        <v>9.539999999999999</v>
      </c>
      <c r="H1547" s="14">
        <f>IF(G1547="","",G1547*Ayarlar!$B$3+Ayarlar!$B$4+Ayarlar!$B$5)</f>
        <v/>
      </c>
      <c r="I1547" s="14">
        <f>IF(G1547="","",ROUNDUP(((G1547*Ayarlar!$B$3+Ayarlar!$B$4+Ayarlar!$B$5)+Ayarlar!$B$8)/((1-Ayarlar!$B$6)*(1-Ayarlar!$B$7)),0))</f>
        <v/>
      </c>
      <c r="J1547" s="14">
        <f>IF(G1547="","",ROUNDUP(((G1547*Ayarlar!$B$3+Ayarlar!$B$4+Ayarlar!$B$5)+Ayarlar!$B$8)/((1-Ayarlar!$B$6)*(1-Ayarlar!$B$7-Ayarlar!$B$9)),0))</f>
        <v/>
      </c>
      <c r="K1547" s="15">
        <f>IF(OR(G1547="",F1547=""),"",(F1547*(1-Ayarlar!$B$6)-(F1547*(1-Ayarlar!$B$6)*Ayarlar!$B$7+Ayarlar!$B$8)-(G1547*Ayarlar!$B$3+Ayarlar!$B$4+Ayarlar!$B$5))/(F1547*(1-Ayarlar!$B$6)))</f>
        <v/>
      </c>
      <c r="L1547" s="3">
        <f>IF(G1547="","GRAM EKSİK",IF(F1547&gt;30000,"FİYAT ŞÜPHELİ",IF(K1547&lt;0,"ZARARDA",IF(F1547&lt;I1547,"RİSKLİ","ok"))))</f>
        <v/>
      </c>
      <c r="M1547" s="16" t="inlineStr">
        <is>
          <t>https://www.etsy.com/listing/1717808152</t>
        </is>
      </c>
    </row>
    <row r="1548">
      <c r="A1548" s="9" t="inlineStr">
        <is>
          <t>protection</t>
        </is>
      </c>
      <c r="B1548" s="9" t="inlineStr">
        <is>
          <t>10K Gold Hamsa Pendant Necklace / CZ Stone Evil Eye, Rope Ch</t>
        </is>
      </c>
      <c r="C1548" s="9" t="n">
        <v>1717808152</v>
      </c>
      <c r="D1548" s="9" t="inlineStr">
        <is>
          <t>PHSBL4-3-16</t>
        </is>
      </c>
      <c r="E1548" s="9" t="inlineStr">
        <is>
          <t>description</t>
        </is>
      </c>
      <c r="F1548" s="10" t="n">
        <v>1625</v>
      </c>
      <c r="G1548" s="18" t="n">
        <v>9.119999999999999</v>
      </c>
      <c r="H1548" s="10">
        <f>IF(G1548="","",G1548*Ayarlar!$B$3+Ayarlar!$B$4+Ayarlar!$B$5)</f>
        <v/>
      </c>
      <c r="I1548" s="10">
        <f>IF(G1548="","",ROUNDUP(((G1548*Ayarlar!$B$3+Ayarlar!$B$4+Ayarlar!$B$5)+Ayarlar!$B$8)/((1-Ayarlar!$B$6)*(1-Ayarlar!$B$7)),0))</f>
        <v/>
      </c>
      <c r="J1548" s="10">
        <f>IF(G1548="","",ROUNDUP(((G1548*Ayarlar!$B$3+Ayarlar!$B$4+Ayarlar!$B$5)+Ayarlar!$B$8)/((1-Ayarlar!$B$6)*(1-Ayarlar!$B$7-Ayarlar!$B$9)),0))</f>
        <v/>
      </c>
      <c r="K1548" s="12">
        <f>IF(OR(G1548="",F1548=""),"",(F1548*(1-Ayarlar!$B$6)-(F1548*(1-Ayarlar!$B$6)*Ayarlar!$B$7+Ayarlar!$B$8)-(G1548*Ayarlar!$B$3+Ayarlar!$B$4+Ayarlar!$B$5))/(F1548*(1-Ayarlar!$B$6)))</f>
        <v/>
      </c>
      <c r="L1548" s="9">
        <f>IF(G1548="","GRAM EKSİK",IF(F1548&gt;30000,"FİYAT ŞÜPHELİ",IF(K1548&lt;0,"ZARARDA",IF(F1548&lt;I1548,"RİSKLİ","ok"))))</f>
        <v/>
      </c>
      <c r="M1548" s="13" t="inlineStr">
        <is>
          <t>https://www.etsy.com/listing/1717808152</t>
        </is>
      </c>
    </row>
    <row r="1549">
      <c r="A1549" s="3" t="inlineStr">
        <is>
          <t>protection</t>
        </is>
      </c>
      <c r="B1549" s="3" t="inlineStr">
        <is>
          <t>10K Gold Hamsa Pendant Necklace / CZ Stone Evil Eye, Rope Ch</t>
        </is>
      </c>
      <c r="C1549" s="3" t="n">
        <v>1717808152</v>
      </c>
      <c r="D1549" s="3" t="inlineStr">
        <is>
          <t>PHSBL4-3-18</t>
        </is>
      </c>
      <c r="E1549" s="3" t="inlineStr">
        <is>
          <t>description</t>
        </is>
      </c>
      <c r="F1549" s="14" t="n">
        <v>1689</v>
      </c>
      <c r="G1549" s="17" t="n">
        <v>9.48</v>
      </c>
      <c r="H1549" s="14">
        <f>IF(G1549="","",G1549*Ayarlar!$B$3+Ayarlar!$B$4+Ayarlar!$B$5)</f>
        <v/>
      </c>
      <c r="I1549" s="14">
        <f>IF(G1549="","",ROUNDUP(((G1549*Ayarlar!$B$3+Ayarlar!$B$4+Ayarlar!$B$5)+Ayarlar!$B$8)/((1-Ayarlar!$B$6)*(1-Ayarlar!$B$7)),0))</f>
        <v/>
      </c>
      <c r="J1549" s="14">
        <f>IF(G1549="","",ROUNDUP(((G1549*Ayarlar!$B$3+Ayarlar!$B$4+Ayarlar!$B$5)+Ayarlar!$B$8)/((1-Ayarlar!$B$6)*(1-Ayarlar!$B$7-Ayarlar!$B$9)),0))</f>
        <v/>
      </c>
      <c r="K1549" s="15">
        <f>IF(OR(G1549="",F1549=""),"",(F1549*(1-Ayarlar!$B$6)-(F1549*(1-Ayarlar!$B$6)*Ayarlar!$B$7+Ayarlar!$B$8)-(G1549*Ayarlar!$B$3+Ayarlar!$B$4+Ayarlar!$B$5))/(F1549*(1-Ayarlar!$B$6)))</f>
        <v/>
      </c>
      <c r="L1549" s="3">
        <f>IF(G1549="","GRAM EKSİK",IF(F1549&gt;30000,"FİYAT ŞÜPHELİ",IF(K1549&lt;0,"ZARARDA",IF(F1549&lt;I1549,"RİSKLİ","ok"))))</f>
        <v/>
      </c>
      <c r="M1549" s="16" t="inlineStr">
        <is>
          <t>https://www.etsy.com/listing/1717808152</t>
        </is>
      </c>
    </row>
    <row r="1550">
      <c r="A1550" s="9" t="inlineStr">
        <is>
          <t>protection</t>
        </is>
      </c>
      <c r="B1550" s="9" t="inlineStr">
        <is>
          <t>10K Gold Hamsa Pendant Necklace / CZ Stone Evil Eye, Rope Ch</t>
        </is>
      </c>
      <c r="C1550" s="9" t="n">
        <v>1717808152</v>
      </c>
      <c r="D1550" s="9" t="inlineStr">
        <is>
          <t>PHSBL4-3-20</t>
        </is>
      </c>
      <c r="E1550" s="9" t="inlineStr">
        <is>
          <t>description</t>
        </is>
      </c>
      <c r="F1550" s="10" t="n">
        <v>1752</v>
      </c>
      <c r="G1550" s="18" t="n">
        <v>9.84</v>
      </c>
      <c r="H1550" s="10">
        <f>IF(G1550="","",G1550*Ayarlar!$B$3+Ayarlar!$B$4+Ayarlar!$B$5)</f>
        <v/>
      </c>
      <c r="I1550" s="10">
        <f>IF(G1550="","",ROUNDUP(((G1550*Ayarlar!$B$3+Ayarlar!$B$4+Ayarlar!$B$5)+Ayarlar!$B$8)/((1-Ayarlar!$B$6)*(1-Ayarlar!$B$7)),0))</f>
        <v/>
      </c>
      <c r="J1550" s="10">
        <f>IF(G1550="","",ROUNDUP(((G1550*Ayarlar!$B$3+Ayarlar!$B$4+Ayarlar!$B$5)+Ayarlar!$B$8)/((1-Ayarlar!$B$6)*(1-Ayarlar!$B$7-Ayarlar!$B$9)),0))</f>
        <v/>
      </c>
      <c r="K1550" s="12">
        <f>IF(OR(G1550="",F1550=""),"",(F1550*(1-Ayarlar!$B$6)-(F1550*(1-Ayarlar!$B$6)*Ayarlar!$B$7+Ayarlar!$B$8)-(G1550*Ayarlar!$B$3+Ayarlar!$B$4+Ayarlar!$B$5))/(F1550*(1-Ayarlar!$B$6)))</f>
        <v/>
      </c>
      <c r="L1550" s="9">
        <f>IF(G1550="","GRAM EKSİK",IF(F1550&gt;30000,"FİYAT ŞÜPHELİ",IF(K1550&lt;0,"ZARARDA",IF(F1550&lt;I1550,"RİSKLİ","ok"))))</f>
        <v/>
      </c>
      <c r="M1550" s="13" t="inlineStr">
        <is>
          <t>https://www.etsy.com/listing/1717808152</t>
        </is>
      </c>
    </row>
    <row r="1551">
      <c r="A1551" s="3" t="inlineStr">
        <is>
          <t>protection</t>
        </is>
      </c>
      <c r="B1551" s="3" t="inlineStr">
        <is>
          <t>10K Gold Hamsa Pendant Necklace / CZ Stone Evil Eye, Rope Ch</t>
        </is>
      </c>
      <c r="C1551" s="3" t="n">
        <v>1717808152</v>
      </c>
      <c r="D1551" s="3" t="inlineStr">
        <is>
          <t>PHSBL4-3-22</t>
        </is>
      </c>
      <c r="E1551" s="3" t="inlineStr">
        <is>
          <t>description</t>
        </is>
      </c>
      <c r="F1551" s="14" t="n">
        <v>1816</v>
      </c>
      <c r="G1551" s="17" t="n">
        <v>10.2</v>
      </c>
      <c r="H1551" s="14">
        <f>IF(G1551="","",G1551*Ayarlar!$B$3+Ayarlar!$B$4+Ayarlar!$B$5)</f>
        <v/>
      </c>
      <c r="I1551" s="14">
        <f>IF(G1551="","",ROUNDUP(((G1551*Ayarlar!$B$3+Ayarlar!$B$4+Ayarlar!$B$5)+Ayarlar!$B$8)/((1-Ayarlar!$B$6)*(1-Ayarlar!$B$7)),0))</f>
        <v/>
      </c>
      <c r="J1551" s="14">
        <f>IF(G1551="","",ROUNDUP(((G1551*Ayarlar!$B$3+Ayarlar!$B$4+Ayarlar!$B$5)+Ayarlar!$B$8)/((1-Ayarlar!$B$6)*(1-Ayarlar!$B$7-Ayarlar!$B$9)),0))</f>
        <v/>
      </c>
      <c r="K1551" s="15">
        <f>IF(OR(G1551="",F1551=""),"",(F1551*(1-Ayarlar!$B$6)-(F1551*(1-Ayarlar!$B$6)*Ayarlar!$B$7+Ayarlar!$B$8)-(G1551*Ayarlar!$B$3+Ayarlar!$B$4+Ayarlar!$B$5))/(F1551*(1-Ayarlar!$B$6)))</f>
        <v/>
      </c>
      <c r="L1551" s="3">
        <f>IF(G1551="","GRAM EKSİK",IF(F1551&gt;30000,"FİYAT ŞÜPHELİ",IF(K1551&lt;0,"ZARARDA",IF(F1551&lt;I1551,"RİSKLİ","ok"))))</f>
        <v/>
      </c>
      <c r="M1551" s="16" t="inlineStr">
        <is>
          <t>https://www.etsy.com/listing/1717808152</t>
        </is>
      </c>
    </row>
    <row r="1552">
      <c r="A1552" s="9" t="inlineStr">
        <is>
          <t>protection</t>
        </is>
      </c>
      <c r="B1552" s="9" t="inlineStr">
        <is>
          <t>10K Gold Hamsa Pendant Necklace / CZ Stone Evil Eye, Rope Ch</t>
        </is>
      </c>
      <c r="C1552" s="9" t="n">
        <v>1717808152</v>
      </c>
      <c r="D1552" s="9" t="inlineStr">
        <is>
          <t>PHSBL4-3-24</t>
        </is>
      </c>
      <c r="E1552" s="9" t="inlineStr">
        <is>
          <t>description</t>
        </is>
      </c>
      <c r="F1552" s="10" t="n">
        <v>1880</v>
      </c>
      <c r="G1552" s="18" t="n">
        <v>10.56</v>
      </c>
      <c r="H1552" s="10">
        <f>IF(G1552="","",G1552*Ayarlar!$B$3+Ayarlar!$B$4+Ayarlar!$B$5)</f>
        <v/>
      </c>
      <c r="I1552" s="10">
        <f>IF(G1552="","",ROUNDUP(((G1552*Ayarlar!$B$3+Ayarlar!$B$4+Ayarlar!$B$5)+Ayarlar!$B$8)/((1-Ayarlar!$B$6)*(1-Ayarlar!$B$7)),0))</f>
        <v/>
      </c>
      <c r="J1552" s="10">
        <f>IF(G1552="","",ROUNDUP(((G1552*Ayarlar!$B$3+Ayarlar!$B$4+Ayarlar!$B$5)+Ayarlar!$B$8)/((1-Ayarlar!$B$6)*(1-Ayarlar!$B$7-Ayarlar!$B$9)),0))</f>
        <v/>
      </c>
      <c r="K1552" s="12">
        <f>IF(OR(G1552="",F1552=""),"",(F1552*(1-Ayarlar!$B$6)-(F1552*(1-Ayarlar!$B$6)*Ayarlar!$B$7+Ayarlar!$B$8)-(G1552*Ayarlar!$B$3+Ayarlar!$B$4+Ayarlar!$B$5))/(F1552*(1-Ayarlar!$B$6)))</f>
        <v/>
      </c>
      <c r="L1552" s="9">
        <f>IF(G1552="","GRAM EKSİK",IF(F1552&gt;30000,"FİYAT ŞÜPHELİ",IF(K1552&lt;0,"ZARARDA",IF(F1552&lt;I1552,"RİSKLİ","ok"))))</f>
        <v/>
      </c>
      <c r="M1552" s="13" t="inlineStr">
        <is>
          <t>https://www.etsy.com/listing/1717808152</t>
        </is>
      </c>
    </row>
    <row r="1553">
      <c r="A1553" s="3" t="inlineStr">
        <is>
          <t>protection</t>
        </is>
      </c>
      <c r="B1553" s="3" t="inlineStr">
        <is>
          <t>10K Gold Hamsa Pendant Necklace / CZ Stone Evil Eye, Rope Ch</t>
        </is>
      </c>
      <c r="C1553" s="3" t="n">
        <v>1717808152</v>
      </c>
      <c r="D1553" s="3" t="inlineStr">
        <is>
          <t>PHSBL4-35-16</t>
        </is>
      </c>
      <c r="E1553" s="3" t="inlineStr">
        <is>
          <t>description</t>
        </is>
      </c>
      <c r="F1553" s="14" t="n">
        <v>1841</v>
      </c>
      <c r="G1553" s="17" t="n">
        <v>10.34</v>
      </c>
      <c r="H1553" s="14">
        <f>IF(G1553="","",G1553*Ayarlar!$B$3+Ayarlar!$B$4+Ayarlar!$B$5)</f>
        <v/>
      </c>
      <c r="I1553" s="14">
        <f>IF(G1553="","",ROUNDUP(((G1553*Ayarlar!$B$3+Ayarlar!$B$4+Ayarlar!$B$5)+Ayarlar!$B$8)/((1-Ayarlar!$B$6)*(1-Ayarlar!$B$7)),0))</f>
        <v/>
      </c>
      <c r="J1553" s="14">
        <f>IF(G1553="","",ROUNDUP(((G1553*Ayarlar!$B$3+Ayarlar!$B$4+Ayarlar!$B$5)+Ayarlar!$B$8)/((1-Ayarlar!$B$6)*(1-Ayarlar!$B$7-Ayarlar!$B$9)),0))</f>
        <v/>
      </c>
      <c r="K1553" s="15">
        <f>IF(OR(G1553="",F1553=""),"",(F1553*(1-Ayarlar!$B$6)-(F1553*(1-Ayarlar!$B$6)*Ayarlar!$B$7+Ayarlar!$B$8)-(G1553*Ayarlar!$B$3+Ayarlar!$B$4+Ayarlar!$B$5))/(F1553*(1-Ayarlar!$B$6)))</f>
        <v/>
      </c>
      <c r="L1553" s="3">
        <f>IF(G1553="","GRAM EKSİK",IF(F1553&gt;30000,"FİYAT ŞÜPHELİ",IF(K1553&lt;0,"ZARARDA",IF(F1553&lt;I1553,"RİSKLİ","ok"))))</f>
        <v/>
      </c>
      <c r="M1553" s="16" t="inlineStr">
        <is>
          <t>https://www.etsy.com/listing/1717808152</t>
        </is>
      </c>
    </row>
    <row r="1554">
      <c r="A1554" s="9" t="inlineStr">
        <is>
          <t>protection</t>
        </is>
      </c>
      <c r="B1554" s="9" t="inlineStr">
        <is>
          <t>10K Gold Hamsa Pendant Necklace / CZ Stone Evil Eye, Rope Ch</t>
        </is>
      </c>
      <c r="C1554" s="9" t="n">
        <v>1717808152</v>
      </c>
      <c r="D1554" s="9" t="inlineStr">
        <is>
          <t>PHSBL4-35-18</t>
        </is>
      </c>
      <c r="E1554" s="9" t="inlineStr">
        <is>
          <t>description</t>
        </is>
      </c>
      <c r="F1554" s="10" t="n">
        <v>1931</v>
      </c>
      <c r="G1554" s="18" t="n">
        <v>10.85</v>
      </c>
      <c r="H1554" s="10">
        <f>IF(G1554="","",G1554*Ayarlar!$B$3+Ayarlar!$B$4+Ayarlar!$B$5)</f>
        <v/>
      </c>
      <c r="I1554" s="10">
        <f>IF(G1554="","",ROUNDUP(((G1554*Ayarlar!$B$3+Ayarlar!$B$4+Ayarlar!$B$5)+Ayarlar!$B$8)/((1-Ayarlar!$B$6)*(1-Ayarlar!$B$7)),0))</f>
        <v/>
      </c>
      <c r="J1554" s="10">
        <f>IF(G1554="","",ROUNDUP(((G1554*Ayarlar!$B$3+Ayarlar!$B$4+Ayarlar!$B$5)+Ayarlar!$B$8)/((1-Ayarlar!$B$6)*(1-Ayarlar!$B$7-Ayarlar!$B$9)),0))</f>
        <v/>
      </c>
      <c r="K1554" s="12">
        <f>IF(OR(G1554="",F1554=""),"",(F1554*(1-Ayarlar!$B$6)-(F1554*(1-Ayarlar!$B$6)*Ayarlar!$B$7+Ayarlar!$B$8)-(G1554*Ayarlar!$B$3+Ayarlar!$B$4+Ayarlar!$B$5))/(F1554*(1-Ayarlar!$B$6)))</f>
        <v/>
      </c>
      <c r="L1554" s="9">
        <f>IF(G1554="","GRAM EKSİK",IF(F1554&gt;30000,"FİYAT ŞÜPHELİ",IF(K1554&lt;0,"ZARARDA",IF(F1554&lt;I1554,"RİSKLİ","ok"))))</f>
        <v/>
      </c>
      <c r="M1554" s="13" t="inlineStr">
        <is>
          <t>https://www.etsy.com/listing/1717808152</t>
        </is>
      </c>
    </row>
    <row r="1555">
      <c r="A1555" s="3" t="inlineStr">
        <is>
          <t>protection</t>
        </is>
      </c>
      <c r="B1555" s="3" t="inlineStr">
        <is>
          <t>10K Gold Hamsa Pendant Necklace / CZ Stone Evil Eye, Rope Ch</t>
        </is>
      </c>
      <c r="C1555" s="3" t="n">
        <v>1717808152</v>
      </c>
      <c r="D1555" s="3" t="inlineStr">
        <is>
          <t>PHSBL4-35-20</t>
        </is>
      </c>
      <c r="E1555" s="3" t="inlineStr">
        <is>
          <t>description</t>
        </is>
      </c>
      <c r="F1555" s="14" t="n">
        <v>2021</v>
      </c>
      <c r="G1555" s="17" t="n">
        <v>11.36</v>
      </c>
      <c r="H1555" s="14">
        <f>IF(G1555="","",G1555*Ayarlar!$B$3+Ayarlar!$B$4+Ayarlar!$B$5)</f>
        <v/>
      </c>
      <c r="I1555" s="14">
        <f>IF(G1555="","",ROUNDUP(((G1555*Ayarlar!$B$3+Ayarlar!$B$4+Ayarlar!$B$5)+Ayarlar!$B$8)/((1-Ayarlar!$B$6)*(1-Ayarlar!$B$7)),0))</f>
        <v/>
      </c>
      <c r="J1555" s="14">
        <f>IF(G1555="","",ROUNDUP(((G1555*Ayarlar!$B$3+Ayarlar!$B$4+Ayarlar!$B$5)+Ayarlar!$B$8)/((1-Ayarlar!$B$6)*(1-Ayarlar!$B$7-Ayarlar!$B$9)),0))</f>
        <v/>
      </c>
      <c r="K1555" s="15">
        <f>IF(OR(G1555="",F1555=""),"",(F1555*(1-Ayarlar!$B$6)-(F1555*(1-Ayarlar!$B$6)*Ayarlar!$B$7+Ayarlar!$B$8)-(G1555*Ayarlar!$B$3+Ayarlar!$B$4+Ayarlar!$B$5))/(F1555*(1-Ayarlar!$B$6)))</f>
        <v/>
      </c>
      <c r="L1555" s="3">
        <f>IF(G1555="","GRAM EKSİK",IF(F1555&gt;30000,"FİYAT ŞÜPHELİ",IF(K1555&lt;0,"ZARARDA",IF(F1555&lt;I1555,"RİSKLİ","ok"))))</f>
        <v/>
      </c>
      <c r="M1555" s="16" t="inlineStr">
        <is>
          <t>https://www.etsy.com/listing/1717808152</t>
        </is>
      </c>
    </row>
    <row r="1556">
      <c r="A1556" s="9" t="inlineStr">
        <is>
          <t>protection</t>
        </is>
      </c>
      <c r="B1556" s="9" t="inlineStr">
        <is>
          <t>10K Gold Hamsa Pendant Necklace / CZ Stone Evil Eye, Rope Ch</t>
        </is>
      </c>
      <c r="C1556" s="9" t="n">
        <v>1717808152</v>
      </c>
      <c r="D1556" s="9" t="inlineStr">
        <is>
          <t>PHSBL4-35-22</t>
        </is>
      </c>
      <c r="E1556" s="9" t="inlineStr">
        <is>
          <t>description</t>
        </is>
      </c>
      <c r="F1556" s="10" t="n">
        <v>2111</v>
      </c>
      <c r="G1556" s="18" t="n">
        <v>11.87</v>
      </c>
      <c r="H1556" s="10">
        <f>IF(G1556="","",G1556*Ayarlar!$B$3+Ayarlar!$B$4+Ayarlar!$B$5)</f>
        <v/>
      </c>
      <c r="I1556" s="10">
        <f>IF(G1556="","",ROUNDUP(((G1556*Ayarlar!$B$3+Ayarlar!$B$4+Ayarlar!$B$5)+Ayarlar!$B$8)/((1-Ayarlar!$B$6)*(1-Ayarlar!$B$7)),0))</f>
        <v/>
      </c>
      <c r="J1556" s="10">
        <f>IF(G1556="","",ROUNDUP(((G1556*Ayarlar!$B$3+Ayarlar!$B$4+Ayarlar!$B$5)+Ayarlar!$B$8)/((1-Ayarlar!$B$6)*(1-Ayarlar!$B$7-Ayarlar!$B$9)),0))</f>
        <v/>
      </c>
      <c r="K1556" s="12">
        <f>IF(OR(G1556="",F1556=""),"",(F1556*(1-Ayarlar!$B$6)-(F1556*(1-Ayarlar!$B$6)*Ayarlar!$B$7+Ayarlar!$B$8)-(G1556*Ayarlar!$B$3+Ayarlar!$B$4+Ayarlar!$B$5))/(F1556*(1-Ayarlar!$B$6)))</f>
        <v/>
      </c>
      <c r="L1556" s="9">
        <f>IF(G1556="","GRAM EKSİK",IF(F1556&gt;30000,"FİYAT ŞÜPHELİ",IF(K1556&lt;0,"ZARARDA",IF(F1556&lt;I1556,"RİSKLİ","ok"))))</f>
        <v/>
      </c>
      <c r="M1556" s="13" t="inlineStr">
        <is>
          <t>https://www.etsy.com/listing/1717808152</t>
        </is>
      </c>
    </row>
    <row r="1557">
      <c r="A1557" s="3" t="inlineStr">
        <is>
          <t>protection</t>
        </is>
      </c>
      <c r="B1557" s="3" t="inlineStr">
        <is>
          <t>10K Gold Hamsa Pendant Necklace / CZ Stone Evil Eye, Rope Ch</t>
        </is>
      </c>
      <c r="C1557" s="3" t="n">
        <v>1717808152</v>
      </c>
      <c r="D1557" s="3" t="inlineStr">
        <is>
          <t>PHSBL4-35-24</t>
        </is>
      </c>
      <c r="E1557" s="3" t="inlineStr">
        <is>
          <t>description</t>
        </is>
      </c>
      <c r="F1557" s="14" t="n">
        <v>2202</v>
      </c>
      <c r="G1557" s="17" t="n">
        <v>12.38</v>
      </c>
      <c r="H1557" s="14">
        <f>IF(G1557="","",G1557*Ayarlar!$B$3+Ayarlar!$B$4+Ayarlar!$B$5)</f>
        <v/>
      </c>
      <c r="I1557" s="14">
        <f>IF(G1557="","",ROUNDUP(((G1557*Ayarlar!$B$3+Ayarlar!$B$4+Ayarlar!$B$5)+Ayarlar!$B$8)/((1-Ayarlar!$B$6)*(1-Ayarlar!$B$7)),0))</f>
        <v/>
      </c>
      <c r="J1557" s="14">
        <f>IF(G1557="","",ROUNDUP(((G1557*Ayarlar!$B$3+Ayarlar!$B$4+Ayarlar!$B$5)+Ayarlar!$B$8)/((1-Ayarlar!$B$6)*(1-Ayarlar!$B$7-Ayarlar!$B$9)),0))</f>
        <v/>
      </c>
      <c r="K1557" s="15">
        <f>IF(OR(G1557="",F1557=""),"",(F1557*(1-Ayarlar!$B$6)-(F1557*(1-Ayarlar!$B$6)*Ayarlar!$B$7+Ayarlar!$B$8)-(G1557*Ayarlar!$B$3+Ayarlar!$B$4+Ayarlar!$B$5))/(F1557*(1-Ayarlar!$B$6)))</f>
        <v/>
      </c>
      <c r="L1557" s="3">
        <f>IF(G1557="","GRAM EKSİK",IF(F1557&gt;30000,"FİYAT ŞÜPHELİ",IF(K1557&lt;0,"ZARARDA",IF(F1557&lt;I1557,"RİSKLİ","ok"))))</f>
        <v/>
      </c>
      <c r="M1557" s="16" t="inlineStr">
        <is>
          <t>https://www.etsy.com/listing/1717808152</t>
        </is>
      </c>
    </row>
    <row r="1558">
      <c r="A1558" s="9" t="inlineStr">
        <is>
          <t>protection</t>
        </is>
      </c>
      <c r="B1558" s="9" t="inlineStr">
        <is>
          <t>10K Gold Italian Horn Cornicello Pendant Necklace / Miami Cu</t>
        </is>
      </c>
      <c r="C1558" s="9" t="n">
        <v>1435050061</v>
      </c>
      <c r="D1558" s="9" t="inlineStr">
        <is>
          <t>P4-1</t>
        </is>
      </c>
      <c r="E1558" s="9" t="inlineStr">
        <is>
          <t>—</t>
        </is>
      </c>
      <c r="F1558" s="10" t="n">
        <v>78.34999999999999</v>
      </c>
      <c r="G1558" s="11" t="n"/>
      <c r="H1558" s="10">
        <f>IF(G1558="","",G1558*Ayarlar!$B$3+Ayarlar!$B$4+Ayarlar!$B$5)</f>
        <v/>
      </c>
      <c r="I1558" s="10">
        <f>IF(G1558="","",ROUNDUP(((G1558*Ayarlar!$B$3+Ayarlar!$B$4+Ayarlar!$B$5)+Ayarlar!$B$8)/((1-Ayarlar!$B$6)*(1-Ayarlar!$B$7)),0))</f>
        <v/>
      </c>
      <c r="J1558" s="10">
        <f>IF(G1558="","",ROUNDUP(((G1558*Ayarlar!$B$3+Ayarlar!$B$4+Ayarlar!$B$5)+Ayarlar!$B$8)/((1-Ayarlar!$B$6)*(1-Ayarlar!$B$7-Ayarlar!$B$9)),0))</f>
        <v/>
      </c>
      <c r="K1558" s="12">
        <f>IF(OR(G1558="",F1558=""),"",(F1558*(1-Ayarlar!$B$6)-(F1558*(1-Ayarlar!$B$6)*Ayarlar!$B$7+Ayarlar!$B$8)-(G1558*Ayarlar!$B$3+Ayarlar!$B$4+Ayarlar!$B$5))/(F1558*(1-Ayarlar!$B$6)))</f>
        <v/>
      </c>
      <c r="L1558" s="9">
        <f>IF(G1558="","GRAM EKSİK",IF(F1558&gt;30000,"FİYAT ŞÜPHELİ",IF(K1558&lt;0,"ZARARDA",IF(F1558&lt;I1558,"RİSKLİ","ok"))))</f>
        <v/>
      </c>
      <c r="M1558" s="13" t="inlineStr">
        <is>
          <t>https://www.etsy.com/listing/1435050061</t>
        </is>
      </c>
    </row>
    <row r="1559">
      <c r="A1559" s="3" t="inlineStr">
        <is>
          <t>protection</t>
        </is>
      </c>
      <c r="B1559" s="3" t="inlineStr">
        <is>
          <t>10K Gold Italian Horn Cornicello Pendant Necklace / Miami Cu</t>
        </is>
      </c>
      <c r="C1559" s="3" t="n">
        <v>1435050061</v>
      </c>
      <c r="D1559" s="3" t="inlineStr">
        <is>
          <t>P4-1.5</t>
        </is>
      </c>
      <c r="E1559" s="3" t="inlineStr">
        <is>
          <t>—</t>
        </is>
      </c>
      <c r="F1559" s="14" t="n">
        <v>101.86</v>
      </c>
      <c r="G1559" s="11" t="n"/>
      <c r="H1559" s="14">
        <f>IF(G1559="","",G1559*Ayarlar!$B$3+Ayarlar!$B$4+Ayarlar!$B$5)</f>
        <v/>
      </c>
      <c r="I1559" s="14">
        <f>IF(G1559="","",ROUNDUP(((G1559*Ayarlar!$B$3+Ayarlar!$B$4+Ayarlar!$B$5)+Ayarlar!$B$8)/((1-Ayarlar!$B$6)*(1-Ayarlar!$B$7)),0))</f>
        <v/>
      </c>
      <c r="J1559" s="14">
        <f>IF(G1559="","",ROUNDUP(((G1559*Ayarlar!$B$3+Ayarlar!$B$4+Ayarlar!$B$5)+Ayarlar!$B$8)/((1-Ayarlar!$B$6)*(1-Ayarlar!$B$7-Ayarlar!$B$9)),0))</f>
        <v/>
      </c>
      <c r="K1559" s="15">
        <f>IF(OR(G1559="",F1559=""),"",(F1559*(1-Ayarlar!$B$6)-(F1559*(1-Ayarlar!$B$6)*Ayarlar!$B$7+Ayarlar!$B$8)-(G1559*Ayarlar!$B$3+Ayarlar!$B$4+Ayarlar!$B$5))/(F1559*(1-Ayarlar!$B$6)))</f>
        <v/>
      </c>
      <c r="L1559" s="3">
        <f>IF(G1559="","GRAM EKSİK",IF(F1559&gt;30000,"FİYAT ŞÜPHELİ",IF(K1559&lt;0,"ZARARDA",IF(F1559&lt;I1559,"RİSKLİ","ok"))))</f>
        <v/>
      </c>
      <c r="M1559" s="16" t="inlineStr">
        <is>
          <t>https://www.etsy.com/listing/1435050061</t>
        </is>
      </c>
    </row>
    <row r="1560">
      <c r="A1560" s="9" t="inlineStr">
        <is>
          <t>protection</t>
        </is>
      </c>
      <c r="B1560" s="9" t="inlineStr">
        <is>
          <t>10K Gold Italian Horn Cornicello Pendant Necklace / Miami Cu</t>
        </is>
      </c>
      <c r="C1560" s="9" t="n">
        <v>1435050061</v>
      </c>
      <c r="D1560" s="9" t="inlineStr">
        <is>
          <t>P4-2</t>
        </is>
      </c>
      <c r="E1560" s="9" t="inlineStr">
        <is>
          <t>—</t>
        </is>
      </c>
      <c r="F1560" s="10" t="n">
        <v>180.23</v>
      </c>
      <c r="G1560" s="11" t="n"/>
      <c r="H1560" s="10">
        <f>IF(G1560="","",G1560*Ayarlar!$B$3+Ayarlar!$B$4+Ayarlar!$B$5)</f>
        <v/>
      </c>
      <c r="I1560" s="10">
        <f>IF(G1560="","",ROUNDUP(((G1560*Ayarlar!$B$3+Ayarlar!$B$4+Ayarlar!$B$5)+Ayarlar!$B$8)/((1-Ayarlar!$B$6)*(1-Ayarlar!$B$7)),0))</f>
        <v/>
      </c>
      <c r="J1560" s="10">
        <f>IF(G1560="","",ROUNDUP(((G1560*Ayarlar!$B$3+Ayarlar!$B$4+Ayarlar!$B$5)+Ayarlar!$B$8)/((1-Ayarlar!$B$6)*(1-Ayarlar!$B$7-Ayarlar!$B$9)),0))</f>
        <v/>
      </c>
      <c r="K1560" s="12">
        <f>IF(OR(G1560="",F1560=""),"",(F1560*(1-Ayarlar!$B$6)-(F1560*(1-Ayarlar!$B$6)*Ayarlar!$B$7+Ayarlar!$B$8)-(G1560*Ayarlar!$B$3+Ayarlar!$B$4+Ayarlar!$B$5))/(F1560*(1-Ayarlar!$B$6)))</f>
        <v/>
      </c>
      <c r="L1560" s="9">
        <f>IF(G1560="","GRAM EKSİK",IF(F1560&gt;30000,"FİYAT ŞÜPHELİ",IF(K1560&lt;0,"ZARARDA",IF(F1560&lt;I1560,"RİSKLİ","ok"))))</f>
        <v/>
      </c>
      <c r="M1560" s="13" t="inlineStr">
        <is>
          <t>https://www.etsy.com/listing/1435050061</t>
        </is>
      </c>
    </row>
    <row r="1561">
      <c r="A1561" s="3" t="inlineStr">
        <is>
          <t>protection</t>
        </is>
      </c>
      <c r="B1561" s="3" t="inlineStr">
        <is>
          <t>10K Gold Italian Horn Cornicello Pendant Necklace / Miami Cu</t>
        </is>
      </c>
      <c r="C1561" s="3" t="n">
        <v>1435050061</v>
      </c>
      <c r="D1561" s="3" t="inlineStr">
        <is>
          <t>P41-16</t>
        </is>
      </c>
      <c r="E1561" s="3" t="inlineStr">
        <is>
          <t>description</t>
        </is>
      </c>
      <c r="F1561" s="14" t="n">
        <v>339</v>
      </c>
      <c r="G1561" s="17" t="n">
        <v>0.55</v>
      </c>
      <c r="H1561" s="14">
        <f>IF(G1561="","",G1561*Ayarlar!$B$3+Ayarlar!$B$4+Ayarlar!$B$5)</f>
        <v/>
      </c>
      <c r="I1561" s="14">
        <f>IF(G1561="","",ROUNDUP(((G1561*Ayarlar!$B$3+Ayarlar!$B$4+Ayarlar!$B$5)+Ayarlar!$B$8)/((1-Ayarlar!$B$6)*(1-Ayarlar!$B$7)),0))</f>
        <v/>
      </c>
      <c r="J1561" s="14">
        <f>IF(G1561="","",ROUNDUP(((G1561*Ayarlar!$B$3+Ayarlar!$B$4+Ayarlar!$B$5)+Ayarlar!$B$8)/((1-Ayarlar!$B$6)*(1-Ayarlar!$B$7-Ayarlar!$B$9)),0))</f>
        <v/>
      </c>
      <c r="K1561" s="15">
        <f>IF(OR(G1561="",F1561=""),"",(F1561*(1-Ayarlar!$B$6)-(F1561*(1-Ayarlar!$B$6)*Ayarlar!$B$7+Ayarlar!$B$8)-(G1561*Ayarlar!$B$3+Ayarlar!$B$4+Ayarlar!$B$5))/(F1561*(1-Ayarlar!$B$6)))</f>
        <v/>
      </c>
      <c r="L1561" s="3">
        <f>IF(G1561="","GRAM EKSİK",IF(F1561&gt;30000,"FİYAT ŞÜPHELİ",IF(K1561&lt;0,"ZARARDA",IF(F1561&lt;I1561,"RİSKLİ","ok"))))</f>
        <v/>
      </c>
      <c r="M1561" s="16" t="inlineStr">
        <is>
          <t>https://www.etsy.com/listing/1435050061</t>
        </is>
      </c>
    </row>
    <row r="1562">
      <c r="A1562" s="9" t="inlineStr">
        <is>
          <t>protection</t>
        </is>
      </c>
      <c r="B1562" s="9" t="inlineStr">
        <is>
          <t>10K Gold Italian Horn Cornicello Pendant Necklace / Miami Cu</t>
        </is>
      </c>
      <c r="C1562" s="9" t="n">
        <v>1435050061</v>
      </c>
      <c r="D1562" s="9" t="inlineStr">
        <is>
          <t>P41-18</t>
        </is>
      </c>
      <c r="E1562" s="9" t="inlineStr">
        <is>
          <t>description</t>
        </is>
      </c>
      <c r="F1562" s="10" t="n">
        <v>371</v>
      </c>
      <c r="G1562" s="18" t="n">
        <v>0.55</v>
      </c>
      <c r="H1562" s="10">
        <f>IF(G1562="","",G1562*Ayarlar!$B$3+Ayarlar!$B$4+Ayarlar!$B$5)</f>
        <v/>
      </c>
      <c r="I1562" s="10">
        <f>IF(G1562="","",ROUNDUP(((G1562*Ayarlar!$B$3+Ayarlar!$B$4+Ayarlar!$B$5)+Ayarlar!$B$8)/((1-Ayarlar!$B$6)*(1-Ayarlar!$B$7)),0))</f>
        <v/>
      </c>
      <c r="J1562" s="10">
        <f>IF(G1562="","",ROUNDUP(((G1562*Ayarlar!$B$3+Ayarlar!$B$4+Ayarlar!$B$5)+Ayarlar!$B$8)/((1-Ayarlar!$B$6)*(1-Ayarlar!$B$7-Ayarlar!$B$9)),0))</f>
        <v/>
      </c>
      <c r="K1562" s="12">
        <f>IF(OR(G1562="",F1562=""),"",(F1562*(1-Ayarlar!$B$6)-(F1562*(1-Ayarlar!$B$6)*Ayarlar!$B$7+Ayarlar!$B$8)-(G1562*Ayarlar!$B$3+Ayarlar!$B$4+Ayarlar!$B$5))/(F1562*(1-Ayarlar!$B$6)))</f>
        <v/>
      </c>
      <c r="L1562" s="9">
        <f>IF(G1562="","GRAM EKSİK",IF(F1562&gt;30000,"FİYAT ŞÜPHELİ",IF(K1562&lt;0,"ZARARDA",IF(F1562&lt;I1562,"RİSKLİ","ok"))))</f>
        <v/>
      </c>
      <c r="M1562" s="13" t="inlineStr">
        <is>
          <t>https://www.etsy.com/listing/1435050061</t>
        </is>
      </c>
    </row>
    <row r="1563">
      <c r="A1563" s="3" t="inlineStr">
        <is>
          <t>protection</t>
        </is>
      </c>
      <c r="B1563" s="3" t="inlineStr">
        <is>
          <t>10K Gold Italian Horn Cornicello Pendant Necklace / Miami Cu</t>
        </is>
      </c>
      <c r="C1563" s="3" t="n">
        <v>1435050061</v>
      </c>
      <c r="D1563" s="3" t="inlineStr">
        <is>
          <t>P41-20</t>
        </is>
      </c>
      <c r="E1563" s="3" t="inlineStr">
        <is>
          <t>description</t>
        </is>
      </c>
      <c r="F1563" s="14" t="n">
        <v>404</v>
      </c>
      <c r="G1563" s="17" t="n">
        <v>0.55</v>
      </c>
      <c r="H1563" s="14">
        <f>IF(G1563="","",G1563*Ayarlar!$B$3+Ayarlar!$B$4+Ayarlar!$B$5)</f>
        <v/>
      </c>
      <c r="I1563" s="14">
        <f>IF(G1563="","",ROUNDUP(((G1563*Ayarlar!$B$3+Ayarlar!$B$4+Ayarlar!$B$5)+Ayarlar!$B$8)/((1-Ayarlar!$B$6)*(1-Ayarlar!$B$7)),0))</f>
        <v/>
      </c>
      <c r="J1563" s="14">
        <f>IF(G1563="","",ROUNDUP(((G1563*Ayarlar!$B$3+Ayarlar!$B$4+Ayarlar!$B$5)+Ayarlar!$B$8)/((1-Ayarlar!$B$6)*(1-Ayarlar!$B$7-Ayarlar!$B$9)),0))</f>
        <v/>
      </c>
      <c r="K1563" s="15">
        <f>IF(OR(G1563="",F1563=""),"",(F1563*(1-Ayarlar!$B$6)-(F1563*(1-Ayarlar!$B$6)*Ayarlar!$B$7+Ayarlar!$B$8)-(G1563*Ayarlar!$B$3+Ayarlar!$B$4+Ayarlar!$B$5))/(F1563*(1-Ayarlar!$B$6)))</f>
        <v/>
      </c>
      <c r="L1563" s="3">
        <f>IF(G1563="","GRAM EKSİK",IF(F1563&gt;30000,"FİYAT ŞÜPHELİ",IF(K1563&lt;0,"ZARARDA",IF(F1563&lt;I1563,"RİSKLİ","ok"))))</f>
        <v/>
      </c>
      <c r="M1563" s="16" t="inlineStr">
        <is>
          <t>https://www.etsy.com/listing/1435050061</t>
        </is>
      </c>
    </row>
    <row r="1564">
      <c r="A1564" s="9" t="inlineStr">
        <is>
          <t>protection</t>
        </is>
      </c>
      <c r="B1564" s="9" t="inlineStr">
        <is>
          <t>10K Gold Italian Horn Cornicello Pendant Necklace / Miami Cu</t>
        </is>
      </c>
      <c r="C1564" s="9" t="n">
        <v>1435050061</v>
      </c>
      <c r="D1564" s="9" t="inlineStr">
        <is>
          <t>P41-22</t>
        </is>
      </c>
      <c r="E1564" s="9" t="inlineStr">
        <is>
          <t>description</t>
        </is>
      </c>
      <c r="F1564" s="10" t="n">
        <v>441</v>
      </c>
      <c r="G1564" s="18" t="n">
        <v>0.55</v>
      </c>
      <c r="H1564" s="10">
        <f>IF(G1564="","",G1564*Ayarlar!$B$3+Ayarlar!$B$4+Ayarlar!$B$5)</f>
        <v/>
      </c>
      <c r="I1564" s="10">
        <f>IF(G1564="","",ROUNDUP(((G1564*Ayarlar!$B$3+Ayarlar!$B$4+Ayarlar!$B$5)+Ayarlar!$B$8)/((1-Ayarlar!$B$6)*(1-Ayarlar!$B$7)),0))</f>
        <v/>
      </c>
      <c r="J1564" s="10">
        <f>IF(G1564="","",ROUNDUP(((G1564*Ayarlar!$B$3+Ayarlar!$B$4+Ayarlar!$B$5)+Ayarlar!$B$8)/((1-Ayarlar!$B$6)*(1-Ayarlar!$B$7-Ayarlar!$B$9)),0))</f>
        <v/>
      </c>
      <c r="K1564" s="12">
        <f>IF(OR(G1564="",F1564=""),"",(F1564*(1-Ayarlar!$B$6)-(F1564*(1-Ayarlar!$B$6)*Ayarlar!$B$7+Ayarlar!$B$8)-(G1564*Ayarlar!$B$3+Ayarlar!$B$4+Ayarlar!$B$5))/(F1564*(1-Ayarlar!$B$6)))</f>
        <v/>
      </c>
      <c r="L1564" s="9">
        <f>IF(G1564="","GRAM EKSİK",IF(F1564&gt;30000,"FİYAT ŞÜPHELİ",IF(K1564&lt;0,"ZARARDA",IF(F1564&lt;I1564,"RİSKLİ","ok"))))</f>
        <v/>
      </c>
      <c r="M1564" s="13" t="inlineStr">
        <is>
          <t>https://www.etsy.com/listing/1435050061</t>
        </is>
      </c>
    </row>
    <row r="1565">
      <c r="A1565" s="3" t="inlineStr">
        <is>
          <t>protection</t>
        </is>
      </c>
      <c r="B1565" s="3" t="inlineStr">
        <is>
          <t>10K Gold Italian Horn Cornicello Pendant Necklace / Miami Cu</t>
        </is>
      </c>
      <c r="C1565" s="3" t="n">
        <v>1435050061</v>
      </c>
      <c r="D1565" s="3" t="inlineStr">
        <is>
          <t>P41.5-16</t>
        </is>
      </c>
      <c r="E1565" s="3" t="inlineStr">
        <is>
          <t>description</t>
        </is>
      </c>
      <c r="F1565" s="14" t="n">
        <v>356</v>
      </c>
      <c r="G1565" s="17" t="n">
        <v>0.64</v>
      </c>
      <c r="H1565" s="14">
        <f>IF(G1565="","",G1565*Ayarlar!$B$3+Ayarlar!$B$4+Ayarlar!$B$5)</f>
        <v/>
      </c>
      <c r="I1565" s="14">
        <f>IF(G1565="","",ROUNDUP(((G1565*Ayarlar!$B$3+Ayarlar!$B$4+Ayarlar!$B$5)+Ayarlar!$B$8)/((1-Ayarlar!$B$6)*(1-Ayarlar!$B$7)),0))</f>
        <v/>
      </c>
      <c r="J1565" s="14">
        <f>IF(G1565="","",ROUNDUP(((G1565*Ayarlar!$B$3+Ayarlar!$B$4+Ayarlar!$B$5)+Ayarlar!$B$8)/((1-Ayarlar!$B$6)*(1-Ayarlar!$B$7-Ayarlar!$B$9)),0))</f>
        <v/>
      </c>
      <c r="K1565" s="15">
        <f>IF(OR(G1565="",F1565=""),"",(F1565*(1-Ayarlar!$B$6)-(F1565*(1-Ayarlar!$B$6)*Ayarlar!$B$7+Ayarlar!$B$8)-(G1565*Ayarlar!$B$3+Ayarlar!$B$4+Ayarlar!$B$5))/(F1565*(1-Ayarlar!$B$6)))</f>
        <v/>
      </c>
      <c r="L1565" s="3">
        <f>IF(G1565="","GRAM EKSİK",IF(F1565&gt;30000,"FİYAT ŞÜPHELİ",IF(K1565&lt;0,"ZARARDA",IF(F1565&lt;I1565,"RİSKLİ","ok"))))</f>
        <v/>
      </c>
      <c r="M1565" s="16" t="inlineStr">
        <is>
          <t>https://www.etsy.com/listing/1435050061</t>
        </is>
      </c>
    </row>
    <row r="1566">
      <c r="A1566" s="9" t="inlineStr">
        <is>
          <t>protection</t>
        </is>
      </c>
      <c r="B1566" s="9" t="inlineStr">
        <is>
          <t>10K Gold Italian Horn Cornicello Pendant Necklace / Miami Cu</t>
        </is>
      </c>
      <c r="C1566" s="9" t="n">
        <v>1435050061</v>
      </c>
      <c r="D1566" s="9" t="inlineStr">
        <is>
          <t>P41.5-18</t>
        </is>
      </c>
      <c r="E1566" s="9" t="inlineStr">
        <is>
          <t>description</t>
        </is>
      </c>
      <c r="F1566" s="10" t="n">
        <v>388</v>
      </c>
      <c r="G1566" s="18" t="n">
        <v>0.64</v>
      </c>
      <c r="H1566" s="10">
        <f>IF(G1566="","",G1566*Ayarlar!$B$3+Ayarlar!$B$4+Ayarlar!$B$5)</f>
        <v/>
      </c>
      <c r="I1566" s="10">
        <f>IF(G1566="","",ROUNDUP(((G1566*Ayarlar!$B$3+Ayarlar!$B$4+Ayarlar!$B$5)+Ayarlar!$B$8)/((1-Ayarlar!$B$6)*(1-Ayarlar!$B$7)),0))</f>
        <v/>
      </c>
      <c r="J1566" s="10">
        <f>IF(G1566="","",ROUNDUP(((G1566*Ayarlar!$B$3+Ayarlar!$B$4+Ayarlar!$B$5)+Ayarlar!$B$8)/((1-Ayarlar!$B$6)*(1-Ayarlar!$B$7-Ayarlar!$B$9)),0))</f>
        <v/>
      </c>
      <c r="K1566" s="12">
        <f>IF(OR(G1566="",F1566=""),"",(F1566*(1-Ayarlar!$B$6)-(F1566*(1-Ayarlar!$B$6)*Ayarlar!$B$7+Ayarlar!$B$8)-(G1566*Ayarlar!$B$3+Ayarlar!$B$4+Ayarlar!$B$5))/(F1566*(1-Ayarlar!$B$6)))</f>
        <v/>
      </c>
      <c r="L1566" s="9">
        <f>IF(G1566="","GRAM EKSİK",IF(F1566&gt;30000,"FİYAT ŞÜPHELİ",IF(K1566&lt;0,"ZARARDA",IF(F1566&lt;I1566,"RİSKLİ","ok"))))</f>
        <v/>
      </c>
      <c r="M1566" s="13" t="inlineStr">
        <is>
          <t>https://www.etsy.com/listing/1435050061</t>
        </is>
      </c>
    </row>
    <row r="1567">
      <c r="A1567" s="3" t="inlineStr">
        <is>
          <t>protection</t>
        </is>
      </c>
      <c r="B1567" s="3" t="inlineStr">
        <is>
          <t>10K Gold Italian Horn Cornicello Pendant Necklace / Miami Cu</t>
        </is>
      </c>
      <c r="C1567" s="3" t="n">
        <v>1435050061</v>
      </c>
      <c r="D1567" s="3" t="inlineStr">
        <is>
          <t>P41.5-20</t>
        </is>
      </c>
      <c r="E1567" s="3" t="inlineStr">
        <is>
          <t>description</t>
        </is>
      </c>
      <c r="F1567" s="14" t="n">
        <v>419</v>
      </c>
      <c r="G1567" s="17" t="n">
        <v>0.64</v>
      </c>
      <c r="H1567" s="14">
        <f>IF(G1567="","",G1567*Ayarlar!$B$3+Ayarlar!$B$4+Ayarlar!$B$5)</f>
        <v/>
      </c>
      <c r="I1567" s="14">
        <f>IF(G1567="","",ROUNDUP(((G1567*Ayarlar!$B$3+Ayarlar!$B$4+Ayarlar!$B$5)+Ayarlar!$B$8)/((1-Ayarlar!$B$6)*(1-Ayarlar!$B$7)),0))</f>
        <v/>
      </c>
      <c r="J1567" s="14">
        <f>IF(G1567="","",ROUNDUP(((G1567*Ayarlar!$B$3+Ayarlar!$B$4+Ayarlar!$B$5)+Ayarlar!$B$8)/((1-Ayarlar!$B$6)*(1-Ayarlar!$B$7-Ayarlar!$B$9)),0))</f>
        <v/>
      </c>
      <c r="K1567" s="15">
        <f>IF(OR(G1567="",F1567=""),"",(F1567*(1-Ayarlar!$B$6)-(F1567*(1-Ayarlar!$B$6)*Ayarlar!$B$7+Ayarlar!$B$8)-(G1567*Ayarlar!$B$3+Ayarlar!$B$4+Ayarlar!$B$5))/(F1567*(1-Ayarlar!$B$6)))</f>
        <v/>
      </c>
      <c r="L1567" s="3">
        <f>IF(G1567="","GRAM EKSİK",IF(F1567&gt;30000,"FİYAT ŞÜPHELİ",IF(K1567&lt;0,"ZARARDA",IF(F1567&lt;I1567,"RİSKLİ","ok"))))</f>
        <v/>
      </c>
      <c r="M1567" s="16" t="inlineStr">
        <is>
          <t>https://www.etsy.com/listing/1435050061</t>
        </is>
      </c>
    </row>
    <row r="1568">
      <c r="A1568" s="9" t="inlineStr">
        <is>
          <t>protection</t>
        </is>
      </c>
      <c r="B1568" s="9" t="inlineStr">
        <is>
          <t>10K Gold Italian Horn Cornicello Pendant Necklace / Miami Cu</t>
        </is>
      </c>
      <c r="C1568" s="9" t="n">
        <v>1435050061</v>
      </c>
      <c r="D1568" s="9" t="inlineStr">
        <is>
          <t>P41.5-22</t>
        </is>
      </c>
      <c r="E1568" s="9" t="inlineStr">
        <is>
          <t>description</t>
        </is>
      </c>
      <c r="F1568" s="10" t="n">
        <v>450</v>
      </c>
      <c r="G1568" s="18" t="n">
        <v>0.64</v>
      </c>
      <c r="H1568" s="10">
        <f>IF(G1568="","",G1568*Ayarlar!$B$3+Ayarlar!$B$4+Ayarlar!$B$5)</f>
        <v/>
      </c>
      <c r="I1568" s="10">
        <f>IF(G1568="","",ROUNDUP(((G1568*Ayarlar!$B$3+Ayarlar!$B$4+Ayarlar!$B$5)+Ayarlar!$B$8)/((1-Ayarlar!$B$6)*(1-Ayarlar!$B$7)),0))</f>
        <v/>
      </c>
      <c r="J1568" s="10">
        <f>IF(G1568="","",ROUNDUP(((G1568*Ayarlar!$B$3+Ayarlar!$B$4+Ayarlar!$B$5)+Ayarlar!$B$8)/((1-Ayarlar!$B$6)*(1-Ayarlar!$B$7-Ayarlar!$B$9)),0))</f>
        <v/>
      </c>
      <c r="K1568" s="12">
        <f>IF(OR(G1568="",F1568=""),"",(F1568*(1-Ayarlar!$B$6)-(F1568*(1-Ayarlar!$B$6)*Ayarlar!$B$7+Ayarlar!$B$8)-(G1568*Ayarlar!$B$3+Ayarlar!$B$4+Ayarlar!$B$5))/(F1568*(1-Ayarlar!$B$6)))</f>
        <v/>
      </c>
      <c r="L1568" s="9">
        <f>IF(G1568="","GRAM EKSİK",IF(F1568&gt;30000,"FİYAT ŞÜPHELİ",IF(K1568&lt;0,"ZARARDA",IF(F1568&lt;I1568,"RİSKLİ","ok"))))</f>
        <v/>
      </c>
      <c r="M1568" s="13" t="inlineStr">
        <is>
          <t>https://www.etsy.com/listing/1435050061</t>
        </is>
      </c>
    </row>
    <row r="1569">
      <c r="A1569" s="3" t="inlineStr">
        <is>
          <t>protection</t>
        </is>
      </c>
      <c r="B1569" s="3" t="inlineStr">
        <is>
          <t>10K Gold Italian Horn Cornicello Pendant Necklace / Miami Cu</t>
        </is>
      </c>
      <c r="C1569" s="3" t="n">
        <v>1435050061</v>
      </c>
      <c r="D1569" s="3" t="inlineStr">
        <is>
          <t>P41.5-24</t>
        </is>
      </c>
      <c r="E1569" s="3" t="inlineStr">
        <is>
          <t>description</t>
        </is>
      </c>
      <c r="F1569" s="14" t="n">
        <v>474</v>
      </c>
      <c r="G1569" s="17" t="n">
        <v>0.64</v>
      </c>
      <c r="H1569" s="14">
        <f>IF(G1569="","",G1569*Ayarlar!$B$3+Ayarlar!$B$4+Ayarlar!$B$5)</f>
        <v/>
      </c>
      <c r="I1569" s="14">
        <f>IF(G1569="","",ROUNDUP(((G1569*Ayarlar!$B$3+Ayarlar!$B$4+Ayarlar!$B$5)+Ayarlar!$B$8)/((1-Ayarlar!$B$6)*(1-Ayarlar!$B$7)),0))</f>
        <v/>
      </c>
      <c r="J1569" s="14">
        <f>IF(G1569="","",ROUNDUP(((G1569*Ayarlar!$B$3+Ayarlar!$B$4+Ayarlar!$B$5)+Ayarlar!$B$8)/((1-Ayarlar!$B$6)*(1-Ayarlar!$B$7-Ayarlar!$B$9)),0))</f>
        <v/>
      </c>
      <c r="K1569" s="15">
        <f>IF(OR(G1569="",F1569=""),"",(F1569*(1-Ayarlar!$B$6)-(F1569*(1-Ayarlar!$B$6)*Ayarlar!$B$7+Ayarlar!$B$8)-(G1569*Ayarlar!$B$3+Ayarlar!$B$4+Ayarlar!$B$5))/(F1569*(1-Ayarlar!$B$6)))</f>
        <v/>
      </c>
      <c r="L1569" s="3">
        <f>IF(G1569="","GRAM EKSİK",IF(F1569&gt;30000,"FİYAT ŞÜPHELİ",IF(K1569&lt;0,"ZARARDA",IF(F1569&lt;I1569,"RİSKLİ","ok"))))</f>
        <v/>
      </c>
      <c r="M1569" s="16" t="inlineStr">
        <is>
          <t>https://www.etsy.com/listing/1435050061</t>
        </is>
      </c>
    </row>
    <row r="1570">
      <c r="A1570" s="9" t="inlineStr">
        <is>
          <t>protection</t>
        </is>
      </c>
      <c r="B1570" s="9" t="inlineStr">
        <is>
          <t>10K Gold Italian Horn Cornicello Pendant Necklace / Miami Cu</t>
        </is>
      </c>
      <c r="C1570" s="9" t="n">
        <v>1435050061</v>
      </c>
      <c r="D1570" s="9" t="inlineStr">
        <is>
          <t>P4124</t>
        </is>
      </c>
      <c r="E1570" s="9" t="inlineStr">
        <is>
          <t>description</t>
        </is>
      </c>
      <c r="F1570" s="10" t="n">
        <v>465</v>
      </c>
      <c r="G1570" s="18" t="n">
        <v>0.55</v>
      </c>
      <c r="H1570" s="10">
        <f>IF(G1570="","",G1570*Ayarlar!$B$3+Ayarlar!$B$4+Ayarlar!$B$5)</f>
        <v/>
      </c>
      <c r="I1570" s="10">
        <f>IF(G1570="","",ROUNDUP(((G1570*Ayarlar!$B$3+Ayarlar!$B$4+Ayarlar!$B$5)+Ayarlar!$B$8)/((1-Ayarlar!$B$6)*(1-Ayarlar!$B$7)),0))</f>
        <v/>
      </c>
      <c r="J1570" s="10">
        <f>IF(G1570="","",ROUNDUP(((G1570*Ayarlar!$B$3+Ayarlar!$B$4+Ayarlar!$B$5)+Ayarlar!$B$8)/((1-Ayarlar!$B$6)*(1-Ayarlar!$B$7-Ayarlar!$B$9)),0))</f>
        <v/>
      </c>
      <c r="K1570" s="12">
        <f>IF(OR(G1570="",F1570=""),"",(F1570*(1-Ayarlar!$B$6)-(F1570*(1-Ayarlar!$B$6)*Ayarlar!$B$7+Ayarlar!$B$8)-(G1570*Ayarlar!$B$3+Ayarlar!$B$4+Ayarlar!$B$5))/(F1570*(1-Ayarlar!$B$6)))</f>
        <v/>
      </c>
      <c r="L1570" s="9">
        <f>IF(G1570="","GRAM EKSİK",IF(F1570&gt;30000,"FİYAT ŞÜPHELİ",IF(K1570&lt;0,"ZARARDA",IF(F1570&lt;I1570,"RİSKLİ","ok"))))</f>
        <v/>
      </c>
      <c r="M1570" s="13" t="inlineStr">
        <is>
          <t>https://www.etsy.com/listing/1435050061</t>
        </is>
      </c>
    </row>
    <row r="1571">
      <c r="A1571" s="3" t="inlineStr">
        <is>
          <t>protection</t>
        </is>
      </c>
      <c r="B1571" s="3" t="inlineStr">
        <is>
          <t>10K Gold Italian Horn Cornicello Pendant Necklace / Miami Cu</t>
        </is>
      </c>
      <c r="C1571" s="3" t="n">
        <v>1435050061</v>
      </c>
      <c r="D1571" s="3" t="inlineStr">
        <is>
          <t>P42-16</t>
        </is>
      </c>
      <c r="E1571" s="3" t="inlineStr">
        <is>
          <t>description</t>
        </is>
      </c>
      <c r="F1571" s="14" t="n">
        <v>440</v>
      </c>
      <c r="G1571" s="17" t="n">
        <v>1.92</v>
      </c>
      <c r="H1571" s="14">
        <f>IF(G1571="","",G1571*Ayarlar!$B$3+Ayarlar!$B$4+Ayarlar!$B$5)</f>
        <v/>
      </c>
      <c r="I1571" s="14">
        <f>IF(G1571="","",ROUNDUP(((G1571*Ayarlar!$B$3+Ayarlar!$B$4+Ayarlar!$B$5)+Ayarlar!$B$8)/((1-Ayarlar!$B$6)*(1-Ayarlar!$B$7)),0))</f>
        <v/>
      </c>
      <c r="J1571" s="14">
        <f>IF(G1571="","",ROUNDUP(((G1571*Ayarlar!$B$3+Ayarlar!$B$4+Ayarlar!$B$5)+Ayarlar!$B$8)/((1-Ayarlar!$B$6)*(1-Ayarlar!$B$7-Ayarlar!$B$9)),0))</f>
        <v/>
      </c>
      <c r="K1571" s="15">
        <f>IF(OR(G1571="",F1571=""),"",(F1571*(1-Ayarlar!$B$6)-(F1571*(1-Ayarlar!$B$6)*Ayarlar!$B$7+Ayarlar!$B$8)-(G1571*Ayarlar!$B$3+Ayarlar!$B$4+Ayarlar!$B$5))/(F1571*(1-Ayarlar!$B$6)))</f>
        <v/>
      </c>
      <c r="L1571" s="3">
        <f>IF(G1571="","GRAM EKSİK",IF(F1571&gt;30000,"FİYAT ŞÜPHELİ",IF(K1571&lt;0,"ZARARDA",IF(F1571&lt;I1571,"RİSKLİ","ok"))))</f>
        <v/>
      </c>
      <c r="M1571" s="16" t="inlineStr">
        <is>
          <t>https://www.etsy.com/listing/1435050061</t>
        </is>
      </c>
    </row>
    <row r="1572">
      <c r="A1572" s="9" t="inlineStr">
        <is>
          <t>protection</t>
        </is>
      </c>
      <c r="B1572" s="9" t="inlineStr">
        <is>
          <t>10K Gold Italian Horn Cornicello Pendant Necklace / Miami Cu</t>
        </is>
      </c>
      <c r="C1572" s="9" t="n">
        <v>1435050061</v>
      </c>
      <c r="D1572" s="9" t="inlineStr">
        <is>
          <t>P42-18</t>
        </is>
      </c>
      <c r="E1572" s="9" t="inlineStr">
        <is>
          <t>description</t>
        </is>
      </c>
      <c r="F1572" s="10" t="n">
        <v>479</v>
      </c>
      <c r="G1572" s="18" t="n">
        <v>1.92</v>
      </c>
      <c r="H1572" s="10">
        <f>IF(G1572="","",G1572*Ayarlar!$B$3+Ayarlar!$B$4+Ayarlar!$B$5)</f>
        <v/>
      </c>
      <c r="I1572" s="10">
        <f>IF(G1572="","",ROUNDUP(((G1572*Ayarlar!$B$3+Ayarlar!$B$4+Ayarlar!$B$5)+Ayarlar!$B$8)/((1-Ayarlar!$B$6)*(1-Ayarlar!$B$7)),0))</f>
        <v/>
      </c>
      <c r="J1572" s="10">
        <f>IF(G1572="","",ROUNDUP(((G1572*Ayarlar!$B$3+Ayarlar!$B$4+Ayarlar!$B$5)+Ayarlar!$B$8)/((1-Ayarlar!$B$6)*(1-Ayarlar!$B$7-Ayarlar!$B$9)),0))</f>
        <v/>
      </c>
      <c r="K1572" s="12">
        <f>IF(OR(G1572="",F1572=""),"",(F1572*(1-Ayarlar!$B$6)-(F1572*(1-Ayarlar!$B$6)*Ayarlar!$B$7+Ayarlar!$B$8)-(G1572*Ayarlar!$B$3+Ayarlar!$B$4+Ayarlar!$B$5))/(F1572*(1-Ayarlar!$B$6)))</f>
        <v/>
      </c>
      <c r="L1572" s="9">
        <f>IF(G1572="","GRAM EKSİK",IF(F1572&gt;30000,"FİYAT ŞÜPHELİ",IF(K1572&lt;0,"ZARARDA",IF(F1572&lt;I1572,"RİSKLİ","ok"))))</f>
        <v/>
      </c>
      <c r="M1572" s="13" t="inlineStr">
        <is>
          <t>https://www.etsy.com/listing/1435050061</t>
        </is>
      </c>
    </row>
    <row r="1573">
      <c r="A1573" s="3" t="inlineStr">
        <is>
          <t>protection</t>
        </is>
      </c>
      <c r="B1573" s="3" t="inlineStr">
        <is>
          <t>10K Gold Italian Horn Cornicello Pendant Necklace / Miami Cu</t>
        </is>
      </c>
      <c r="C1573" s="3" t="n">
        <v>1435050061</v>
      </c>
      <c r="D1573" s="3" t="inlineStr">
        <is>
          <t>P42-20</t>
        </is>
      </c>
      <c r="E1573" s="3" t="inlineStr">
        <is>
          <t>description</t>
        </is>
      </c>
      <c r="F1573" s="14" t="n">
        <v>518</v>
      </c>
      <c r="G1573" s="17" t="n">
        <v>1.92</v>
      </c>
      <c r="H1573" s="14">
        <f>IF(G1573="","",G1573*Ayarlar!$B$3+Ayarlar!$B$4+Ayarlar!$B$5)</f>
        <v/>
      </c>
      <c r="I1573" s="14">
        <f>IF(G1573="","",ROUNDUP(((G1573*Ayarlar!$B$3+Ayarlar!$B$4+Ayarlar!$B$5)+Ayarlar!$B$8)/((1-Ayarlar!$B$6)*(1-Ayarlar!$B$7)),0))</f>
        <v/>
      </c>
      <c r="J1573" s="14">
        <f>IF(G1573="","",ROUNDUP(((G1573*Ayarlar!$B$3+Ayarlar!$B$4+Ayarlar!$B$5)+Ayarlar!$B$8)/((1-Ayarlar!$B$6)*(1-Ayarlar!$B$7-Ayarlar!$B$9)),0))</f>
        <v/>
      </c>
      <c r="K1573" s="15">
        <f>IF(OR(G1573="",F1573=""),"",(F1573*(1-Ayarlar!$B$6)-(F1573*(1-Ayarlar!$B$6)*Ayarlar!$B$7+Ayarlar!$B$8)-(G1573*Ayarlar!$B$3+Ayarlar!$B$4+Ayarlar!$B$5))/(F1573*(1-Ayarlar!$B$6)))</f>
        <v/>
      </c>
      <c r="L1573" s="3">
        <f>IF(G1573="","GRAM EKSİK",IF(F1573&gt;30000,"FİYAT ŞÜPHELİ",IF(K1573&lt;0,"ZARARDA",IF(F1573&lt;I1573,"RİSKLİ","ok"))))</f>
        <v/>
      </c>
      <c r="M1573" s="16" t="inlineStr">
        <is>
          <t>https://www.etsy.com/listing/1435050061</t>
        </is>
      </c>
    </row>
    <row r="1574">
      <c r="A1574" s="9" t="inlineStr">
        <is>
          <t>protection</t>
        </is>
      </c>
      <c r="B1574" s="9" t="inlineStr">
        <is>
          <t>10K Gold Italian Horn Cornicello Pendant Necklace / Miami Cu</t>
        </is>
      </c>
      <c r="C1574" s="9" t="n">
        <v>1435050061</v>
      </c>
      <c r="D1574" s="9" t="inlineStr">
        <is>
          <t>P42-22</t>
        </is>
      </c>
      <c r="E1574" s="9" t="inlineStr">
        <is>
          <t>description</t>
        </is>
      </c>
      <c r="F1574" s="10" t="n">
        <v>542</v>
      </c>
      <c r="G1574" s="18" t="n">
        <v>1.92</v>
      </c>
      <c r="H1574" s="10">
        <f>IF(G1574="","",G1574*Ayarlar!$B$3+Ayarlar!$B$4+Ayarlar!$B$5)</f>
        <v/>
      </c>
      <c r="I1574" s="10">
        <f>IF(G1574="","",ROUNDUP(((G1574*Ayarlar!$B$3+Ayarlar!$B$4+Ayarlar!$B$5)+Ayarlar!$B$8)/((1-Ayarlar!$B$6)*(1-Ayarlar!$B$7)),0))</f>
        <v/>
      </c>
      <c r="J1574" s="10">
        <f>IF(G1574="","",ROUNDUP(((G1574*Ayarlar!$B$3+Ayarlar!$B$4+Ayarlar!$B$5)+Ayarlar!$B$8)/((1-Ayarlar!$B$6)*(1-Ayarlar!$B$7-Ayarlar!$B$9)),0))</f>
        <v/>
      </c>
      <c r="K1574" s="12">
        <f>IF(OR(G1574="",F1574=""),"",(F1574*(1-Ayarlar!$B$6)-(F1574*(1-Ayarlar!$B$6)*Ayarlar!$B$7+Ayarlar!$B$8)-(G1574*Ayarlar!$B$3+Ayarlar!$B$4+Ayarlar!$B$5))/(F1574*(1-Ayarlar!$B$6)))</f>
        <v/>
      </c>
      <c r="L1574" s="9">
        <f>IF(G1574="","GRAM EKSİK",IF(F1574&gt;30000,"FİYAT ŞÜPHELİ",IF(K1574&lt;0,"ZARARDA",IF(F1574&lt;I1574,"RİSKLİ","ok"))))</f>
        <v/>
      </c>
      <c r="M1574" s="13" t="inlineStr">
        <is>
          <t>https://www.etsy.com/listing/1435050061</t>
        </is>
      </c>
    </row>
    <row r="1575">
      <c r="A1575" s="3" t="inlineStr">
        <is>
          <t>protection</t>
        </is>
      </c>
      <c r="B1575" s="3" t="inlineStr">
        <is>
          <t>10K Gold Italian Horn Cornicello Pendant Necklace / Miami Cu</t>
        </is>
      </c>
      <c r="C1575" s="3" t="n">
        <v>1435050061</v>
      </c>
      <c r="D1575" s="3" t="inlineStr">
        <is>
          <t>P42-24</t>
        </is>
      </c>
      <c r="E1575" s="3" t="inlineStr">
        <is>
          <t>description</t>
        </is>
      </c>
      <c r="F1575" s="14" t="n">
        <v>573</v>
      </c>
      <c r="G1575" s="17" t="n">
        <v>1.92</v>
      </c>
      <c r="H1575" s="14">
        <f>IF(G1575="","",G1575*Ayarlar!$B$3+Ayarlar!$B$4+Ayarlar!$B$5)</f>
        <v/>
      </c>
      <c r="I1575" s="14">
        <f>IF(G1575="","",ROUNDUP(((G1575*Ayarlar!$B$3+Ayarlar!$B$4+Ayarlar!$B$5)+Ayarlar!$B$8)/((1-Ayarlar!$B$6)*(1-Ayarlar!$B$7)),0))</f>
        <v/>
      </c>
      <c r="J1575" s="14">
        <f>IF(G1575="","",ROUNDUP(((G1575*Ayarlar!$B$3+Ayarlar!$B$4+Ayarlar!$B$5)+Ayarlar!$B$8)/((1-Ayarlar!$B$6)*(1-Ayarlar!$B$7-Ayarlar!$B$9)),0))</f>
        <v/>
      </c>
      <c r="K1575" s="15">
        <f>IF(OR(G1575="",F1575=""),"",(F1575*(1-Ayarlar!$B$6)-(F1575*(1-Ayarlar!$B$6)*Ayarlar!$B$7+Ayarlar!$B$8)-(G1575*Ayarlar!$B$3+Ayarlar!$B$4+Ayarlar!$B$5))/(F1575*(1-Ayarlar!$B$6)))</f>
        <v/>
      </c>
      <c r="L1575" s="3">
        <f>IF(G1575="","GRAM EKSİK",IF(F1575&gt;30000,"FİYAT ŞÜPHELİ",IF(K1575&lt;0,"ZARARDA",IF(F1575&lt;I1575,"RİSKLİ","ok"))))</f>
        <v/>
      </c>
      <c r="M1575" s="16" t="inlineStr">
        <is>
          <t>https://www.etsy.com/listing/1435050061</t>
        </is>
      </c>
    </row>
    <row r="1576">
      <c r="A1576" s="9" t="inlineStr">
        <is>
          <t>protection</t>
        </is>
      </c>
      <c r="B1576" s="9" t="inlineStr">
        <is>
          <t>10K Gold Pharaoh Pendant Necklace / CZ &amp; Ruby, Egyptian King</t>
        </is>
      </c>
      <c r="C1576" s="9" t="n">
        <v>1735786221</v>
      </c>
      <c r="D1576" s="9" t="inlineStr">
        <is>
          <t>PEGY-1</t>
        </is>
      </c>
      <c r="E1576" s="9" t="inlineStr">
        <is>
          <t>description</t>
        </is>
      </c>
      <c r="F1576" s="10" t="n">
        <v>410</v>
      </c>
      <c r="G1576" s="18" t="n">
        <v>2.25</v>
      </c>
      <c r="H1576" s="10">
        <f>IF(G1576="","",G1576*Ayarlar!$B$3+Ayarlar!$B$4+Ayarlar!$B$5)</f>
        <v/>
      </c>
      <c r="I1576" s="10">
        <f>IF(G1576="","",ROUNDUP(((G1576*Ayarlar!$B$3+Ayarlar!$B$4+Ayarlar!$B$5)+Ayarlar!$B$8)/((1-Ayarlar!$B$6)*(1-Ayarlar!$B$7)),0))</f>
        <v/>
      </c>
      <c r="J1576" s="10">
        <f>IF(G1576="","",ROUNDUP(((G1576*Ayarlar!$B$3+Ayarlar!$B$4+Ayarlar!$B$5)+Ayarlar!$B$8)/((1-Ayarlar!$B$6)*(1-Ayarlar!$B$7-Ayarlar!$B$9)),0))</f>
        <v/>
      </c>
      <c r="K1576" s="12">
        <f>IF(OR(G1576="",F1576=""),"",(F1576*(1-Ayarlar!$B$6)-(F1576*(1-Ayarlar!$B$6)*Ayarlar!$B$7+Ayarlar!$B$8)-(G1576*Ayarlar!$B$3+Ayarlar!$B$4+Ayarlar!$B$5))/(F1576*(1-Ayarlar!$B$6)))</f>
        <v/>
      </c>
      <c r="L1576" s="9">
        <f>IF(G1576="","GRAM EKSİK",IF(F1576&gt;30000,"FİYAT ŞÜPHELİ",IF(K1576&lt;0,"ZARARDA",IF(F1576&lt;I1576,"RİSKLİ","ok"))))</f>
        <v/>
      </c>
      <c r="M1576" s="13" t="inlineStr">
        <is>
          <t>https://www.etsy.com/listing/1735786221</t>
        </is>
      </c>
    </row>
    <row r="1577">
      <c r="A1577" s="3" t="inlineStr">
        <is>
          <t>protection</t>
        </is>
      </c>
      <c r="B1577" s="3" t="inlineStr">
        <is>
          <t>10K Gold Pharaoh Pendant Necklace / CZ &amp; Ruby, Egyptian King</t>
        </is>
      </c>
      <c r="C1577" s="3" t="n">
        <v>1735786221</v>
      </c>
      <c r="D1577" s="3" t="inlineStr">
        <is>
          <t>PEGY-2</t>
        </is>
      </c>
      <c r="E1577" s="3" t="inlineStr">
        <is>
          <t>shipstation</t>
        </is>
      </c>
      <c r="F1577" s="14" t="n">
        <v>836</v>
      </c>
      <c r="G1577" s="17" t="n">
        <v>4.66</v>
      </c>
      <c r="H1577" s="14">
        <f>IF(G1577="","",G1577*Ayarlar!$B$3+Ayarlar!$B$4+Ayarlar!$B$5)</f>
        <v/>
      </c>
      <c r="I1577" s="14">
        <f>IF(G1577="","",ROUNDUP(((G1577*Ayarlar!$B$3+Ayarlar!$B$4+Ayarlar!$B$5)+Ayarlar!$B$8)/((1-Ayarlar!$B$6)*(1-Ayarlar!$B$7)),0))</f>
        <v/>
      </c>
      <c r="J1577" s="14">
        <f>IF(G1577="","",ROUNDUP(((G1577*Ayarlar!$B$3+Ayarlar!$B$4+Ayarlar!$B$5)+Ayarlar!$B$8)/((1-Ayarlar!$B$6)*(1-Ayarlar!$B$7-Ayarlar!$B$9)),0))</f>
        <v/>
      </c>
      <c r="K1577" s="15">
        <f>IF(OR(G1577="",F1577=""),"",(F1577*(1-Ayarlar!$B$6)-(F1577*(1-Ayarlar!$B$6)*Ayarlar!$B$7+Ayarlar!$B$8)-(G1577*Ayarlar!$B$3+Ayarlar!$B$4+Ayarlar!$B$5))/(F1577*(1-Ayarlar!$B$6)))</f>
        <v/>
      </c>
      <c r="L1577" s="3">
        <f>IF(G1577="","GRAM EKSİK",IF(F1577&gt;30000,"FİYAT ŞÜPHELİ",IF(K1577&lt;0,"ZARARDA",IF(F1577&lt;I1577,"RİSKLİ","ok"))))</f>
        <v/>
      </c>
      <c r="M1577" s="16" t="inlineStr">
        <is>
          <t>https://www.etsy.com/listing/1735786221</t>
        </is>
      </c>
    </row>
    <row r="1578">
      <c r="A1578" s="9" t="inlineStr">
        <is>
          <t>protection</t>
        </is>
      </c>
      <c r="B1578" s="9" t="inlineStr">
        <is>
          <t>10K Gold Pharaoh Pendant Necklace / CZ &amp; Ruby, Egyptian King</t>
        </is>
      </c>
      <c r="C1578" s="9" t="n">
        <v>1735786221</v>
      </c>
      <c r="D1578" s="9" t="inlineStr">
        <is>
          <t>PEGY-4</t>
        </is>
      </c>
      <c r="E1578" s="9" t="inlineStr">
        <is>
          <t>description</t>
        </is>
      </c>
      <c r="F1578" s="10" t="n">
        <v>2173</v>
      </c>
      <c r="G1578" s="18" t="n">
        <v>12.22</v>
      </c>
      <c r="H1578" s="10">
        <f>IF(G1578="","",G1578*Ayarlar!$B$3+Ayarlar!$B$4+Ayarlar!$B$5)</f>
        <v/>
      </c>
      <c r="I1578" s="10">
        <f>IF(G1578="","",ROUNDUP(((G1578*Ayarlar!$B$3+Ayarlar!$B$4+Ayarlar!$B$5)+Ayarlar!$B$8)/((1-Ayarlar!$B$6)*(1-Ayarlar!$B$7)),0))</f>
        <v/>
      </c>
      <c r="J1578" s="10">
        <f>IF(G1578="","",ROUNDUP(((G1578*Ayarlar!$B$3+Ayarlar!$B$4+Ayarlar!$B$5)+Ayarlar!$B$8)/((1-Ayarlar!$B$6)*(1-Ayarlar!$B$7-Ayarlar!$B$9)),0))</f>
        <v/>
      </c>
      <c r="K1578" s="12">
        <f>IF(OR(G1578="",F1578=""),"",(F1578*(1-Ayarlar!$B$6)-(F1578*(1-Ayarlar!$B$6)*Ayarlar!$B$7+Ayarlar!$B$8)-(G1578*Ayarlar!$B$3+Ayarlar!$B$4+Ayarlar!$B$5))/(F1578*(1-Ayarlar!$B$6)))</f>
        <v/>
      </c>
      <c r="L1578" s="9">
        <f>IF(G1578="","GRAM EKSİK",IF(F1578&gt;30000,"FİYAT ŞÜPHELİ",IF(K1578&lt;0,"ZARARDA",IF(F1578&lt;I1578,"RİSKLİ","ok"))))</f>
        <v/>
      </c>
      <c r="M1578" s="13" t="inlineStr">
        <is>
          <t>https://www.etsy.com/listing/1735786221</t>
        </is>
      </c>
    </row>
    <row r="1579">
      <c r="A1579" s="3" t="inlineStr">
        <is>
          <t>protection</t>
        </is>
      </c>
      <c r="B1579" s="3" t="inlineStr">
        <is>
          <t>10K Gold Pharaoh Pendant Necklace / CZ &amp; Ruby, Egyptian King</t>
        </is>
      </c>
      <c r="C1579" s="3" t="n">
        <v>1735786221</v>
      </c>
      <c r="D1579" s="3" t="inlineStr">
        <is>
          <t>PEGY1-25-16</t>
        </is>
      </c>
      <c r="E1579" s="3" t="inlineStr">
        <is>
          <t>description</t>
        </is>
      </c>
      <c r="F1579" s="14" t="n">
        <v>799</v>
      </c>
      <c r="G1579" s="17" t="n">
        <v>4.45</v>
      </c>
      <c r="H1579" s="14">
        <f>IF(G1579="","",G1579*Ayarlar!$B$3+Ayarlar!$B$4+Ayarlar!$B$5)</f>
        <v/>
      </c>
      <c r="I1579" s="14">
        <f>IF(G1579="","",ROUNDUP(((G1579*Ayarlar!$B$3+Ayarlar!$B$4+Ayarlar!$B$5)+Ayarlar!$B$8)/((1-Ayarlar!$B$6)*(1-Ayarlar!$B$7)),0))</f>
        <v/>
      </c>
      <c r="J1579" s="14">
        <f>IF(G1579="","",ROUNDUP(((G1579*Ayarlar!$B$3+Ayarlar!$B$4+Ayarlar!$B$5)+Ayarlar!$B$8)/((1-Ayarlar!$B$6)*(1-Ayarlar!$B$7-Ayarlar!$B$9)),0))</f>
        <v/>
      </c>
      <c r="K1579" s="15">
        <f>IF(OR(G1579="",F1579=""),"",(F1579*(1-Ayarlar!$B$6)-(F1579*(1-Ayarlar!$B$6)*Ayarlar!$B$7+Ayarlar!$B$8)-(G1579*Ayarlar!$B$3+Ayarlar!$B$4+Ayarlar!$B$5))/(F1579*(1-Ayarlar!$B$6)))</f>
        <v/>
      </c>
      <c r="L1579" s="3">
        <f>IF(G1579="","GRAM EKSİK",IF(F1579&gt;30000,"FİYAT ŞÜPHELİ",IF(K1579&lt;0,"ZARARDA",IF(F1579&lt;I1579,"RİSKLİ","ok"))))</f>
        <v/>
      </c>
      <c r="M1579" s="16" t="inlineStr">
        <is>
          <t>https://www.etsy.com/listing/1735786221</t>
        </is>
      </c>
    </row>
    <row r="1580">
      <c r="A1580" s="9" t="inlineStr">
        <is>
          <t>protection</t>
        </is>
      </c>
      <c r="B1580" s="9" t="inlineStr">
        <is>
          <t>10K Gold Pharaoh Pendant Necklace / CZ &amp; Ruby, Egyptian King</t>
        </is>
      </c>
      <c r="C1580" s="9" t="n">
        <v>1735786221</v>
      </c>
      <c r="D1580" s="9" t="inlineStr">
        <is>
          <t>PEGY1-25-18</t>
        </is>
      </c>
      <c r="E1580" s="9" t="inlineStr">
        <is>
          <t>description</t>
        </is>
      </c>
      <c r="F1580" s="10" t="n">
        <v>848</v>
      </c>
      <c r="G1580" s="18" t="n">
        <v>4.73</v>
      </c>
      <c r="H1580" s="10">
        <f>IF(G1580="","",G1580*Ayarlar!$B$3+Ayarlar!$B$4+Ayarlar!$B$5)</f>
        <v/>
      </c>
      <c r="I1580" s="10">
        <f>IF(G1580="","",ROUNDUP(((G1580*Ayarlar!$B$3+Ayarlar!$B$4+Ayarlar!$B$5)+Ayarlar!$B$8)/((1-Ayarlar!$B$6)*(1-Ayarlar!$B$7)),0))</f>
        <v/>
      </c>
      <c r="J1580" s="10">
        <f>IF(G1580="","",ROUNDUP(((G1580*Ayarlar!$B$3+Ayarlar!$B$4+Ayarlar!$B$5)+Ayarlar!$B$8)/((1-Ayarlar!$B$6)*(1-Ayarlar!$B$7-Ayarlar!$B$9)),0))</f>
        <v/>
      </c>
      <c r="K1580" s="12">
        <f>IF(OR(G1580="",F1580=""),"",(F1580*(1-Ayarlar!$B$6)-(F1580*(1-Ayarlar!$B$6)*Ayarlar!$B$7+Ayarlar!$B$8)-(G1580*Ayarlar!$B$3+Ayarlar!$B$4+Ayarlar!$B$5))/(F1580*(1-Ayarlar!$B$6)))</f>
        <v/>
      </c>
      <c r="L1580" s="9">
        <f>IF(G1580="","GRAM EKSİK",IF(F1580&gt;30000,"FİYAT ŞÜPHELİ",IF(K1580&lt;0,"ZARARDA",IF(F1580&lt;I1580,"RİSKLİ","ok"))))</f>
        <v/>
      </c>
      <c r="M1580" s="13" t="inlineStr">
        <is>
          <t>https://www.etsy.com/listing/1735786221</t>
        </is>
      </c>
    </row>
    <row r="1581">
      <c r="A1581" s="3" t="inlineStr">
        <is>
          <t>protection</t>
        </is>
      </c>
      <c r="B1581" s="3" t="inlineStr">
        <is>
          <t>10K Gold Pharaoh Pendant Necklace / CZ &amp; Ruby, Egyptian King</t>
        </is>
      </c>
      <c r="C1581" s="3" t="n">
        <v>1735786221</v>
      </c>
      <c r="D1581" s="3" t="inlineStr">
        <is>
          <t>PEGY1-25-20</t>
        </is>
      </c>
      <c r="E1581" s="3" t="inlineStr">
        <is>
          <t>description</t>
        </is>
      </c>
      <c r="F1581" s="14" t="n">
        <v>896</v>
      </c>
      <c r="G1581" s="17" t="n">
        <v>5</v>
      </c>
      <c r="H1581" s="14">
        <f>IF(G1581="","",G1581*Ayarlar!$B$3+Ayarlar!$B$4+Ayarlar!$B$5)</f>
        <v/>
      </c>
      <c r="I1581" s="14">
        <f>IF(G1581="","",ROUNDUP(((G1581*Ayarlar!$B$3+Ayarlar!$B$4+Ayarlar!$B$5)+Ayarlar!$B$8)/((1-Ayarlar!$B$6)*(1-Ayarlar!$B$7)),0))</f>
        <v/>
      </c>
      <c r="J1581" s="14">
        <f>IF(G1581="","",ROUNDUP(((G1581*Ayarlar!$B$3+Ayarlar!$B$4+Ayarlar!$B$5)+Ayarlar!$B$8)/((1-Ayarlar!$B$6)*(1-Ayarlar!$B$7-Ayarlar!$B$9)),0))</f>
        <v/>
      </c>
      <c r="K1581" s="15">
        <f>IF(OR(G1581="",F1581=""),"",(F1581*(1-Ayarlar!$B$6)-(F1581*(1-Ayarlar!$B$6)*Ayarlar!$B$7+Ayarlar!$B$8)-(G1581*Ayarlar!$B$3+Ayarlar!$B$4+Ayarlar!$B$5))/(F1581*(1-Ayarlar!$B$6)))</f>
        <v/>
      </c>
      <c r="L1581" s="3">
        <f>IF(G1581="","GRAM EKSİK",IF(F1581&gt;30000,"FİYAT ŞÜPHELİ",IF(K1581&lt;0,"ZARARDA",IF(F1581&lt;I1581,"RİSKLİ","ok"))))</f>
        <v/>
      </c>
      <c r="M1581" s="16" t="inlineStr">
        <is>
          <t>https://www.etsy.com/listing/1735786221</t>
        </is>
      </c>
    </row>
    <row r="1582">
      <c r="A1582" s="9" t="inlineStr">
        <is>
          <t>protection</t>
        </is>
      </c>
      <c r="B1582" s="9" t="inlineStr">
        <is>
          <t>10K Gold Pharaoh Pendant Necklace / CZ &amp; Ruby, Egyptian King</t>
        </is>
      </c>
      <c r="C1582" s="9" t="n">
        <v>1735786221</v>
      </c>
      <c r="D1582" s="9" t="inlineStr">
        <is>
          <t>PEGY1-25-22</t>
        </is>
      </c>
      <c r="E1582" s="9" t="inlineStr">
        <is>
          <t>description</t>
        </is>
      </c>
      <c r="F1582" s="10" t="n">
        <v>946</v>
      </c>
      <c r="G1582" s="18" t="n">
        <v>5.28</v>
      </c>
      <c r="H1582" s="10">
        <f>IF(G1582="","",G1582*Ayarlar!$B$3+Ayarlar!$B$4+Ayarlar!$B$5)</f>
        <v/>
      </c>
      <c r="I1582" s="10">
        <f>IF(G1582="","",ROUNDUP(((G1582*Ayarlar!$B$3+Ayarlar!$B$4+Ayarlar!$B$5)+Ayarlar!$B$8)/((1-Ayarlar!$B$6)*(1-Ayarlar!$B$7)),0))</f>
        <v/>
      </c>
      <c r="J1582" s="10">
        <f>IF(G1582="","",ROUNDUP(((G1582*Ayarlar!$B$3+Ayarlar!$B$4+Ayarlar!$B$5)+Ayarlar!$B$8)/((1-Ayarlar!$B$6)*(1-Ayarlar!$B$7-Ayarlar!$B$9)),0))</f>
        <v/>
      </c>
      <c r="K1582" s="12">
        <f>IF(OR(G1582="",F1582=""),"",(F1582*(1-Ayarlar!$B$6)-(F1582*(1-Ayarlar!$B$6)*Ayarlar!$B$7+Ayarlar!$B$8)-(G1582*Ayarlar!$B$3+Ayarlar!$B$4+Ayarlar!$B$5))/(F1582*(1-Ayarlar!$B$6)))</f>
        <v/>
      </c>
      <c r="L1582" s="9">
        <f>IF(G1582="","GRAM EKSİK",IF(F1582&gt;30000,"FİYAT ŞÜPHELİ",IF(K1582&lt;0,"ZARARDA",IF(F1582&lt;I1582,"RİSKLİ","ok"))))</f>
        <v/>
      </c>
      <c r="M1582" s="13" t="inlineStr">
        <is>
          <t>https://www.etsy.com/listing/1735786221</t>
        </is>
      </c>
    </row>
    <row r="1583">
      <c r="A1583" s="3" t="inlineStr">
        <is>
          <t>protection</t>
        </is>
      </c>
      <c r="B1583" s="3" t="inlineStr">
        <is>
          <t>10K Gold Pharaoh Pendant Necklace / CZ &amp; Ruby, Egyptian King</t>
        </is>
      </c>
      <c r="C1583" s="3" t="n">
        <v>1735786221</v>
      </c>
      <c r="D1583" s="3" t="inlineStr">
        <is>
          <t>PEGY1-25-24</t>
        </is>
      </c>
      <c r="E1583" s="3" t="inlineStr">
        <is>
          <t>description</t>
        </is>
      </c>
      <c r="F1583" s="14" t="n">
        <v>993</v>
      </c>
      <c r="G1583" s="17" t="n">
        <v>5.55</v>
      </c>
      <c r="H1583" s="14">
        <f>IF(G1583="","",G1583*Ayarlar!$B$3+Ayarlar!$B$4+Ayarlar!$B$5)</f>
        <v/>
      </c>
      <c r="I1583" s="14">
        <f>IF(G1583="","",ROUNDUP(((G1583*Ayarlar!$B$3+Ayarlar!$B$4+Ayarlar!$B$5)+Ayarlar!$B$8)/((1-Ayarlar!$B$6)*(1-Ayarlar!$B$7)),0))</f>
        <v/>
      </c>
      <c r="J1583" s="14">
        <f>IF(G1583="","",ROUNDUP(((G1583*Ayarlar!$B$3+Ayarlar!$B$4+Ayarlar!$B$5)+Ayarlar!$B$8)/((1-Ayarlar!$B$6)*(1-Ayarlar!$B$7-Ayarlar!$B$9)),0))</f>
        <v/>
      </c>
      <c r="K1583" s="15">
        <f>IF(OR(G1583="",F1583=""),"",(F1583*(1-Ayarlar!$B$6)-(F1583*(1-Ayarlar!$B$6)*Ayarlar!$B$7+Ayarlar!$B$8)-(G1583*Ayarlar!$B$3+Ayarlar!$B$4+Ayarlar!$B$5))/(F1583*(1-Ayarlar!$B$6)))</f>
        <v/>
      </c>
      <c r="L1583" s="3">
        <f>IF(G1583="","GRAM EKSİK",IF(F1583&gt;30000,"FİYAT ŞÜPHELİ",IF(K1583&lt;0,"ZARARDA",IF(F1583&lt;I1583,"RİSKLİ","ok"))))</f>
        <v/>
      </c>
      <c r="M1583" s="16" t="inlineStr">
        <is>
          <t>https://www.etsy.com/listing/1735786221</t>
        </is>
      </c>
    </row>
    <row r="1584">
      <c r="A1584" s="9" t="inlineStr">
        <is>
          <t>protection</t>
        </is>
      </c>
      <c r="B1584" s="9" t="inlineStr">
        <is>
          <t>10K Gold Pharaoh Pendant Necklace / CZ &amp; Ruby, Egyptian King</t>
        </is>
      </c>
      <c r="C1584" s="9" t="n">
        <v>1735786221</v>
      </c>
      <c r="D1584" s="9" t="inlineStr">
        <is>
          <t>PEGY1-3-16</t>
        </is>
      </c>
      <c r="E1584" s="9" t="inlineStr">
        <is>
          <t>description</t>
        </is>
      </c>
      <c r="F1584" s="10" t="n">
        <v>919</v>
      </c>
      <c r="G1584" s="18" t="n">
        <v>5.13</v>
      </c>
      <c r="H1584" s="10">
        <f>IF(G1584="","",G1584*Ayarlar!$B$3+Ayarlar!$B$4+Ayarlar!$B$5)</f>
        <v/>
      </c>
      <c r="I1584" s="10">
        <f>IF(G1584="","",ROUNDUP(((G1584*Ayarlar!$B$3+Ayarlar!$B$4+Ayarlar!$B$5)+Ayarlar!$B$8)/((1-Ayarlar!$B$6)*(1-Ayarlar!$B$7)),0))</f>
        <v/>
      </c>
      <c r="J1584" s="10">
        <f>IF(G1584="","",ROUNDUP(((G1584*Ayarlar!$B$3+Ayarlar!$B$4+Ayarlar!$B$5)+Ayarlar!$B$8)/((1-Ayarlar!$B$6)*(1-Ayarlar!$B$7-Ayarlar!$B$9)),0))</f>
        <v/>
      </c>
      <c r="K1584" s="12">
        <f>IF(OR(G1584="",F1584=""),"",(F1584*(1-Ayarlar!$B$6)-(F1584*(1-Ayarlar!$B$6)*Ayarlar!$B$7+Ayarlar!$B$8)-(G1584*Ayarlar!$B$3+Ayarlar!$B$4+Ayarlar!$B$5))/(F1584*(1-Ayarlar!$B$6)))</f>
        <v/>
      </c>
      <c r="L1584" s="9">
        <f>IF(G1584="","GRAM EKSİK",IF(F1584&gt;30000,"FİYAT ŞÜPHELİ",IF(K1584&lt;0,"ZARARDA",IF(F1584&lt;I1584,"RİSKLİ","ok"))))</f>
        <v/>
      </c>
      <c r="M1584" s="13" t="inlineStr">
        <is>
          <t>https://www.etsy.com/listing/1735786221</t>
        </is>
      </c>
    </row>
    <row r="1585">
      <c r="A1585" s="3" t="inlineStr">
        <is>
          <t>protection</t>
        </is>
      </c>
      <c r="B1585" s="3" t="inlineStr">
        <is>
          <t>10K Gold Pharaoh Pendant Necklace / CZ &amp; Ruby, Egyptian King</t>
        </is>
      </c>
      <c r="C1585" s="3" t="n">
        <v>1735786221</v>
      </c>
      <c r="D1585" s="3" t="inlineStr">
        <is>
          <t>PEGY1-3-18</t>
        </is>
      </c>
      <c r="E1585" s="3" t="inlineStr">
        <is>
          <t>description</t>
        </is>
      </c>
      <c r="F1585" s="14" t="n">
        <v>983</v>
      </c>
      <c r="G1585" s="17" t="n">
        <v>5.49</v>
      </c>
      <c r="H1585" s="14">
        <f>IF(G1585="","",G1585*Ayarlar!$B$3+Ayarlar!$B$4+Ayarlar!$B$5)</f>
        <v/>
      </c>
      <c r="I1585" s="14">
        <f>IF(G1585="","",ROUNDUP(((G1585*Ayarlar!$B$3+Ayarlar!$B$4+Ayarlar!$B$5)+Ayarlar!$B$8)/((1-Ayarlar!$B$6)*(1-Ayarlar!$B$7)),0))</f>
        <v/>
      </c>
      <c r="J1585" s="14">
        <f>IF(G1585="","",ROUNDUP(((G1585*Ayarlar!$B$3+Ayarlar!$B$4+Ayarlar!$B$5)+Ayarlar!$B$8)/((1-Ayarlar!$B$6)*(1-Ayarlar!$B$7-Ayarlar!$B$9)),0))</f>
        <v/>
      </c>
      <c r="K1585" s="15">
        <f>IF(OR(G1585="",F1585=""),"",(F1585*(1-Ayarlar!$B$6)-(F1585*(1-Ayarlar!$B$6)*Ayarlar!$B$7+Ayarlar!$B$8)-(G1585*Ayarlar!$B$3+Ayarlar!$B$4+Ayarlar!$B$5))/(F1585*(1-Ayarlar!$B$6)))</f>
        <v/>
      </c>
      <c r="L1585" s="3">
        <f>IF(G1585="","GRAM EKSİK",IF(F1585&gt;30000,"FİYAT ŞÜPHELİ",IF(K1585&lt;0,"ZARARDA",IF(F1585&lt;I1585,"RİSKLİ","ok"))))</f>
        <v/>
      </c>
      <c r="M1585" s="16" t="inlineStr">
        <is>
          <t>https://www.etsy.com/listing/1735786221</t>
        </is>
      </c>
    </row>
    <row r="1586">
      <c r="A1586" s="9" t="inlineStr">
        <is>
          <t>protection</t>
        </is>
      </c>
      <c r="B1586" s="9" t="inlineStr">
        <is>
          <t>10K Gold Pharaoh Pendant Necklace / CZ &amp; Ruby, Egyptian King</t>
        </is>
      </c>
      <c r="C1586" s="9" t="n">
        <v>1735786221</v>
      </c>
      <c r="D1586" s="9" t="inlineStr">
        <is>
          <t>PEGY1-3-20</t>
        </is>
      </c>
      <c r="E1586" s="9" t="inlineStr">
        <is>
          <t>description</t>
        </is>
      </c>
      <c r="F1586" s="10" t="n">
        <v>1047</v>
      </c>
      <c r="G1586" s="18" t="n">
        <v>5.85</v>
      </c>
      <c r="H1586" s="10">
        <f>IF(G1586="","",G1586*Ayarlar!$B$3+Ayarlar!$B$4+Ayarlar!$B$5)</f>
        <v/>
      </c>
      <c r="I1586" s="10">
        <f>IF(G1586="","",ROUNDUP(((G1586*Ayarlar!$B$3+Ayarlar!$B$4+Ayarlar!$B$5)+Ayarlar!$B$8)/((1-Ayarlar!$B$6)*(1-Ayarlar!$B$7)),0))</f>
        <v/>
      </c>
      <c r="J1586" s="10">
        <f>IF(G1586="","",ROUNDUP(((G1586*Ayarlar!$B$3+Ayarlar!$B$4+Ayarlar!$B$5)+Ayarlar!$B$8)/((1-Ayarlar!$B$6)*(1-Ayarlar!$B$7-Ayarlar!$B$9)),0))</f>
        <v/>
      </c>
      <c r="K1586" s="12">
        <f>IF(OR(G1586="",F1586=""),"",(F1586*(1-Ayarlar!$B$6)-(F1586*(1-Ayarlar!$B$6)*Ayarlar!$B$7+Ayarlar!$B$8)-(G1586*Ayarlar!$B$3+Ayarlar!$B$4+Ayarlar!$B$5))/(F1586*(1-Ayarlar!$B$6)))</f>
        <v/>
      </c>
      <c r="L1586" s="9">
        <f>IF(G1586="","GRAM EKSİK",IF(F1586&gt;30000,"FİYAT ŞÜPHELİ",IF(K1586&lt;0,"ZARARDA",IF(F1586&lt;I1586,"RİSKLİ","ok"))))</f>
        <v/>
      </c>
      <c r="M1586" s="13" t="inlineStr">
        <is>
          <t>https://www.etsy.com/listing/1735786221</t>
        </is>
      </c>
    </row>
    <row r="1587">
      <c r="A1587" s="3" t="inlineStr">
        <is>
          <t>protection</t>
        </is>
      </c>
      <c r="B1587" s="3" t="inlineStr">
        <is>
          <t>10K Gold Pharaoh Pendant Necklace / CZ &amp; Ruby, Egyptian King</t>
        </is>
      </c>
      <c r="C1587" s="3" t="n">
        <v>1735786221</v>
      </c>
      <c r="D1587" s="3" t="inlineStr">
        <is>
          <t>PEGY1-3-22</t>
        </is>
      </c>
      <c r="E1587" s="3" t="inlineStr">
        <is>
          <t>description</t>
        </is>
      </c>
      <c r="F1587" s="14" t="n">
        <v>1110</v>
      </c>
      <c r="G1587" s="17" t="n">
        <v>6.21</v>
      </c>
      <c r="H1587" s="14">
        <f>IF(G1587="","",G1587*Ayarlar!$B$3+Ayarlar!$B$4+Ayarlar!$B$5)</f>
        <v/>
      </c>
      <c r="I1587" s="14">
        <f>IF(G1587="","",ROUNDUP(((G1587*Ayarlar!$B$3+Ayarlar!$B$4+Ayarlar!$B$5)+Ayarlar!$B$8)/((1-Ayarlar!$B$6)*(1-Ayarlar!$B$7)),0))</f>
        <v/>
      </c>
      <c r="J1587" s="14">
        <f>IF(G1587="","",ROUNDUP(((G1587*Ayarlar!$B$3+Ayarlar!$B$4+Ayarlar!$B$5)+Ayarlar!$B$8)/((1-Ayarlar!$B$6)*(1-Ayarlar!$B$7-Ayarlar!$B$9)),0))</f>
        <v/>
      </c>
      <c r="K1587" s="15">
        <f>IF(OR(G1587="",F1587=""),"",(F1587*(1-Ayarlar!$B$6)-(F1587*(1-Ayarlar!$B$6)*Ayarlar!$B$7+Ayarlar!$B$8)-(G1587*Ayarlar!$B$3+Ayarlar!$B$4+Ayarlar!$B$5))/(F1587*(1-Ayarlar!$B$6)))</f>
        <v/>
      </c>
      <c r="L1587" s="3">
        <f>IF(G1587="","GRAM EKSİK",IF(F1587&gt;30000,"FİYAT ŞÜPHELİ",IF(K1587&lt;0,"ZARARDA",IF(F1587&lt;I1587,"RİSKLİ","ok"))))</f>
        <v/>
      </c>
      <c r="M1587" s="16" t="inlineStr">
        <is>
          <t>https://www.etsy.com/listing/1735786221</t>
        </is>
      </c>
    </row>
    <row r="1588">
      <c r="A1588" s="9" t="inlineStr">
        <is>
          <t>protection</t>
        </is>
      </c>
      <c r="B1588" s="9" t="inlineStr">
        <is>
          <t>10K Gold Pharaoh Pendant Necklace / CZ &amp; Ruby, Egyptian King</t>
        </is>
      </c>
      <c r="C1588" s="9" t="n">
        <v>1735786221</v>
      </c>
      <c r="D1588" s="9" t="inlineStr">
        <is>
          <t>PEGY1-3-24</t>
        </is>
      </c>
      <c r="E1588" s="9" t="inlineStr">
        <is>
          <t>description</t>
        </is>
      </c>
      <c r="F1588" s="10" t="n">
        <v>1174</v>
      </c>
      <c r="G1588" s="18" t="n">
        <v>6.57</v>
      </c>
      <c r="H1588" s="10">
        <f>IF(G1588="","",G1588*Ayarlar!$B$3+Ayarlar!$B$4+Ayarlar!$B$5)</f>
        <v/>
      </c>
      <c r="I1588" s="10">
        <f>IF(G1588="","",ROUNDUP(((G1588*Ayarlar!$B$3+Ayarlar!$B$4+Ayarlar!$B$5)+Ayarlar!$B$8)/((1-Ayarlar!$B$6)*(1-Ayarlar!$B$7)),0))</f>
        <v/>
      </c>
      <c r="J1588" s="10">
        <f>IF(G1588="","",ROUNDUP(((G1588*Ayarlar!$B$3+Ayarlar!$B$4+Ayarlar!$B$5)+Ayarlar!$B$8)/((1-Ayarlar!$B$6)*(1-Ayarlar!$B$7-Ayarlar!$B$9)),0))</f>
        <v/>
      </c>
      <c r="K1588" s="12">
        <f>IF(OR(G1588="",F1588=""),"",(F1588*(1-Ayarlar!$B$6)-(F1588*(1-Ayarlar!$B$6)*Ayarlar!$B$7+Ayarlar!$B$8)-(G1588*Ayarlar!$B$3+Ayarlar!$B$4+Ayarlar!$B$5))/(F1588*(1-Ayarlar!$B$6)))</f>
        <v/>
      </c>
      <c r="L1588" s="9">
        <f>IF(G1588="","GRAM EKSİK",IF(F1588&gt;30000,"FİYAT ŞÜPHELİ",IF(K1588&lt;0,"ZARARDA",IF(F1588&lt;I1588,"RİSKLİ","ok"))))</f>
        <v/>
      </c>
      <c r="M1588" s="13" t="inlineStr">
        <is>
          <t>https://www.etsy.com/listing/1735786221</t>
        </is>
      </c>
    </row>
    <row r="1589">
      <c r="A1589" s="3" t="inlineStr">
        <is>
          <t>protection</t>
        </is>
      </c>
      <c r="B1589" s="3" t="inlineStr">
        <is>
          <t>10K Gold Pharaoh Pendant Necklace / CZ &amp; Ruby, Egyptian King</t>
        </is>
      </c>
      <c r="C1589" s="3" t="n">
        <v>1735786221</v>
      </c>
      <c r="D1589" s="3" t="inlineStr">
        <is>
          <t>PEGY1-35-16</t>
        </is>
      </c>
      <c r="E1589" s="3" t="inlineStr">
        <is>
          <t>description</t>
        </is>
      </c>
      <c r="F1589" s="14" t="n">
        <v>1135</v>
      </c>
      <c r="G1589" s="17" t="n">
        <v>6.35</v>
      </c>
      <c r="H1589" s="14">
        <f>IF(G1589="","",G1589*Ayarlar!$B$3+Ayarlar!$B$4+Ayarlar!$B$5)</f>
        <v/>
      </c>
      <c r="I1589" s="14">
        <f>IF(G1589="","",ROUNDUP(((G1589*Ayarlar!$B$3+Ayarlar!$B$4+Ayarlar!$B$5)+Ayarlar!$B$8)/((1-Ayarlar!$B$6)*(1-Ayarlar!$B$7)),0))</f>
        <v/>
      </c>
      <c r="J1589" s="14">
        <f>IF(G1589="","",ROUNDUP(((G1589*Ayarlar!$B$3+Ayarlar!$B$4+Ayarlar!$B$5)+Ayarlar!$B$8)/((1-Ayarlar!$B$6)*(1-Ayarlar!$B$7-Ayarlar!$B$9)),0))</f>
        <v/>
      </c>
      <c r="K1589" s="15">
        <f>IF(OR(G1589="",F1589=""),"",(F1589*(1-Ayarlar!$B$6)-(F1589*(1-Ayarlar!$B$6)*Ayarlar!$B$7+Ayarlar!$B$8)-(G1589*Ayarlar!$B$3+Ayarlar!$B$4+Ayarlar!$B$5))/(F1589*(1-Ayarlar!$B$6)))</f>
        <v/>
      </c>
      <c r="L1589" s="3">
        <f>IF(G1589="","GRAM EKSİK",IF(F1589&gt;30000,"FİYAT ŞÜPHELİ",IF(K1589&lt;0,"ZARARDA",IF(F1589&lt;I1589,"RİSKLİ","ok"))))</f>
        <v/>
      </c>
      <c r="M1589" s="16" t="inlineStr">
        <is>
          <t>https://www.etsy.com/listing/1735786221</t>
        </is>
      </c>
    </row>
    <row r="1590">
      <c r="A1590" s="9" t="inlineStr">
        <is>
          <t>protection</t>
        </is>
      </c>
      <c r="B1590" s="9" t="inlineStr">
        <is>
          <t>10K Gold Pharaoh Pendant Necklace / CZ &amp; Ruby, Egyptian King</t>
        </is>
      </c>
      <c r="C1590" s="9" t="n">
        <v>1735786221</v>
      </c>
      <c r="D1590" s="9" t="inlineStr">
        <is>
          <t>PEGY1-35-18</t>
        </is>
      </c>
      <c r="E1590" s="9" t="inlineStr">
        <is>
          <t>description</t>
        </is>
      </c>
      <c r="F1590" s="10" t="n">
        <v>1225</v>
      </c>
      <c r="G1590" s="18" t="n">
        <v>6.86</v>
      </c>
      <c r="H1590" s="10">
        <f>IF(G1590="","",G1590*Ayarlar!$B$3+Ayarlar!$B$4+Ayarlar!$B$5)</f>
        <v/>
      </c>
      <c r="I1590" s="10">
        <f>IF(G1590="","",ROUNDUP(((G1590*Ayarlar!$B$3+Ayarlar!$B$4+Ayarlar!$B$5)+Ayarlar!$B$8)/((1-Ayarlar!$B$6)*(1-Ayarlar!$B$7)),0))</f>
        <v/>
      </c>
      <c r="J1590" s="10">
        <f>IF(G1590="","",ROUNDUP(((G1590*Ayarlar!$B$3+Ayarlar!$B$4+Ayarlar!$B$5)+Ayarlar!$B$8)/((1-Ayarlar!$B$6)*(1-Ayarlar!$B$7-Ayarlar!$B$9)),0))</f>
        <v/>
      </c>
      <c r="K1590" s="12">
        <f>IF(OR(G1590="",F1590=""),"",(F1590*(1-Ayarlar!$B$6)-(F1590*(1-Ayarlar!$B$6)*Ayarlar!$B$7+Ayarlar!$B$8)-(G1590*Ayarlar!$B$3+Ayarlar!$B$4+Ayarlar!$B$5))/(F1590*(1-Ayarlar!$B$6)))</f>
        <v/>
      </c>
      <c r="L1590" s="9">
        <f>IF(G1590="","GRAM EKSİK",IF(F1590&gt;30000,"FİYAT ŞÜPHELİ",IF(K1590&lt;0,"ZARARDA",IF(F1590&lt;I1590,"RİSKLİ","ok"))))</f>
        <v/>
      </c>
      <c r="M1590" s="13" t="inlineStr">
        <is>
          <t>https://www.etsy.com/listing/1735786221</t>
        </is>
      </c>
    </row>
    <row r="1591">
      <c r="A1591" s="3" t="inlineStr">
        <is>
          <t>protection</t>
        </is>
      </c>
      <c r="B1591" s="3" t="inlineStr">
        <is>
          <t>10K Gold Pharaoh Pendant Necklace / CZ &amp; Ruby, Egyptian King</t>
        </is>
      </c>
      <c r="C1591" s="3" t="n">
        <v>1735786221</v>
      </c>
      <c r="D1591" s="3" t="inlineStr">
        <is>
          <t>PEGY1-35-20</t>
        </is>
      </c>
      <c r="E1591" s="3" t="inlineStr">
        <is>
          <t>description</t>
        </is>
      </c>
      <c r="F1591" s="14" t="n">
        <v>1315</v>
      </c>
      <c r="G1591" s="17" t="n">
        <v>7.37</v>
      </c>
      <c r="H1591" s="14">
        <f>IF(G1591="","",G1591*Ayarlar!$B$3+Ayarlar!$B$4+Ayarlar!$B$5)</f>
        <v/>
      </c>
      <c r="I1591" s="14">
        <f>IF(G1591="","",ROUNDUP(((G1591*Ayarlar!$B$3+Ayarlar!$B$4+Ayarlar!$B$5)+Ayarlar!$B$8)/((1-Ayarlar!$B$6)*(1-Ayarlar!$B$7)),0))</f>
        <v/>
      </c>
      <c r="J1591" s="14">
        <f>IF(G1591="","",ROUNDUP(((G1591*Ayarlar!$B$3+Ayarlar!$B$4+Ayarlar!$B$5)+Ayarlar!$B$8)/((1-Ayarlar!$B$6)*(1-Ayarlar!$B$7-Ayarlar!$B$9)),0))</f>
        <v/>
      </c>
      <c r="K1591" s="15">
        <f>IF(OR(G1591="",F1591=""),"",(F1591*(1-Ayarlar!$B$6)-(F1591*(1-Ayarlar!$B$6)*Ayarlar!$B$7+Ayarlar!$B$8)-(G1591*Ayarlar!$B$3+Ayarlar!$B$4+Ayarlar!$B$5))/(F1591*(1-Ayarlar!$B$6)))</f>
        <v/>
      </c>
      <c r="L1591" s="3">
        <f>IF(G1591="","GRAM EKSİK",IF(F1591&gt;30000,"FİYAT ŞÜPHELİ",IF(K1591&lt;0,"ZARARDA",IF(F1591&lt;I1591,"RİSKLİ","ok"))))</f>
        <v/>
      </c>
      <c r="M1591" s="16" t="inlineStr">
        <is>
          <t>https://www.etsy.com/listing/1735786221</t>
        </is>
      </c>
    </row>
    <row r="1592">
      <c r="A1592" s="9" t="inlineStr">
        <is>
          <t>protection</t>
        </is>
      </c>
      <c r="B1592" s="9" t="inlineStr">
        <is>
          <t>10K Gold Pharaoh Pendant Necklace / CZ &amp; Ruby, Egyptian King</t>
        </is>
      </c>
      <c r="C1592" s="9" t="n">
        <v>1735786221</v>
      </c>
      <c r="D1592" s="9" t="inlineStr">
        <is>
          <t>PEGY1-35-22</t>
        </is>
      </c>
      <c r="E1592" s="9" t="inlineStr">
        <is>
          <t>description</t>
        </is>
      </c>
      <c r="F1592" s="10" t="n">
        <v>1406</v>
      </c>
      <c r="G1592" s="18" t="n">
        <v>7.88</v>
      </c>
      <c r="H1592" s="10">
        <f>IF(G1592="","",G1592*Ayarlar!$B$3+Ayarlar!$B$4+Ayarlar!$B$5)</f>
        <v/>
      </c>
      <c r="I1592" s="10">
        <f>IF(G1592="","",ROUNDUP(((G1592*Ayarlar!$B$3+Ayarlar!$B$4+Ayarlar!$B$5)+Ayarlar!$B$8)/((1-Ayarlar!$B$6)*(1-Ayarlar!$B$7)),0))</f>
        <v/>
      </c>
      <c r="J1592" s="10">
        <f>IF(G1592="","",ROUNDUP(((G1592*Ayarlar!$B$3+Ayarlar!$B$4+Ayarlar!$B$5)+Ayarlar!$B$8)/((1-Ayarlar!$B$6)*(1-Ayarlar!$B$7-Ayarlar!$B$9)),0))</f>
        <v/>
      </c>
      <c r="K1592" s="12">
        <f>IF(OR(G1592="",F1592=""),"",(F1592*(1-Ayarlar!$B$6)-(F1592*(1-Ayarlar!$B$6)*Ayarlar!$B$7+Ayarlar!$B$8)-(G1592*Ayarlar!$B$3+Ayarlar!$B$4+Ayarlar!$B$5))/(F1592*(1-Ayarlar!$B$6)))</f>
        <v/>
      </c>
      <c r="L1592" s="9">
        <f>IF(G1592="","GRAM EKSİK",IF(F1592&gt;30000,"FİYAT ŞÜPHELİ",IF(K1592&lt;0,"ZARARDA",IF(F1592&lt;I1592,"RİSKLİ","ok"))))</f>
        <v/>
      </c>
      <c r="M1592" s="13" t="inlineStr">
        <is>
          <t>https://www.etsy.com/listing/1735786221</t>
        </is>
      </c>
    </row>
    <row r="1593">
      <c r="A1593" s="3" t="inlineStr">
        <is>
          <t>protection</t>
        </is>
      </c>
      <c r="B1593" s="3" t="inlineStr">
        <is>
          <t>10K Gold Pharaoh Pendant Necklace / CZ &amp; Ruby, Egyptian King</t>
        </is>
      </c>
      <c r="C1593" s="3" t="n">
        <v>1735786221</v>
      </c>
      <c r="D1593" s="3" t="inlineStr">
        <is>
          <t>PEGY1-35-24</t>
        </is>
      </c>
      <c r="E1593" s="3" t="inlineStr">
        <is>
          <t>description</t>
        </is>
      </c>
      <c r="F1593" s="14" t="n">
        <v>1496</v>
      </c>
      <c r="G1593" s="17" t="n">
        <v>8.390000000000001</v>
      </c>
      <c r="H1593" s="14">
        <f>IF(G1593="","",G1593*Ayarlar!$B$3+Ayarlar!$B$4+Ayarlar!$B$5)</f>
        <v/>
      </c>
      <c r="I1593" s="14">
        <f>IF(G1593="","",ROUNDUP(((G1593*Ayarlar!$B$3+Ayarlar!$B$4+Ayarlar!$B$5)+Ayarlar!$B$8)/((1-Ayarlar!$B$6)*(1-Ayarlar!$B$7)),0))</f>
        <v/>
      </c>
      <c r="J1593" s="14">
        <f>IF(G1593="","",ROUNDUP(((G1593*Ayarlar!$B$3+Ayarlar!$B$4+Ayarlar!$B$5)+Ayarlar!$B$8)/((1-Ayarlar!$B$6)*(1-Ayarlar!$B$7-Ayarlar!$B$9)),0))</f>
        <v/>
      </c>
      <c r="K1593" s="15">
        <f>IF(OR(G1593="",F1593=""),"",(F1593*(1-Ayarlar!$B$6)-(F1593*(1-Ayarlar!$B$6)*Ayarlar!$B$7+Ayarlar!$B$8)-(G1593*Ayarlar!$B$3+Ayarlar!$B$4+Ayarlar!$B$5))/(F1593*(1-Ayarlar!$B$6)))</f>
        <v/>
      </c>
      <c r="L1593" s="3">
        <f>IF(G1593="","GRAM EKSİK",IF(F1593&gt;30000,"FİYAT ŞÜPHELİ",IF(K1593&lt;0,"ZARARDA",IF(F1593&lt;I1593,"RİSKLİ","ok"))))</f>
        <v/>
      </c>
      <c r="M1593" s="16" t="inlineStr">
        <is>
          <t>https://www.etsy.com/listing/1735786221</t>
        </is>
      </c>
    </row>
    <row r="1594">
      <c r="A1594" s="9" t="inlineStr">
        <is>
          <t>protection</t>
        </is>
      </c>
      <c r="B1594" s="9" t="inlineStr">
        <is>
          <t>10K Gold Pharaoh Pendant Necklace / CZ &amp; Ruby, Egyptian King</t>
        </is>
      </c>
      <c r="C1594" s="9" t="n">
        <v>1735786221</v>
      </c>
      <c r="D1594" s="9" t="inlineStr">
        <is>
          <t>PEGY1-4-16</t>
        </is>
      </c>
      <c r="E1594" s="9" t="inlineStr">
        <is>
          <t>description</t>
        </is>
      </c>
      <c r="F1594" s="10" t="n">
        <v>1356</v>
      </c>
      <c r="G1594" s="18" t="n">
        <v>7.6</v>
      </c>
      <c r="H1594" s="10">
        <f>IF(G1594="","",G1594*Ayarlar!$B$3+Ayarlar!$B$4+Ayarlar!$B$5)</f>
        <v/>
      </c>
      <c r="I1594" s="10">
        <f>IF(G1594="","",ROUNDUP(((G1594*Ayarlar!$B$3+Ayarlar!$B$4+Ayarlar!$B$5)+Ayarlar!$B$8)/((1-Ayarlar!$B$6)*(1-Ayarlar!$B$7)),0))</f>
        <v/>
      </c>
      <c r="J1594" s="10">
        <f>IF(G1594="","",ROUNDUP(((G1594*Ayarlar!$B$3+Ayarlar!$B$4+Ayarlar!$B$5)+Ayarlar!$B$8)/((1-Ayarlar!$B$6)*(1-Ayarlar!$B$7-Ayarlar!$B$9)),0))</f>
        <v/>
      </c>
      <c r="K1594" s="12">
        <f>IF(OR(G1594="",F1594=""),"",(F1594*(1-Ayarlar!$B$6)-(F1594*(1-Ayarlar!$B$6)*Ayarlar!$B$7+Ayarlar!$B$8)-(G1594*Ayarlar!$B$3+Ayarlar!$B$4+Ayarlar!$B$5))/(F1594*(1-Ayarlar!$B$6)))</f>
        <v/>
      </c>
      <c r="L1594" s="9">
        <f>IF(G1594="","GRAM EKSİK",IF(F1594&gt;30000,"FİYAT ŞÜPHELİ",IF(K1594&lt;0,"ZARARDA",IF(F1594&lt;I1594,"RİSKLİ","ok"))))</f>
        <v/>
      </c>
      <c r="M1594" s="13" t="inlineStr">
        <is>
          <t>https://www.etsy.com/listing/1735786221</t>
        </is>
      </c>
    </row>
    <row r="1595">
      <c r="A1595" s="3" t="inlineStr">
        <is>
          <t>protection</t>
        </is>
      </c>
      <c r="B1595" s="3" t="inlineStr">
        <is>
          <t>10K Gold Pharaoh Pendant Necklace / CZ &amp; Ruby, Egyptian King</t>
        </is>
      </c>
      <c r="C1595" s="3" t="n">
        <v>1735786221</v>
      </c>
      <c r="D1595" s="3" t="inlineStr">
        <is>
          <t>PEGY1-4-18</t>
        </is>
      </c>
      <c r="E1595" s="3" t="inlineStr">
        <is>
          <t>description</t>
        </is>
      </c>
      <c r="F1595" s="14" t="n">
        <v>1475</v>
      </c>
      <c r="G1595" s="17" t="n">
        <v>8.27</v>
      </c>
      <c r="H1595" s="14">
        <f>IF(G1595="","",G1595*Ayarlar!$B$3+Ayarlar!$B$4+Ayarlar!$B$5)</f>
        <v/>
      </c>
      <c r="I1595" s="14">
        <f>IF(G1595="","",ROUNDUP(((G1595*Ayarlar!$B$3+Ayarlar!$B$4+Ayarlar!$B$5)+Ayarlar!$B$8)/((1-Ayarlar!$B$6)*(1-Ayarlar!$B$7)),0))</f>
        <v/>
      </c>
      <c r="J1595" s="14">
        <f>IF(G1595="","",ROUNDUP(((G1595*Ayarlar!$B$3+Ayarlar!$B$4+Ayarlar!$B$5)+Ayarlar!$B$8)/((1-Ayarlar!$B$6)*(1-Ayarlar!$B$7-Ayarlar!$B$9)),0))</f>
        <v/>
      </c>
      <c r="K1595" s="15">
        <f>IF(OR(G1595="",F1595=""),"",(F1595*(1-Ayarlar!$B$6)-(F1595*(1-Ayarlar!$B$6)*Ayarlar!$B$7+Ayarlar!$B$8)-(G1595*Ayarlar!$B$3+Ayarlar!$B$4+Ayarlar!$B$5))/(F1595*(1-Ayarlar!$B$6)))</f>
        <v/>
      </c>
      <c r="L1595" s="3">
        <f>IF(G1595="","GRAM EKSİK",IF(F1595&gt;30000,"FİYAT ŞÜPHELİ",IF(K1595&lt;0,"ZARARDA",IF(F1595&lt;I1595,"RİSKLİ","ok"))))</f>
        <v/>
      </c>
      <c r="M1595" s="16" t="inlineStr">
        <is>
          <t>https://www.etsy.com/listing/1735786221</t>
        </is>
      </c>
    </row>
    <row r="1596">
      <c r="A1596" s="9" t="inlineStr">
        <is>
          <t>protection</t>
        </is>
      </c>
      <c r="B1596" s="9" t="inlineStr">
        <is>
          <t>10K Gold Pharaoh Pendant Necklace / CZ &amp; Ruby, Egyptian King</t>
        </is>
      </c>
      <c r="C1596" s="9" t="n">
        <v>1735786221</v>
      </c>
      <c r="D1596" s="9" t="inlineStr">
        <is>
          <t>PEGY1-4-20</t>
        </is>
      </c>
      <c r="E1596" s="9" t="inlineStr">
        <is>
          <t>description</t>
        </is>
      </c>
      <c r="F1596" s="10" t="n">
        <v>1593</v>
      </c>
      <c r="G1596" s="18" t="n">
        <v>8.94</v>
      </c>
      <c r="H1596" s="10">
        <f>IF(G1596="","",G1596*Ayarlar!$B$3+Ayarlar!$B$4+Ayarlar!$B$5)</f>
        <v/>
      </c>
      <c r="I1596" s="10">
        <f>IF(G1596="","",ROUNDUP(((G1596*Ayarlar!$B$3+Ayarlar!$B$4+Ayarlar!$B$5)+Ayarlar!$B$8)/((1-Ayarlar!$B$6)*(1-Ayarlar!$B$7)),0))</f>
        <v/>
      </c>
      <c r="J1596" s="10">
        <f>IF(G1596="","",ROUNDUP(((G1596*Ayarlar!$B$3+Ayarlar!$B$4+Ayarlar!$B$5)+Ayarlar!$B$8)/((1-Ayarlar!$B$6)*(1-Ayarlar!$B$7-Ayarlar!$B$9)),0))</f>
        <v/>
      </c>
      <c r="K1596" s="12">
        <f>IF(OR(G1596="",F1596=""),"",(F1596*(1-Ayarlar!$B$6)-(F1596*(1-Ayarlar!$B$6)*Ayarlar!$B$7+Ayarlar!$B$8)-(G1596*Ayarlar!$B$3+Ayarlar!$B$4+Ayarlar!$B$5))/(F1596*(1-Ayarlar!$B$6)))</f>
        <v/>
      </c>
      <c r="L1596" s="9">
        <f>IF(G1596="","GRAM EKSİK",IF(F1596&gt;30000,"FİYAT ŞÜPHELİ",IF(K1596&lt;0,"ZARARDA",IF(F1596&lt;I1596,"RİSKLİ","ok"))))</f>
        <v/>
      </c>
      <c r="M1596" s="13" t="inlineStr">
        <is>
          <t>https://www.etsy.com/listing/1735786221</t>
        </is>
      </c>
    </row>
    <row r="1597">
      <c r="A1597" s="3" t="inlineStr">
        <is>
          <t>protection</t>
        </is>
      </c>
      <c r="B1597" s="3" t="inlineStr">
        <is>
          <t>10K Gold Pharaoh Pendant Necklace / CZ &amp; Ruby, Egyptian King</t>
        </is>
      </c>
      <c r="C1597" s="3" t="n">
        <v>1735786221</v>
      </c>
      <c r="D1597" s="3" t="inlineStr">
        <is>
          <t>PEGY1-4-22</t>
        </is>
      </c>
      <c r="E1597" s="3" t="inlineStr">
        <is>
          <t>description</t>
        </is>
      </c>
      <c r="F1597" s="14" t="n">
        <v>1712</v>
      </c>
      <c r="G1597" s="17" t="n">
        <v>9.609999999999999</v>
      </c>
      <c r="H1597" s="14">
        <f>IF(G1597="","",G1597*Ayarlar!$B$3+Ayarlar!$B$4+Ayarlar!$B$5)</f>
        <v/>
      </c>
      <c r="I1597" s="14">
        <f>IF(G1597="","",ROUNDUP(((G1597*Ayarlar!$B$3+Ayarlar!$B$4+Ayarlar!$B$5)+Ayarlar!$B$8)/((1-Ayarlar!$B$6)*(1-Ayarlar!$B$7)),0))</f>
        <v/>
      </c>
      <c r="J1597" s="14">
        <f>IF(G1597="","",ROUNDUP(((G1597*Ayarlar!$B$3+Ayarlar!$B$4+Ayarlar!$B$5)+Ayarlar!$B$8)/((1-Ayarlar!$B$6)*(1-Ayarlar!$B$7-Ayarlar!$B$9)),0))</f>
        <v/>
      </c>
      <c r="K1597" s="15">
        <f>IF(OR(G1597="",F1597=""),"",(F1597*(1-Ayarlar!$B$6)-(F1597*(1-Ayarlar!$B$6)*Ayarlar!$B$7+Ayarlar!$B$8)-(G1597*Ayarlar!$B$3+Ayarlar!$B$4+Ayarlar!$B$5))/(F1597*(1-Ayarlar!$B$6)))</f>
        <v/>
      </c>
      <c r="L1597" s="3">
        <f>IF(G1597="","GRAM EKSİK",IF(F1597&gt;30000,"FİYAT ŞÜPHELİ",IF(K1597&lt;0,"ZARARDA",IF(F1597&lt;I1597,"RİSKLİ","ok"))))</f>
        <v/>
      </c>
      <c r="M1597" s="16" t="inlineStr">
        <is>
          <t>https://www.etsy.com/listing/1735786221</t>
        </is>
      </c>
    </row>
    <row r="1598">
      <c r="A1598" s="9" t="inlineStr">
        <is>
          <t>protection</t>
        </is>
      </c>
      <c r="B1598" s="9" t="inlineStr">
        <is>
          <t>10K Gold Pharaoh Pendant Necklace / CZ &amp; Ruby, Egyptian King</t>
        </is>
      </c>
      <c r="C1598" s="9" t="n">
        <v>1735786221</v>
      </c>
      <c r="D1598" s="9" t="inlineStr">
        <is>
          <t>PEGY1-4-24</t>
        </is>
      </c>
      <c r="E1598" s="9" t="inlineStr">
        <is>
          <t>description</t>
        </is>
      </c>
      <c r="F1598" s="10" t="n">
        <v>1828</v>
      </c>
      <c r="G1598" s="18" t="n">
        <v>10.27</v>
      </c>
      <c r="H1598" s="10">
        <f>IF(G1598="","",G1598*Ayarlar!$B$3+Ayarlar!$B$4+Ayarlar!$B$5)</f>
        <v/>
      </c>
      <c r="I1598" s="10">
        <f>IF(G1598="","",ROUNDUP(((G1598*Ayarlar!$B$3+Ayarlar!$B$4+Ayarlar!$B$5)+Ayarlar!$B$8)/((1-Ayarlar!$B$6)*(1-Ayarlar!$B$7)),0))</f>
        <v/>
      </c>
      <c r="J1598" s="10">
        <f>IF(G1598="","",ROUNDUP(((G1598*Ayarlar!$B$3+Ayarlar!$B$4+Ayarlar!$B$5)+Ayarlar!$B$8)/((1-Ayarlar!$B$6)*(1-Ayarlar!$B$7-Ayarlar!$B$9)),0))</f>
        <v/>
      </c>
      <c r="K1598" s="12">
        <f>IF(OR(G1598="",F1598=""),"",(F1598*(1-Ayarlar!$B$6)-(F1598*(1-Ayarlar!$B$6)*Ayarlar!$B$7+Ayarlar!$B$8)-(G1598*Ayarlar!$B$3+Ayarlar!$B$4+Ayarlar!$B$5))/(F1598*(1-Ayarlar!$B$6)))</f>
        <v/>
      </c>
      <c r="L1598" s="9">
        <f>IF(G1598="","GRAM EKSİK",IF(F1598&gt;30000,"FİYAT ŞÜPHELİ",IF(K1598&lt;0,"ZARARDA",IF(F1598&lt;I1598,"RİSKLİ","ok"))))</f>
        <v/>
      </c>
      <c r="M1598" s="13" t="inlineStr">
        <is>
          <t>https://www.etsy.com/listing/1735786221</t>
        </is>
      </c>
    </row>
    <row r="1599">
      <c r="A1599" s="3" t="inlineStr">
        <is>
          <t>protection</t>
        </is>
      </c>
      <c r="B1599" s="3" t="inlineStr">
        <is>
          <t>10K Gold Pharaoh Pendant Necklace / CZ &amp; Ruby, Egyptian King</t>
        </is>
      </c>
      <c r="C1599" s="3" t="n">
        <v>1735786221</v>
      </c>
      <c r="D1599" s="3" t="inlineStr">
        <is>
          <t>PEGY2-25-16</t>
        </is>
      </c>
      <c r="E1599" s="3" t="inlineStr">
        <is>
          <t>description</t>
        </is>
      </c>
      <c r="F1599" s="14" t="n">
        <v>1238</v>
      </c>
      <c r="G1599" s="17" t="n">
        <v>6.93</v>
      </c>
      <c r="H1599" s="14">
        <f>IF(G1599="","",G1599*Ayarlar!$B$3+Ayarlar!$B$4+Ayarlar!$B$5)</f>
        <v/>
      </c>
      <c r="I1599" s="14">
        <f>IF(G1599="","",ROUNDUP(((G1599*Ayarlar!$B$3+Ayarlar!$B$4+Ayarlar!$B$5)+Ayarlar!$B$8)/((1-Ayarlar!$B$6)*(1-Ayarlar!$B$7)),0))</f>
        <v/>
      </c>
      <c r="J1599" s="14">
        <f>IF(G1599="","",ROUNDUP(((G1599*Ayarlar!$B$3+Ayarlar!$B$4+Ayarlar!$B$5)+Ayarlar!$B$8)/((1-Ayarlar!$B$6)*(1-Ayarlar!$B$7-Ayarlar!$B$9)),0))</f>
        <v/>
      </c>
      <c r="K1599" s="15">
        <f>IF(OR(G1599="",F1599=""),"",(F1599*(1-Ayarlar!$B$6)-(F1599*(1-Ayarlar!$B$6)*Ayarlar!$B$7+Ayarlar!$B$8)-(G1599*Ayarlar!$B$3+Ayarlar!$B$4+Ayarlar!$B$5))/(F1599*(1-Ayarlar!$B$6)))</f>
        <v/>
      </c>
      <c r="L1599" s="3">
        <f>IF(G1599="","GRAM EKSİK",IF(F1599&gt;30000,"FİYAT ŞÜPHELİ",IF(K1599&lt;0,"ZARARDA",IF(F1599&lt;I1599,"RİSKLİ","ok"))))</f>
        <v/>
      </c>
      <c r="M1599" s="16" t="inlineStr">
        <is>
          <t>https://www.etsy.com/listing/1735786221</t>
        </is>
      </c>
    </row>
    <row r="1600">
      <c r="A1600" s="9" t="inlineStr">
        <is>
          <t>protection</t>
        </is>
      </c>
      <c r="B1600" s="9" t="inlineStr">
        <is>
          <t>10K Gold Pharaoh Pendant Necklace / CZ &amp; Ruby, Egyptian King</t>
        </is>
      </c>
      <c r="C1600" s="9" t="n">
        <v>1735786221</v>
      </c>
      <c r="D1600" s="9" t="inlineStr">
        <is>
          <t>PEGY2-25-18</t>
        </is>
      </c>
      <c r="E1600" s="9" t="inlineStr">
        <is>
          <t>description</t>
        </is>
      </c>
      <c r="F1600" s="10" t="n">
        <v>1287</v>
      </c>
      <c r="G1600" s="18" t="n">
        <v>7.21</v>
      </c>
      <c r="H1600" s="10">
        <f>IF(G1600="","",G1600*Ayarlar!$B$3+Ayarlar!$B$4+Ayarlar!$B$5)</f>
        <v/>
      </c>
      <c r="I1600" s="10">
        <f>IF(G1600="","",ROUNDUP(((G1600*Ayarlar!$B$3+Ayarlar!$B$4+Ayarlar!$B$5)+Ayarlar!$B$8)/((1-Ayarlar!$B$6)*(1-Ayarlar!$B$7)),0))</f>
        <v/>
      </c>
      <c r="J1600" s="10">
        <f>IF(G1600="","",ROUNDUP(((G1600*Ayarlar!$B$3+Ayarlar!$B$4+Ayarlar!$B$5)+Ayarlar!$B$8)/((1-Ayarlar!$B$6)*(1-Ayarlar!$B$7-Ayarlar!$B$9)),0))</f>
        <v/>
      </c>
      <c r="K1600" s="12">
        <f>IF(OR(G1600="",F1600=""),"",(F1600*(1-Ayarlar!$B$6)-(F1600*(1-Ayarlar!$B$6)*Ayarlar!$B$7+Ayarlar!$B$8)-(G1600*Ayarlar!$B$3+Ayarlar!$B$4+Ayarlar!$B$5))/(F1600*(1-Ayarlar!$B$6)))</f>
        <v/>
      </c>
      <c r="L1600" s="9">
        <f>IF(G1600="","GRAM EKSİK",IF(F1600&gt;30000,"FİYAT ŞÜPHELİ",IF(K1600&lt;0,"ZARARDA",IF(F1600&lt;I1600,"RİSKLİ","ok"))))</f>
        <v/>
      </c>
      <c r="M1600" s="13" t="inlineStr">
        <is>
          <t>https://www.etsy.com/listing/1735786221</t>
        </is>
      </c>
    </row>
    <row r="1601">
      <c r="A1601" s="3" t="inlineStr">
        <is>
          <t>protection</t>
        </is>
      </c>
      <c r="B1601" s="3" t="inlineStr">
        <is>
          <t>10K Gold Pharaoh Pendant Necklace / CZ &amp; Ruby, Egyptian King</t>
        </is>
      </c>
      <c r="C1601" s="3" t="n">
        <v>1735786221</v>
      </c>
      <c r="D1601" s="3" t="inlineStr">
        <is>
          <t>PEGY2-25-20</t>
        </is>
      </c>
      <c r="E1601" s="3" t="inlineStr">
        <is>
          <t>description</t>
        </is>
      </c>
      <c r="F1601" s="14" t="n">
        <v>1335</v>
      </c>
      <c r="G1601" s="17" t="n">
        <v>7.48</v>
      </c>
      <c r="H1601" s="14">
        <f>IF(G1601="","",G1601*Ayarlar!$B$3+Ayarlar!$B$4+Ayarlar!$B$5)</f>
        <v/>
      </c>
      <c r="I1601" s="14">
        <f>IF(G1601="","",ROUNDUP(((G1601*Ayarlar!$B$3+Ayarlar!$B$4+Ayarlar!$B$5)+Ayarlar!$B$8)/((1-Ayarlar!$B$6)*(1-Ayarlar!$B$7)),0))</f>
        <v/>
      </c>
      <c r="J1601" s="14">
        <f>IF(G1601="","",ROUNDUP(((G1601*Ayarlar!$B$3+Ayarlar!$B$4+Ayarlar!$B$5)+Ayarlar!$B$8)/((1-Ayarlar!$B$6)*(1-Ayarlar!$B$7-Ayarlar!$B$9)),0))</f>
        <v/>
      </c>
      <c r="K1601" s="15">
        <f>IF(OR(G1601="",F1601=""),"",(F1601*(1-Ayarlar!$B$6)-(F1601*(1-Ayarlar!$B$6)*Ayarlar!$B$7+Ayarlar!$B$8)-(G1601*Ayarlar!$B$3+Ayarlar!$B$4+Ayarlar!$B$5))/(F1601*(1-Ayarlar!$B$6)))</f>
        <v/>
      </c>
      <c r="L1601" s="3">
        <f>IF(G1601="","GRAM EKSİK",IF(F1601&gt;30000,"FİYAT ŞÜPHELİ",IF(K1601&lt;0,"ZARARDA",IF(F1601&lt;I1601,"RİSKLİ","ok"))))</f>
        <v/>
      </c>
      <c r="M1601" s="16" t="inlineStr">
        <is>
          <t>https://www.etsy.com/listing/1735786221</t>
        </is>
      </c>
    </row>
    <row r="1602">
      <c r="A1602" s="9" t="inlineStr">
        <is>
          <t>protection</t>
        </is>
      </c>
      <c r="B1602" s="9" t="inlineStr">
        <is>
          <t>10K Gold Pharaoh Pendant Necklace / CZ &amp; Ruby, Egyptian King</t>
        </is>
      </c>
      <c r="C1602" s="9" t="n">
        <v>1735786221</v>
      </c>
      <c r="D1602" s="9" t="inlineStr">
        <is>
          <t>PEGY2-25-22</t>
        </is>
      </c>
      <c r="E1602" s="9" t="inlineStr">
        <is>
          <t>description</t>
        </is>
      </c>
      <c r="F1602" s="10" t="n">
        <v>1384</v>
      </c>
      <c r="G1602" s="18" t="n">
        <v>7.76</v>
      </c>
      <c r="H1602" s="10">
        <f>IF(G1602="","",G1602*Ayarlar!$B$3+Ayarlar!$B$4+Ayarlar!$B$5)</f>
        <v/>
      </c>
      <c r="I1602" s="10">
        <f>IF(G1602="","",ROUNDUP(((G1602*Ayarlar!$B$3+Ayarlar!$B$4+Ayarlar!$B$5)+Ayarlar!$B$8)/((1-Ayarlar!$B$6)*(1-Ayarlar!$B$7)),0))</f>
        <v/>
      </c>
      <c r="J1602" s="10">
        <f>IF(G1602="","",ROUNDUP(((G1602*Ayarlar!$B$3+Ayarlar!$B$4+Ayarlar!$B$5)+Ayarlar!$B$8)/((1-Ayarlar!$B$6)*(1-Ayarlar!$B$7-Ayarlar!$B$9)),0))</f>
        <v/>
      </c>
      <c r="K1602" s="12">
        <f>IF(OR(G1602="",F1602=""),"",(F1602*(1-Ayarlar!$B$6)-(F1602*(1-Ayarlar!$B$6)*Ayarlar!$B$7+Ayarlar!$B$8)-(G1602*Ayarlar!$B$3+Ayarlar!$B$4+Ayarlar!$B$5))/(F1602*(1-Ayarlar!$B$6)))</f>
        <v/>
      </c>
      <c r="L1602" s="9">
        <f>IF(G1602="","GRAM EKSİK",IF(F1602&gt;30000,"FİYAT ŞÜPHELİ",IF(K1602&lt;0,"ZARARDA",IF(F1602&lt;I1602,"RİSKLİ","ok"))))</f>
        <v/>
      </c>
      <c r="M1602" s="13" t="inlineStr">
        <is>
          <t>https://www.etsy.com/listing/1735786221</t>
        </is>
      </c>
    </row>
    <row r="1603">
      <c r="A1603" s="3" t="inlineStr">
        <is>
          <t>protection</t>
        </is>
      </c>
      <c r="B1603" s="3" t="inlineStr">
        <is>
          <t>10K Gold Pharaoh Pendant Necklace / CZ &amp; Ruby, Egyptian King</t>
        </is>
      </c>
      <c r="C1603" s="3" t="n">
        <v>1735786221</v>
      </c>
      <c r="D1603" s="3" t="inlineStr">
        <is>
          <t>PEGY2-25-24</t>
        </is>
      </c>
      <c r="E1603" s="3" t="inlineStr">
        <is>
          <t>description</t>
        </is>
      </c>
      <c r="F1603" s="14" t="n">
        <v>1432</v>
      </c>
      <c r="G1603" s="17" t="n">
        <v>8.029999999999999</v>
      </c>
      <c r="H1603" s="14">
        <f>IF(G1603="","",G1603*Ayarlar!$B$3+Ayarlar!$B$4+Ayarlar!$B$5)</f>
        <v/>
      </c>
      <c r="I1603" s="14">
        <f>IF(G1603="","",ROUNDUP(((G1603*Ayarlar!$B$3+Ayarlar!$B$4+Ayarlar!$B$5)+Ayarlar!$B$8)/((1-Ayarlar!$B$6)*(1-Ayarlar!$B$7)),0))</f>
        <v/>
      </c>
      <c r="J1603" s="14">
        <f>IF(G1603="","",ROUNDUP(((G1603*Ayarlar!$B$3+Ayarlar!$B$4+Ayarlar!$B$5)+Ayarlar!$B$8)/((1-Ayarlar!$B$6)*(1-Ayarlar!$B$7-Ayarlar!$B$9)),0))</f>
        <v/>
      </c>
      <c r="K1603" s="15">
        <f>IF(OR(G1603="",F1603=""),"",(F1603*(1-Ayarlar!$B$6)-(F1603*(1-Ayarlar!$B$6)*Ayarlar!$B$7+Ayarlar!$B$8)-(G1603*Ayarlar!$B$3+Ayarlar!$B$4+Ayarlar!$B$5))/(F1603*(1-Ayarlar!$B$6)))</f>
        <v/>
      </c>
      <c r="L1603" s="3">
        <f>IF(G1603="","GRAM EKSİK",IF(F1603&gt;30000,"FİYAT ŞÜPHELİ",IF(K1603&lt;0,"ZARARDA",IF(F1603&lt;I1603,"RİSKLİ","ok"))))</f>
        <v/>
      </c>
      <c r="M1603" s="16" t="inlineStr">
        <is>
          <t>https://www.etsy.com/listing/1735786221</t>
        </is>
      </c>
    </row>
    <row r="1604">
      <c r="A1604" s="9" t="inlineStr">
        <is>
          <t>protection</t>
        </is>
      </c>
      <c r="B1604" s="9" t="inlineStr">
        <is>
          <t>10K Gold Pharaoh Pendant Necklace / CZ &amp; Ruby, Egyptian King</t>
        </is>
      </c>
      <c r="C1604" s="9" t="n">
        <v>1735786221</v>
      </c>
      <c r="D1604" s="9" t="inlineStr">
        <is>
          <t>PEGY2-3-16</t>
        </is>
      </c>
      <c r="E1604" s="9" t="inlineStr">
        <is>
          <t>description</t>
        </is>
      </c>
      <c r="F1604" s="10" t="n">
        <v>1358</v>
      </c>
      <c r="G1604" s="18" t="n">
        <v>7.61</v>
      </c>
      <c r="H1604" s="10">
        <f>IF(G1604="","",G1604*Ayarlar!$B$3+Ayarlar!$B$4+Ayarlar!$B$5)</f>
        <v/>
      </c>
      <c r="I1604" s="10">
        <f>IF(G1604="","",ROUNDUP(((G1604*Ayarlar!$B$3+Ayarlar!$B$4+Ayarlar!$B$5)+Ayarlar!$B$8)/((1-Ayarlar!$B$6)*(1-Ayarlar!$B$7)),0))</f>
        <v/>
      </c>
      <c r="J1604" s="10">
        <f>IF(G1604="","",ROUNDUP(((G1604*Ayarlar!$B$3+Ayarlar!$B$4+Ayarlar!$B$5)+Ayarlar!$B$8)/((1-Ayarlar!$B$6)*(1-Ayarlar!$B$7-Ayarlar!$B$9)),0))</f>
        <v/>
      </c>
      <c r="K1604" s="12">
        <f>IF(OR(G1604="",F1604=""),"",(F1604*(1-Ayarlar!$B$6)-(F1604*(1-Ayarlar!$B$6)*Ayarlar!$B$7+Ayarlar!$B$8)-(G1604*Ayarlar!$B$3+Ayarlar!$B$4+Ayarlar!$B$5))/(F1604*(1-Ayarlar!$B$6)))</f>
        <v/>
      </c>
      <c r="L1604" s="9">
        <f>IF(G1604="","GRAM EKSİK",IF(F1604&gt;30000,"FİYAT ŞÜPHELİ",IF(K1604&lt;0,"ZARARDA",IF(F1604&lt;I1604,"RİSKLİ","ok"))))</f>
        <v/>
      </c>
      <c r="M1604" s="13" t="inlineStr">
        <is>
          <t>https://www.etsy.com/listing/1735786221</t>
        </is>
      </c>
    </row>
    <row r="1605">
      <c r="A1605" s="3" t="inlineStr">
        <is>
          <t>protection</t>
        </is>
      </c>
      <c r="B1605" s="3" t="inlineStr">
        <is>
          <t>10K Gold Pharaoh Pendant Necklace / CZ &amp; Ruby, Egyptian King</t>
        </is>
      </c>
      <c r="C1605" s="3" t="n">
        <v>1735786221</v>
      </c>
      <c r="D1605" s="3" t="inlineStr">
        <is>
          <t>PEGY2-3-18</t>
        </is>
      </c>
      <c r="E1605" s="3" t="inlineStr">
        <is>
          <t>description</t>
        </is>
      </c>
      <c r="F1605" s="14" t="n">
        <v>1422</v>
      </c>
      <c r="G1605" s="17" t="n">
        <v>7.97</v>
      </c>
      <c r="H1605" s="14">
        <f>IF(G1605="","",G1605*Ayarlar!$B$3+Ayarlar!$B$4+Ayarlar!$B$5)</f>
        <v/>
      </c>
      <c r="I1605" s="14">
        <f>IF(G1605="","",ROUNDUP(((G1605*Ayarlar!$B$3+Ayarlar!$B$4+Ayarlar!$B$5)+Ayarlar!$B$8)/((1-Ayarlar!$B$6)*(1-Ayarlar!$B$7)),0))</f>
        <v/>
      </c>
      <c r="J1605" s="14">
        <f>IF(G1605="","",ROUNDUP(((G1605*Ayarlar!$B$3+Ayarlar!$B$4+Ayarlar!$B$5)+Ayarlar!$B$8)/((1-Ayarlar!$B$6)*(1-Ayarlar!$B$7-Ayarlar!$B$9)),0))</f>
        <v/>
      </c>
      <c r="K1605" s="15">
        <f>IF(OR(G1605="",F1605=""),"",(F1605*(1-Ayarlar!$B$6)-(F1605*(1-Ayarlar!$B$6)*Ayarlar!$B$7+Ayarlar!$B$8)-(G1605*Ayarlar!$B$3+Ayarlar!$B$4+Ayarlar!$B$5))/(F1605*(1-Ayarlar!$B$6)))</f>
        <v/>
      </c>
      <c r="L1605" s="3">
        <f>IF(G1605="","GRAM EKSİK",IF(F1605&gt;30000,"FİYAT ŞÜPHELİ",IF(K1605&lt;0,"ZARARDA",IF(F1605&lt;I1605,"RİSKLİ","ok"))))</f>
        <v/>
      </c>
      <c r="M1605" s="16" t="inlineStr">
        <is>
          <t>https://www.etsy.com/listing/1735786221</t>
        </is>
      </c>
    </row>
    <row r="1606">
      <c r="A1606" s="9" t="inlineStr">
        <is>
          <t>protection</t>
        </is>
      </c>
      <c r="B1606" s="9" t="inlineStr">
        <is>
          <t>10K Gold Pharaoh Pendant Necklace / CZ &amp; Ruby, Egyptian King</t>
        </is>
      </c>
      <c r="C1606" s="9" t="n">
        <v>1735786221</v>
      </c>
      <c r="D1606" s="9" t="inlineStr">
        <is>
          <t>PEGY2-3-20</t>
        </is>
      </c>
      <c r="E1606" s="9" t="inlineStr">
        <is>
          <t>description</t>
        </is>
      </c>
      <c r="F1606" s="10" t="n">
        <v>1485</v>
      </c>
      <c r="G1606" s="18" t="n">
        <v>8.33</v>
      </c>
      <c r="H1606" s="10">
        <f>IF(G1606="","",G1606*Ayarlar!$B$3+Ayarlar!$B$4+Ayarlar!$B$5)</f>
        <v/>
      </c>
      <c r="I1606" s="10">
        <f>IF(G1606="","",ROUNDUP(((G1606*Ayarlar!$B$3+Ayarlar!$B$4+Ayarlar!$B$5)+Ayarlar!$B$8)/((1-Ayarlar!$B$6)*(1-Ayarlar!$B$7)),0))</f>
        <v/>
      </c>
      <c r="J1606" s="10">
        <f>IF(G1606="","",ROUNDUP(((G1606*Ayarlar!$B$3+Ayarlar!$B$4+Ayarlar!$B$5)+Ayarlar!$B$8)/((1-Ayarlar!$B$6)*(1-Ayarlar!$B$7-Ayarlar!$B$9)),0))</f>
        <v/>
      </c>
      <c r="K1606" s="12">
        <f>IF(OR(G1606="",F1606=""),"",(F1606*(1-Ayarlar!$B$6)-(F1606*(1-Ayarlar!$B$6)*Ayarlar!$B$7+Ayarlar!$B$8)-(G1606*Ayarlar!$B$3+Ayarlar!$B$4+Ayarlar!$B$5))/(F1606*(1-Ayarlar!$B$6)))</f>
        <v/>
      </c>
      <c r="L1606" s="9">
        <f>IF(G1606="","GRAM EKSİK",IF(F1606&gt;30000,"FİYAT ŞÜPHELİ",IF(K1606&lt;0,"ZARARDA",IF(F1606&lt;I1606,"RİSKLİ","ok"))))</f>
        <v/>
      </c>
      <c r="M1606" s="13" t="inlineStr">
        <is>
          <t>https://www.etsy.com/listing/1735786221</t>
        </is>
      </c>
    </row>
    <row r="1607">
      <c r="A1607" s="3" t="inlineStr">
        <is>
          <t>protection</t>
        </is>
      </c>
      <c r="B1607" s="3" t="inlineStr">
        <is>
          <t>10K Gold Pharaoh Pendant Necklace / CZ &amp; Ruby, Egyptian King</t>
        </is>
      </c>
      <c r="C1607" s="3" t="n">
        <v>1735786221</v>
      </c>
      <c r="D1607" s="3" t="inlineStr">
        <is>
          <t>PEGY2-3-22</t>
        </is>
      </c>
      <c r="E1607" s="3" t="inlineStr">
        <is>
          <t>description</t>
        </is>
      </c>
      <c r="F1607" s="14" t="n">
        <v>1549</v>
      </c>
      <c r="G1607" s="17" t="n">
        <v>8.69</v>
      </c>
      <c r="H1607" s="14">
        <f>IF(G1607="","",G1607*Ayarlar!$B$3+Ayarlar!$B$4+Ayarlar!$B$5)</f>
        <v/>
      </c>
      <c r="I1607" s="14">
        <f>IF(G1607="","",ROUNDUP(((G1607*Ayarlar!$B$3+Ayarlar!$B$4+Ayarlar!$B$5)+Ayarlar!$B$8)/((1-Ayarlar!$B$6)*(1-Ayarlar!$B$7)),0))</f>
        <v/>
      </c>
      <c r="J1607" s="14">
        <f>IF(G1607="","",ROUNDUP(((G1607*Ayarlar!$B$3+Ayarlar!$B$4+Ayarlar!$B$5)+Ayarlar!$B$8)/((1-Ayarlar!$B$6)*(1-Ayarlar!$B$7-Ayarlar!$B$9)),0))</f>
        <v/>
      </c>
      <c r="K1607" s="15">
        <f>IF(OR(G1607="",F1607=""),"",(F1607*(1-Ayarlar!$B$6)-(F1607*(1-Ayarlar!$B$6)*Ayarlar!$B$7+Ayarlar!$B$8)-(G1607*Ayarlar!$B$3+Ayarlar!$B$4+Ayarlar!$B$5))/(F1607*(1-Ayarlar!$B$6)))</f>
        <v/>
      </c>
      <c r="L1607" s="3">
        <f>IF(G1607="","GRAM EKSİK",IF(F1607&gt;30000,"FİYAT ŞÜPHELİ",IF(K1607&lt;0,"ZARARDA",IF(F1607&lt;I1607,"RİSKLİ","ok"))))</f>
        <v/>
      </c>
      <c r="M1607" s="16" t="inlineStr">
        <is>
          <t>https://www.etsy.com/listing/1735786221</t>
        </is>
      </c>
    </row>
    <row r="1608">
      <c r="A1608" s="9" t="inlineStr">
        <is>
          <t>protection</t>
        </is>
      </c>
      <c r="B1608" s="9" t="inlineStr">
        <is>
          <t>10K Gold Pharaoh Pendant Necklace / CZ &amp; Ruby, Egyptian King</t>
        </is>
      </c>
      <c r="C1608" s="9" t="n">
        <v>1735786221</v>
      </c>
      <c r="D1608" s="9" t="inlineStr">
        <is>
          <t>PEGY2-3-24</t>
        </is>
      </c>
      <c r="E1608" s="9" t="inlineStr">
        <is>
          <t>description</t>
        </is>
      </c>
      <c r="F1608" s="10" t="n">
        <v>1613</v>
      </c>
      <c r="G1608" s="18" t="n">
        <v>9.050000000000001</v>
      </c>
      <c r="H1608" s="10">
        <f>IF(G1608="","",G1608*Ayarlar!$B$3+Ayarlar!$B$4+Ayarlar!$B$5)</f>
        <v/>
      </c>
      <c r="I1608" s="10">
        <f>IF(G1608="","",ROUNDUP(((G1608*Ayarlar!$B$3+Ayarlar!$B$4+Ayarlar!$B$5)+Ayarlar!$B$8)/((1-Ayarlar!$B$6)*(1-Ayarlar!$B$7)),0))</f>
        <v/>
      </c>
      <c r="J1608" s="10">
        <f>IF(G1608="","",ROUNDUP(((G1608*Ayarlar!$B$3+Ayarlar!$B$4+Ayarlar!$B$5)+Ayarlar!$B$8)/((1-Ayarlar!$B$6)*(1-Ayarlar!$B$7-Ayarlar!$B$9)),0))</f>
        <v/>
      </c>
      <c r="K1608" s="12">
        <f>IF(OR(G1608="",F1608=""),"",(F1608*(1-Ayarlar!$B$6)-(F1608*(1-Ayarlar!$B$6)*Ayarlar!$B$7+Ayarlar!$B$8)-(G1608*Ayarlar!$B$3+Ayarlar!$B$4+Ayarlar!$B$5))/(F1608*(1-Ayarlar!$B$6)))</f>
        <v/>
      </c>
      <c r="L1608" s="9">
        <f>IF(G1608="","GRAM EKSİK",IF(F1608&gt;30000,"FİYAT ŞÜPHELİ",IF(K1608&lt;0,"ZARARDA",IF(F1608&lt;I1608,"RİSKLİ","ok"))))</f>
        <v/>
      </c>
      <c r="M1608" s="13" t="inlineStr">
        <is>
          <t>https://www.etsy.com/listing/1735786221</t>
        </is>
      </c>
    </row>
    <row r="1609">
      <c r="A1609" s="3" t="inlineStr">
        <is>
          <t>protection</t>
        </is>
      </c>
      <c r="B1609" s="3" t="inlineStr">
        <is>
          <t>10K Gold Pharaoh Pendant Necklace / CZ &amp; Ruby, Egyptian King</t>
        </is>
      </c>
      <c r="C1609" s="3" t="n">
        <v>1735786221</v>
      </c>
      <c r="D1609" s="3" t="inlineStr">
        <is>
          <t>PEGY2-35-16</t>
        </is>
      </c>
      <c r="E1609" s="3" t="inlineStr">
        <is>
          <t>description</t>
        </is>
      </c>
      <c r="F1609" s="14" t="n">
        <v>1574</v>
      </c>
      <c r="G1609" s="17" t="n">
        <v>8.83</v>
      </c>
      <c r="H1609" s="14">
        <f>IF(G1609="","",G1609*Ayarlar!$B$3+Ayarlar!$B$4+Ayarlar!$B$5)</f>
        <v/>
      </c>
      <c r="I1609" s="14">
        <f>IF(G1609="","",ROUNDUP(((G1609*Ayarlar!$B$3+Ayarlar!$B$4+Ayarlar!$B$5)+Ayarlar!$B$8)/((1-Ayarlar!$B$6)*(1-Ayarlar!$B$7)),0))</f>
        <v/>
      </c>
      <c r="J1609" s="14">
        <f>IF(G1609="","",ROUNDUP(((G1609*Ayarlar!$B$3+Ayarlar!$B$4+Ayarlar!$B$5)+Ayarlar!$B$8)/((1-Ayarlar!$B$6)*(1-Ayarlar!$B$7-Ayarlar!$B$9)),0))</f>
        <v/>
      </c>
      <c r="K1609" s="15">
        <f>IF(OR(G1609="",F1609=""),"",(F1609*(1-Ayarlar!$B$6)-(F1609*(1-Ayarlar!$B$6)*Ayarlar!$B$7+Ayarlar!$B$8)-(G1609*Ayarlar!$B$3+Ayarlar!$B$4+Ayarlar!$B$5))/(F1609*(1-Ayarlar!$B$6)))</f>
        <v/>
      </c>
      <c r="L1609" s="3">
        <f>IF(G1609="","GRAM EKSİK",IF(F1609&gt;30000,"FİYAT ŞÜPHELİ",IF(K1609&lt;0,"ZARARDA",IF(F1609&lt;I1609,"RİSKLİ","ok"))))</f>
        <v/>
      </c>
      <c r="M1609" s="16" t="inlineStr">
        <is>
          <t>https://www.etsy.com/listing/1735786221</t>
        </is>
      </c>
    </row>
    <row r="1610">
      <c r="A1610" s="9" t="inlineStr">
        <is>
          <t>protection</t>
        </is>
      </c>
      <c r="B1610" s="9" t="inlineStr">
        <is>
          <t>10K Gold Pharaoh Pendant Necklace / CZ &amp; Ruby, Egyptian King</t>
        </is>
      </c>
      <c r="C1610" s="9" t="n">
        <v>1735786221</v>
      </c>
      <c r="D1610" s="9" t="inlineStr">
        <is>
          <t>PEGY2-35-18</t>
        </is>
      </c>
      <c r="E1610" s="9" t="inlineStr">
        <is>
          <t>description</t>
        </is>
      </c>
      <c r="F1610" s="10" t="n">
        <v>1664</v>
      </c>
      <c r="G1610" s="18" t="n">
        <v>9.34</v>
      </c>
      <c r="H1610" s="10">
        <f>IF(G1610="","",G1610*Ayarlar!$B$3+Ayarlar!$B$4+Ayarlar!$B$5)</f>
        <v/>
      </c>
      <c r="I1610" s="10">
        <f>IF(G1610="","",ROUNDUP(((G1610*Ayarlar!$B$3+Ayarlar!$B$4+Ayarlar!$B$5)+Ayarlar!$B$8)/((1-Ayarlar!$B$6)*(1-Ayarlar!$B$7)),0))</f>
        <v/>
      </c>
      <c r="J1610" s="10">
        <f>IF(G1610="","",ROUNDUP(((G1610*Ayarlar!$B$3+Ayarlar!$B$4+Ayarlar!$B$5)+Ayarlar!$B$8)/((1-Ayarlar!$B$6)*(1-Ayarlar!$B$7-Ayarlar!$B$9)),0))</f>
        <v/>
      </c>
      <c r="K1610" s="12">
        <f>IF(OR(G1610="",F1610=""),"",(F1610*(1-Ayarlar!$B$6)-(F1610*(1-Ayarlar!$B$6)*Ayarlar!$B$7+Ayarlar!$B$8)-(G1610*Ayarlar!$B$3+Ayarlar!$B$4+Ayarlar!$B$5))/(F1610*(1-Ayarlar!$B$6)))</f>
        <v/>
      </c>
      <c r="L1610" s="9">
        <f>IF(G1610="","GRAM EKSİK",IF(F1610&gt;30000,"FİYAT ŞÜPHELİ",IF(K1610&lt;0,"ZARARDA",IF(F1610&lt;I1610,"RİSKLİ","ok"))))</f>
        <v/>
      </c>
      <c r="M1610" s="13" t="inlineStr">
        <is>
          <t>https://www.etsy.com/listing/1735786221</t>
        </is>
      </c>
    </row>
    <row r="1611">
      <c r="A1611" s="3" t="inlineStr">
        <is>
          <t>protection</t>
        </is>
      </c>
      <c r="B1611" s="3" t="inlineStr">
        <is>
          <t>10K Gold Pharaoh Pendant Necklace / CZ &amp; Ruby, Egyptian King</t>
        </is>
      </c>
      <c r="C1611" s="3" t="n">
        <v>1735786221</v>
      </c>
      <c r="D1611" s="3" t="inlineStr">
        <is>
          <t>PEGY2-35-20</t>
        </is>
      </c>
      <c r="E1611" s="3" t="inlineStr">
        <is>
          <t>description</t>
        </is>
      </c>
      <c r="F1611" s="14" t="n">
        <v>1754</v>
      </c>
      <c r="G1611" s="17" t="n">
        <v>9.85</v>
      </c>
      <c r="H1611" s="14">
        <f>IF(G1611="","",G1611*Ayarlar!$B$3+Ayarlar!$B$4+Ayarlar!$B$5)</f>
        <v/>
      </c>
      <c r="I1611" s="14">
        <f>IF(G1611="","",ROUNDUP(((G1611*Ayarlar!$B$3+Ayarlar!$B$4+Ayarlar!$B$5)+Ayarlar!$B$8)/((1-Ayarlar!$B$6)*(1-Ayarlar!$B$7)),0))</f>
        <v/>
      </c>
      <c r="J1611" s="14">
        <f>IF(G1611="","",ROUNDUP(((G1611*Ayarlar!$B$3+Ayarlar!$B$4+Ayarlar!$B$5)+Ayarlar!$B$8)/((1-Ayarlar!$B$6)*(1-Ayarlar!$B$7-Ayarlar!$B$9)),0))</f>
        <v/>
      </c>
      <c r="K1611" s="15">
        <f>IF(OR(G1611="",F1611=""),"",(F1611*(1-Ayarlar!$B$6)-(F1611*(1-Ayarlar!$B$6)*Ayarlar!$B$7+Ayarlar!$B$8)-(G1611*Ayarlar!$B$3+Ayarlar!$B$4+Ayarlar!$B$5))/(F1611*(1-Ayarlar!$B$6)))</f>
        <v/>
      </c>
      <c r="L1611" s="3">
        <f>IF(G1611="","GRAM EKSİK",IF(F1611&gt;30000,"FİYAT ŞÜPHELİ",IF(K1611&lt;0,"ZARARDA",IF(F1611&lt;I1611,"RİSKLİ","ok"))))</f>
        <v/>
      </c>
      <c r="M1611" s="16" t="inlineStr">
        <is>
          <t>https://www.etsy.com/listing/1735786221</t>
        </is>
      </c>
    </row>
    <row r="1612">
      <c r="A1612" s="9" t="inlineStr">
        <is>
          <t>protection</t>
        </is>
      </c>
      <c r="B1612" s="9" t="inlineStr">
        <is>
          <t>10K Gold Pharaoh Pendant Necklace / CZ &amp; Ruby, Egyptian King</t>
        </is>
      </c>
      <c r="C1612" s="9" t="n">
        <v>1735786221</v>
      </c>
      <c r="D1612" s="9" t="inlineStr">
        <is>
          <t>PEGY2-35-22</t>
        </is>
      </c>
      <c r="E1612" s="9" t="inlineStr">
        <is>
          <t>description</t>
        </is>
      </c>
      <c r="F1612" s="10" t="n">
        <v>1844</v>
      </c>
      <c r="G1612" s="18" t="n">
        <v>10.36</v>
      </c>
      <c r="H1612" s="10">
        <f>IF(G1612="","",G1612*Ayarlar!$B$3+Ayarlar!$B$4+Ayarlar!$B$5)</f>
        <v/>
      </c>
      <c r="I1612" s="10">
        <f>IF(G1612="","",ROUNDUP(((G1612*Ayarlar!$B$3+Ayarlar!$B$4+Ayarlar!$B$5)+Ayarlar!$B$8)/((1-Ayarlar!$B$6)*(1-Ayarlar!$B$7)),0))</f>
        <v/>
      </c>
      <c r="J1612" s="10">
        <f>IF(G1612="","",ROUNDUP(((G1612*Ayarlar!$B$3+Ayarlar!$B$4+Ayarlar!$B$5)+Ayarlar!$B$8)/((1-Ayarlar!$B$6)*(1-Ayarlar!$B$7-Ayarlar!$B$9)),0))</f>
        <v/>
      </c>
      <c r="K1612" s="12">
        <f>IF(OR(G1612="",F1612=""),"",(F1612*(1-Ayarlar!$B$6)-(F1612*(1-Ayarlar!$B$6)*Ayarlar!$B$7+Ayarlar!$B$8)-(G1612*Ayarlar!$B$3+Ayarlar!$B$4+Ayarlar!$B$5))/(F1612*(1-Ayarlar!$B$6)))</f>
        <v/>
      </c>
      <c r="L1612" s="9">
        <f>IF(G1612="","GRAM EKSİK",IF(F1612&gt;30000,"FİYAT ŞÜPHELİ",IF(K1612&lt;0,"ZARARDA",IF(F1612&lt;I1612,"RİSKLİ","ok"))))</f>
        <v/>
      </c>
      <c r="M1612" s="13" t="inlineStr">
        <is>
          <t>https://www.etsy.com/listing/1735786221</t>
        </is>
      </c>
    </row>
    <row r="1613">
      <c r="A1613" s="3" t="inlineStr">
        <is>
          <t>protection</t>
        </is>
      </c>
      <c r="B1613" s="3" t="inlineStr">
        <is>
          <t>10K Gold Pharaoh Pendant Necklace / CZ &amp; Ruby, Egyptian King</t>
        </is>
      </c>
      <c r="C1613" s="3" t="n">
        <v>1735786221</v>
      </c>
      <c r="D1613" s="3" t="inlineStr">
        <is>
          <t>PEGY2-35-24</t>
        </is>
      </c>
      <c r="E1613" s="3" t="inlineStr">
        <is>
          <t>description</t>
        </is>
      </c>
      <c r="F1613" s="14" t="n">
        <v>1935</v>
      </c>
      <c r="G1613" s="17" t="n">
        <v>10.87</v>
      </c>
      <c r="H1613" s="14">
        <f>IF(G1613="","",G1613*Ayarlar!$B$3+Ayarlar!$B$4+Ayarlar!$B$5)</f>
        <v/>
      </c>
      <c r="I1613" s="14">
        <f>IF(G1613="","",ROUNDUP(((G1613*Ayarlar!$B$3+Ayarlar!$B$4+Ayarlar!$B$5)+Ayarlar!$B$8)/((1-Ayarlar!$B$6)*(1-Ayarlar!$B$7)),0))</f>
        <v/>
      </c>
      <c r="J1613" s="14">
        <f>IF(G1613="","",ROUNDUP(((G1613*Ayarlar!$B$3+Ayarlar!$B$4+Ayarlar!$B$5)+Ayarlar!$B$8)/((1-Ayarlar!$B$6)*(1-Ayarlar!$B$7-Ayarlar!$B$9)),0))</f>
        <v/>
      </c>
      <c r="K1613" s="15">
        <f>IF(OR(G1613="",F1613=""),"",(F1613*(1-Ayarlar!$B$6)-(F1613*(1-Ayarlar!$B$6)*Ayarlar!$B$7+Ayarlar!$B$8)-(G1613*Ayarlar!$B$3+Ayarlar!$B$4+Ayarlar!$B$5))/(F1613*(1-Ayarlar!$B$6)))</f>
        <v/>
      </c>
      <c r="L1613" s="3">
        <f>IF(G1613="","GRAM EKSİK",IF(F1613&gt;30000,"FİYAT ŞÜPHELİ",IF(K1613&lt;0,"ZARARDA",IF(F1613&lt;I1613,"RİSKLİ","ok"))))</f>
        <v/>
      </c>
      <c r="M1613" s="16" t="inlineStr">
        <is>
          <t>https://www.etsy.com/listing/1735786221</t>
        </is>
      </c>
    </row>
    <row r="1614">
      <c r="A1614" s="9" t="inlineStr">
        <is>
          <t>protection</t>
        </is>
      </c>
      <c r="B1614" s="9" t="inlineStr">
        <is>
          <t>10K Gold Pharaoh Pendant Necklace / CZ &amp; Ruby, Egyptian King</t>
        </is>
      </c>
      <c r="C1614" s="9" t="n">
        <v>1735786221</v>
      </c>
      <c r="D1614" s="9" t="inlineStr">
        <is>
          <t>PEGY2-4-16</t>
        </is>
      </c>
      <c r="E1614" s="9" t="inlineStr">
        <is>
          <t>description</t>
        </is>
      </c>
      <c r="F1614" s="10" t="n">
        <v>1795</v>
      </c>
      <c r="G1614" s="18" t="n">
        <v>10.08</v>
      </c>
      <c r="H1614" s="10">
        <f>IF(G1614="","",G1614*Ayarlar!$B$3+Ayarlar!$B$4+Ayarlar!$B$5)</f>
        <v/>
      </c>
      <c r="I1614" s="10">
        <f>IF(G1614="","",ROUNDUP(((G1614*Ayarlar!$B$3+Ayarlar!$B$4+Ayarlar!$B$5)+Ayarlar!$B$8)/((1-Ayarlar!$B$6)*(1-Ayarlar!$B$7)),0))</f>
        <v/>
      </c>
      <c r="J1614" s="10">
        <f>IF(G1614="","",ROUNDUP(((G1614*Ayarlar!$B$3+Ayarlar!$B$4+Ayarlar!$B$5)+Ayarlar!$B$8)/((1-Ayarlar!$B$6)*(1-Ayarlar!$B$7-Ayarlar!$B$9)),0))</f>
        <v/>
      </c>
      <c r="K1614" s="12">
        <f>IF(OR(G1614="",F1614=""),"",(F1614*(1-Ayarlar!$B$6)-(F1614*(1-Ayarlar!$B$6)*Ayarlar!$B$7+Ayarlar!$B$8)-(G1614*Ayarlar!$B$3+Ayarlar!$B$4+Ayarlar!$B$5))/(F1614*(1-Ayarlar!$B$6)))</f>
        <v/>
      </c>
      <c r="L1614" s="9">
        <f>IF(G1614="","GRAM EKSİK",IF(F1614&gt;30000,"FİYAT ŞÜPHELİ",IF(K1614&lt;0,"ZARARDA",IF(F1614&lt;I1614,"RİSKLİ","ok"))))</f>
        <v/>
      </c>
      <c r="M1614" s="13" t="inlineStr">
        <is>
          <t>https://www.etsy.com/listing/1735786221</t>
        </is>
      </c>
    </row>
    <row r="1615">
      <c r="A1615" s="3" t="inlineStr">
        <is>
          <t>protection</t>
        </is>
      </c>
      <c r="B1615" s="3" t="inlineStr">
        <is>
          <t>10K Gold Pharaoh Pendant Necklace / CZ &amp; Ruby, Egyptian King</t>
        </is>
      </c>
      <c r="C1615" s="3" t="n">
        <v>1735786221</v>
      </c>
      <c r="D1615" s="3" t="inlineStr">
        <is>
          <t>PEGY2-4-18</t>
        </is>
      </c>
      <c r="E1615" s="3" t="inlineStr">
        <is>
          <t>description</t>
        </is>
      </c>
      <c r="F1615" s="14" t="n">
        <v>1913</v>
      </c>
      <c r="G1615" s="17" t="n">
        <v>10.75</v>
      </c>
      <c r="H1615" s="14">
        <f>IF(G1615="","",G1615*Ayarlar!$B$3+Ayarlar!$B$4+Ayarlar!$B$5)</f>
        <v/>
      </c>
      <c r="I1615" s="14">
        <f>IF(G1615="","",ROUNDUP(((G1615*Ayarlar!$B$3+Ayarlar!$B$4+Ayarlar!$B$5)+Ayarlar!$B$8)/((1-Ayarlar!$B$6)*(1-Ayarlar!$B$7)),0))</f>
        <v/>
      </c>
      <c r="J1615" s="14">
        <f>IF(G1615="","",ROUNDUP(((G1615*Ayarlar!$B$3+Ayarlar!$B$4+Ayarlar!$B$5)+Ayarlar!$B$8)/((1-Ayarlar!$B$6)*(1-Ayarlar!$B$7-Ayarlar!$B$9)),0))</f>
        <v/>
      </c>
      <c r="K1615" s="15">
        <f>IF(OR(G1615="",F1615=""),"",(F1615*(1-Ayarlar!$B$6)-(F1615*(1-Ayarlar!$B$6)*Ayarlar!$B$7+Ayarlar!$B$8)-(G1615*Ayarlar!$B$3+Ayarlar!$B$4+Ayarlar!$B$5))/(F1615*(1-Ayarlar!$B$6)))</f>
        <v/>
      </c>
      <c r="L1615" s="3">
        <f>IF(G1615="","GRAM EKSİK",IF(F1615&gt;30000,"FİYAT ŞÜPHELİ",IF(K1615&lt;0,"ZARARDA",IF(F1615&lt;I1615,"RİSKLİ","ok"))))</f>
        <v/>
      </c>
      <c r="M1615" s="16" t="inlineStr">
        <is>
          <t>https://www.etsy.com/listing/1735786221</t>
        </is>
      </c>
    </row>
    <row r="1616">
      <c r="A1616" s="9" t="inlineStr">
        <is>
          <t>protection</t>
        </is>
      </c>
      <c r="B1616" s="9" t="inlineStr">
        <is>
          <t>10K Gold Pharaoh Pendant Necklace / CZ &amp; Ruby, Egyptian King</t>
        </is>
      </c>
      <c r="C1616" s="9" t="n">
        <v>1735786221</v>
      </c>
      <c r="D1616" s="9" t="inlineStr">
        <is>
          <t>PEGY2-4-20</t>
        </is>
      </c>
      <c r="E1616" s="9" t="inlineStr">
        <is>
          <t>description</t>
        </is>
      </c>
      <c r="F1616" s="10" t="n">
        <v>2032</v>
      </c>
      <c r="G1616" s="18" t="n">
        <v>11.42</v>
      </c>
      <c r="H1616" s="10">
        <f>IF(G1616="","",G1616*Ayarlar!$B$3+Ayarlar!$B$4+Ayarlar!$B$5)</f>
        <v/>
      </c>
      <c r="I1616" s="10">
        <f>IF(G1616="","",ROUNDUP(((G1616*Ayarlar!$B$3+Ayarlar!$B$4+Ayarlar!$B$5)+Ayarlar!$B$8)/((1-Ayarlar!$B$6)*(1-Ayarlar!$B$7)),0))</f>
        <v/>
      </c>
      <c r="J1616" s="10">
        <f>IF(G1616="","",ROUNDUP(((G1616*Ayarlar!$B$3+Ayarlar!$B$4+Ayarlar!$B$5)+Ayarlar!$B$8)/((1-Ayarlar!$B$6)*(1-Ayarlar!$B$7-Ayarlar!$B$9)),0))</f>
        <v/>
      </c>
      <c r="K1616" s="12">
        <f>IF(OR(G1616="",F1616=""),"",(F1616*(1-Ayarlar!$B$6)-(F1616*(1-Ayarlar!$B$6)*Ayarlar!$B$7+Ayarlar!$B$8)-(G1616*Ayarlar!$B$3+Ayarlar!$B$4+Ayarlar!$B$5))/(F1616*(1-Ayarlar!$B$6)))</f>
        <v/>
      </c>
      <c r="L1616" s="9">
        <f>IF(G1616="","GRAM EKSİK",IF(F1616&gt;30000,"FİYAT ŞÜPHELİ",IF(K1616&lt;0,"ZARARDA",IF(F1616&lt;I1616,"RİSKLİ","ok"))))</f>
        <v/>
      </c>
      <c r="M1616" s="13" t="inlineStr">
        <is>
          <t>https://www.etsy.com/listing/1735786221</t>
        </is>
      </c>
    </row>
    <row r="1617">
      <c r="A1617" s="3" t="inlineStr">
        <is>
          <t>protection</t>
        </is>
      </c>
      <c r="B1617" s="3" t="inlineStr">
        <is>
          <t>10K Gold Pharaoh Pendant Necklace / CZ &amp; Ruby, Egyptian King</t>
        </is>
      </c>
      <c r="C1617" s="3" t="n">
        <v>1735786221</v>
      </c>
      <c r="D1617" s="3" t="inlineStr">
        <is>
          <t>PEGY2-4-22</t>
        </is>
      </c>
      <c r="E1617" s="3" t="inlineStr">
        <is>
          <t>description</t>
        </is>
      </c>
      <c r="F1617" s="14" t="n">
        <v>2150</v>
      </c>
      <c r="G1617" s="17" t="n">
        <v>12.09</v>
      </c>
      <c r="H1617" s="14">
        <f>IF(G1617="","",G1617*Ayarlar!$B$3+Ayarlar!$B$4+Ayarlar!$B$5)</f>
        <v/>
      </c>
      <c r="I1617" s="14">
        <f>IF(G1617="","",ROUNDUP(((G1617*Ayarlar!$B$3+Ayarlar!$B$4+Ayarlar!$B$5)+Ayarlar!$B$8)/((1-Ayarlar!$B$6)*(1-Ayarlar!$B$7)),0))</f>
        <v/>
      </c>
      <c r="J1617" s="14">
        <f>IF(G1617="","",ROUNDUP(((G1617*Ayarlar!$B$3+Ayarlar!$B$4+Ayarlar!$B$5)+Ayarlar!$B$8)/((1-Ayarlar!$B$6)*(1-Ayarlar!$B$7-Ayarlar!$B$9)),0))</f>
        <v/>
      </c>
      <c r="K1617" s="15">
        <f>IF(OR(G1617="",F1617=""),"",(F1617*(1-Ayarlar!$B$6)-(F1617*(1-Ayarlar!$B$6)*Ayarlar!$B$7+Ayarlar!$B$8)-(G1617*Ayarlar!$B$3+Ayarlar!$B$4+Ayarlar!$B$5))/(F1617*(1-Ayarlar!$B$6)))</f>
        <v/>
      </c>
      <c r="L1617" s="3">
        <f>IF(G1617="","GRAM EKSİK",IF(F1617&gt;30000,"FİYAT ŞÜPHELİ",IF(K1617&lt;0,"ZARARDA",IF(F1617&lt;I1617,"RİSKLİ","ok"))))</f>
        <v/>
      </c>
      <c r="M1617" s="16" t="inlineStr">
        <is>
          <t>https://www.etsy.com/listing/1735786221</t>
        </is>
      </c>
    </row>
    <row r="1618">
      <c r="A1618" s="9" t="inlineStr">
        <is>
          <t>protection</t>
        </is>
      </c>
      <c r="B1618" s="9" t="inlineStr">
        <is>
          <t>10K Gold Pharaoh Pendant Necklace / CZ &amp; Ruby, Egyptian King</t>
        </is>
      </c>
      <c r="C1618" s="9" t="n">
        <v>1735786221</v>
      </c>
      <c r="D1618" s="9" t="inlineStr">
        <is>
          <t>PEGY2-4-24</t>
        </is>
      </c>
      <c r="E1618" s="9" t="inlineStr">
        <is>
          <t>description</t>
        </is>
      </c>
      <c r="F1618" s="10" t="n">
        <v>2267</v>
      </c>
      <c r="G1618" s="18" t="n">
        <v>12.75</v>
      </c>
      <c r="H1618" s="10">
        <f>IF(G1618="","",G1618*Ayarlar!$B$3+Ayarlar!$B$4+Ayarlar!$B$5)</f>
        <v/>
      </c>
      <c r="I1618" s="10">
        <f>IF(G1618="","",ROUNDUP(((G1618*Ayarlar!$B$3+Ayarlar!$B$4+Ayarlar!$B$5)+Ayarlar!$B$8)/((1-Ayarlar!$B$6)*(1-Ayarlar!$B$7)),0))</f>
        <v/>
      </c>
      <c r="J1618" s="10">
        <f>IF(G1618="","",ROUNDUP(((G1618*Ayarlar!$B$3+Ayarlar!$B$4+Ayarlar!$B$5)+Ayarlar!$B$8)/((1-Ayarlar!$B$6)*(1-Ayarlar!$B$7-Ayarlar!$B$9)),0))</f>
        <v/>
      </c>
      <c r="K1618" s="12">
        <f>IF(OR(G1618="",F1618=""),"",(F1618*(1-Ayarlar!$B$6)-(F1618*(1-Ayarlar!$B$6)*Ayarlar!$B$7+Ayarlar!$B$8)-(G1618*Ayarlar!$B$3+Ayarlar!$B$4+Ayarlar!$B$5))/(F1618*(1-Ayarlar!$B$6)))</f>
        <v/>
      </c>
      <c r="L1618" s="9">
        <f>IF(G1618="","GRAM EKSİK",IF(F1618&gt;30000,"FİYAT ŞÜPHELİ",IF(K1618&lt;0,"ZARARDA",IF(F1618&lt;I1618,"RİSKLİ","ok"))))</f>
        <v/>
      </c>
      <c r="M1618" s="13" t="inlineStr">
        <is>
          <t>https://www.etsy.com/listing/1735786221</t>
        </is>
      </c>
    </row>
    <row r="1619">
      <c r="A1619" s="3" t="inlineStr">
        <is>
          <t>protection</t>
        </is>
      </c>
      <c r="B1619" s="3" t="inlineStr">
        <is>
          <t>10K Gold Pharaoh Pendant Necklace / CZ &amp; Ruby, Egyptian King</t>
        </is>
      </c>
      <c r="C1619" s="3" t="n">
        <v>1735786221</v>
      </c>
      <c r="D1619" s="3" t="inlineStr">
        <is>
          <t>PEGY3</t>
        </is>
      </c>
      <c r="E1619" s="3" t="inlineStr">
        <is>
          <t>description</t>
        </is>
      </c>
      <c r="F1619" s="14" t="n">
        <v>1409</v>
      </c>
      <c r="G1619" s="17" t="n">
        <v>7.9</v>
      </c>
      <c r="H1619" s="14">
        <f>IF(G1619="","",G1619*Ayarlar!$B$3+Ayarlar!$B$4+Ayarlar!$B$5)</f>
        <v/>
      </c>
      <c r="I1619" s="14">
        <f>IF(G1619="","",ROUNDUP(((G1619*Ayarlar!$B$3+Ayarlar!$B$4+Ayarlar!$B$5)+Ayarlar!$B$8)/((1-Ayarlar!$B$6)*(1-Ayarlar!$B$7)),0))</f>
        <v/>
      </c>
      <c r="J1619" s="14">
        <f>IF(G1619="","",ROUNDUP(((G1619*Ayarlar!$B$3+Ayarlar!$B$4+Ayarlar!$B$5)+Ayarlar!$B$8)/((1-Ayarlar!$B$6)*(1-Ayarlar!$B$7-Ayarlar!$B$9)),0))</f>
        <v/>
      </c>
      <c r="K1619" s="15">
        <f>IF(OR(G1619="",F1619=""),"",(F1619*(1-Ayarlar!$B$6)-(F1619*(1-Ayarlar!$B$6)*Ayarlar!$B$7+Ayarlar!$B$8)-(G1619*Ayarlar!$B$3+Ayarlar!$B$4+Ayarlar!$B$5))/(F1619*(1-Ayarlar!$B$6)))</f>
        <v/>
      </c>
      <c r="L1619" s="3">
        <f>IF(G1619="","GRAM EKSİK",IF(F1619&gt;30000,"FİYAT ŞÜPHELİ",IF(K1619&lt;0,"ZARARDA",IF(F1619&lt;I1619,"RİSKLİ","ok"))))</f>
        <v/>
      </c>
      <c r="M1619" s="16" t="inlineStr">
        <is>
          <t>https://www.etsy.com/listing/1735786221</t>
        </is>
      </c>
    </row>
    <row r="1620">
      <c r="A1620" s="9" t="inlineStr">
        <is>
          <t>protection</t>
        </is>
      </c>
      <c r="B1620" s="9" t="inlineStr">
        <is>
          <t>10K Gold Pharaoh Pendant Necklace / CZ &amp; Ruby, Egyptian King</t>
        </is>
      </c>
      <c r="C1620" s="9" t="n">
        <v>1735786221</v>
      </c>
      <c r="D1620" s="9" t="inlineStr">
        <is>
          <t>PEGY3-25-16</t>
        </is>
      </c>
      <c r="E1620" s="9" t="inlineStr">
        <is>
          <t>description</t>
        </is>
      </c>
      <c r="F1620" s="10" t="n">
        <v>1798</v>
      </c>
      <c r="G1620" s="18" t="n">
        <v>10.1</v>
      </c>
      <c r="H1620" s="10">
        <f>IF(G1620="","",G1620*Ayarlar!$B$3+Ayarlar!$B$4+Ayarlar!$B$5)</f>
        <v/>
      </c>
      <c r="I1620" s="10">
        <f>IF(G1620="","",ROUNDUP(((G1620*Ayarlar!$B$3+Ayarlar!$B$4+Ayarlar!$B$5)+Ayarlar!$B$8)/((1-Ayarlar!$B$6)*(1-Ayarlar!$B$7)),0))</f>
        <v/>
      </c>
      <c r="J1620" s="10">
        <f>IF(G1620="","",ROUNDUP(((G1620*Ayarlar!$B$3+Ayarlar!$B$4+Ayarlar!$B$5)+Ayarlar!$B$8)/((1-Ayarlar!$B$6)*(1-Ayarlar!$B$7-Ayarlar!$B$9)),0))</f>
        <v/>
      </c>
      <c r="K1620" s="12">
        <f>IF(OR(G1620="",F1620=""),"",(F1620*(1-Ayarlar!$B$6)-(F1620*(1-Ayarlar!$B$6)*Ayarlar!$B$7+Ayarlar!$B$8)-(G1620*Ayarlar!$B$3+Ayarlar!$B$4+Ayarlar!$B$5))/(F1620*(1-Ayarlar!$B$6)))</f>
        <v/>
      </c>
      <c r="L1620" s="9">
        <f>IF(G1620="","GRAM EKSİK",IF(F1620&gt;30000,"FİYAT ŞÜPHELİ",IF(K1620&lt;0,"ZARARDA",IF(F1620&lt;I1620,"RİSKLİ","ok"))))</f>
        <v/>
      </c>
      <c r="M1620" s="13" t="inlineStr">
        <is>
          <t>https://www.etsy.com/listing/1735786221</t>
        </is>
      </c>
    </row>
    <row r="1621">
      <c r="A1621" s="3" t="inlineStr">
        <is>
          <t>protection</t>
        </is>
      </c>
      <c r="B1621" s="3" t="inlineStr">
        <is>
          <t>10K Gold Pharaoh Pendant Necklace / CZ &amp; Ruby, Egyptian King</t>
        </is>
      </c>
      <c r="C1621" s="3" t="n">
        <v>1735786221</v>
      </c>
      <c r="D1621" s="3" t="inlineStr">
        <is>
          <t>PEGY3-25-18</t>
        </is>
      </c>
      <c r="E1621" s="3" t="inlineStr">
        <is>
          <t>description</t>
        </is>
      </c>
      <c r="F1621" s="14" t="n">
        <v>1848</v>
      </c>
      <c r="G1621" s="17" t="n">
        <v>10.38</v>
      </c>
      <c r="H1621" s="14">
        <f>IF(G1621="","",G1621*Ayarlar!$B$3+Ayarlar!$B$4+Ayarlar!$B$5)</f>
        <v/>
      </c>
      <c r="I1621" s="14">
        <f>IF(G1621="","",ROUNDUP(((G1621*Ayarlar!$B$3+Ayarlar!$B$4+Ayarlar!$B$5)+Ayarlar!$B$8)/((1-Ayarlar!$B$6)*(1-Ayarlar!$B$7)),0))</f>
        <v/>
      </c>
      <c r="J1621" s="14">
        <f>IF(G1621="","",ROUNDUP(((G1621*Ayarlar!$B$3+Ayarlar!$B$4+Ayarlar!$B$5)+Ayarlar!$B$8)/((1-Ayarlar!$B$6)*(1-Ayarlar!$B$7-Ayarlar!$B$9)),0))</f>
        <v/>
      </c>
      <c r="K1621" s="15">
        <f>IF(OR(G1621="",F1621=""),"",(F1621*(1-Ayarlar!$B$6)-(F1621*(1-Ayarlar!$B$6)*Ayarlar!$B$7+Ayarlar!$B$8)-(G1621*Ayarlar!$B$3+Ayarlar!$B$4+Ayarlar!$B$5))/(F1621*(1-Ayarlar!$B$6)))</f>
        <v/>
      </c>
      <c r="L1621" s="3">
        <f>IF(G1621="","GRAM EKSİK",IF(F1621&gt;30000,"FİYAT ŞÜPHELİ",IF(K1621&lt;0,"ZARARDA",IF(F1621&lt;I1621,"RİSKLİ","ok"))))</f>
        <v/>
      </c>
      <c r="M1621" s="16" t="inlineStr">
        <is>
          <t>https://www.etsy.com/listing/1735786221</t>
        </is>
      </c>
    </row>
    <row r="1622">
      <c r="A1622" s="9" t="inlineStr">
        <is>
          <t>protection</t>
        </is>
      </c>
      <c r="B1622" s="9" t="inlineStr">
        <is>
          <t>10K Gold Pharaoh Pendant Necklace / CZ &amp; Ruby, Egyptian King</t>
        </is>
      </c>
      <c r="C1622" s="9" t="n">
        <v>1735786221</v>
      </c>
      <c r="D1622" s="9" t="inlineStr">
        <is>
          <t>PEGY3-25-20</t>
        </is>
      </c>
      <c r="E1622" s="9" t="inlineStr">
        <is>
          <t>description</t>
        </is>
      </c>
      <c r="F1622" s="10" t="n">
        <v>1896</v>
      </c>
      <c r="G1622" s="18" t="n">
        <v>10.65</v>
      </c>
      <c r="H1622" s="10">
        <f>IF(G1622="","",G1622*Ayarlar!$B$3+Ayarlar!$B$4+Ayarlar!$B$5)</f>
        <v/>
      </c>
      <c r="I1622" s="10">
        <f>IF(G1622="","",ROUNDUP(((G1622*Ayarlar!$B$3+Ayarlar!$B$4+Ayarlar!$B$5)+Ayarlar!$B$8)/((1-Ayarlar!$B$6)*(1-Ayarlar!$B$7)),0))</f>
        <v/>
      </c>
      <c r="J1622" s="10">
        <f>IF(G1622="","",ROUNDUP(((G1622*Ayarlar!$B$3+Ayarlar!$B$4+Ayarlar!$B$5)+Ayarlar!$B$8)/((1-Ayarlar!$B$6)*(1-Ayarlar!$B$7-Ayarlar!$B$9)),0))</f>
        <v/>
      </c>
      <c r="K1622" s="12">
        <f>IF(OR(G1622="",F1622=""),"",(F1622*(1-Ayarlar!$B$6)-(F1622*(1-Ayarlar!$B$6)*Ayarlar!$B$7+Ayarlar!$B$8)-(G1622*Ayarlar!$B$3+Ayarlar!$B$4+Ayarlar!$B$5))/(F1622*(1-Ayarlar!$B$6)))</f>
        <v/>
      </c>
      <c r="L1622" s="9">
        <f>IF(G1622="","GRAM EKSİK",IF(F1622&gt;30000,"FİYAT ŞÜPHELİ",IF(K1622&lt;0,"ZARARDA",IF(F1622&lt;I1622,"RİSKLİ","ok"))))</f>
        <v/>
      </c>
      <c r="M1622" s="13" t="inlineStr">
        <is>
          <t>https://www.etsy.com/listing/1735786221</t>
        </is>
      </c>
    </row>
    <row r="1623">
      <c r="A1623" s="3" t="inlineStr">
        <is>
          <t>protection</t>
        </is>
      </c>
      <c r="B1623" s="3" t="inlineStr">
        <is>
          <t>10K Gold Pharaoh Pendant Necklace / CZ &amp; Ruby, Egyptian King</t>
        </is>
      </c>
      <c r="C1623" s="3" t="n">
        <v>1735786221</v>
      </c>
      <c r="D1623" s="3" t="inlineStr">
        <is>
          <t>PEGY3-25-22</t>
        </is>
      </c>
      <c r="E1623" s="3" t="inlineStr">
        <is>
          <t>description</t>
        </is>
      </c>
      <c r="F1623" s="14" t="n">
        <v>1945</v>
      </c>
      <c r="G1623" s="17" t="n">
        <v>10.93</v>
      </c>
      <c r="H1623" s="14">
        <f>IF(G1623="","",G1623*Ayarlar!$B$3+Ayarlar!$B$4+Ayarlar!$B$5)</f>
        <v/>
      </c>
      <c r="I1623" s="14">
        <f>IF(G1623="","",ROUNDUP(((G1623*Ayarlar!$B$3+Ayarlar!$B$4+Ayarlar!$B$5)+Ayarlar!$B$8)/((1-Ayarlar!$B$6)*(1-Ayarlar!$B$7)),0))</f>
        <v/>
      </c>
      <c r="J1623" s="14">
        <f>IF(G1623="","",ROUNDUP(((G1623*Ayarlar!$B$3+Ayarlar!$B$4+Ayarlar!$B$5)+Ayarlar!$B$8)/((1-Ayarlar!$B$6)*(1-Ayarlar!$B$7-Ayarlar!$B$9)),0))</f>
        <v/>
      </c>
      <c r="K1623" s="15">
        <f>IF(OR(G1623="",F1623=""),"",(F1623*(1-Ayarlar!$B$6)-(F1623*(1-Ayarlar!$B$6)*Ayarlar!$B$7+Ayarlar!$B$8)-(G1623*Ayarlar!$B$3+Ayarlar!$B$4+Ayarlar!$B$5))/(F1623*(1-Ayarlar!$B$6)))</f>
        <v/>
      </c>
      <c r="L1623" s="3">
        <f>IF(G1623="","GRAM EKSİK",IF(F1623&gt;30000,"FİYAT ŞÜPHELİ",IF(K1623&lt;0,"ZARARDA",IF(F1623&lt;I1623,"RİSKLİ","ok"))))</f>
        <v/>
      </c>
      <c r="M1623" s="16" t="inlineStr">
        <is>
          <t>https://www.etsy.com/listing/1735786221</t>
        </is>
      </c>
    </row>
    <row r="1624">
      <c r="A1624" s="9" t="inlineStr">
        <is>
          <t>protection</t>
        </is>
      </c>
      <c r="B1624" s="9" t="inlineStr">
        <is>
          <t>10K Gold Pharaoh Pendant Necklace / CZ &amp; Ruby, Egyptian King</t>
        </is>
      </c>
      <c r="C1624" s="9" t="n">
        <v>1735786221</v>
      </c>
      <c r="D1624" s="9" t="inlineStr">
        <is>
          <t>PEGY3-25-24</t>
        </is>
      </c>
      <c r="E1624" s="9" t="inlineStr">
        <is>
          <t>description</t>
        </is>
      </c>
      <c r="F1624" s="10" t="n">
        <v>1993</v>
      </c>
      <c r="G1624" s="18" t="n">
        <v>11.2</v>
      </c>
      <c r="H1624" s="10">
        <f>IF(G1624="","",G1624*Ayarlar!$B$3+Ayarlar!$B$4+Ayarlar!$B$5)</f>
        <v/>
      </c>
      <c r="I1624" s="10">
        <f>IF(G1624="","",ROUNDUP(((G1624*Ayarlar!$B$3+Ayarlar!$B$4+Ayarlar!$B$5)+Ayarlar!$B$8)/((1-Ayarlar!$B$6)*(1-Ayarlar!$B$7)),0))</f>
        <v/>
      </c>
      <c r="J1624" s="10">
        <f>IF(G1624="","",ROUNDUP(((G1624*Ayarlar!$B$3+Ayarlar!$B$4+Ayarlar!$B$5)+Ayarlar!$B$8)/((1-Ayarlar!$B$6)*(1-Ayarlar!$B$7-Ayarlar!$B$9)),0))</f>
        <v/>
      </c>
      <c r="K1624" s="12">
        <f>IF(OR(G1624="",F1624=""),"",(F1624*(1-Ayarlar!$B$6)-(F1624*(1-Ayarlar!$B$6)*Ayarlar!$B$7+Ayarlar!$B$8)-(G1624*Ayarlar!$B$3+Ayarlar!$B$4+Ayarlar!$B$5))/(F1624*(1-Ayarlar!$B$6)))</f>
        <v/>
      </c>
      <c r="L1624" s="9">
        <f>IF(G1624="","GRAM EKSİK",IF(F1624&gt;30000,"FİYAT ŞÜPHELİ",IF(K1624&lt;0,"ZARARDA",IF(F1624&lt;I1624,"RİSKLİ","ok"))))</f>
        <v/>
      </c>
      <c r="M1624" s="13" t="inlineStr">
        <is>
          <t>https://www.etsy.com/listing/1735786221</t>
        </is>
      </c>
    </row>
    <row r="1625">
      <c r="A1625" s="3" t="inlineStr">
        <is>
          <t>protection</t>
        </is>
      </c>
      <c r="B1625" s="3" t="inlineStr">
        <is>
          <t>10K Gold Pharaoh Pendant Necklace / CZ &amp; Ruby, Egyptian King</t>
        </is>
      </c>
      <c r="C1625" s="3" t="n">
        <v>1735786221</v>
      </c>
      <c r="D1625" s="3" t="inlineStr">
        <is>
          <t>PEGY3-3-16</t>
        </is>
      </c>
      <c r="E1625" s="3" t="inlineStr">
        <is>
          <t>description</t>
        </is>
      </c>
      <c r="F1625" s="14" t="n">
        <v>1919</v>
      </c>
      <c r="G1625" s="17" t="n">
        <v>10.78</v>
      </c>
      <c r="H1625" s="14">
        <f>IF(G1625="","",G1625*Ayarlar!$B$3+Ayarlar!$B$4+Ayarlar!$B$5)</f>
        <v/>
      </c>
      <c r="I1625" s="14">
        <f>IF(G1625="","",ROUNDUP(((G1625*Ayarlar!$B$3+Ayarlar!$B$4+Ayarlar!$B$5)+Ayarlar!$B$8)/((1-Ayarlar!$B$6)*(1-Ayarlar!$B$7)),0))</f>
        <v/>
      </c>
      <c r="J1625" s="14">
        <f>IF(G1625="","",ROUNDUP(((G1625*Ayarlar!$B$3+Ayarlar!$B$4+Ayarlar!$B$5)+Ayarlar!$B$8)/((1-Ayarlar!$B$6)*(1-Ayarlar!$B$7-Ayarlar!$B$9)),0))</f>
        <v/>
      </c>
      <c r="K1625" s="15">
        <f>IF(OR(G1625="",F1625=""),"",(F1625*(1-Ayarlar!$B$6)-(F1625*(1-Ayarlar!$B$6)*Ayarlar!$B$7+Ayarlar!$B$8)-(G1625*Ayarlar!$B$3+Ayarlar!$B$4+Ayarlar!$B$5))/(F1625*(1-Ayarlar!$B$6)))</f>
        <v/>
      </c>
      <c r="L1625" s="3">
        <f>IF(G1625="","GRAM EKSİK",IF(F1625&gt;30000,"FİYAT ŞÜPHELİ",IF(K1625&lt;0,"ZARARDA",IF(F1625&lt;I1625,"RİSKLİ","ok"))))</f>
        <v/>
      </c>
      <c r="M1625" s="16" t="inlineStr">
        <is>
          <t>https://www.etsy.com/listing/1735786221</t>
        </is>
      </c>
    </row>
    <row r="1626">
      <c r="A1626" s="9" t="inlineStr">
        <is>
          <t>protection</t>
        </is>
      </c>
      <c r="B1626" s="9" t="inlineStr">
        <is>
          <t>10K Gold Pharaoh Pendant Necklace / CZ &amp; Ruby, Egyptian King</t>
        </is>
      </c>
      <c r="C1626" s="9" t="n">
        <v>1735786221</v>
      </c>
      <c r="D1626" s="9" t="inlineStr">
        <is>
          <t>PEGY3-3-18</t>
        </is>
      </c>
      <c r="E1626" s="9" t="inlineStr">
        <is>
          <t>description</t>
        </is>
      </c>
      <c r="F1626" s="10" t="n">
        <v>1982</v>
      </c>
      <c r="G1626" s="18" t="n">
        <v>11.14</v>
      </c>
      <c r="H1626" s="10">
        <f>IF(G1626="","",G1626*Ayarlar!$B$3+Ayarlar!$B$4+Ayarlar!$B$5)</f>
        <v/>
      </c>
      <c r="I1626" s="10">
        <f>IF(G1626="","",ROUNDUP(((G1626*Ayarlar!$B$3+Ayarlar!$B$4+Ayarlar!$B$5)+Ayarlar!$B$8)/((1-Ayarlar!$B$6)*(1-Ayarlar!$B$7)),0))</f>
        <v/>
      </c>
      <c r="J1626" s="10">
        <f>IF(G1626="","",ROUNDUP(((G1626*Ayarlar!$B$3+Ayarlar!$B$4+Ayarlar!$B$5)+Ayarlar!$B$8)/((1-Ayarlar!$B$6)*(1-Ayarlar!$B$7-Ayarlar!$B$9)),0))</f>
        <v/>
      </c>
      <c r="K1626" s="12">
        <f>IF(OR(G1626="",F1626=""),"",(F1626*(1-Ayarlar!$B$6)-(F1626*(1-Ayarlar!$B$6)*Ayarlar!$B$7+Ayarlar!$B$8)-(G1626*Ayarlar!$B$3+Ayarlar!$B$4+Ayarlar!$B$5))/(F1626*(1-Ayarlar!$B$6)))</f>
        <v/>
      </c>
      <c r="L1626" s="9">
        <f>IF(G1626="","GRAM EKSİK",IF(F1626&gt;30000,"FİYAT ŞÜPHELİ",IF(K1626&lt;0,"ZARARDA",IF(F1626&lt;I1626,"RİSKLİ","ok"))))</f>
        <v/>
      </c>
      <c r="M1626" s="13" t="inlineStr">
        <is>
          <t>https://www.etsy.com/listing/1735786221</t>
        </is>
      </c>
    </row>
    <row r="1627">
      <c r="A1627" s="3" t="inlineStr">
        <is>
          <t>protection</t>
        </is>
      </c>
      <c r="B1627" s="3" t="inlineStr">
        <is>
          <t>10K Gold Pharaoh Pendant Necklace / CZ &amp; Ruby, Egyptian King</t>
        </is>
      </c>
      <c r="C1627" s="3" t="n">
        <v>1735786221</v>
      </c>
      <c r="D1627" s="3" t="inlineStr">
        <is>
          <t>PEGY3-3-20</t>
        </is>
      </c>
      <c r="E1627" s="3" t="inlineStr">
        <is>
          <t>description</t>
        </is>
      </c>
      <c r="F1627" s="14" t="n">
        <v>2046</v>
      </c>
      <c r="G1627" s="17" t="n">
        <v>11.5</v>
      </c>
      <c r="H1627" s="14">
        <f>IF(G1627="","",G1627*Ayarlar!$B$3+Ayarlar!$B$4+Ayarlar!$B$5)</f>
        <v/>
      </c>
      <c r="I1627" s="14">
        <f>IF(G1627="","",ROUNDUP(((G1627*Ayarlar!$B$3+Ayarlar!$B$4+Ayarlar!$B$5)+Ayarlar!$B$8)/((1-Ayarlar!$B$6)*(1-Ayarlar!$B$7)),0))</f>
        <v/>
      </c>
      <c r="J1627" s="14">
        <f>IF(G1627="","",ROUNDUP(((G1627*Ayarlar!$B$3+Ayarlar!$B$4+Ayarlar!$B$5)+Ayarlar!$B$8)/((1-Ayarlar!$B$6)*(1-Ayarlar!$B$7-Ayarlar!$B$9)),0))</f>
        <v/>
      </c>
      <c r="K1627" s="15">
        <f>IF(OR(G1627="",F1627=""),"",(F1627*(1-Ayarlar!$B$6)-(F1627*(1-Ayarlar!$B$6)*Ayarlar!$B$7+Ayarlar!$B$8)-(G1627*Ayarlar!$B$3+Ayarlar!$B$4+Ayarlar!$B$5))/(F1627*(1-Ayarlar!$B$6)))</f>
        <v/>
      </c>
      <c r="L1627" s="3">
        <f>IF(G1627="","GRAM EKSİK",IF(F1627&gt;30000,"FİYAT ŞÜPHELİ",IF(K1627&lt;0,"ZARARDA",IF(F1627&lt;I1627,"RİSKLİ","ok"))))</f>
        <v/>
      </c>
      <c r="M1627" s="16" t="inlineStr">
        <is>
          <t>https://www.etsy.com/listing/1735786221</t>
        </is>
      </c>
    </row>
    <row r="1628">
      <c r="A1628" s="9" t="inlineStr">
        <is>
          <t>protection</t>
        </is>
      </c>
      <c r="B1628" s="9" t="inlineStr">
        <is>
          <t>10K Gold Pharaoh Pendant Necklace / CZ &amp; Ruby, Egyptian King</t>
        </is>
      </c>
      <c r="C1628" s="9" t="n">
        <v>1735786221</v>
      </c>
      <c r="D1628" s="9" t="inlineStr">
        <is>
          <t>PEGY3-3-22</t>
        </is>
      </c>
      <c r="E1628" s="9" t="inlineStr">
        <is>
          <t>description</t>
        </is>
      </c>
      <c r="F1628" s="10" t="n">
        <v>2110</v>
      </c>
      <c r="G1628" s="18" t="n">
        <v>11.86</v>
      </c>
      <c r="H1628" s="10">
        <f>IF(G1628="","",G1628*Ayarlar!$B$3+Ayarlar!$B$4+Ayarlar!$B$5)</f>
        <v/>
      </c>
      <c r="I1628" s="10">
        <f>IF(G1628="","",ROUNDUP(((G1628*Ayarlar!$B$3+Ayarlar!$B$4+Ayarlar!$B$5)+Ayarlar!$B$8)/((1-Ayarlar!$B$6)*(1-Ayarlar!$B$7)),0))</f>
        <v/>
      </c>
      <c r="J1628" s="10">
        <f>IF(G1628="","",ROUNDUP(((G1628*Ayarlar!$B$3+Ayarlar!$B$4+Ayarlar!$B$5)+Ayarlar!$B$8)/((1-Ayarlar!$B$6)*(1-Ayarlar!$B$7-Ayarlar!$B$9)),0))</f>
        <v/>
      </c>
      <c r="K1628" s="12">
        <f>IF(OR(G1628="",F1628=""),"",(F1628*(1-Ayarlar!$B$6)-(F1628*(1-Ayarlar!$B$6)*Ayarlar!$B$7+Ayarlar!$B$8)-(G1628*Ayarlar!$B$3+Ayarlar!$B$4+Ayarlar!$B$5))/(F1628*(1-Ayarlar!$B$6)))</f>
        <v/>
      </c>
      <c r="L1628" s="9">
        <f>IF(G1628="","GRAM EKSİK",IF(F1628&gt;30000,"FİYAT ŞÜPHELİ",IF(K1628&lt;0,"ZARARDA",IF(F1628&lt;I1628,"RİSKLİ","ok"))))</f>
        <v/>
      </c>
      <c r="M1628" s="13" t="inlineStr">
        <is>
          <t>https://www.etsy.com/listing/1735786221</t>
        </is>
      </c>
    </row>
    <row r="1629">
      <c r="A1629" s="3" t="inlineStr">
        <is>
          <t>protection</t>
        </is>
      </c>
      <c r="B1629" s="3" t="inlineStr">
        <is>
          <t>10K Gold Pharaoh Pendant Necklace / CZ &amp; Ruby, Egyptian King</t>
        </is>
      </c>
      <c r="C1629" s="3" t="n">
        <v>1735786221</v>
      </c>
      <c r="D1629" s="3" t="inlineStr">
        <is>
          <t>PEGY3-3-24</t>
        </is>
      </c>
      <c r="E1629" s="3" t="inlineStr">
        <is>
          <t>description</t>
        </is>
      </c>
      <c r="F1629" s="14" t="n">
        <v>2173</v>
      </c>
      <c r="G1629" s="17" t="n">
        <v>12.22</v>
      </c>
      <c r="H1629" s="14">
        <f>IF(G1629="","",G1629*Ayarlar!$B$3+Ayarlar!$B$4+Ayarlar!$B$5)</f>
        <v/>
      </c>
      <c r="I1629" s="14">
        <f>IF(G1629="","",ROUNDUP(((G1629*Ayarlar!$B$3+Ayarlar!$B$4+Ayarlar!$B$5)+Ayarlar!$B$8)/((1-Ayarlar!$B$6)*(1-Ayarlar!$B$7)),0))</f>
        <v/>
      </c>
      <c r="J1629" s="14">
        <f>IF(G1629="","",ROUNDUP(((G1629*Ayarlar!$B$3+Ayarlar!$B$4+Ayarlar!$B$5)+Ayarlar!$B$8)/((1-Ayarlar!$B$6)*(1-Ayarlar!$B$7-Ayarlar!$B$9)),0))</f>
        <v/>
      </c>
      <c r="K1629" s="15">
        <f>IF(OR(G1629="",F1629=""),"",(F1629*(1-Ayarlar!$B$6)-(F1629*(1-Ayarlar!$B$6)*Ayarlar!$B$7+Ayarlar!$B$8)-(G1629*Ayarlar!$B$3+Ayarlar!$B$4+Ayarlar!$B$5))/(F1629*(1-Ayarlar!$B$6)))</f>
        <v/>
      </c>
      <c r="L1629" s="3">
        <f>IF(G1629="","GRAM EKSİK",IF(F1629&gt;30000,"FİYAT ŞÜPHELİ",IF(K1629&lt;0,"ZARARDA",IF(F1629&lt;I1629,"RİSKLİ","ok"))))</f>
        <v/>
      </c>
      <c r="M1629" s="16" t="inlineStr">
        <is>
          <t>https://www.etsy.com/listing/1735786221</t>
        </is>
      </c>
    </row>
    <row r="1630">
      <c r="A1630" s="9" t="inlineStr">
        <is>
          <t>protection</t>
        </is>
      </c>
      <c r="B1630" s="9" t="inlineStr">
        <is>
          <t>10K Gold Pharaoh Pendant Necklace / CZ &amp; Ruby, Egyptian King</t>
        </is>
      </c>
      <c r="C1630" s="9" t="n">
        <v>1735786221</v>
      </c>
      <c r="D1630" s="9" t="inlineStr">
        <is>
          <t>PEGY3-35-16</t>
        </is>
      </c>
      <c r="E1630" s="9" t="inlineStr">
        <is>
          <t>description</t>
        </is>
      </c>
      <c r="F1630" s="10" t="n">
        <v>2134</v>
      </c>
      <c r="G1630" s="18" t="n">
        <v>12</v>
      </c>
      <c r="H1630" s="10">
        <f>IF(G1630="","",G1630*Ayarlar!$B$3+Ayarlar!$B$4+Ayarlar!$B$5)</f>
        <v/>
      </c>
      <c r="I1630" s="10">
        <f>IF(G1630="","",ROUNDUP(((G1630*Ayarlar!$B$3+Ayarlar!$B$4+Ayarlar!$B$5)+Ayarlar!$B$8)/((1-Ayarlar!$B$6)*(1-Ayarlar!$B$7)),0))</f>
        <v/>
      </c>
      <c r="J1630" s="10">
        <f>IF(G1630="","",ROUNDUP(((G1630*Ayarlar!$B$3+Ayarlar!$B$4+Ayarlar!$B$5)+Ayarlar!$B$8)/((1-Ayarlar!$B$6)*(1-Ayarlar!$B$7-Ayarlar!$B$9)),0))</f>
        <v/>
      </c>
      <c r="K1630" s="12">
        <f>IF(OR(G1630="",F1630=""),"",(F1630*(1-Ayarlar!$B$6)-(F1630*(1-Ayarlar!$B$6)*Ayarlar!$B$7+Ayarlar!$B$8)-(G1630*Ayarlar!$B$3+Ayarlar!$B$4+Ayarlar!$B$5))/(F1630*(1-Ayarlar!$B$6)))</f>
        <v/>
      </c>
      <c r="L1630" s="9">
        <f>IF(G1630="","GRAM EKSİK",IF(F1630&gt;30000,"FİYAT ŞÜPHELİ",IF(K1630&lt;0,"ZARARDA",IF(F1630&lt;I1630,"RİSKLİ","ok"))))</f>
        <v/>
      </c>
      <c r="M1630" s="13" t="inlineStr">
        <is>
          <t>https://www.etsy.com/listing/1735786221</t>
        </is>
      </c>
    </row>
    <row r="1631">
      <c r="A1631" s="3" t="inlineStr">
        <is>
          <t>protection</t>
        </is>
      </c>
      <c r="B1631" s="3" t="inlineStr">
        <is>
          <t>10K Gold Pharaoh Pendant Necklace / CZ &amp; Ruby, Egyptian King</t>
        </is>
      </c>
      <c r="C1631" s="3" t="n">
        <v>1735786221</v>
      </c>
      <c r="D1631" s="3" t="inlineStr">
        <is>
          <t>PEGY3-35-18</t>
        </is>
      </c>
      <c r="E1631" s="3" t="inlineStr">
        <is>
          <t>description</t>
        </is>
      </c>
      <c r="F1631" s="14" t="n">
        <v>2225</v>
      </c>
      <c r="G1631" s="17" t="n">
        <v>12.51</v>
      </c>
      <c r="H1631" s="14">
        <f>IF(G1631="","",G1631*Ayarlar!$B$3+Ayarlar!$B$4+Ayarlar!$B$5)</f>
        <v/>
      </c>
      <c r="I1631" s="14">
        <f>IF(G1631="","",ROUNDUP(((G1631*Ayarlar!$B$3+Ayarlar!$B$4+Ayarlar!$B$5)+Ayarlar!$B$8)/((1-Ayarlar!$B$6)*(1-Ayarlar!$B$7)),0))</f>
        <v/>
      </c>
      <c r="J1631" s="14">
        <f>IF(G1631="","",ROUNDUP(((G1631*Ayarlar!$B$3+Ayarlar!$B$4+Ayarlar!$B$5)+Ayarlar!$B$8)/((1-Ayarlar!$B$6)*(1-Ayarlar!$B$7-Ayarlar!$B$9)),0))</f>
        <v/>
      </c>
      <c r="K1631" s="15">
        <f>IF(OR(G1631="",F1631=""),"",(F1631*(1-Ayarlar!$B$6)-(F1631*(1-Ayarlar!$B$6)*Ayarlar!$B$7+Ayarlar!$B$8)-(G1631*Ayarlar!$B$3+Ayarlar!$B$4+Ayarlar!$B$5))/(F1631*(1-Ayarlar!$B$6)))</f>
        <v/>
      </c>
      <c r="L1631" s="3">
        <f>IF(G1631="","GRAM EKSİK",IF(F1631&gt;30000,"FİYAT ŞÜPHELİ",IF(K1631&lt;0,"ZARARDA",IF(F1631&lt;I1631,"RİSKLİ","ok"))))</f>
        <v/>
      </c>
      <c r="M1631" s="16" t="inlineStr">
        <is>
          <t>https://www.etsy.com/listing/1735786221</t>
        </is>
      </c>
    </row>
    <row r="1632">
      <c r="A1632" s="9" t="inlineStr">
        <is>
          <t>protection</t>
        </is>
      </c>
      <c r="B1632" s="9" t="inlineStr">
        <is>
          <t>10K Gold Pharaoh Pendant Necklace / CZ &amp; Ruby, Egyptian King</t>
        </is>
      </c>
      <c r="C1632" s="9" t="n">
        <v>1735786221</v>
      </c>
      <c r="D1632" s="9" t="inlineStr">
        <is>
          <t>PEGY3-35-20</t>
        </is>
      </c>
      <c r="E1632" s="9" t="inlineStr">
        <is>
          <t>description</t>
        </is>
      </c>
      <c r="F1632" s="10" t="n">
        <v>2315</v>
      </c>
      <c r="G1632" s="18" t="n">
        <v>13.02</v>
      </c>
      <c r="H1632" s="10">
        <f>IF(G1632="","",G1632*Ayarlar!$B$3+Ayarlar!$B$4+Ayarlar!$B$5)</f>
        <v/>
      </c>
      <c r="I1632" s="10">
        <f>IF(G1632="","",ROUNDUP(((G1632*Ayarlar!$B$3+Ayarlar!$B$4+Ayarlar!$B$5)+Ayarlar!$B$8)/((1-Ayarlar!$B$6)*(1-Ayarlar!$B$7)),0))</f>
        <v/>
      </c>
      <c r="J1632" s="10">
        <f>IF(G1632="","",ROUNDUP(((G1632*Ayarlar!$B$3+Ayarlar!$B$4+Ayarlar!$B$5)+Ayarlar!$B$8)/((1-Ayarlar!$B$6)*(1-Ayarlar!$B$7-Ayarlar!$B$9)),0))</f>
        <v/>
      </c>
      <c r="K1632" s="12">
        <f>IF(OR(G1632="",F1632=""),"",(F1632*(1-Ayarlar!$B$6)-(F1632*(1-Ayarlar!$B$6)*Ayarlar!$B$7+Ayarlar!$B$8)-(G1632*Ayarlar!$B$3+Ayarlar!$B$4+Ayarlar!$B$5))/(F1632*(1-Ayarlar!$B$6)))</f>
        <v/>
      </c>
      <c r="L1632" s="9">
        <f>IF(G1632="","GRAM EKSİK",IF(F1632&gt;30000,"FİYAT ŞÜPHELİ",IF(K1632&lt;0,"ZARARDA",IF(F1632&lt;I1632,"RİSKLİ","ok"))))</f>
        <v/>
      </c>
      <c r="M1632" s="13" t="inlineStr">
        <is>
          <t>https://www.etsy.com/listing/1735786221</t>
        </is>
      </c>
    </row>
    <row r="1633">
      <c r="A1633" s="3" t="inlineStr">
        <is>
          <t>protection</t>
        </is>
      </c>
      <c r="B1633" s="3" t="inlineStr">
        <is>
          <t>10K Gold Pharaoh Pendant Necklace / CZ &amp; Ruby, Egyptian King</t>
        </is>
      </c>
      <c r="C1633" s="3" t="n">
        <v>1735786221</v>
      </c>
      <c r="D1633" s="3" t="inlineStr">
        <is>
          <t>PEGY3-35-22</t>
        </is>
      </c>
      <c r="E1633" s="3" t="inlineStr">
        <is>
          <t>description</t>
        </is>
      </c>
      <c r="F1633" s="14" t="n">
        <v>2405</v>
      </c>
      <c r="G1633" s="17" t="n">
        <v>13.53</v>
      </c>
      <c r="H1633" s="14">
        <f>IF(G1633="","",G1633*Ayarlar!$B$3+Ayarlar!$B$4+Ayarlar!$B$5)</f>
        <v/>
      </c>
      <c r="I1633" s="14">
        <f>IF(G1633="","",ROUNDUP(((G1633*Ayarlar!$B$3+Ayarlar!$B$4+Ayarlar!$B$5)+Ayarlar!$B$8)/((1-Ayarlar!$B$6)*(1-Ayarlar!$B$7)),0))</f>
        <v/>
      </c>
      <c r="J1633" s="14">
        <f>IF(G1633="","",ROUNDUP(((G1633*Ayarlar!$B$3+Ayarlar!$B$4+Ayarlar!$B$5)+Ayarlar!$B$8)/((1-Ayarlar!$B$6)*(1-Ayarlar!$B$7-Ayarlar!$B$9)),0))</f>
        <v/>
      </c>
      <c r="K1633" s="15">
        <f>IF(OR(G1633="",F1633=""),"",(F1633*(1-Ayarlar!$B$6)-(F1633*(1-Ayarlar!$B$6)*Ayarlar!$B$7+Ayarlar!$B$8)-(G1633*Ayarlar!$B$3+Ayarlar!$B$4+Ayarlar!$B$5))/(F1633*(1-Ayarlar!$B$6)))</f>
        <v/>
      </c>
      <c r="L1633" s="3">
        <f>IF(G1633="","GRAM EKSİK",IF(F1633&gt;30000,"FİYAT ŞÜPHELİ",IF(K1633&lt;0,"ZARARDA",IF(F1633&lt;I1633,"RİSKLİ","ok"))))</f>
        <v/>
      </c>
      <c r="M1633" s="16" t="inlineStr">
        <is>
          <t>https://www.etsy.com/listing/1735786221</t>
        </is>
      </c>
    </row>
    <row r="1634">
      <c r="A1634" s="9" t="inlineStr">
        <is>
          <t>protection</t>
        </is>
      </c>
      <c r="B1634" s="9" t="inlineStr">
        <is>
          <t>10K Gold Pharaoh Pendant Necklace / CZ &amp; Ruby, Egyptian King</t>
        </is>
      </c>
      <c r="C1634" s="9" t="n">
        <v>1735786221</v>
      </c>
      <c r="D1634" s="9" t="inlineStr">
        <is>
          <t>PEGY3-35-24</t>
        </is>
      </c>
      <c r="E1634" s="9" t="inlineStr">
        <is>
          <t>description</t>
        </is>
      </c>
      <c r="F1634" s="10" t="n">
        <v>2495</v>
      </c>
      <c r="G1634" s="18" t="n">
        <v>14.04</v>
      </c>
      <c r="H1634" s="10">
        <f>IF(G1634="","",G1634*Ayarlar!$B$3+Ayarlar!$B$4+Ayarlar!$B$5)</f>
        <v/>
      </c>
      <c r="I1634" s="10">
        <f>IF(G1634="","",ROUNDUP(((G1634*Ayarlar!$B$3+Ayarlar!$B$4+Ayarlar!$B$5)+Ayarlar!$B$8)/((1-Ayarlar!$B$6)*(1-Ayarlar!$B$7)),0))</f>
        <v/>
      </c>
      <c r="J1634" s="10">
        <f>IF(G1634="","",ROUNDUP(((G1634*Ayarlar!$B$3+Ayarlar!$B$4+Ayarlar!$B$5)+Ayarlar!$B$8)/((1-Ayarlar!$B$6)*(1-Ayarlar!$B$7-Ayarlar!$B$9)),0))</f>
        <v/>
      </c>
      <c r="K1634" s="12">
        <f>IF(OR(G1634="",F1634=""),"",(F1634*(1-Ayarlar!$B$6)-(F1634*(1-Ayarlar!$B$6)*Ayarlar!$B$7+Ayarlar!$B$8)-(G1634*Ayarlar!$B$3+Ayarlar!$B$4+Ayarlar!$B$5))/(F1634*(1-Ayarlar!$B$6)))</f>
        <v/>
      </c>
      <c r="L1634" s="9">
        <f>IF(G1634="","GRAM EKSİK",IF(F1634&gt;30000,"FİYAT ŞÜPHELİ",IF(K1634&lt;0,"ZARARDA",IF(F1634&lt;I1634,"RİSKLİ","ok"))))</f>
        <v/>
      </c>
      <c r="M1634" s="13" t="inlineStr">
        <is>
          <t>https://www.etsy.com/listing/1735786221</t>
        </is>
      </c>
    </row>
    <row r="1635">
      <c r="A1635" s="3" t="inlineStr">
        <is>
          <t>protection</t>
        </is>
      </c>
      <c r="B1635" s="3" t="inlineStr">
        <is>
          <t>10K Gold Pharaoh Pendant Necklace / CZ &amp; Ruby, Egyptian King</t>
        </is>
      </c>
      <c r="C1635" s="3" t="n">
        <v>1735786221</v>
      </c>
      <c r="D1635" s="3" t="inlineStr">
        <is>
          <t>PEGY3-4-16</t>
        </is>
      </c>
      <c r="E1635" s="3" t="inlineStr">
        <is>
          <t>description</t>
        </is>
      </c>
      <c r="F1635" s="14" t="n">
        <v>2356</v>
      </c>
      <c r="G1635" s="17" t="n">
        <v>13.25</v>
      </c>
      <c r="H1635" s="14">
        <f>IF(G1635="","",G1635*Ayarlar!$B$3+Ayarlar!$B$4+Ayarlar!$B$5)</f>
        <v/>
      </c>
      <c r="I1635" s="14">
        <f>IF(G1635="","",ROUNDUP(((G1635*Ayarlar!$B$3+Ayarlar!$B$4+Ayarlar!$B$5)+Ayarlar!$B$8)/((1-Ayarlar!$B$6)*(1-Ayarlar!$B$7)),0))</f>
        <v/>
      </c>
      <c r="J1635" s="14">
        <f>IF(G1635="","",ROUNDUP(((G1635*Ayarlar!$B$3+Ayarlar!$B$4+Ayarlar!$B$5)+Ayarlar!$B$8)/((1-Ayarlar!$B$6)*(1-Ayarlar!$B$7-Ayarlar!$B$9)),0))</f>
        <v/>
      </c>
      <c r="K1635" s="15">
        <f>IF(OR(G1635="",F1635=""),"",(F1635*(1-Ayarlar!$B$6)-(F1635*(1-Ayarlar!$B$6)*Ayarlar!$B$7+Ayarlar!$B$8)-(G1635*Ayarlar!$B$3+Ayarlar!$B$4+Ayarlar!$B$5))/(F1635*(1-Ayarlar!$B$6)))</f>
        <v/>
      </c>
      <c r="L1635" s="3">
        <f>IF(G1635="","GRAM EKSİK",IF(F1635&gt;30000,"FİYAT ŞÜPHELİ",IF(K1635&lt;0,"ZARARDA",IF(F1635&lt;I1635,"RİSKLİ","ok"))))</f>
        <v/>
      </c>
      <c r="M1635" s="16" t="inlineStr">
        <is>
          <t>https://www.etsy.com/listing/1735786221</t>
        </is>
      </c>
    </row>
    <row r="1636">
      <c r="A1636" s="9" t="inlineStr">
        <is>
          <t>protection</t>
        </is>
      </c>
      <c r="B1636" s="9" t="inlineStr">
        <is>
          <t>10K Gold Pharaoh Pendant Necklace / CZ &amp; Ruby, Egyptian King</t>
        </is>
      </c>
      <c r="C1636" s="9" t="n">
        <v>1735786221</v>
      </c>
      <c r="D1636" s="9" t="inlineStr">
        <is>
          <t>PEGY3-4-18</t>
        </is>
      </c>
      <c r="E1636" s="9" t="inlineStr">
        <is>
          <t>description</t>
        </is>
      </c>
      <c r="F1636" s="10" t="n">
        <v>2474</v>
      </c>
      <c r="G1636" s="18" t="n">
        <v>13.92</v>
      </c>
      <c r="H1636" s="10">
        <f>IF(G1636="","",G1636*Ayarlar!$B$3+Ayarlar!$B$4+Ayarlar!$B$5)</f>
        <v/>
      </c>
      <c r="I1636" s="10">
        <f>IF(G1636="","",ROUNDUP(((G1636*Ayarlar!$B$3+Ayarlar!$B$4+Ayarlar!$B$5)+Ayarlar!$B$8)/((1-Ayarlar!$B$6)*(1-Ayarlar!$B$7)),0))</f>
        <v/>
      </c>
      <c r="J1636" s="10">
        <f>IF(G1636="","",ROUNDUP(((G1636*Ayarlar!$B$3+Ayarlar!$B$4+Ayarlar!$B$5)+Ayarlar!$B$8)/((1-Ayarlar!$B$6)*(1-Ayarlar!$B$7-Ayarlar!$B$9)),0))</f>
        <v/>
      </c>
      <c r="K1636" s="12">
        <f>IF(OR(G1636="",F1636=""),"",(F1636*(1-Ayarlar!$B$6)-(F1636*(1-Ayarlar!$B$6)*Ayarlar!$B$7+Ayarlar!$B$8)-(G1636*Ayarlar!$B$3+Ayarlar!$B$4+Ayarlar!$B$5))/(F1636*(1-Ayarlar!$B$6)))</f>
        <v/>
      </c>
      <c r="L1636" s="9">
        <f>IF(G1636="","GRAM EKSİK",IF(F1636&gt;30000,"FİYAT ŞÜPHELİ",IF(K1636&lt;0,"ZARARDA",IF(F1636&lt;I1636,"RİSKLİ","ok"))))</f>
        <v/>
      </c>
      <c r="M1636" s="13" t="inlineStr">
        <is>
          <t>https://www.etsy.com/listing/1735786221</t>
        </is>
      </c>
    </row>
    <row r="1637">
      <c r="A1637" s="3" t="inlineStr">
        <is>
          <t>protection</t>
        </is>
      </c>
      <c r="B1637" s="3" t="inlineStr">
        <is>
          <t>10K Gold Pharaoh Pendant Necklace / CZ &amp; Ruby, Egyptian King</t>
        </is>
      </c>
      <c r="C1637" s="3" t="n">
        <v>1735786221</v>
      </c>
      <c r="D1637" s="3" t="inlineStr">
        <is>
          <t>PEGY3-4-20</t>
        </is>
      </c>
      <c r="E1637" s="3" t="inlineStr">
        <is>
          <t>description</t>
        </is>
      </c>
      <c r="F1637" s="14" t="n">
        <v>2593</v>
      </c>
      <c r="G1637" s="17" t="n">
        <v>14.59</v>
      </c>
      <c r="H1637" s="14">
        <f>IF(G1637="","",G1637*Ayarlar!$B$3+Ayarlar!$B$4+Ayarlar!$B$5)</f>
        <v/>
      </c>
      <c r="I1637" s="14">
        <f>IF(G1637="","",ROUNDUP(((G1637*Ayarlar!$B$3+Ayarlar!$B$4+Ayarlar!$B$5)+Ayarlar!$B$8)/((1-Ayarlar!$B$6)*(1-Ayarlar!$B$7)),0))</f>
        <v/>
      </c>
      <c r="J1637" s="14">
        <f>IF(G1637="","",ROUNDUP(((G1637*Ayarlar!$B$3+Ayarlar!$B$4+Ayarlar!$B$5)+Ayarlar!$B$8)/((1-Ayarlar!$B$6)*(1-Ayarlar!$B$7-Ayarlar!$B$9)),0))</f>
        <v/>
      </c>
      <c r="K1637" s="15">
        <f>IF(OR(G1637="",F1637=""),"",(F1637*(1-Ayarlar!$B$6)-(F1637*(1-Ayarlar!$B$6)*Ayarlar!$B$7+Ayarlar!$B$8)-(G1637*Ayarlar!$B$3+Ayarlar!$B$4+Ayarlar!$B$5))/(F1637*(1-Ayarlar!$B$6)))</f>
        <v/>
      </c>
      <c r="L1637" s="3">
        <f>IF(G1637="","GRAM EKSİK",IF(F1637&gt;30000,"FİYAT ŞÜPHELİ",IF(K1637&lt;0,"ZARARDA",IF(F1637&lt;I1637,"RİSKLİ","ok"))))</f>
        <v/>
      </c>
      <c r="M1637" s="16" t="inlineStr">
        <is>
          <t>https://www.etsy.com/listing/1735786221</t>
        </is>
      </c>
    </row>
    <row r="1638">
      <c r="A1638" s="9" t="inlineStr">
        <is>
          <t>protection</t>
        </is>
      </c>
      <c r="B1638" s="9" t="inlineStr">
        <is>
          <t>10K Gold Pharaoh Pendant Necklace / CZ &amp; Ruby, Egyptian King</t>
        </is>
      </c>
      <c r="C1638" s="9" t="n">
        <v>1735786221</v>
      </c>
      <c r="D1638" s="9" t="inlineStr">
        <is>
          <t>PEGY3-4-22</t>
        </is>
      </c>
      <c r="E1638" s="9" t="inlineStr">
        <is>
          <t>description</t>
        </is>
      </c>
      <c r="F1638" s="10" t="n">
        <v>2711</v>
      </c>
      <c r="G1638" s="18" t="n">
        <v>15.26</v>
      </c>
      <c r="H1638" s="10">
        <f>IF(G1638="","",G1638*Ayarlar!$B$3+Ayarlar!$B$4+Ayarlar!$B$5)</f>
        <v/>
      </c>
      <c r="I1638" s="10">
        <f>IF(G1638="","",ROUNDUP(((G1638*Ayarlar!$B$3+Ayarlar!$B$4+Ayarlar!$B$5)+Ayarlar!$B$8)/((1-Ayarlar!$B$6)*(1-Ayarlar!$B$7)),0))</f>
        <v/>
      </c>
      <c r="J1638" s="10">
        <f>IF(G1638="","",ROUNDUP(((G1638*Ayarlar!$B$3+Ayarlar!$B$4+Ayarlar!$B$5)+Ayarlar!$B$8)/((1-Ayarlar!$B$6)*(1-Ayarlar!$B$7-Ayarlar!$B$9)),0))</f>
        <v/>
      </c>
      <c r="K1638" s="12">
        <f>IF(OR(G1638="",F1638=""),"",(F1638*(1-Ayarlar!$B$6)-(F1638*(1-Ayarlar!$B$6)*Ayarlar!$B$7+Ayarlar!$B$8)-(G1638*Ayarlar!$B$3+Ayarlar!$B$4+Ayarlar!$B$5))/(F1638*(1-Ayarlar!$B$6)))</f>
        <v/>
      </c>
      <c r="L1638" s="9">
        <f>IF(G1638="","GRAM EKSİK",IF(F1638&gt;30000,"FİYAT ŞÜPHELİ",IF(K1638&lt;0,"ZARARDA",IF(F1638&lt;I1638,"RİSKLİ","ok"))))</f>
        <v/>
      </c>
      <c r="M1638" s="13" t="inlineStr">
        <is>
          <t>https://www.etsy.com/listing/1735786221</t>
        </is>
      </c>
    </row>
    <row r="1639">
      <c r="A1639" s="3" t="inlineStr">
        <is>
          <t>protection</t>
        </is>
      </c>
      <c r="B1639" s="3" t="inlineStr">
        <is>
          <t>10K Gold Pharaoh Pendant Necklace / CZ &amp; Ruby, Egyptian King</t>
        </is>
      </c>
      <c r="C1639" s="3" t="n">
        <v>1735786221</v>
      </c>
      <c r="D1639" s="3" t="inlineStr">
        <is>
          <t>PEGY3-4-24</t>
        </is>
      </c>
      <c r="E1639" s="3" t="inlineStr">
        <is>
          <t>description</t>
        </is>
      </c>
      <c r="F1639" s="14" t="n">
        <v>2828</v>
      </c>
      <c r="G1639" s="17" t="n">
        <v>15.92</v>
      </c>
      <c r="H1639" s="14">
        <f>IF(G1639="","",G1639*Ayarlar!$B$3+Ayarlar!$B$4+Ayarlar!$B$5)</f>
        <v/>
      </c>
      <c r="I1639" s="14">
        <f>IF(G1639="","",ROUNDUP(((G1639*Ayarlar!$B$3+Ayarlar!$B$4+Ayarlar!$B$5)+Ayarlar!$B$8)/((1-Ayarlar!$B$6)*(1-Ayarlar!$B$7)),0))</f>
        <v/>
      </c>
      <c r="J1639" s="14">
        <f>IF(G1639="","",ROUNDUP(((G1639*Ayarlar!$B$3+Ayarlar!$B$4+Ayarlar!$B$5)+Ayarlar!$B$8)/((1-Ayarlar!$B$6)*(1-Ayarlar!$B$7-Ayarlar!$B$9)),0))</f>
        <v/>
      </c>
      <c r="K1639" s="15">
        <f>IF(OR(G1639="",F1639=""),"",(F1639*(1-Ayarlar!$B$6)-(F1639*(1-Ayarlar!$B$6)*Ayarlar!$B$7+Ayarlar!$B$8)-(G1639*Ayarlar!$B$3+Ayarlar!$B$4+Ayarlar!$B$5))/(F1639*(1-Ayarlar!$B$6)))</f>
        <v/>
      </c>
      <c r="L1639" s="3">
        <f>IF(G1639="","GRAM EKSİK",IF(F1639&gt;30000,"FİYAT ŞÜPHELİ",IF(K1639&lt;0,"ZARARDA",IF(F1639&lt;I1639,"RİSKLİ","ok"))))</f>
        <v/>
      </c>
      <c r="M1639" s="16" t="inlineStr">
        <is>
          <t>https://www.etsy.com/listing/1735786221</t>
        </is>
      </c>
    </row>
    <row r="1640">
      <c r="A1640" s="9" t="inlineStr">
        <is>
          <t>protection</t>
        </is>
      </c>
      <c r="B1640" s="9" t="inlineStr">
        <is>
          <t>10K Gold Pharaoh Pendant Necklace / CZ &amp; Ruby, Egyptian King</t>
        </is>
      </c>
      <c r="C1640" s="9" t="n">
        <v>1735786221</v>
      </c>
      <c r="D1640" s="9" t="inlineStr">
        <is>
          <t>PEGY4-25-16</t>
        </is>
      </c>
      <c r="E1640" s="9" t="inlineStr">
        <is>
          <t>description</t>
        </is>
      </c>
      <c r="F1640" s="10" t="n">
        <v>2562</v>
      </c>
      <c r="G1640" s="18" t="n">
        <v>14.42</v>
      </c>
      <c r="H1640" s="10">
        <f>IF(G1640="","",G1640*Ayarlar!$B$3+Ayarlar!$B$4+Ayarlar!$B$5)</f>
        <v/>
      </c>
      <c r="I1640" s="10">
        <f>IF(G1640="","",ROUNDUP(((G1640*Ayarlar!$B$3+Ayarlar!$B$4+Ayarlar!$B$5)+Ayarlar!$B$8)/((1-Ayarlar!$B$6)*(1-Ayarlar!$B$7)),0))</f>
        <v/>
      </c>
      <c r="J1640" s="10">
        <f>IF(G1640="","",ROUNDUP(((G1640*Ayarlar!$B$3+Ayarlar!$B$4+Ayarlar!$B$5)+Ayarlar!$B$8)/((1-Ayarlar!$B$6)*(1-Ayarlar!$B$7-Ayarlar!$B$9)),0))</f>
        <v/>
      </c>
      <c r="K1640" s="12">
        <f>IF(OR(G1640="",F1640=""),"",(F1640*(1-Ayarlar!$B$6)-(F1640*(1-Ayarlar!$B$6)*Ayarlar!$B$7+Ayarlar!$B$8)-(G1640*Ayarlar!$B$3+Ayarlar!$B$4+Ayarlar!$B$5))/(F1640*(1-Ayarlar!$B$6)))</f>
        <v/>
      </c>
      <c r="L1640" s="9">
        <f>IF(G1640="","GRAM EKSİK",IF(F1640&gt;30000,"FİYAT ŞÜPHELİ",IF(K1640&lt;0,"ZARARDA",IF(F1640&lt;I1640,"RİSKLİ","ok"))))</f>
        <v/>
      </c>
      <c r="M1640" s="13" t="inlineStr">
        <is>
          <t>https://www.etsy.com/listing/1735786221</t>
        </is>
      </c>
    </row>
    <row r="1641">
      <c r="A1641" s="3" t="inlineStr">
        <is>
          <t>protection</t>
        </is>
      </c>
      <c r="B1641" s="3" t="inlineStr">
        <is>
          <t>10K Gold Pharaoh Pendant Necklace / CZ &amp; Ruby, Egyptian King</t>
        </is>
      </c>
      <c r="C1641" s="3" t="n">
        <v>1735786221</v>
      </c>
      <c r="D1641" s="3" t="inlineStr">
        <is>
          <t>PEGY4-25-18</t>
        </is>
      </c>
      <c r="E1641" s="3" t="inlineStr">
        <is>
          <t>description</t>
        </is>
      </c>
      <c r="F1641" s="14" t="n">
        <v>2612</v>
      </c>
      <c r="G1641" s="17" t="n">
        <v>14.7</v>
      </c>
      <c r="H1641" s="14">
        <f>IF(G1641="","",G1641*Ayarlar!$B$3+Ayarlar!$B$4+Ayarlar!$B$5)</f>
        <v/>
      </c>
      <c r="I1641" s="14">
        <f>IF(G1641="","",ROUNDUP(((G1641*Ayarlar!$B$3+Ayarlar!$B$4+Ayarlar!$B$5)+Ayarlar!$B$8)/((1-Ayarlar!$B$6)*(1-Ayarlar!$B$7)),0))</f>
        <v/>
      </c>
      <c r="J1641" s="14">
        <f>IF(G1641="","",ROUNDUP(((G1641*Ayarlar!$B$3+Ayarlar!$B$4+Ayarlar!$B$5)+Ayarlar!$B$8)/((1-Ayarlar!$B$6)*(1-Ayarlar!$B$7-Ayarlar!$B$9)),0))</f>
        <v/>
      </c>
      <c r="K1641" s="15">
        <f>IF(OR(G1641="",F1641=""),"",(F1641*(1-Ayarlar!$B$6)-(F1641*(1-Ayarlar!$B$6)*Ayarlar!$B$7+Ayarlar!$B$8)-(G1641*Ayarlar!$B$3+Ayarlar!$B$4+Ayarlar!$B$5))/(F1641*(1-Ayarlar!$B$6)))</f>
        <v/>
      </c>
      <c r="L1641" s="3">
        <f>IF(G1641="","GRAM EKSİK",IF(F1641&gt;30000,"FİYAT ŞÜPHELİ",IF(K1641&lt;0,"ZARARDA",IF(F1641&lt;I1641,"RİSKLİ","ok"))))</f>
        <v/>
      </c>
      <c r="M1641" s="16" t="inlineStr">
        <is>
          <t>https://www.etsy.com/listing/1735786221</t>
        </is>
      </c>
    </row>
    <row r="1642">
      <c r="A1642" s="9" t="inlineStr">
        <is>
          <t>protection</t>
        </is>
      </c>
      <c r="B1642" s="9" t="inlineStr">
        <is>
          <t>10K Gold Pharaoh Pendant Necklace / CZ &amp; Ruby, Egyptian King</t>
        </is>
      </c>
      <c r="C1642" s="9" t="n">
        <v>1735786221</v>
      </c>
      <c r="D1642" s="9" t="inlineStr">
        <is>
          <t>PEGY4-25-20</t>
        </is>
      </c>
      <c r="E1642" s="9" t="inlineStr">
        <is>
          <t>description</t>
        </is>
      </c>
      <c r="F1642" s="10" t="n">
        <v>2660</v>
      </c>
      <c r="G1642" s="18" t="n">
        <v>14.97</v>
      </c>
      <c r="H1642" s="10">
        <f>IF(G1642="","",G1642*Ayarlar!$B$3+Ayarlar!$B$4+Ayarlar!$B$5)</f>
        <v/>
      </c>
      <c r="I1642" s="10">
        <f>IF(G1642="","",ROUNDUP(((G1642*Ayarlar!$B$3+Ayarlar!$B$4+Ayarlar!$B$5)+Ayarlar!$B$8)/((1-Ayarlar!$B$6)*(1-Ayarlar!$B$7)),0))</f>
        <v/>
      </c>
      <c r="J1642" s="10">
        <f>IF(G1642="","",ROUNDUP(((G1642*Ayarlar!$B$3+Ayarlar!$B$4+Ayarlar!$B$5)+Ayarlar!$B$8)/((1-Ayarlar!$B$6)*(1-Ayarlar!$B$7-Ayarlar!$B$9)),0))</f>
        <v/>
      </c>
      <c r="K1642" s="12">
        <f>IF(OR(G1642="",F1642=""),"",(F1642*(1-Ayarlar!$B$6)-(F1642*(1-Ayarlar!$B$6)*Ayarlar!$B$7+Ayarlar!$B$8)-(G1642*Ayarlar!$B$3+Ayarlar!$B$4+Ayarlar!$B$5))/(F1642*(1-Ayarlar!$B$6)))</f>
        <v/>
      </c>
      <c r="L1642" s="9">
        <f>IF(G1642="","GRAM EKSİK",IF(F1642&gt;30000,"FİYAT ŞÜPHELİ",IF(K1642&lt;0,"ZARARDA",IF(F1642&lt;I1642,"RİSKLİ","ok"))))</f>
        <v/>
      </c>
      <c r="M1642" s="13" t="inlineStr">
        <is>
          <t>https://www.etsy.com/listing/1735786221</t>
        </is>
      </c>
    </row>
    <row r="1643">
      <c r="A1643" s="3" t="inlineStr">
        <is>
          <t>protection</t>
        </is>
      </c>
      <c r="B1643" s="3" t="inlineStr">
        <is>
          <t>10K Gold Pharaoh Pendant Necklace / CZ &amp; Ruby, Egyptian King</t>
        </is>
      </c>
      <c r="C1643" s="3" t="n">
        <v>1735786221</v>
      </c>
      <c r="D1643" s="3" t="inlineStr">
        <is>
          <t>PEGY4-25-22</t>
        </is>
      </c>
      <c r="E1643" s="3" t="inlineStr">
        <is>
          <t>description</t>
        </is>
      </c>
      <c r="F1643" s="14" t="n">
        <v>2709</v>
      </c>
      <c r="G1643" s="17" t="n">
        <v>15.25</v>
      </c>
      <c r="H1643" s="14">
        <f>IF(G1643="","",G1643*Ayarlar!$B$3+Ayarlar!$B$4+Ayarlar!$B$5)</f>
        <v/>
      </c>
      <c r="I1643" s="14">
        <f>IF(G1643="","",ROUNDUP(((G1643*Ayarlar!$B$3+Ayarlar!$B$4+Ayarlar!$B$5)+Ayarlar!$B$8)/((1-Ayarlar!$B$6)*(1-Ayarlar!$B$7)),0))</f>
        <v/>
      </c>
      <c r="J1643" s="14">
        <f>IF(G1643="","",ROUNDUP(((G1643*Ayarlar!$B$3+Ayarlar!$B$4+Ayarlar!$B$5)+Ayarlar!$B$8)/((1-Ayarlar!$B$6)*(1-Ayarlar!$B$7-Ayarlar!$B$9)),0))</f>
        <v/>
      </c>
      <c r="K1643" s="15">
        <f>IF(OR(G1643="",F1643=""),"",(F1643*(1-Ayarlar!$B$6)-(F1643*(1-Ayarlar!$B$6)*Ayarlar!$B$7+Ayarlar!$B$8)-(G1643*Ayarlar!$B$3+Ayarlar!$B$4+Ayarlar!$B$5))/(F1643*(1-Ayarlar!$B$6)))</f>
        <v/>
      </c>
      <c r="L1643" s="3">
        <f>IF(G1643="","GRAM EKSİK",IF(F1643&gt;30000,"FİYAT ŞÜPHELİ",IF(K1643&lt;0,"ZARARDA",IF(F1643&lt;I1643,"RİSKLİ","ok"))))</f>
        <v/>
      </c>
      <c r="M1643" s="16" t="inlineStr">
        <is>
          <t>https://www.etsy.com/listing/1735786221</t>
        </is>
      </c>
    </row>
    <row r="1644">
      <c r="A1644" s="9" t="inlineStr">
        <is>
          <t>protection</t>
        </is>
      </c>
      <c r="B1644" s="9" t="inlineStr">
        <is>
          <t>10K Gold Pharaoh Pendant Necklace / CZ &amp; Ruby, Egyptian King</t>
        </is>
      </c>
      <c r="C1644" s="9" t="n">
        <v>1735786221</v>
      </c>
      <c r="D1644" s="9" t="inlineStr">
        <is>
          <t>PEGY4-25-24</t>
        </is>
      </c>
      <c r="E1644" s="9" t="inlineStr">
        <is>
          <t>description</t>
        </is>
      </c>
      <c r="F1644" s="10" t="n">
        <v>2757</v>
      </c>
      <c r="G1644" s="18" t="n">
        <v>15.52</v>
      </c>
      <c r="H1644" s="10">
        <f>IF(G1644="","",G1644*Ayarlar!$B$3+Ayarlar!$B$4+Ayarlar!$B$5)</f>
        <v/>
      </c>
      <c r="I1644" s="10">
        <f>IF(G1644="","",ROUNDUP(((G1644*Ayarlar!$B$3+Ayarlar!$B$4+Ayarlar!$B$5)+Ayarlar!$B$8)/((1-Ayarlar!$B$6)*(1-Ayarlar!$B$7)),0))</f>
        <v/>
      </c>
      <c r="J1644" s="10">
        <f>IF(G1644="","",ROUNDUP(((G1644*Ayarlar!$B$3+Ayarlar!$B$4+Ayarlar!$B$5)+Ayarlar!$B$8)/((1-Ayarlar!$B$6)*(1-Ayarlar!$B$7-Ayarlar!$B$9)),0))</f>
        <v/>
      </c>
      <c r="K1644" s="12">
        <f>IF(OR(G1644="",F1644=""),"",(F1644*(1-Ayarlar!$B$6)-(F1644*(1-Ayarlar!$B$6)*Ayarlar!$B$7+Ayarlar!$B$8)-(G1644*Ayarlar!$B$3+Ayarlar!$B$4+Ayarlar!$B$5))/(F1644*(1-Ayarlar!$B$6)))</f>
        <v/>
      </c>
      <c r="L1644" s="9">
        <f>IF(G1644="","GRAM EKSİK",IF(F1644&gt;30000,"FİYAT ŞÜPHELİ",IF(K1644&lt;0,"ZARARDA",IF(F1644&lt;I1644,"RİSKLİ","ok"))))</f>
        <v/>
      </c>
      <c r="M1644" s="13" t="inlineStr">
        <is>
          <t>https://www.etsy.com/listing/1735786221</t>
        </is>
      </c>
    </row>
    <row r="1645">
      <c r="A1645" s="3" t="inlineStr">
        <is>
          <t>protection</t>
        </is>
      </c>
      <c r="B1645" s="3" t="inlineStr">
        <is>
          <t>10K Gold Pharaoh Pendant Necklace / CZ &amp; Ruby, Egyptian King</t>
        </is>
      </c>
      <c r="C1645" s="3" t="n">
        <v>1735786221</v>
      </c>
      <c r="D1645" s="3" t="inlineStr">
        <is>
          <t>PEGY4-3-16</t>
        </is>
      </c>
      <c r="E1645" s="3" t="inlineStr">
        <is>
          <t>description</t>
        </is>
      </c>
      <c r="F1645" s="14" t="n">
        <v>2683</v>
      </c>
      <c r="G1645" s="17" t="n">
        <v>15.1</v>
      </c>
      <c r="H1645" s="14">
        <f>IF(G1645="","",G1645*Ayarlar!$B$3+Ayarlar!$B$4+Ayarlar!$B$5)</f>
        <v/>
      </c>
      <c r="I1645" s="14">
        <f>IF(G1645="","",ROUNDUP(((G1645*Ayarlar!$B$3+Ayarlar!$B$4+Ayarlar!$B$5)+Ayarlar!$B$8)/((1-Ayarlar!$B$6)*(1-Ayarlar!$B$7)),0))</f>
        <v/>
      </c>
      <c r="J1645" s="14">
        <f>IF(G1645="","",ROUNDUP(((G1645*Ayarlar!$B$3+Ayarlar!$B$4+Ayarlar!$B$5)+Ayarlar!$B$8)/((1-Ayarlar!$B$6)*(1-Ayarlar!$B$7-Ayarlar!$B$9)),0))</f>
        <v/>
      </c>
      <c r="K1645" s="15">
        <f>IF(OR(G1645="",F1645=""),"",(F1645*(1-Ayarlar!$B$6)-(F1645*(1-Ayarlar!$B$6)*Ayarlar!$B$7+Ayarlar!$B$8)-(G1645*Ayarlar!$B$3+Ayarlar!$B$4+Ayarlar!$B$5))/(F1645*(1-Ayarlar!$B$6)))</f>
        <v/>
      </c>
      <c r="L1645" s="3">
        <f>IF(G1645="","GRAM EKSİK",IF(F1645&gt;30000,"FİYAT ŞÜPHELİ",IF(K1645&lt;0,"ZARARDA",IF(F1645&lt;I1645,"RİSKLİ","ok"))))</f>
        <v/>
      </c>
      <c r="M1645" s="16" t="inlineStr">
        <is>
          <t>https://www.etsy.com/listing/1735786221</t>
        </is>
      </c>
    </row>
    <row r="1646">
      <c r="A1646" s="9" t="inlineStr">
        <is>
          <t>protection</t>
        </is>
      </c>
      <c r="B1646" s="9" t="inlineStr">
        <is>
          <t>10K Gold Pharaoh Pendant Necklace / CZ &amp; Ruby, Egyptian King</t>
        </is>
      </c>
      <c r="C1646" s="9" t="n">
        <v>1735786221</v>
      </c>
      <c r="D1646" s="9" t="inlineStr">
        <is>
          <t>PEGY4-3-18</t>
        </is>
      </c>
      <c r="E1646" s="9" t="inlineStr">
        <is>
          <t>description</t>
        </is>
      </c>
      <c r="F1646" s="10" t="n">
        <v>2746</v>
      </c>
      <c r="G1646" s="18" t="n">
        <v>15.46</v>
      </c>
      <c r="H1646" s="10">
        <f>IF(G1646="","",G1646*Ayarlar!$B$3+Ayarlar!$B$4+Ayarlar!$B$5)</f>
        <v/>
      </c>
      <c r="I1646" s="10">
        <f>IF(G1646="","",ROUNDUP(((G1646*Ayarlar!$B$3+Ayarlar!$B$4+Ayarlar!$B$5)+Ayarlar!$B$8)/((1-Ayarlar!$B$6)*(1-Ayarlar!$B$7)),0))</f>
        <v/>
      </c>
      <c r="J1646" s="10">
        <f>IF(G1646="","",ROUNDUP(((G1646*Ayarlar!$B$3+Ayarlar!$B$4+Ayarlar!$B$5)+Ayarlar!$B$8)/((1-Ayarlar!$B$6)*(1-Ayarlar!$B$7-Ayarlar!$B$9)),0))</f>
        <v/>
      </c>
      <c r="K1646" s="12">
        <f>IF(OR(G1646="",F1646=""),"",(F1646*(1-Ayarlar!$B$6)-(F1646*(1-Ayarlar!$B$6)*Ayarlar!$B$7+Ayarlar!$B$8)-(G1646*Ayarlar!$B$3+Ayarlar!$B$4+Ayarlar!$B$5))/(F1646*(1-Ayarlar!$B$6)))</f>
        <v/>
      </c>
      <c r="L1646" s="9">
        <f>IF(G1646="","GRAM EKSİK",IF(F1646&gt;30000,"FİYAT ŞÜPHELİ",IF(K1646&lt;0,"ZARARDA",IF(F1646&lt;I1646,"RİSKLİ","ok"))))</f>
        <v/>
      </c>
      <c r="M1646" s="13" t="inlineStr">
        <is>
          <t>https://www.etsy.com/listing/1735786221</t>
        </is>
      </c>
    </row>
    <row r="1647">
      <c r="A1647" s="3" t="inlineStr">
        <is>
          <t>protection</t>
        </is>
      </c>
      <c r="B1647" s="3" t="inlineStr">
        <is>
          <t>10K Gold Pharaoh Pendant Necklace / CZ &amp; Ruby, Egyptian King</t>
        </is>
      </c>
      <c r="C1647" s="3" t="n">
        <v>1735786221</v>
      </c>
      <c r="D1647" s="3" t="inlineStr">
        <is>
          <t>PEGY4-3-20</t>
        </is>
      </c>
      <c r="E1647" s="3" t="inlineStr">
        <is>
          <t>description</t>
        </is>
      </c>
      <c r="F1647" s="14" t="n">
        <v>2810</v>
      </c>
      <c r="G1647" s="17" t="n">
        <v>15.82</v>
      </c>
      <c r="H1647" s="14">
        <f>IF(G1647="","",G1647*Ayarlar!$B$3+Ayarlar!$B$4+Ayarlar!$B$5)</f>
        <v/>
      </c>
      <c r="I1647" s="14">
        <f>IF(G1647="","",ROUNDUP(((G1647*Ayarlar!$B$3+Ayarlar!$B$4+Ayarlar!$B$5)+Ayarlar!$B$8)/((1-Ayarlar!$B$6)*(1-Ayarlar!$B$7)),0))</f>
        <v/>
      </c>
      <c r="J1647" s="14">
        <f>IF(G1647="","",ROUNDUP(((G1647*Ayarlar!$B$3+Ayarlar!$B$4+Ayarlar!$B$5)+Ayarlar!$B$8)/((1-Ayarlar!$B$6)*(1-Ayarlar!$B$7-Ayarlar!$B$9)),0))</f>
        <v/>
      </c>
      <c r="K1647" s="15">
        <f>IF(OR(G1647="",F1647=""),"",(F1647*(1-Ayarlar!$B$6)-(F1647*(1-Ayarlar!$B$6)*Ayarlar!$B$7+Ayarlar!$B$8)-(G1647*Ayarlar!$B$3+Ayarlar!$B$4+Ayarlar!$B$5))/(F1647*(1-Ayarlar!$B$6)))</f>
        <v/>
      </c>
      <c r="L1647" s="3">
        <f>IF(G1647="","GRAM EKSİK",IF(F1647&gt;30000,"FİYAT ŞÜPHELİ",IF(K1647&lt;0,"ZARARDA",IF(F1647&lt;I1647,"RİSKLİ","ok"))))</f>
        <v/>
      </c>
      <c r="M1647" s="16" t="inlineStr">
        <is>
          <t>https://www.etsy.com/listing/1735786221</t>
        </is>
      </c>
    </row>
    <row r="1648">
      <c r="A1648" s="9" t="inlineStr">
        <is>
          <t>protection</t>
        </is>
      </c>
      <c r="B1648" s="9" t="inlineStr">
        <is>
          <t>10K Gold Pharaoh Pendant Necklace / CZ &amp; Ruby, Egyptian King</t>
        </is>
      </c>
      <c r="C1648" s="9" t="n">
        <v>1735786221</v>
      </c>
      <c r="D1648" s="9" t="inlineStr">
        <is>
          <t>PEGY4-3-22</t>
        </is>
      </c>
      <c r="E1648" s="9" t="inlineStr">
        <is>
          <t>description</t>
        </is>
      </c>
      <c r="F1648" s="10" t="n">
        <v>2874</v>
      </c>
      <c r="G1648" s="18" t="n">
        <v>16.18</v>
      </c>
      <c r="H1648" s="10">
        <f>IF(G1648="","",G1648*Ayarlar!$B$3+Ayarlar!$B$4+Ayarlar!$B$5)</f>
        <v/>
      </c>
      <c r="I1648" s="10">
        <f>IF(G1648="","",ROUNDUP(((G1648*Ayarlar!$B$3+Ayarlar!$B$4+Ayarlar!$B$5)+Ayarlar!$B$8)/((1-Ayarlar!$B$6)*(1-Ayarlar!$B$7)),0))</f>
        <v/>
      </c>
      <c r="J1648" s="10">
        <f>IF(G1648="","",ROUNDUP(((G1648*Ayarlar!$B$3+Ayarlar!$B$4+Ayarlar!$B$5)+Ayarlar!$B$8)/((1-Ayarlar!$B$6)*(1-Ayarlar!$B$7-Ayarlar!$B$9)),0))</f>
        <v/>
      </c>
      <c r="K1648" s="12">
        <f>IF(OR(G1648="",F1648=""),"",(F1648*(1-Ayarlar!$B$6)-(F1648*(1-Ayarlar!$B$6)*Ayarlar!$B$7+Ayarlar!$B$8)-(G1648*Ayarlar!$B$3+Ayarlar!$B$4+Ayarlar!$B$5))/(F1648*(1-Ayarlar!$B$6)))</f>
        <v/>
      </c>
      <c r="L1648" s="9">
        <f>IF(G1648="","GRAM EKSİK",IF(F1648&gt;30000,"FİYAT ŞÜPHELİ",IF(K1648&lt;0,"ZARARDA",IF(F1648&lt;I1648,"RİSKLİ","ok"))))</f>
        <v/>
      </c>
      <c r="M1648" s="13" t="inlineStr">
        <is>
          <t>https://www.etsy.com/listing/1735786221</t>
        </is>
      </c>
    </row>
    <row r="1649">
      <c r="A1649" s="3" t="inlineStr">
        <is>
          <t>protection</t>
        </is>
      </c>
      <c r="B1649" s="3" t="inlineStr">
        <is>
          <t>10K Gold Pharaoh Pendant Necklace / CZ &amp; Ruby, Egyptian King</t>
        </is>
      </c>
      <c r="C1649" s="3" t="n">
        <v>1735786221</v>
      </c>
      <c r="D1649" s="3" t="inlineStr">
        <is>
          <t>PEGY4-3-24</t>
        </is>
      </c>
      <c r="E1649" s="3" t="inlineStr">
        <is>
          <t>description</t>
        </is>
      </c>
      <c r="F1649" s="14" t="n">
        <v>2937</v>
      </c>
      <c r="G1649" s="17" t="n">
        <v>16.54</v>
      </c>
      <c r="H1649" s="14">
        <f>IF(G1649="","",G1649*Ayarlar!$B$3+Ayarlar!$B$4+Ayarlar!$B$5)</f>
        <v/>
      </c>
      <c r="I1649" s="14">
        <f>IF(G1649="","",ROUNDUP(((G1649*Ayarlar!$B$3+Ayarlar!$B$4+Ayarlar!$B$5)+Ayarlar!$B$8)/((1-Ayarlar!$B$6)*(1-Ayarlar!$B$7)),0))</f>
        <v/>
      </c>
      <c r="J1649" s="14">
        <f>IF(G1649="","",ROUNDUP(((G1649*Ayarlar!$B$3+Ayarlar!$B$4+Ayarlar!$B$5)+Ayarlar!$B$8)/((1-Ayarlar!$B$6)*(1-Ayarlar!$B$7-Ayarlar!$B$9)),0))</f>
        <v/>
      </c>
      <c r="K1649" s="15">
        <f>IF(OR(G1649="",F1649=""),"",(F1649*(1-Ayarlar!$B$6)-(F1649*(1-Ayarlar!$B$6)*Ayarlar!$B$7+Ayarlar!$B$8)-(G1649*Ayarlar!$B$3+Ayarlar!$B$4+Ayarlar!$B$5))/(F1649*(1-Ayarlar!$B$6)))</f>
        <v/>
      </c>
      <c r="L1649" s="3">
        <f>IF(G1649="","GRAM EKSİK",IF(F1649&gt;30000,"FİYAT ŞÜPHELİ",IF(K1649&lt;0,"ZARARDA",IF(F1649&lt;I1649,"RİSKLİ","ok"))))</f>
        <v/>
      </c>
      <c r="M1649" s="16" t="inlineStr">
        <is>
          <t>https://www.etsy.com/listing/1735786221</t>
        </is>
      </c>
    </row>
    <row r="1650">
      <c r="A1650" s="9" t="inlineStr">
        <is>
          <t>protection</t>
        </is>
      </c>
      <c r="B1650" s="9" t="inlineStr">
        <is>
          <t>10K Gold Pharaoh Pendant Necklace / CZ &amp; Ruby, Egyptian King</t>
        </is>
      </c>
      <c r="C1650" s="9" t="n">
        <v>1735786221</v>
      </c>
      <c r="D1650" s="9" t="inlineStr">
        <is>
          <t>PEGY4-35-16</t>
        </is>
      </c>
      <c r="E1650" s="9" t="inlineStr">
        <is>
          <t>description</t>
        </is>
      </c>
      <c r="F1650" s="10" t="n">
        <v>2899</v>
      </c>
      <c r="G1650" s="18" t="n">
        <v>16.32</v>
      </c>
      <c r="H1650" s="10">
        <f>IF(G1650="","",G1650*Ayarlar!$B$3+Ayarlar!$B$4+Ayarlar!$B$5)</f>
        <v/>
      </c>
      <c r="I1650" s="10">
        <f>IF(G1650="","",ROUNDUP(((G1650*Ayarlar!$B$3+Ayarlar!$B$4+Ayarlar!$B$5)+Ayarlar!$B$8)/((1-Ayarlar!$B$6)*(1-Ayarlar!$B$7)),0))</f>
        <v/>
      </c>
      <c r="J1650" s="10">
        <f>IF(G1650="","",ROUNDUP(((G1650*Ayarlar!$B$3+Ayarlar!$B$4+Ayarlar!$B$5)+Ayarlar!$B$8)/((1-Ayarlar!$B$6)*(1-Ayarlar!$B$7-Ayarlar!$B$9)),0))</f>
        <v/>
      </c>
      <c r="K1650" s="12">
        <f>IF(OR(G1650="",F1650=""),"",(F1650*(1-Ayarlar!$B$6)-(F1650*(1-Ayarlar!$B$6)*Ayarlar!$B$7+Ayarlar!$B$8)-(G1650*Ayarlar!$B$3+Ayarlar!$B$4+Ayarlar!$B$5))/(F1650*(1-Ayarlar!$B$6)))</f>
        <v/>
      </c>
      <c r="L1650" s="9">
        <f>IF(G1650="","GRAM EKSİK",IF(F1650&gt;30000,"FİYAT ŞÜPHELİ",IF(K1650&lt;0,"ZARARDA",IF(F1650&lt;I1650,"RİSKLİ","ok"))))</f>
        <v/>
      </c>
      <c r="M1650" s="13" t="inlineStr">
        <is>
          <t>https://www.etsy.com/listing/1735786221</t>
        </is>
      </c>
    </row>
    <row r="1651">
      <c r="A1651" s="3" t="inlineStr">
        <is>
          <t>protection</t>
        </is>
      </c>
      <c r="B1651" s="3" t="inlineStr">
        <is>
          <t>10K Gold Pharaoh Pendant Necklace / CZ &amp; Ruby, Egyptian King</t>
        </is>
      </c>
      <c r="C1651" s="3" t="n">
        <v>1735786221</v>
      </c>
      <c r="D1651" s="3" t="inlineStr">
        <is>
          <t>PEGY4-35-18</t>
        </is>
      </c>
      <c r="E1651" s="3" t="inlineStr">
        <is>
          <t>description</t>
        </is>
      </c>
      <c r="F1651" s="14" t="n">
        <v>2989</v>
      </c>
      <c r="G1651" s="17" t="n">
        <v>16.83</v>
      </c>
      <c r="H1651" s="14">
        <f>IF(G1651="","",G1651*Ayarlar!$B$3+Ayarlar!$B$4+Ayarlar!$B$5)</f>
        <v/>
      </c>
      <c r="I1651" s="14">
        <f>IF(G1651="","",ROUNDUP(((G1651*Ayarlar!$B$3+Ayarlar!$B$4+Ayarlar!$B$5)+Ayarlar!$B$8)/((1-Ayarlar!$B$6)*(1-Ayarlar!$B$7)),0))</f>
        <v/>
      </c>
      <c r="J1651" s="14">
        <f>IF(G1651="","",ROUNDUP(((G1651*Ayarlar!$B$3+Ayarlar!$B$4+Ayarlar!$B$5)+Ayarlar!$B$8)/((1-Ayarlar!$B$6)*(1-Ayarlar!$B$7-Ayarlar!$B$9)),0))</f>
        <v/>
      </c>
      <c r="K1651" s="15">
        <f>IF(OR(G1651="",F1651=""),"",(F1651*(1-Ayarlar!$B$6)-(F1651*(1-Ayarlar!$B$6)*Ayarlar!$B$7+Ayarlar!$B$8)-(G1651*Ayarlar!$B$3+Ayarlar!$B$4+Ayarlar!$B$5))/(F1651*(1-Ayarlar!$B$6)))</f>
        <v/>
      </c>
      <c r="L1651" s="3">
        <f>IF(G1651="","GRAM EKSİK",IF(F1651&gt;30000,"FİYAT ŞÜPHELİ",IF(K1651&lt;0,"ZARARDA",IF(F1651&lt;I1651,"RİSKLİ","ok"))))</f>
        <v/>
      </c>
      <c r="M1651" s="16" t="inlineStr">
        <is>
          <t>https://www.etsy.com/listing/1735786221</t>
        </is>
      </c>
    </row>
    <row r="1652">
      <c r="A1652" s="9" t="inlineStr">
        <is>
          <t>protection</t>
        </is>
      </c>
      <c r="B1652" s="9" t="inlineStr">
        <is>
          <t>10K Gold Pharaoh Pendant Necklace / CZ &amp; Ruby, Egyptian King</t>
        </is>
      </c>
      <c r="C1652" s="9" t="n">
        <v>1735786221</v>
      </c>
      <c r="D1652" s="9" t="inlineStr">
        <is>
          <t>PEGY4-35-20</t>
        </is>
      </c>
      <c r="E1652" s="9" t="inlineStr">
        <is>
          <t>description</t>
        </is>
      </c>
      <c r="F1652" s="10" t="n">
        <v>3079</v>
      </c>
      <c r="G1652" s="18" t="n">
        <v>17.34</v>
      </c>
      <c r="H1652" s="10">
        <f>IF(G1652="","",G1652*Ayarlar!$B$3+Ayarlar!$B$4+Ayarlar!$B$5)</f>
        <v/>
      </c>
      <c r="I1652" s="10">
        <f>IF(G1652="","",ROUNDUP(((G1652*Ayarlar!$B$3+Ayarlar!$B$4+Ayarlar!$B$5)+Ayarlar!$B$8)/((1-Ayarlar!$B$6)*(1-Ayarlar!$B$7)),0))</f>
        <v/>
      </c>
      <c r="J1652" s="10">
        <f>IF(G1652="","",ROUNDUP(((G1652*Ayarlar!$B$3+Ayarlar!$B$4+Ayarlar!$B$5)+Ayarlar!$B$8)/((1-Ayarlar!$B$6)*(1-Ayarlar!$B$7-Ayarlar!$B$9)),0))</f>
        <v/>
      </c>
      <c r="K1652" s="12">
        <f>IF(OR(G1652="",F1652=""),"",(F1652*(1-Ayarlar!$B$6)-(F1652*(1-Ayarlar!$B$6)*Ayarlar!$B$7+Ayarlar!$B$8)-(G1652*Ayarlar!$B$3+Ayarlar!$B$4+Ayarlar!$B$5))/(F1652*(1-Ayarlar!$B$6)))</f>
        <v/>
      </c>
      <c r="L1652" s="9">
        <f>IF(G1652="","GRAM EKSİK",IF(F1652&gt;30000,"FİYAT ŞÜPHELİ",IF(K1652&lt;0,"ZARARDA",IF(F1652&lt;I1652,"RİSKLİ","ok"))))</f>
        <v/>
      </c>
      <c r="M1652" s="13" t="inlineStr">
        <is>
          <t>https://www.etsy.com/listing/1735786221</t>
        </is>
      </c>
    </row>
    <row r="1653">
      <c r="A1653" s="3" t="inlineStr">
        <is>
          <t>protection</t>
        </is>
      </c>
      <c r="B1653" s="3" t="inlineStr">
        <is>
          <t>10K Gold Pharaoh Pendant Necklace / CZ &amp; Ruby, Egyptian King</t>
        </is>
      </c>
      <c r="C1653" s="3" t="n">
        <v>1735786221</v>
      </c>
      <c r="D1653" s="3" t="inlineStr">
        <is>
          <t>PEGY4-35-22</t>
        </is>
      </c>
      <c r="E1653" s="3" t="inlineStr">
        <is>
          <t>description</t>
        </is>
      </c>
      <c r="F1653" s="14" t="n">
        <v>3169</v>
      </c>
      <c r="G1653" s="17" t="n">
        <v>17.85</v>
      </c>
      <c r="H1653" s="14">
        <f>IF(G1653="","",G1653*Ayarlar!$B$3+Ayarlar!$B$4+Ayarlar!$B$5)</f>
        <v/>
      </c>
      <c r="I1653" s="14">
        <f>IF(G1653="","",ROUNDUP(((G1653*Ayarlar!$B$3+Ayarlar!$B$4+Ayarlar!$B$5)+Ayarlar!$B$8)/((1-Ayarlar!$B$6)*(1-Ayarlar!$B$7)),0))</f>
        <v/>
      </c>
      <c r="J1653" s="14">
        <f>IF(G1653="","",ROUNDUP(((G1653*Ayarlar!$B$3+Ayarlar!$B$4+Ayarlar!$B$5)+Ayarlar!$B$8)/((1-Ayarlar!$B$6)*(1-Ayarlar!$B$7-Ayarlar!$B$9)),0))</f>
        <v/>
      </c>
      <c r="K1653" s="15">
        <f>IF(OR(G1653="",F1653=""),"",(F1653*(1-Ayarlar!$B$6)-(F1653*(1-Ayarlar!$B$6)*Ayarlar!$B$7+Ayarlar!$B$8)-(G1653*Ayarlar!$B$3+Ayarlar!$B$4+Ayarlar!$B$5))/(F1653*(1-Ayarlar!$B$6)))</f>
        <v/>
      </c>
      <c r="L1653" s="3">
        <f>IF(G1653="","GRAM EKSİK",IF(F1653&gt;30000,"FİYAT ŞÜPHELİ",IF(K1653&lt;0,"ZARARDA",IF(F1653&lt;I1653,"RİSKLİ","ok"))))</f>
        <v/>
      </c>
      <c r="M1653" s="16" t="inlineStr">
        <is>
          <t>https://www.etsy.com/listing/1735786221</t>
        </is>
      </c>
    </row>
    <row r="1654">
      <c r="A1654" s="9" t="inlineStr">
        <is>
          <t>protection</t>
        </is>
      </c>
      <c r="B1654" s="9" t="inlineStr">
        <is>
          <t>10K Gold Pharaoh Pendant Necklace / CZ &amp; Ruby, Egyptian King</t>
        </is>
      </c>
      <c r="C1654" s="9" t="n">
        <v>1735786221</v>
      </c>
      <c r="D1654" s="9" t="inlineStr">
        <is>
          <t>PEGY4-35-24</t>
        </is>
      </c>
      <c r="E1654" s="9" t="inlineStr">
        <is>
          <t>description</t>
        </is>
      </c>
      <c r="F1654" s="10" t="n">
        <v>3259</v>
      </c>
      <c r="G1654" s="18" t="n">
        <v>18.36</v>
      </c>
      <c r="H1654" s="10">
        <f>IF(G1654="","",G1654*Ayarlar!$B$3+Ayarlar!$B$4+Ayarlar!$B$5)</f>
        <v/>
      </c>
      <c r="I1654" s="10">
        <f>IF(G1654="","",ROUNDUP(((G1654*Ayarlar!$B$3+Ayarlar!$B$4+Ayarlar!$B$5)+Ayarlar!$B$8)/((1-Ayarlar!$B$6)*(1-Ayarlar!$B$7)),0))</f>
        <v/>
      </c>
      <c r="J1654" s="10">
        <f>IF(G1654="","",ROUNDUP(((G1654*Ayarlar!$B$3+Ayarlar!$B$4+Ayarlar!$B$5)+Ayarlar!$B$8)/((1-Ayarlar!$B$6)*(1-Ayarlar!$B$7-Ayarlar!$B$9)),0))</f>
        <v/>
      </c>
      <c r="K1654" s="12">
        <f>IF(OR(G1654="",F1654=""),"",(F1654*(1-Ayarlar!$B$6)-(F1654*(1-Ayarlar!$B$6)*Ayarlar!$B$7+Ayarlar!$B$8)-(G1654*Ayarlar!$B$3+Ayarlar!$B$4+Ayarlar!$B$5))/(F1654*(1-Ayarlar!$B$6)))</f>
        <v/>
      </c>
      <c r="L1654" s="9">
        <f>IF(G1654="","GRAM EKSİK",IF(F1654&gt;30000,"FİYAT ŞÜPHELİ",IF(K1654&lt;0,"ZARARDA",IF(F1654&lt;I1654,"RİSKLİ","ok"))))</f>
        <v/>
      </c>
      <c r="M1654" s="13" t="inlineStr">
        <is>
          <t>https://www.etsy.com/listing/1735786221</t>
        </is>
      </c>
    </row>
    <row r="1655">
      <c r="A1655" s="3" t="inlineStr">
        <is>
          <t>protection</t>
        </is>
      </c>
      <c r="B1655" s="3" t="inlineStr">
        <is>
          <t>10K Gold Pharaoh Pendant Necklace / CZ &amp; Ruby, Egyptian King</t>
        </is>
      </c>
      <c r="C1655" s="3" t="n">
        <v>1735786221</v>
      </c>
      <c r="D1655" s="3" t="inlineStr">
        <is>
          <t>PEGY4-4-16</t>
        </is>
      </c>
      <c r="E1655" s="3" t="inlineStr">
        <is>
          <t>description</t>
        </is>
      </c>
      <c r="F1655" s="14" t="n">
        <v>3120</v>
      </c>
      <c r="G1655" s="17" t="n">
        <v>17.57</v>
      </c>
      <c r="H1655" s="14">
        <f>IF(G1655="","",G1655*Ayarlar!$B$3+Ayarlar!$B$4+Ayarlar!$B$5)</f>
        <v/>
      </c>
      <c r="I1655" s="14">
        <f>IF(G1655="","",ROUNDUP(((G1655*Ayarlar!$B$3+Ayarlar!$B$4+Ayarlar!$B$5)+Ayarlar!$B$8)/((1-Ayarlar!$B$6)*(1-Ayarlar!$B$7)),0))</f>
        <v/>
      </c>
      <c r="J1655" s="14">
        <f>IF(G1655="","",ROUNDUP(((G1655*Ayarlar!$B$3+Ayarlar!$B$4+Ayarlar!$B$5)+Ayarlar!$B$8)/((1-Ayarlar!$B$6)*(1-Ayarlar!$B$7-Ayarlar!$B$9)),0))</f>
        <v/>
      </c>
      <c r="K1655" s="15">
        <f>IF(OR(G1655="",F1655=""),"",(F1655*(1-Ayarlar!$B$6)-(F1655*(1-Ayarlar!$B$6)*Ayarlar!$B$7+Ayarlar!$B$8)-(G1655*Ayarlar!$B$3+Ayarlar!$B$4+Ayarlar!$B$5))/(F1655*(1-Ayarlar!$B$6)))</f>
        <v/>
      </c>
      <c r="L1655" s="3">
        <f>IF(G1655="","GRAM EKSİK",IF(F1655&gt;30000,"FİYAT ŞÜPHELİ",IF(K1655&lt;0,"ZARARDA",IF(F1655&lt;I1655,"RİSKLİ","ok"))))</f>
        <v/>
      </c>
      <c r="M1655" s="16" t="inlineStr">
        <is>
          <t>https://www.etsy.com/listing/1735786221</t>
        </is>
      </c>
    </row>
    <row r="1656">
      <c r="A1656" s="9" t="inlineStr">
        <is>
          <t>protection</t>
        </is>
      </c>
      <c r="B1656" s="9" t="inlineStr">
        <is>
          <t>10K Gold Pharaoh Pendant Necklace / CZ &amp; Ruby, Egyptian King</t>
        </is>
      </c>
      <c r="C1656" s="9" t="n">
        <v>1735786221</v>
      </c>
      <c r="D1656" s="9" t="inlineStr">
        <is>
          <t>PEGY4-4-18</t>
        </is>
      </c>
      <c r="E1656" s="9" t="inlineStr">
        <is>
          <t>description</t>
        </is>
      </c>
      <c r="F1656" s="10" t="n">
        <v>3238</v>
      </c>
      <c r="G1656" s="18" t="n">
        <v>18.24</v>
      </c>
      <c r="H1656" s="10">
        <f>IF(G1656="","",G1656*Ayarlar!$B$3+Ayarlar!$B$4+Ayarlar!$B$5)</f>
        <v/>
      </c>
      <c r="I1656" s="10">
        <f>IF(G1656="","",ROUNDUP(((G1656*Ayarlar!$B$3+Ayarlar!$B$4+Ayarlar!$B$5)+Ayarlar!$B$8)/((1-Ayarlar!$B$6)*(1-Ayarlar!$B$7)),0))</f>
        <v/>
      </c>
      <c r="J1656" s="10">
        <f>IF(G1656="","",ROUNDUP(((G1656*Ayarlar!$B$3+Ayarlar!$B$4+Ayarlar!$B$5)+Ayarlar!$B$8)/((1-Ayarlar!$B$6)*(1-Ayarlar!$B$7-Ayarlar!$B$9)),0))</f>
        <v/>
      </c>
      <c r="K1656" s="12">
        <f>IF(OR(G1656="",F1656=""),"",(F1656*(1-Ayarlar!$B$6)-(F1656*(1-Ayarlar!$B$6)*Ayarlar!$B$7+Ayarlar!$B$8)-(G1656*Ayarlar!$B$3+Ayarlar!$B$4+Ayarlar!$B$5))/(F1656*(1-Ayarlar!$B$6)))</f>
        <v/>
      </c>
      <c r="L1656" s="9">
        <f>IF(G1656="","GRAM EKSİK",IF(F1656&gt;30000,"FİYAT ŞÜPHELİ",IF(K1656&lt;0,"ZARARDA",IF(F1656&lt;I1656,"RİSKLİ","ok"))))</f>
        <v/>
      </c>
      <c r="M1656" s="13" t="inlineStr">
        <is>
          <t>https://www.etsy.com/listing/1735786221</t>
        </is>
      </c>
    </row>
    <row r="1657">
      <c r="A1657" s="3" t="inlineStr">
        <is>
          <t>protection</t>
        </is>
      </c>
      <c r="B1657" s="3" t="inlineStr">
        <is>
          <t>10K Gold Pharaoh Pendant Necklace / CZ &amp; Ruby, Egyptian King</t>
        </is>
      </c>
      <c r="C1657" s="3" t="n">
        <v>1735786221</v>
      </c>
      <c r="D1657" s="3" t="inlineStr">
        <is>
          <t>PEGY4-4-20</t>
        </is>
      </c>
      <c r="E1657" s="3" t="inlineStr">
        <is>
          <t>description</t>
        </is>
      </c>
      <c r="F1657" s="14" t="n">
        <v>3357</v>
      </c>
      <c r="G1657" s="17" t="n">
        <v>18.91</v>
      </c>
      <c r="H1657" s="14">
        <f>IF(G1657="","",G1657*Ayarlar!$B$3+Ayarlar!$B$4+Ayarlar!$B$5)</f>
        <v/>
      </c>
      <c r="I1657" s="14">
        <f>IF(G1657="","",ROUNDUP(((G1657*Ayarlar!$B$3+Ayarlar!$B$4+Ayarlar!$B$5)+Ayarlar!$B$8)/((1-Ayarlar!$B$6)*(1-Ayarlar!$B$7)),0))</f>
        <v/>
      </c>
      <c r="J1657" s="14">
        <f>IF(G1657="","",ROUNDUP(((G1657*Ayarlar!$B$3+Ayarlar!$B$4+Ayarlar!$B$5)+Ayarlar!$B$8)/((1-Ayarlar!$B$6)*(1-Ayarlar!$B$7-Ayarlar!$B$9)),0))</f>
        <v/>
      </c>
      <c r="K1657" s="15">
        <f>IF(OR(G1657="",F1657=""),"",(F1657*(1-Ayarlar!$B$6)-(F1657*(1-Ayarlar!$B$6)*Ayarlar!$B$7+Ayarlar!$B$8)-(G1657*Ayarlar!$B$3+Ayarlar!$B$4+Ayarlar!$B$5))/(F1657*(1-Ayarlar!$B$6)))</f>
        <v/>
      </c>
      <c r="L1657" s="3">
        <f>IF(G1657="","GRAM EKSİK",IF(F1657&gt;30000,"FİYAT ŞÜPHELİ",IF(K1657&lt;0,"ZARARDA",IF(F1657&lt;I1657,"RİSKLİ","ok"))))</f>
        <v/>
      </c>
      <c r="M1657" s="16" t="inlineStr">
        <is>
          <t>https://www.etsy.com/listing/1735786221</t>
        </is>
      </c>
    </row>
    <row r="1658">
      <c r="A1658" s="9" t="inlineStr">
        <is>
          <t>protection</t>
        </is>
      </c>
      <c r="B1658" s="9" t="inlineStr">
        <is>
          <t>10K Gold Pharaoh Pendant Necklace / CZ &amp; Ruby, Egyptian King</t>
        </is>
      </c>
      <c r="C1658" s="9" t="n">
        <v>1735786221</v>
      </c>
      <c r="D1658" s="9" t="inlineStr">
        <is>
          <t>PEGY4-4-22</t>
        </is>
      </c>
      <c r="E1658" s="9" t="inlineStr">
        <is>
          <t>description</t>
        </is>
      </c>
      <c r="F1658" s="10" t="n">
        <v>3475</v>
      </c>
      <c r="G1658" s="18" t="n">
        <v>19.58</v>
      </c>
      <c r="H1658" s="10">
        <f>IF(G1658="","",G1658*Ayarlar!$B$3+Ayarlar!$B$4+Ayarlar!$B$5)</f>
        <v/>
      </c>
      <c r="I1658" s="10">
        <f>IF(G1658="","",ROUNDUP(((G1658*Ayarlar!$B$3+Ayarlar!$B$4+Ayarlar!$B$5)+Ayarlar!$B$8)/((1-Ayarlar!$B$6)*(1-Ayarlar!$B$7)),0))</f>
        <v/>
      </c>
      <c r="J1658" s="10">
        <f>IF(G1658="","",ROUNDUP(((G1658*Ayarlar!$B$3+Ayarlar!$B$4+Ayarlar!$B$5)+Ayarlar!$B$8)/((1-Ayarlar!$B$6)*(1-Ayarlar!$B$7-Ayarlar!$B$9)),0))</f>
        <v/>
      </c>
      <c r="K1658" s="12">
        <f>IF(OR(G1658="",F1658=""),"",(F1658*(1-Ayarlar!$B$6)-(F1658*(1-Ayarlar!$B$6)*Ayarlar!$B$7+Ayarlar!$B$8)-(G1658*Ayarlar!$B$3+Ayarlar!$B$4+Ayarlar!$B$5))/(F1658*(1-Ayarlar!$B$6)))</f>
        <v/>
      </c>
      <c r="L1658" s="9">
        <f>IF(G1658="","GRAM EKSİK",IF(F1658&gt;30000,"FİYAT ŞÜPHELİ",IF(K1658&lt;0,"ZARARDA",IF(F1658&lt;I1658,"RİSKLİ","ok"))))</f>
        <v/>
      </c>
      <c r="M1658" s="13" t="inlineStr">
        <is>
          <t>https://www.etsy.com/listing/1735786221</t>
        </is>
      </c>
    </row>
    <row r="1659">
      <c r="A1659" s="3" t="inlineStr">
        <is>
          <t>protection</t>
        </is>
      </c>
      <c r="B1659" s="3" t="inlineStr">
        <is>
          <t>10K Gold Pharaoh Pendant Necklace / CZ &amp; Ruby, Egyptian King</t>
        </is>
      </c>
      <c r="C1659" s="3" t="n">
        <v>1735786221</v>
      </c>
      <c r="D1659" s="3" t="inlineStr">
        <is>
          <t>PEGY4-4-24</t>
        </is>
      </c>
      <c r="E1659" s="3" t="inlineStr">
        <is>
          <t>description</t>
        </is>
      </c>
      <c r="F1659" s="14" t="n">
        <v>3592</v>
      </c>
      <c r="G1659" s="17" t="n">
        <v>20.24</v>
      </c>
      <c r="H1659" s="14">
        <f>IF(G1659="","",G1659*Ayarlar!$B$3+Ayarlar!$B$4+Ayarlar!$B$5)</f>
        <v/>
      </c>
      <c r="I1659" s="14">
        <f>IF(G1659="","",ROUNDUP(((G1659*Ayarlar!$B$3+Ayarlar!$B$4+Ayarlar!$B$5)+Ayarlar!$B$8)/((1-Ayarlar!$B$6)*(1-Ayarlar!$B$7)),0))</f>
        <v/>
      </c>
      <c r="J1659" s="14">
        <f>IF(G1659="","",ROUNDUP(((G1659*Ayarlar!$B$3+Ayarlar!$B$4+Ayarlar!$B$5)+Ayarlar!$B$8)/((1-Ayarlar!$B$6)*(1-Ayarlar!$B$7-Ayarlar!$B$9)),0))</f>
        <v/>
      </c>
      <c r="K1659" s="15">
        <f>IF(OR(G1659="",F1659=""),"",(F1659*(1-Ayarlar!$B$6)-(F1659*(1-Ayarlar!$B$6)*Ayarlar!$B$7+Ayarlar!$B$8)-(G1659*Ayarlar!$B$3+Ayarlar!$B$4+Ayarlar!$B$5))/(F1659*(1-Ayarlar!$B$6)))</f>
        <v/>
      </c>
      <c r="L1659" s="3">
        <f>IF(G1659="","GRAM EKSİK",IF(F1659&gt;30000,"FİYAT ŞÜPHELİ",IF(K1659&lt;0,"ZARARDA",IF(F1659&lt;I1659,"RİSKLİ","ok"))))</f>
        <v/>
      </c>
      <c r="M1659" s="16" t="inlineStr">
        <is>
          <t>https://www.etsy.com/listing/1735786221</t>
        </is>
      </c>
    </row>
    <row r="1660">
      <c r="A1660" s="9" t="inlineStr">
        <is>
          <t>protection</t>
        </is>
      </c>
      <c r="B1660" s="9" t="inlineStr">
        <is>
          <t>14K Gold Cornicello Necklace, Miami Cuban Chain, Italian Hor</t>
        </is>
      </c>
      <c r="C1660" s="9" t="n">
        <v>1537611621</v>
      </c>
      <c r="D1660" s="9" t="inlineStr">
        <is>
          <t>PHR-1</t>
        </is>
      </c>
      <c r="E1660" s="9" t="inlineStr">
        <is>
          <t>—</t>
        </is>
      </c>
      <c r="F1660" s="10" t="n">
        <v>116.1</v>
      </c>
      <c r="G1660" s="11" t="n"/>
      <c r="H1660" s="10">
        <f>IF(G1660="","",G1660*Ayarlar!$B$3+Ayarlar!$B$4+Ayarlar!$B$5)</f>
        <v/>
      </c>
      <c r="I1660" s="10">
        <f>IF(G1660="","",ROUNDUP(((G1660*Ayarlar!$B$3+Ayarlar!$B$4+Ayarlar!$B$5)+Ayarlar!$B$8)/((1-Ayarlar!$B$6)*(1-Ayarlar!$B$7)),0))</f>
        <v/>
      </c>
      <c r="J1660" s="10">
        <f>IF(G1660="","",ROUNDUP(((G1660*Ayarlar!$B$3+Ayarlar!$B$4+Ayarlar!$B$5)+Ayarlar!$B$8)/((1-Ayarlar!$B$6)*(1-Ayarlar!$B$7-Ayarlar!$B$9)),0))</f>
        <v/>
      </c>
      <c r="K1660" s="12">
        <f>IF(OR(G1660="",F1660=""),"",(F1660*(1-Ayarlar!$B$6)-(F1660*(1-Ayarlar!$B$6)*Ayarlar!$B$7+Ayarlar!$B$8)-(G1660*Ayarlar!$B$3+Ayarlar!$B$4+Ayarlar!$B$5))/(F1660*(1-Ayarlar!$B$6)))</f>
        <v/>
      </c>
      <c r="L1660" s="9">
        <f>IF(G1660="","GRAM EKSİK",IF(F1660&gt;30000,"FİYAT ŞÜPHELİ",IF(K1660&lt;0,"ZARARDA",IF(F1660&lt;I1660,"RİSKLİ","ok"))))</f>
        <v/>
      </c>
      <c r="M1660" s="13" t="inlineStr">
        <is>
          <t>https://www.etsy.com/listing/1537611621</t>
        </is>
      </c>
    </row>
    <row r="1661">
      <c r="A1661" s="3" t="inlineStr">
        <is>
          <t>protection</t>
        </is>
      </c>
      <c r="B1661" s="3" t="inlineStr">
        <is>
          <t>14K Gold Cornicello Necklace, Miami Cuban Chain, Italian Hor</t>
        </is>
      </c>
      <c r="C1661" s="3" t="n">
        <v>1537611621</v>
      </c>
      <c r="D1661" s="3" t="inlineStr">
        <is>
          <t>PHR-2</t>
        </is>
      </c>
      <c r="E1661" s="3" t="inlineStr">
        <is>
          <t>—</t>
        </is>
      </c>
      <c r="F1661" s="14" t="n">
        <v>162.54</v>
      </c>
      <c r="G1661" s="11" t="n"/>
      <c r="H1661" s="14">
        <f>IF(G1661="","",G1661*Ayarlar!$B$3+Ayarlar!$B$4+Ayarlar!$B$5)</f>
        <v/>
      </c>
      <c r="I1661" s="14">
        <f>IF(G1661="","",ROUNDUP(((G1661*Ayarlar!$B$3+Ayarlar!$B$4+Ayarlar!$B$5)+Ayarlar!$B$8)/((1-Ayarlar!$B$6)*(1-Ayarlar!$B$7)),0))</f>
        <v/>
      </c>
      <c r="J1661" s="14">
        <f>IF(G1661="","",ROUNDUP(((G1661*Ayarlar!$B$3+Ayarlar!$B$4+Ayarlar!$B$5)+Ayarlar!$B$8)/((1-Ayarlar!$B$6)*(1-Ayarlar!$B$7-Ayarlar!$B$9)),0))</f>
        <v/>
      </c>
      <c r="K1661" s="15">
        <f>IF(OR(G1661="",F1661=""),"",(F1661*(1-Ayarlar!$B$6)-(F1661*(1-Ayarlar!$B$6)*Ayarlar!$B$7+Ayarlar!$B$8)-(G1661*Ayarlar!$B$3+Ayarlar!$B$4+Ayarlar!$B$5))/(F1661*(1-Ayarlar!$B$6)))</f>
        <v/>
      </c>
      <c r="L1661" s="3">
        <f>IF(G1661="","GRAM EKSİK",IF(F1661&gt;30000,"FİYAT ŞÜPHELİ",IF(K1661&lt;0,"ZARARDA",IF(F1661&lt;I1661,"RİSKLİ","ok"))))</f>
        <v/>
      </c>
      <c r="M1661" s="16" t="inlineStr">
        <is>
          <t>https://www.etsy.com/listing/1537611621</t>
        </is>
      </c>
    </row>
    <row r="1662">
      <c r="A1662" s="9" t="inlineStr">
        <is>
          <t>protection</t>
        </is>
      </c>
      <c r="B1662" s="9" t="inlineStr">
        <is>
          <t>14K Gold Cornicello Necklace, Miami Cuban Chain, Italian Hor</t>
        </is>
      </c>
      <c r="C1662" s="9" t="n">
        <v>1537611621</v>
      </c>
      <c r="D1662" s="9" t="inlineStr">
        <is>
          <t>PHR-3</t>
        </is>
      </c>
      <c r="E1662" s="9" t="inlineStr">
        <is>
          <t>shipstation</t>
        </is>
      </c>
      <c r="F1662" s="10" t="n">
        <v>383</v>
      </c>
      <c r="G1662" s="18" t="n">
        <v>1.96</v>
      </c>
      <c r="H1662" s="10">
        <f>IF(G1662="","",G1662*Ayarlar!$B$3+Ayarlar!$B$4+Ayarlar!$B$5)</f>
        <v/>
      </c>
      <c r="I1662" s="10">
        <f>IF(G1662="","",ROUNDUP(((G1662*Ayarlar!$B$3+Ayarlar!$B$4+Ayarlar!$B$5)+Ayarlar!$B$8)/((1-Ayarlar!$B$6)*(1-Ayarlar!$B$7)),0))</f>
        <v/>
      </c>
      <c r="J1662" s="10">
        <f>IF(G1662="","",ROUNDUP(((G1662*Ayarlar!$B$3+Ayarlar!$B$4+Ayarlar!$B$5)+Ayarlar!$B$8)/((1-Ayarlar!$B$6)*(1-Ayarlar!$B$7-Ayarlar!$B$9)),0))</f>
        <v/>
      </c>
      <c r="K1662" s="12">
        <f>IF(OR(G1662="",F1662=""),"",(F1662*(1-Ayarlar!$B$6)-(F1662*(1-Ayarlar!$B$6)*Ayarlar!$B$7+Ayarlar!$B$8)-(G1662*Ayarlar!$B$3+Ayarlar!$B$4+Ayarlar!$B$5))/(F1662*(1-Ayarlar!$B$6)))</f>
        <v/>
      </c>
      <c r="L1662" s="9">
        <f>IF(G1662="","GRAM EKSİK",IF(F1662&gt;30000,"FİYAT ŞÜPHELİ",IF(K1662&lt;0,"ZARARDA",IF(F1662&lt;I1662,"RİSKLİ","ok"))))</f>
        <v/>
      </c>
      <c r="M1662" s="13" t="inlineStr">
        <is>
          <t>https://www.etsy.com/listing/1537611621</t>
        </is>
      </c>
    </row>
    <row r="1663">
      <c r="A1663" s="3" t="inlineStr">
        <is>
          <t>protection</t>
        </is>
      </c>
      <c r="B1663" s="3" t="inlineStr">
        <is>
          <t>14K Gold Cornicello Necklace, Miami Cuban Chain, Italian Hor</t>
        </is>
      </c>
      <c r="C1663" s="3" t="n">
        <v>1537611621</v>
      </c>
      <c r="D1663" s="3" t="inlineStr">
        <is>
          <t>PHR1-3-16</t>
        </is>
      </c>
      <c r="E1663" s="3" t="inlineStr">
        <is>
          <t>description</t>
        </is>
      </c>
      <c r="F1663" s="14" t="n">
        <v>804</v>
      </c>
      <c r="G1663" s="17" t="n">
        <v>4.48</v>
      </c>
      <c r="H1663" s="14">
        <f>IF(G1663="","",G1663*Ayarlar!$B$3+Ayarlar!$B$4+Ayarlar!$B$5)</f>
        <v/>
      </c>
      <c r="I1663" s="14">
        <f>IF(G1663="","",ROUNDUP(((G1663*Ayarlar!$B$3+Ayarlar!$B$4+Ayarlar!$B$5)+Ayarlar!$B$8)/((1-Ayarlar!$B$6)*(1-Ayarlar!$B$7)),0))</f>
        <v/>
      </c>
      <c r="J1663" s="14">
        <f>IF(G1663="","",ROUNDUP(((G1663*Ayarlar!$B$3+Ayarlar!$B$4+Ayarlar!$B$5)+Ayarlar!$B$8)/((1-Ayarlar!$B$6)*(1-Ayarlar!$B$7-Ayarlar!$B$9)),0))</f>
        <v/>
      </c>
      <c r="K1663" s="15">
        <f>IF(OR(G1663="",F1663=""),"",(F1663*(1-Ayarlar!$B$6)-(F1663*(1-Ayarlar!$B$6)*Ayarlar!$B$7+Ayarlar!$B$8)-(G1663*Ayarlar!$B$3+Ayarlar!$B$4+Ayarlar!$B$5))/(F1663*(1-Ayarlar!$B$6)))</f>
        <v/>
      </c>
      <c r="L1663" s="3">
        <f>IF(G1663="","GRAM EKSİK",IF(F1663&gt;30000,"FİYAT ŞÜPHELİ",IF(K1663&lt;0,"ZARARDA",IF(F1663&lt;I1663,"RİSKLİ","ok"))))</f>
        <v/>
      </c>
      <c r="M1663" s="16" t="inlineStr">
        <is>
          <t>https://www.etsy.com/listing/1537611621</t>
        </is>
      </c>
    </row>
    <row r="1664">
      <c r="A1664" s="9" t="inlineStr">
        <is>
          <t>protection</t>
        </is>
      </c>
      <c r="B1664" s="9" t="inlineStr">
        <is>
          <t>14K Gold Cornicello Necklace, Miami Cuban Chain, Italian Hor</t>
        </is>
      </c>
      <c r="C1664" s="9" t="n">
        <v>1537611621</v>
      </c>
      <c r="D1664" s="9" t="inlineStr">
        <is>
          <t>PHR1-3-18</t>
        </is>
      </c>
      <c r="E1664" s="9" t="inlineStr">
        <is>
          <t>description</t>
        </is>
      </c>
      <c r="F1664" s="10" t="n">
        <v>8192</v>
      </c>
      <c r="G1664" s="18" t="n">
        <v>5.04</v>
      </c>
      <c r="H1664" s="10">
        <f>IF(G1664="","",G1664*Ayarlar!$B$3+Ayarlar!$B$4+Ayarlar!$B$5)</f>
        <v/>
      </c>
      <c r="I1664" s="10">
        <f>IF(G1664="","",ROUNDUP(((G1664*Ayarlar!$B$3+Ayarlar!$B$4+Ayarlar!$B$5)+Ayarlar!$B$8)/((1-Ayarlar!$B$6)*(1-Ayarlar!$B$7)),0))</f>
        <v/>
      </c>
      <c r="J1664" s="10">
        <f>IF(G1664="","",ROUNDUP(((G1664*Ayarlar!$B$3+Ayarlar!$B$4+Ayarlar!$B$5)+Ayarlar!$B$8)/((1-Ayarlar!$B$6)*(1-Ayarlar!$B$7-Ayarlar!$B$9)),0))</f>
        <v/>
      </c>
      <c r="K1664" s="12">
        <f>IF(OR(G1664="",F1664=""),"",(F1664*(1-Ayarlar!$B$6)-(F1664*(1-Ayarlar!$B$6)*Ayarlar!$B$7+Ayarlar!$B$8)-(G1664*Ayarlar!$B$3+Ayarlar!$B$4+Ayarlar!$B$5))/(F1664*(1-Ayarlar!$B$6)))</f>
        <v/>
      </c>
      <c r="L1664" s="9">
        <f>IF(G1664="","GRAM EKSİK",IF(F1664&gt;30000,"FİYAT ŞÜPHELİ",IF(K1664&lt;0,"ZARARDA",IF(F1664&lt;I1664,"RİSKLİ","ok"))))</f>
        <v/>
      </c>
      <c r="M1664" s="13" t="inlineStr">
        <is>
          <t>https://www.etsy.com/listing/1537611621</t>
        </is>
      </c>
    </row>
    <row r="1665">
      <c r="A1665" s="3" t="inlineStr">
        <is>
          <t>protection</t>
        </is>
      </c>
      <c r="B1665" s="3" t="inlineStr">
        <is>
          <t>14K Gold Cornicello Necklace, Miami Cuban Chain, Italian Hor</t>
        </is>
      </c>
      <c r="C1665" s="3" t="n">
        <v>1537611621</v>
      </c>
      <c r="D1665" s="3" t="inlineStr">
        <is>
          <t>PHR1-3-20</t>
        </is>
      </c>
      <c r="E1665" s="3" t="inlineStr">
        <is>
          <t>description</t>
        </is>
      </c>
      <c r="F1665" s="14" t="n">
        <v>1069</v>
      </c>
      <c r="G1665" s="17" t="n">
        <v>5.6</v>
      </c>
      <c r="H1665" s="14">
        <f>IF(G1665="","",G1665*Ayarlar!$B$3+Ayarlar!$B$4+Ayarlar!$B$5)</f>
        <v/>
      </c>
      <c r="I1665" s="14">
        <f>IF(G1665="","",ROUNDUP(((G1665*Ayarlar!$B$3+Ayarlar!$B$4+Ayarlar!$B$5)+Ayarlar!$B$8)/((1-Ayarlar!$B$6)*(1-Ayarlar!$B$7)),0))</f>
        <v/>
      </c>
      <c r="J1665" s="14">
        <f>IF(G1665="","",ROUNDUP(((G1665*Ayarlar!$B$3+Ayarlar!$B$4+Ayarlar!$B$5)+Ayarlar!$B$8)/((1-Ayarlar!$B$6)*(1-Ayarlar!$B$7-Ayarlar!$B$9)),0))</f>
        <v/>
      </c>
      <c r="K1665" s="15">
        <f>IF(OR(G1665="",F1665=""),"",(F1665*(1-Ayarlar!$B$6)-(F1665*(1-Ayarlar!$B$6)*Ayarlar!$B$7+Ayarlar!$B$8)-(G1665*Ayarlar!$B$3+Ayarlar!$B$4+Ayarlar!$B$5))/(F1665*(1-Ayarlar!$B$6)))</f>
        <v/>
      </c>
      <c r="L1665" s="3">
        <f>IF(G1665="","GRAM EKSİK",IF(F1665&gt;30000,"FİYAT ŞÜPHELİ",IF(K1665&lt;0,"ZARARDA",IF(F1665&lt;I1665,"RİSKLİ","ok"))))</f>
        <v/>
      </c>
      <c r="M1665" s="16" t="inlineStr">
        <is>
          <t>https://www.etsy.com/listing/1537611621</t>
        </is>
      </c>
    </row>
    <row r="1666">
      <c r="A1666" s="9" t="inlineStr">
        <is>
          <t>protection</t>
        </is>
      </c>
      <c r="B1666" s="9" t="inlineStr">
        <is>
          <t>14K Gold Cornicello Necklace, Miami Cuban Chain, Italian Hor</t>
        </is>
      </c>
      <c r="C1666" s="9" t="n">
        <v>1537611621</v>
      </c>
      <c r="D1666" s="9" t="inlineStr">
        <is>
          <t>PHR1-3-22</t>
        </is>
      </c>
      <c r="E1666" s="9" t="inlineStr">
        <is>
          <t>description</t>
        </is>
      </c>
      <c r="F1666" s="10" t="n">
        <v>1347</v>
      </c>
      <c r="G1666" s="18" t="n">
        <v>6.16</v>
      </c>
      <c r="H1666" s="10">
        <f>IF(G1666="","",G1666*Ayarlar!$B$3+Ayarlar!$B$4+Ayarlar!$B$5)</f>
        <v/>
      </c>
      <c r="I1666" s="10">
        <f>IF(G1666="","",ROUNDUP(((G1666*Ayarlar!$B$3+Ayarlar!$B$4+Ayarlar!$B$5)+Ayarlar!$B$8)/((1-Ayarlar!$B$6)*(1-Ayarlar!$B$7)),0))</f>
        <v/>
      </c>
      <c r="J1666" s="10">
        <f>IF(G1666="","",ROUNDUP(((G1666*Ayarlar!$B$3+Ayarlar!$B$4+Ayarlar!$B$5)+Ayarlar!$B$8)/((1-Ayarlar!$B$6)*(1-Ayarlar!$B$7-Ayarlar!$B$9)),0))</f>
        <v/>
      </c>
      <c r="K1666" s="12">
        <f>IF(OR(G1666="",F1666=""),"",(F1666*(1-Ayarlar!$B$6)-(F1666*(1-Ayarlar!$B$6)*Ayarlar!$B$7+Ayarlar!$B$8)-(G1666*Ayarlar!$B$3+Ayarlar!$B$4+Ayarlar!$B$5))/(F1666*(1-Ayarlar!$B$6)))</f>
        <v/>
      </c>
      <c r="L1666" s="9">
        <f>IF(G1666="","GRAM EKSİK",IF(F1666&gt;30000,"FİYAT ŞÜPHELİ",IF(K1666&lt;0,"ZARARDA",IF(F1666&lt;I1666,"RİSKLİ","ok"))))</f>
        <v/>
      </c>
      <c r="M1666" s="13" t="inlineStr">
        <is>
          <t>https://www.etsy.com/listing/1537611621</t>
        </is>
      </c>
    </row>
    <row r="1667">
      <c r="A1667" s="3" t="inlineStr">
        <is>
          <t>protection</t>
        </is>
      </c>
      <c r="B1667" s="3" t="inlineStr">
        <is>
          <t>14K Gold Cornicello Necklace, Miami Cuban Chain, Italian Hor</t>
        </is>
      </c>
      <c r="C1667" s="3" t="n">
        <v>1537611621</v>
      </c>
      <c r="D1667" s="3" t="inlineStr">
        <is>
          <t>PHR1-3-24</t>
        </is>
      </c>
      <c r="E1667" s="3" t="inlineStr">
        <is>
          <t>description</t>
        </is>
      </c>
      <c r="F1667" s="14" t="n">
        <v>1526</v>
      </c>
      <c r="G1667" s="17" t="n">
        <v>6.72</v>
      </c>
      <c r="H1667" s="14">
        <f>IF(G1667="","",G1667*Ayarlar!$B$3+Ayarlar!$B$4+Ayarlar!$B$5)</f>
        <v/>
      </c>
      <c r="I1667" s="14">
        <f>IF(G1667="","",ROUNDUP(((G1667*Ayarlar!$B$3+Ayarlar!$B$4+Ayarlar!$B$5)+Ayarlar!$B$8)/((1-Ayarlar!$B$6)*(1-Ayarlar!$B$7)),0))</f>
        <v/>
      </c>
      <c r="J1667" s="14">
        <f>IF(G1667="","",ROUNDUP(((G1667*Ayarlar!$B$3+Ayarlar!$B$4+Ayarlar!$B$5)+Ayarlar!$B$8)/((1-Ayarlar!$B$6)*(1-Ayarlar!$B$7-Ayarlar!$B$9)),0))</f>
        <v/>
      </c>
      <c r="K1667" s="15">
        <f>IF(OR(G1667="",F1667=""),"",(F1667*(1-Ayarlar!$B$6)-(F1667*(1-Ayarlar!$B$6)*Ayarlar!$B$7+Ayarlar!$B$8)-(G1667*Ayarlar!$B$3+Ayarlar!$B$4+Ayarlar!$B$5))/(F1667*(1-Ayarlar!$B$6)))</f>
        <v/>
      </c>
      <c r="L1667" s="3">
        <f>IF(G1667="","GRAM EKSİK",IF(F1667&gt;30000,"FİYAT ŞÜPHELİ",IF(K1667&lt;0,"ZARARDA",IF(F1667&lt;I1667,"RİSKLİ","ok"))))</f>
        <v/>
      </c>
      <c r="M1667" s="16" t="inlineStr">
        <is>
          <t>https://www.etsy.com/listing/1537611621</t>
        </is>
      </c>
    </row>
    <row r="1668">
      <c r="A1668" s="9" t="inlineStr">
        <is>
          <t>protection</t>
        </is>
      </c>
      <c r="B1668" s="9" t="inlineStr">
        <is>
          <t>14K Gold Cornicello Necklace, Miami Cuban Chain, Italian Hor</t>
        </is>
      </c>
      <c r="C1668" s="9" t="n">
        <v>1537611621</v>
      </c>
      <c r="D1668" s="9" t="inlineStr">
        <is>
          <t>PHR1-37-16</t>
        </is>
      </c>
      <c r="E1668" s="9" t="inlineStr">
        <is>
          <t>description</t>
        </is>
      </c>
      <c r="F1668" s="10" t="n">
        <v>1323</v>
      </c>
      <c r="G1668" s="18" t="n">
        <v>5.55</v>
      </c>
      <c r="H1668" s="10">
        <f>IF(G1668="","",G1668*Ayarlar!$B$3+Ayarlar!$B$4+Ayarlar!$B$5)</f>
        <v/>
      </c>
      <c r="I1668" s="10">
        <f>IF(G1668="","",ROUNDUP(((G1668*Ayarlar!$B$3+Ayarlar!$B$4+Ayarlar!$B$5)+Ayarlar!$B$8)/((1-Ayarlar!$B$6)*(1-Ayarlar!$B$7)),0))</f>
        <v/>
      </c>
      <c r="J1668" s="10">
        <f>IF(G1668="","",ROUNDUP(((G1668*Ayarlar!$B$3+Ayarlar!$B$4+Ayarlar!$B$5)+Ayarlar!$B$8)/((1-Ayarlar!$B$6)*(1-Ayarlar!$B$7-Ayarlar!$B$9)),0))</f>
        <v/>
      </c>
      <c r="K1668" s="12">
        <f>IF(OR(G1668="",F1668=""),"",(F1668*(1-Ayarlar!$B$6)-(F1668*(1-Ayarlar!$B$6)*Ayarlar!$B$7+Ayarlar!$B$8)-(G1668*Ayarlar!$B$3+Ayarlar!$B$4+Ayarlar!$B$5))/(F1668*(1-Ayarlar!$B$6)))</f>
        <v/>
      </c>
      <c r="L1668" s="9">
        <f>IF(G1668="","GRAM EKSİK",IF(F1668&gt;30000,"FİYAT ŞÜPHELİ",IF(K1668&lt;0,"ZARARDA",IF(F1668&lt;I1668,"RİSKLİ","ok"))))</f>
        <v/>
      </c>
      <c r="M1668" s="13" t="inlineStr">
        <is>
          <t>https://www.etsy.com/listing/1537611621</t>
        </is>
      </c>
    </row>
    <row r="1669">
      <c r="A1669" s="3" t="inlineStr">
        <is>
          <t>protection</t>
        </is>
      </c>
      <c r="B1669" s="3" t="inlineStr">
        <is>
          <t>14K Gold Cornicello Necklace, Miami Cuban Chain, Italian Hor</t>
        </is>
      </c>
      <c r="C1669" s="3" t="n">
        <v>1537611621</v>
      </c>
      <c r="D1669" s="3" t="inlineStr">
        <is>
          <t>PHR1-37-18</t>
        </is>
      </c>
      <c r="E1669" s="3" t="inlineStr">
        <is>
          <t>description</t>
        </is>
      </c>
      <c r="F1669" s="14" t="n">
        <v>1554</v>
      </c>
      <c r="G1669" s="17" t="n">
        <v>6.24</v>
      </c>
      <c r="H1669" s="14">
        <f>IF(G1669="","",G1669*Ayarlar!$B$3+Ayarlar!$B$4+Ayarlar!$B$5)</f>
        <v/>
      </c>
      <c r="I1669" s="14">
        <f>IF(G1669="","",ROUNDUP(((G1669*Ayarlar!$B$3+Ayarlar!$B$4+Ayarlar!$B$5)+Ayarlar!$B$8)/((1-Ayarlar!$B$6)*(1-Ayarlar!$B$7)),0))</f>
        <v/>
      </c>
      <c r="J1669" s="14">
        <f>IF(G1669="","",ROUNDUP(((G1669*Ayarlar!$B$3+Ayarlar!$B$4+Ayarlar!$B$5)+Ayarlar!$B$8)/((1-Ayarlar!$B$6)*(1-Ayarlar!$B$7-Ayarlar!$B$9)),0))</f>
        <v/>
      </c>
      <c r="K1669" s="15">
        <f>IF(OR(G1669="",F1669=""),"",(F1669*(1-Ayarlar!$B$6)-(F1669*(1-Ayarlar!$B$6)*Ayarlar!$B$7+Ayarlar!$B$8)-(G1669*Ayarlar!$B$3+Ayarlar!$B$4+Ayarlar!$B$5))/(F1669*(1-Ayarlar!$B$6)))</f>
        <v/>
      </c>
      <c r="L1669" s="3">
        <f>IF(G1669="","GRAM EKSİK",IF(F1669&gt;30000,"FİYAT ŞÜPHELİ",IF(K1669&lt;0,"ZARARDA",IF(F1669&lt;I1669,"RİSKLİ","ok"))))</f>
        <v/>
      </c>
      <c r="M1669" s="16" t="inlineStr">
        <is>
          <t>https://www.etsy.com/listing/1537611621</t>
        </is>
      </c>
    </row>
    <row r="1670">
      <c r="A1670" s="9" t="inlineStr">
        <is>
          <t>protection</t>
        </is>
      </c>
      <c r="B1670" s="9" t="inlineStr">
        <is>
          <t>14K Gold Cornicello Necklace, Miami Cuban Chain, Italian Hor</t>
        </is>
      </c>
      <c r="C1670" s="9" t="n">
        <v>1537611621</v>
      </c>
      <c r="D1670" s="9" t="inlineStr">
        <is>
          <t>PHR1-37-20</t>
        </is>
      </c>
      <c r="E1670" s="9" t="inlineStr">
        <is>
          <t>description</t>
        </is>
      </c>
      <c r="F1670" s="10" t="n">
        <v>1784</v>
      </c>
      <c r="G1670" s="18" t="n">
        <v>6.94</v>
      </c>
      <c r="H1670" s="10">
        <f>IF(G1670="","",G1670*Ayarlar!$B$3+Ayarlar!$B$4+Ayarlar!$B$5)</f>
        <v/>
      </c>
      <c r="I1670" s="10">
        <f>IF(G1670="","",ROUNDUP(((G1670*Ayarlar!$B$3+Ayarlar!$B$4+Ayarlar!$B$5)+Ayarlar!$B$8)/((1-Ayarlar!$B$6)*(1-Ayarlar!$B$7)),0))</f>
        <v/>
      </c>
      <c r="J1670" s="10">
        <f>IF(G1670="","",ROUNDUP(((G1670*Ayarlar!$B$3+Ayarlar!$B$4+Ayarlar!$B$5)+Ayarlar!$B$8)/((1-Ayarlar!$B$6)*(1-Ayarlar!$B$7-Ayarlar!$B$9)),0))</f>
        <v/>
      </c>
      <c r="K1670" s="12">
        <f>IF(OR(G1670="",F1670=""),"",(F1670*(1-Ayarlar!$B$6)-(F1670*(1-Ayarlar!$B$6)*Ayarlar!$B$7+Ayarlar!$B$8)-(G1670*Ayarlar!$B$3+Ayarlar!$B$4+Ayarlar!$B$5))/(F1670*(1-Ayarlar!$B$6)))</f>
        <v/>
      </c>
      <c r="L1670" s="9">
        <f>IF(G1670="","GRAM EKSİK",IF(F1670&gt;30000,"FİYAT ŞÜPHELİ",IF(K1670&lt;0,"ZARARDA",IF(F1670&lt;I1670,"RİSKLİ","ok"))))</f>
        <v/>
      </c>
      <c r="M1670" s="13" t="inlineStr">
        <is>
          <t>https://www.etsy.com/listing/1537611621</t>
        </is>
      </c>
    </row>
    <row r="1671">
      <c r="A1671" s="3" t="inlineStr">
        <is>
          <t>protection</t>
        </is>
      </c>
      <c r="B1671" s="3" t="inlineStr">
        <is>
          <t>14K Gold Cornicello Necklace, Miami Cuban Chain, Italian Hor</t>
        </is>
      </c>
      <c r="C1671" s="3" t="n">
        <v>1537611621</v>
      </c>
      <c r="D1671" s="3" t="inlineStr">
        <is>
          <t>PHR1-37-22</t>
        </is>
      </c>
      <c r="E1671" s="3" t="inlineStr">
        <is>
          <t>description</t>
        </is>
      </c>
      <c r="F1671" s="14" t="n">
        <v>2022</v>
      </c>
      <c r="G1671" s="17" t="n">
        <v>7.63</v>
      </c>
      <c r="H1671" s="14">
        <f>IF(G1671="","",G1671*Ayarlar!$B$3+Ayarlar!$B$4+Ayarlar!$B$5)</f>
        <v/>
      </c>
      <c r="I1671" s="14">
        <f>IF(G1671="","",ROUNDUP(((G1671*Ayarlar!$B$3+Ayarlar!$B$4+Ayarlar!$B$5)+Ayarlar!$B$8)/((1-Ayarlar!$B$6)*(1-Ayarlar!$B$7)),0))</f>
        <v/>
      </c>
      <c r="J1671" s="14">
        <f>IF(G1671="","",ROUNDUP(((G1671*Ayarlar!$B$3+Ayarlar!$B$4+Ayarlar!$B$5)+Ayarlar!$B$8)/((1-Ayarlar!$B$6)*(1-Ayarlar!$B$7-Ayarlar!$B$9)),0))</f>
        <v/>
      </c>
      <c r="K1671" s="15">
        <f>IF(OR(G1671="",F1671=""),"",(F1671*(1-Ayarlar!$B$6)-(F1671*(1-Ayarlar!$B$6)*Ayarlar!$B$7+Ayarlar!$B$8)-(G1671*Ayarlar!$B$3+Ayarlar!$B$4+Ayarlar!$B$5))/(F1671*(1-Ayarlar!$B$6)))</f>
        <v/>
      </c>
      <c r="L1671" s="3">
        <f>IF(G1671="","GRAM EKSİK",IF(F1671&gt;30000,"FİYAT ŞÜPHELİ",IF(K1671&lt;0,"ZARARDA",IF(F1671&lt;I1671,"RİSKLİ","ok"))))</f>
        <v/>
      </c>
      <c r="M1671" s="16" t="inlineStr">
        <is>
          <t>https://www.etsy.com/listing/1537611621</t>
        </is>
      </c>
    </row>
    <row r="1672">
      <c r="A1672" s="9" t="inlineStr">
        <is>
          <t>protection</t>
        </is>
      </c>
      <c r="B1672" s="9" t="inlineStr">
        <is>
          <t>14K Gold Cornicello Necklace, Miami Cuban Chain, Italian Hor</t>
        </is>
      </c>
      <c r="C1672" s="9" t="n">
        <v>1537611621</v>
      </c>
      <c r="D1672" s="9" t="inlineStr">
        <is>
          <t>PHR1-37-24</t>
        </is>
      </c>
      <c r="E1672" s="9" t="inlineStr">
        <is>
          <t>description</t>
        </is>
      </c>
      <c r="F1672" s="10" t="n">
        <v>2043</v>
      </c>
      <c r="G1672" s="18" t="n">
        <v>8.33</v>
      </c>
      <c r="H1672" s="10">
        <f>IF(G1672="","",G1672*Ayarlar!$B$3+Ayarlar!$B$4+Ayarlar!$B$5)</f>
        <v/>
      </c>
      <c r="I1672" s="10">
        <f>IF(G1672="","",ROUNDUP(((G1672*Ayarlar!$B$3+Ayarlar!$B$4+Ayarlar!$B$5)+Ayarlar!$B$8)/((1-Ayarlar!$B$6)*(1-Ayarlar!$B$7)),0))</f>
        <v/>
      </c>
      <c r="J1672" s="10">
        <f>IF(G1672="","",ROUNDUP(((G1672*Ayarlar!$B$3+Ayarlar!$B$4+Ayarlar!$B$5)+Ayarlar!$B$8)/((1-Ayarlar!$B$6)*(1-Ayarlar!$B$7-Ayarlar!$B$9)),0))</f>
        <v/>
      </c>
      <c r="K1672" s="12">
        <f>IF(OR(G1672="",F1672=""),"",(F1672*(1-Ayarlar!$B$6)-(F1672*(1-Ayarlar!$B$6)*Ayarlar!$B$7+Ayarlar!$B$8)-(G1672*Ayarlar!$B$3+Ayarlar!$B$4+Ayarlar!$B$5))/(F1672*(1-Ayarlar!$B$6)))</f>
        <v/>
      </c>
      <c r="L1672" s="9">
        <f>IF(G1672="","GRAM EKSİK",IF(F1672&gt;30000,"FİYAT ŞÜPHELİ",IF(K1672&lt;0,"ZARARDA",IF(F1672&lt;I1672,"RİSKLİ","ok"))))</f>
        <v/>
      </c>
      <c r="M1672" s="13" t="inlineStr">
        <is>
          <t>https://www.etsy.com/listing/1537611621</t>
        </is>
      </c>
    </row>
    <row r="1673">
      <c r="A1673" s="3" t="inlineStr">
        <is>
          <t>protection</t>
        </is>
      </c>
      <c r="B1673" s="3" t="inlineStr">
        <is>
          <t>14K Gold Cornicello Necklace, Miami Cuban Chain, Italian Hor</t>
        </is>
      </c>
      <c r="C1673" s="3" t="n">
        <v>1537611621</v>
      </c>
      <c r="D1673" s="3" t="inlineStr">
        <is>
          <t>PHR1-45-16</t>
        </is>
      </c>
      <c r="E1673" s="3" t="inlineStr">
        <is>
          <t>description</t>
        </is>
      </c>
      <c r="F1673" s="14" t="n">
        <v>1911</v>
      </c>
      <c r="G1673" s="17" t="n">
        <v>8.58</v>
      </c>
      <c r="H1673" s="14">
        <f>IF(G1673="","",G1673*Ayarlar!$B$3+Ayarlar!$B$4+Ayarlar!$B$5)</f>
        <v/>
      </c>
      <c r="I1673" s="14">
        <f>IF(G1673="","",ROUNDUP(((G1673*Ayarlar!$B$3+Ayarlar!$B$4+Ayarlar!$B$5)+Ayarlar!$B$8)/((1-Ayarlar!$B$6)*(1-Ayarlar!$B$7)),0))</f>
        <v/>
      </c>
      <c r="J1673" s="14">
        <f>IF(G1673="","",ROUNDUP(((G1673*Ayarlar!$B$3+Ayarlar!$B$4+Ayarlar!$B$5)+Ayarlar!$B$8)/((1-Ayarlar!$B$6)*(1-Ayarlar!$B$7-Ayarlar!$B$9)),0))</f>
        <v/>
      </c>
      <c r="K1673" s="15">
        <f>IF(OR(G1673="",F1673=""),"",(F1673*(1-Ayarlar!$B$6)-(F1673*(1-Ayarlar!$B$6)*Ayarlar!$B$7+Ayarlar!$B$8)-(G1673*Ayarlar!$B$3+Ayarlar!$B$4+Ayarlar!$B$5))/(F1673*(1-Ayarlar!$B$6)))</f>
        <v/>
      </c>
      <c r="L1673" s="3">
        <f>IF(G1673="","GRAM EKSİK",IF(F1673&gt;30000,"FİYAT ŞÜPHELİ",IF(K1673&lt;0,"ZARARDA",IF(F1673&lt;I1673,"RİSKLİ","ok"))))</f>
        <v/>
      </c>
      <c r="M1673" s="16" t="inlineStr">
        <is>
          <t>https://www.etsy.com/listing/1537611621</t>
        </is>
      </c>
    </row>
    <row r="1674">
      <c r="A1674" s="9" t="inlineStr">
        <is>
          <t>protection</t>
        </is>
      </c>
      <c r="B1674" s="9" t="inlineStr">
        <is>
          <t>14K Gold Cornicello Necklace, Miami Cuban Chain, Italian Hor</t>
        </is>
      </c>
      <c r="C1674" s="9" t="n">
        <v>1537611621</v>
      </c>
      <c r="D1674" s="9" t="inlineStr">
        <is>
          <t>PHR1-45-18</t>
        </is>
      </c>
      <c r="E1674" s="9" t="inlineStr">
        <is>
          <t>description</t>
        </is>
      </c>
      <c r="F1674" s="10" t="n">
        <v>2034</v>
      </c>
      <c r="G1674" s="18" t="n">
        <v>9.66</v>
      </c>
      <c r="H1674" s="10">
        <f>IF(G1674="","",G1674*Ayarlar!$B$3+Ayarlar!$B$4+Ayarlar!$B$5)</f>
        <v/>
      </c>
      <c r="I1674" s="10">
        <f>IF(G1674="","",ROUNDUP(((G1674*Ayarlar!$B$3+Ayarlar!$B$4+Ayarlar!$B$5)+Ayarlar!$B$8)/((1-Ayarlar!$B$6)*(1-Ayarlar!$B$7)),0))</f>
        <v/>
      </c>
      <c r="J1674" s="10">
        <f>IF(G1674="","",ROUNDUP(((G1674*Ayarlar!$B$3+Ayarlar!$B$4+Ayarlar!$B$5)+Ayarlar!$B$8)/((1-Ayarlar!$B$6)*(1-Ayarlar!$B$7-Ayarlar!$B$9)),0))</f>
        <v/>
      </c>
      <c r="K1674" s="12">
        <f>IF(OR(G1674="",F1674=""),"",(F1674*(1-Ayarlar!$B$6)-(F1674*(1-Ayarlar!$B$6)*Ayarlar!$B$7+Ayarlar!$B$8)-(G1674*Ayarlar!$B$3+Ayarlar!$B$4+Ayarlar!$B$5))/(F1674*(1-Ayarlar!$B$6)))</f>
        <v/>
      </c>
      <c r="L1674" s="9">
        <f>IF(G1674="","GRAM EKSİK",IF(F1674&gt;30000,"FİYAT ŞÜPHELİ",IF(K1674&lt;0,"ZARARDA",IF(F1674&lt;I1674,"RİSKLİ","ok"))))</f>
        <v/>
      </c>
      <c r="M1674" s="13" t="inlineStr">
        <is>
          <t>https://www.etsy.com/listing/1537611621</t>
        </is>
      </c>
    </row>
    <row r="1675">
      <c r="A1675" s="3" t="inlineStr">
        <is>
          <t>protection</t>
        </is>
      </c>
      <c r="B1675" s="3" t="inlineStr">
        <is>
          <t>14K Gold Cornicello Necklace, Miami Cuban Chain, Italian Hor</t>
        </is>
      </c>
      <c r="C1675" s="3" t="n">
        <v>1537611621</v>
      </c>
      <c r="D1675" s="3" t="inlineStr">
        <is>
          <t>PHR1-45-20</t>
        </is>
      </c>
      <c r="E1675" s="3" t="inlineStr">
        <is>
          <t>description</t>
        </is>
      </c>
      <c r="F1675" s="14" t="n">
        <v>2157</v>
      </c>
      <c r="G1675" s="17" t="n">
        <v>10.73</v>
      </c>
      <c r="H1675" s="14">
        <f>IF(G1675="","",G1675*Ayarlar!$B$3+Ayarlar!$B$4+Ayarlar!$B$5)</f>
        <v/>
      </c>
      <c r="I1675" s="14">
        <f>IF(G1675="","",ROUNDUP(((G1675*Ayarlar!$B$3+Ayarlar!$B$4+Ayarlar!$B$5)+Ayarlar!$B$8)/((1-Ayarlar!$B$6)*(1-Ayarlar!$B$7)),0))</f>
        <v/>
      </c>
      <c r="J1675" s="14">
        <f>IF(G1675="","",ROUNDUP(((G1675*Ayarlar!$B$3+Ayarlar!$B$4+Ayarlar!$B$5)+Ayarlar!$B$8)/((1-Ayarlar!$B$6)*(1-Ayarlar!$B$7-Ayarlar!$B$9)),0))</f>
        <v/>
      </c>
      <c r="K1675" s="15">
        <f>IF(OR(G1675="",F1675=""),"",(F1675*(1-Ayarlar!$B$6)-(F1675*(1-Ayarlar!$B$6)*Ayarlar!$B$7+Ayarlar!$B$8)-(G1675*Ayarlar!$B$3+Ayarlar!$B$4+Ayarlar!$B$5))/(F1675*(1-Ayarlar!$B$6)))</f>
        <v/>
      </c>
      <c r="L1675" s="3">
        <f>IF(G1675="","GRAM EKSİK",IF(F1675&gt;30000,"FİYAT ŞÜPHELİ",IF(K1675&lt;0,"ZARARDA",IF(F1675&lt;I1675,"RİSKLİ","ok"))))</f>
        <v/>
      </c>
      <c r="M1675" s="16" t="inlineStr">
        <is>
          <t>https://www.etsy.com/listing/1537611621</t>
        </is>
      </c>
    </row>
    <row r="1676">
      <c r="A1676" s="9" t="inlineStr">
        <is>
          <t>protection</t>
        </is>
      </c>
      <c r="B1676" s="9" t="inlineStr">
        <is>
          <t>14K Gold Cornicello Necklace, Miami Cuban Chain, Italian Hor</t>
        </is>
      </c>
      <c r="C1676" s="9" t="n">
        <v>1537611621</v>
      </c>
      <c r="D1676" s="9" t="inlineStr">
        <is>
          <t>PHR1-45-22</t>
        </is>
      </c>
      <c r="E1676" s="9" t="inlineStr">
        <is>
          <t>description</t>
        </is>
      </c>
      <c r="F1676" s="10" t="n">
        <v>2278</v>
      </c>
      <c r="G1676" s="18" t="n">
        <v>11.8</v>
      </c>
      <c r="H1676" s="10">
        <f>IF(G1676="","",G1676*Ayarlar!$B$3+Ayarlar!$B$4+Ayarlar!$B$5)</f>
        <v/>
      </c>
      <c r="I1676" s="10">
        <f>IF(G1676="","",ROUNDUP(((G1676*Ayarlar!$B$3+Ayarlar!$B$4+Ayarlar!$B$5)+Ayarlar!$B$8)/((1-Ayarlar!$B$6)*(1-Ayarlar!$B$7)),0))</f>
        <v/>
      </c>
      <c r="J1676" s="10">
        <f>IF(G1676="","",ROUNDUP(((G1676*Ayarlar!$B$3+Ayarlar!$B$4+Ayarlar!$B$5)+Ayarlar!$B$8)/((1-Ayarlar!$B$6)*(1-Ayarlar!$B$7-Ayarlar!$B$9)),0))</f>
        <v/>
      </c>
      <c r="K1676" s="12">
        <f>IF(OR(G1676="",F1676=""),"",(F1676*(1-Ayarlar!$B$6)-(F1676*(1-Ayarlar!$B$6)*Ayarlar!$B$7+Ayarlar!$B$8)-(G1676*Ayarlar!$B$3+Ayarlar!$B$4+Ayarlar!$B$5))/(F1676*(1-Ayarlar!$B$6)))</f>
        <v/>
      </c>
      <c r="L1676" s="9">
        <f>IF(G1676="","GRAM EKSİK",IF(F1676&gt;30000,"FİYAT ŞÜPHELİ",IF(K1676&lt;0,"ZARARDA",IF(F1676&lt;I1676,"RİSKLİ","ok"))))</f>
        <v/>
      </c>
      <c r="M1676" s="13" t="inlineStr">
        <is>
          <t>https://www.etsy.com/listing/1537611621</t>
        </is>
      </c>
    </row>
    <row r="1677">
      <c r="A1677" s="3" t="inlineStr">
        <is>
          <t>protection</t>
        </is>
      </c>
      <c r="B1677" s="3" t="inlineStr">
        <is>
          <t>14K Gold Cornicello Necklace, Miami Cuban Chain, Italian Hor</t>
        </is>
      </c>
      <c r="C1677" s="3" t="n">
        <v>1537611621</v>
      </c>
      <c r="D1677" s="3" t="inlineStr">
        <is>
          <t>PHR1-45-24</t>
        </is>
      </c>
      <c r="E1677" s="3" t="inlineStr">
        <is>
          <t>description</t>
        </is>
      </c>
      <c r="F1677" s="14" t="n">
        <v>2402</v>
      </c>
      <c r="G1677" s="17" t="n">
        <v>12.88</v>
      </c>
      <c r="H1677" s="14">
        <f>IF(G1677="","",G1677*Ayarlar!$B$3+Ayarlar!$B$4+Ayarlar!$B$5)</f>
        <v/>
      </c>
      <c r="I1677" s="14">
        <f>IF(G1677="","",ROUNDUP(((G1677*Ayarlar!$B$3+Ayarlar!$B$4+Ayarlar!$B$5)+Ayarlar!$B$8)/((1-Ayarlar!$B$6)*(1-Ayarlar!$B$7)),0))</f>
        <v/>
      </c>
      <c r="J1677" s="14">
        <f>IF(G1677="","",ROUNDUP(((G1677*Ayarlar!$B$3+Ayarlar!$B$4+Ayarlar!$B$5)+Ayarlar!$B$8)/((1-Ayarlar!$B$6)*(1-Ayarlar!$B$7-Ayarlar!$B$9)),0))</f>
        <v/>
      </c>
      <c r="K1677" s="15">
        <f>IF(OR(G1677="",F1677=""),"",(F1677*(1-Ayarlar!$B$6)-(F1677*(1-Ayarlar!$B$6)*Ayarlar!$B$7+Ayarlar!$B$8)-(G1677*Ayarlar!$B$3+Ayarlar!$B$4+Ayarlar!$B$5))/(F1677*(1-Ayarlar!$B$6)))</f>
        <v/>
      </c>
      <c r="L1677" s="3">
        <f>IF(G1677="","GRAM EKSİK",IF(F1677&gt;30000,"FİYAT ŞÜPHELİ",IF(K1677&lt;0,"ZARARDA",IF(F1677&lt;I1677,"RİSKLİ","ok"))))</f>
        <v/>
      </c>
      <c r="M1677" s="16" t="inlineStr">
        <is>
          <t>https://www.etsy.com/listing/1537611621</t>
        </is>
      </c>
    </row>
    <row r="1678">
      <c r="A1678" s="9" t="inlineStr">
        <is>
          <t>protection</t>
        </is>
      </c>
      <c r="B1678" s="9" t="inlineStr">
        <is>
          <t>14K Gold Cornicello Necklace, Miami Cuban Chain, Italian Hor</t>
        </is>
      </c>
      <c r="C1678" s="9" t="n">
        <v>1537611621</v>
      </c>
      <c r="D1678" s="9" t="inlineStr">
        <is>
          <t>PHR2-3-16</t>
        </is>
      </c>
      <c r="E1678" s="9" t="inlineStr">
        <is>
          <t>description</t>
        </is>
      </c>
      <c r="F1678" s="10" t="n">
        <v>1072</v>
      </c>
      <c r="G1678" s="18" t="n">
        <v>4.48</v>
      </c>
      <c r="H1678" s="10">
        <f>IF(G1678="","",G1678*Ayarlar!$B$3+Ayarlar!$B$4+Ayarlar!$B$5)</f>
        <v/>
      </c>
      <c r="I1678" s="10">
        <f>IF(G1678="","",ROUNDUP(((G1678*Ayarlar!$B$3+Ayarlar!$B$4+Ayarlar!$B$5)+Ayarlar!$B$8)/((1-Ayarlar!$B$6)*(1-Ayarlar!$B$7)),0))</f>
        <v/>
      </c>
      <c r="J1678" s="10">
        <f>IF(G1678="","",ROUNDUP(((G1678*Ayarlar!$B$3+Ayarlar!$B$4+Ayarlar!$B$5)+Ayarlar!$B$8)/((1-Ayarlar!$B$6)*(1-Ayarlar!$B$7-Ayarlar!$B$9)),0))</f>
        <v/>
      </c>
      <c r="K1678" s="12">
        <f>IF(OR(G1678="",F1678=""),"",(F1678*(1-Ayarlar!$B$6)-(F1678*(1-Ayarlar!$B$6)*Ayarlar!$B$7+Ayarlar!$B$8)-(G1678*Ayarlar!$B$3+Ayarlar!$B$4+Ayarlar!$B$5))/(F1678*(1-Ayarlar!$B$6)))</f>
        <v/>
      </c>
      <c r="L1678" s="9">
        <f>IF(G1678="","GRAM EKSİK",IF(F1678&gt;30000,"FİYAT ŞÜPHELİ",IF(K1678&lt;0,"ZARARDA",IF(F1678&lt;I1678,"RİSKLİ","ok"))))</f>
        <v/>
      </c>
      <c r="M1678" s="13" t="inlineStr">
        <is>
          <t>https://www.etsy.com/listing/1537611621</t>
        </is>
      </c>
    </row>
    <row r="1679">
      <c r="A1679" s="3" t="inlineStr">
        <is>
          <t>protection</t>
        </is>
      </c>
      <c r="B1679" s="3" t="inlineStr">
        <is>
          <t>14K Gold Cornicello Necklace, Miami Cuban Chain, Italian Hor</t>
        </is>
      </c>
      <c r="C1679" s="3" t="n">
        <v>1537611621</v>
      </c>
      <c r="D1679" s="3" t="inlineStr">
        <is>
          <t>PHR2-3-18</t>
        </is>
      </c>
      <c r="E1679" s="3" t="inlineStr">
        <is>
          <t>description</t>
        </is>
      </c>
      <c r="F1679" s="14" t="n">
        <v>1250</v>
      </c>
      <c r="G1679" s="17" t="n">
        <v>5.04</v>
      </c>
      <c r="H1679" s="14">
        <f>IF(G1679="","",G1679*Ayarlar!$B$3+Ayarlar!$B$4+Ayarlar!$B$5)</f>
        <v/>
      </c>
      <c r="I1679" s="14">
        <f>IF(G1679="","",ROUNDUP(((G1679*Ayarlar!$B$3+Ayarlar!$B$4+Ayarlar!$B$5)+Ayarlar!$B$8)/((1-Ayarlar!$B$6)*(1-Ayarlar!$B$7)),0))</f>
        <v/>
      </c>
      <c r="J1679" s="14">
        <f>IF(G1679="","",ROUNDUP(((G1679*Ayarlar!$B$3+Ayarlar!$B$4+Ayarlar!$B$5)+Ayarlar!$B$8)/((1-Ayarlar!$B$6)*(1-Ayarlar!$B$7-Ayarlar!$B$9)),0))</f>
        <v/>
      </c>
      <c r="K1679" s="15">
        <f>IF(OR(G1679="",F1679=""),"",(F1679*(1-Ayarlar!$B$6)-(F1679*(1-Ayarlar!$B$6)*Ayarlar!$B$7+Ayarlar!$B$8)-(G1679*Ayarlar!$B$3+Ayarlar!$B$4+Ayarlar!$B$5))/(F1679*(1-Ayarlar!$B$6)))</f>
        <v/>
      </c>
      <c r="L1679" s="3">
        <f>IF(G1679="","GRAM EKSİK",IF(F1679&gt;30000,"FİYAT ŞÜPHELİ",IF(K1679&lt;0,"ZARARDA",IF(F1679&lt;I1679,"RİSKLİ","ok"))))</f>
        <v/>
      </c>
      <c r="M1679" s="16" t="inlineStr">
        <is>
          <t>https://www.etsy.com/listing/1537611621</t>
        </is>
      </c>
    </row>
    <row r="1680">
      <c r="A1680" s="9" t="inlineStr">
        <is>
          <t>protection</t>
        </is>
      </c>
      <c r="B1680" s="9" t="inlineStr">
        <is>
          <t>14K Gold Cornicello Necklace, Miami Cuban Chain, Italian Hor</t>
        </is>
      </c>
      <c r="C1680" s="9" t="n">
        <v>1537611621</v>
      </c>
      <c r="D1680" s="9" t="inlineStr">
        <is>
          <t>PHR2-3-20</t>
        </is>
      </c>
      <c r="E1680" s="9" t="inlineStr">
        <is>
          <t>description</t>
        </is>
      </c>
      <c r="F1680" s="10" t="n">
        <v>1427</v>
      </c>
      <c r="G1680" s="18" t="n">
        <v>5.6</v>
      </c>
      <c r="H1680" s="10">
        <f>IF(G1680="","",G1680*Ayarlar!$B$3+Ayarlar!$B$4+Ayarlar!$B$5)</f>
        <v/>
      </c>
      <c r="I1680" s="10">
        <f>IF(G1680="","",ROUNDUP(((G1680*Ayarlar!$B$3+Ayarlar!$B$4+Ayarlar!$B$5)+Ayarlar!$B$8)/((1-Ayarlar!$B$6)*(1-Ayarlar!$B$7)),0))</f>
        <v/>
      </c>
      <c r="J1680" s="10">
        <f>IF(G1680="","",ROUNDUP(((G1680*Ayarlar!$B$3+Ayarlar!$B$4+Ayarlar!$B$5)+Ayarlar!$B$8)/((1-Ayarlar!$B$6)*(1-Ayarlar!$B$7-Ayarlar!$B$9)),0))</f>
        <v/>
      </c>
      <c r="K1680" s="12">
        <f>IF(OR(G1680="",F1680=""),"",(F1680*(1-Ayarlar!$B$6)-(F1680*(1-Ayarlar!$B$6)*Ayarlar!$B$7+Ayarlar!$B$8)-(G1680*Ayarlar!$B$3+Ayarlar!$B$4+Ayarlar!$B$5))/(F1680*(1-Ayarlar!$B$6)))</f>
        <v/>
      </c>
      <c r="L1680" s="9">
        <f>IF(G1680="","GRAM EKSİK",IF(F1680&gt;30000,"FİYAT ŞÜPHELİ",IF(K1680&lt;0,"ZARARDA",IF(F1680&lt;I1680,"RİSKLİ","ok"))))</f>
        <v/>
      </c>
      <c r="M1680" s="13" t="inlineStr">
        <is>
          <t>https://www.etsy.com/listing/1537611621</t>
        </is>
      </c>
    </row>
    <row r="1681">
      <c r="A1681" s="3" t="inlineStr">
        <is>
          <t>protection</t>
        </is>
      </c>
      <c r="B1681" s="3" t="inlineStr">
        <is>
          <t>14K Gold Cornicello Necklace, Miami Cuban Chain, Italian Hor</t>
        </is>
      </c>
      <c r="C1681" s="3" t="n">
        <v>1537611621</v>
      </c>
      <c r="D1681" s="3" t="inlineStr">
        <is>
          <t>PHR2-3-22</t>
        </is>
      </c>
      <c r="E1681" s="3" t="inlineStr">
        <is>
          <t>description</t>
        </is>
      </c>
      <c r="F1681" s="14" t="n">
        <v>1606</v>
      </c>
      <c r="G1681" s="17" t="n">
        <v>6.16</v>
      </c>
      <c r="H1681" s="14">
        <f>IF(G1681="","",G1681*Ayarlar!$B$3+Ayarlar!$B$4+Ayarlar!$B$5)</f>
        <v/>
      </c>
      <c r="I1681" s="14">
        <f>IF(G1681="","",ROUNDUP(((G1681*Ayarlar!$B$3+Ayarlar!$B$4+Ayarlar!$B$5)+Ayarlar!$B$8)/((1-Ayarlar!$B$6)*(1-Ayarlar!$B$7)),0))</f>
        <v/>
      </c>
      <c r="J1681" s="14">
        <f>IF(G1681="","",ROUNDUP(((G1681*Ayarlar!$B$3+Ayarlar!$B$4+Ayarlar!$B$5)+Ayarlar!$B$8)/((1-Ayarlar!$B$6)*(1-Ayarlar!$B$7-Ayarlar!$B$9)),0))</f>
        <v/>
      </c>
      <c r="K1681" s="15">
        <f>IF(OR(G1681="",F1681=""),"",(F1681*(1-Ayarlar!$B$6)-(F1681*(1-Ayarlar!$B$6)*Ayarlar!$B$7+Ayarlar!$B$8)-(G1681*Ayarlar!$B$3+Ayarlar!$B$4+Ayarlar!$B$5))/(F1681*(1-Ayarlar!$B$6)))</f>
        <v/>
      </c>
      <c r="L1681" s="3">
        <f>IF(G1681="","GRAM EKSİK",IF(F1681&gt;30000,"FİYAT ŞÜPHELİ",IF(K1681&lt;0,"ZARARDA",IF(F1681&lt;I1681,"RİSKLİ","ok"))))</f>
        <v/>
      </c>
      <c r="M1681" s="16" t="inlineStr">
        <is>
          <t>https://www.etsy.com/listing/1537611621</t>
        </is>
      </c>
    </row>
    <row r="1682">
      <c r="A1682" s="9" t="inlineStr">
        <is>
          <t>protection</t>
        </is>
      </c>
      <c r="B1682" s="9" t="inlineStr">
        <is>
          <t>14K Gold Cornicello Necklace, Miami Cuban Chain, Italian Hor</t>
        </is>
      </c>
      <c r="C1682" s="9" t="n">
        <v>1537611621</v>
      </c>
      <c r="D1682" s="9" t="inlineStr">
        <is>
          <t>PHR2-3-24</t>
        </is>
      </c>
      <c r="E1682" s="9" t="inlineStr">
        <is>
          <t>description</t>
        </is>
      </c>
      <c r="F1682" s="10" t="n">
        <v>1784</v>
      </c>
      <c r="G1682" s="18" t="n">
        <v>6.72</v>
      </c>
      <c r="H1682" s="10">
        <f>IF(G1682="","",G1682*Ayarlar!$B$3+Ayarlar!$B$4+Ayarlar!$B$5)</f>
        <v/>
      </c>
      <c r="I1682" s="10">
        <f>IF(G1682="","",ROUNDUP(((G1682*Ayarlar!$B$3+Ayarlar!$B$4+Ayarlar!$B$5)+Ayarlar!$B$8)/((1-Ayarlar!$B$6)*(1-Ayarlar!$B$7)),0))</f>
        <v/>
      </c>
      <c r="J1682" s="10">
        <f>IF(G1682="","",ROUNDUP(((G1682*Ayarlar!$B$3+Ayarlar!$B$4+Ayarlar!$B$5)+Ayarlar!$B$8)/((1-Ayarlar!$B$6)*(1-Ayarlar!$B$7-Ayarlar!$B$9)),0))</f>
        <v/>
      </c>
      <c r="K1682" s="12">
        <f>IF(OR(G1682="",F1682=""),"",(F1682*(1-Ayarlar!$B$6)-(F1682*(1-Ayarlar!$B$6)*Ayarlar!$B$7+Ayarlar!$B$8)-(G1682*Ayarlar!$B$3+Ayarlar!$B$4+Ayarlar!$B$5))/(F1682*(1-Ayarlar!$B$6)))</f>
        <v/>
      </c>
      <c r="L1682" s="9">
        <f>IF(G1682="","GRAM EKSİK",IF(F1682&gt;30000,"FİYAT ŞÜPHELİ",IF(K1682&lt;0,"ZARARDA",IF(F1682&lt;I1682,"RİSKLİ","ok"))))</f>
        <v/>
      </c>
      <c r="M1682" s="13" t="inlineStr">
        <is>
          <t>https://www.etsy.com/listing/1537611621</t>
        </is>
      </c>
    </row>
    <row r="1683">
      <c r="A1683" s="3" t="inlineStr">
        <is>
          <t>protection</t>
        </is>
      </c>
      <c r="B1683" s="3" t="inlineStr">
        <is>
          <t>14K Gold Cornicello Necklace, Miami Cuban Chain, Italian Hor</t>
        </is>
      </c>
      <c r="C1683" s="3" t="n">
        <v>1537611621</v>
      </c>
      <c r="D1683" s="3" t="inlineStr">
        <is>
          <t>PHR2-37-16</t>
        </is>
      </c>
      <c r="E1683" s="3" t="inlineStr">
        <is>
          <t>description</t>
        </is>
      </c>
      <c r="F1683" s="14" t="n">
        <v>1369</v>
      </c>
      <c r="G1683" s="17" t="n">
        <v>5.55</v>
      </c>
      <c r="H1683" s="14">
        <f>IF(G1683="","",G1683*Ayarlar!$B$3+Ayarlar!$B$4+Ayarlar!$B$5)</f>
        <v/>
      </c>
      <c r="I1683" s="14">
        <f>IF(G1683="","",ROUNDUP(((G1683*Ayarlar!$B$3+Ayarlar!$B$4+Ayarlar!$B$5)+Ayarlar!$B$8)/((1-Ayarlar!$B$6)*(1-Ayarlar!$B$7)),0))</f>
        <v/>
      </c>
      <c r="J1683" s="14">
        <f>IF(G1683="","",ROUNDUP(((G1683*Ayarlar!$B$3+Ayarlar!$B$4+Ayarlar!$B$5)+Ayarlar!$B$8)/((1-Ayarlar!$B$6)*(1-Ayarlar!$B$7-Ayarlar!$B$9)),0))</f>
        <v/>
      </c>
      <c r="K1683" s="15">
        <f>IF(OR(G1683="",F1683=""),"",(F1683*(1-Ayarlar!$B$6)-(F1683*(1-Ayarlar!$B$6)*Ayarlar!$B$7+Ayarlar!$B$8)-(G1683*Ayarlar!$B$3+Ayarlar!$B$4+Ayarlar!$B$5))/(F1683*(1-Ayarlar!$B$6)))</f>
        <v/>
      </c>
      <c r="L1683" s="3">
        <f>IF(G1683="","GRAM EKSİK",IF(F1683&gt;30000,"FİYAT ŞÜPHELİ",IF(K1683&lt;0,"ZARARDA",IF(F1683&lt;I1683,"RİSKLİ","ok"))))</f>
        <v/>
      </c>
      <c r="M1683" s="16" t="inlineStr">
        <is>
          <t>https://www.etsy.com/listing/1537611621</t>
        </is>
      </c>
    </row>
    <row r="1684">
      <c r="A1684" s="9" t="inlineStr">
        <is>
          <t>protection</t>
        </is>
      </c>
      <c r="B1684" s="9" t="inlineStr">
        <is>
          <t>14K Gold Cornicello Necklace, Miami Cuban Chain, Italian Hor</t>
        </is>
      </c>
      <c r="C1684" s="9" t="n">
        <v>1537611621</v>
      </c>
      <c r="D1684" s="9" t="inlineStr">
        <is>
          <t>PHR2-37-18</t>
        </is>
      </c>
      <c r="E1684" s="9" t="inlineStr">
        <is>
          <t>description</t>
        </is>
      </c>
      <c r="F1684" s="10" t="n">
        <v>1606</v>
      </c>
      <c r="G1684" s="18" t="n">
        <v>6.24</v>
      </c>
      <c r="H1684" s="10">
        <f>IF(G1684="","",G1684*Ayarlar!$B$3+Ayarlar!$B$4+Ayarlar!$B$5)</f>
        <v/>
      </c>
      <c r="I1684" s="10">
        <f>IF(G1684="","",ROUNDUP(((G1684*Ayarlar!$B$3+Ayarlar!$B$4+Ayarlar!$B$5)+Ayarlar!$B$8)/((1-Ayarlar!$B$6)*(1-Ayarlar!$B$7)),0))</f>
        <v/>
      </c>
      <c r="J1684" s="10">
        <f>IF(G1684="","",ROUNDUP(((G1684*Ayarlar!$B$3+Ayarlar!$B$4+Ayarlar!$B$5)+Ayarlar!$B$8)/((1-Ayarlar!$B$6)*(1-Ayarlar!$B$7-Ayarlar!$B$9)),0))</f>
        <v/>
      </c>
      <c r="K1684" s="12">
        <f>IF(OR(G1684="",F1684=""),"",(F1684*(1-Ayarlar!$B$6)-(F1684*(1-Ayarlar!$B$6)*Ayarlar!$B$7+Ayarlar!$B$8)-(G1684*Ayarlar!$B$3+Ayarlar!$B$4+Ayarlar!$B$5))/(F1684*(1-Ayarlar!$B$6)))</f>
        <v/>
      </c>
      <c r="L1684" s="9">
        <f>IF(G1684="","GRAM EKSİK",IF(F1684&gt;30000,"FİYAT ŞÜPHELİ",IF(K1684&lt;0,"ZARARDA",IF(F1684&lt;I1684,"RİSKLİ","ok"))))</f>
        <v/>
      </c>
      <c r="M1684" s="13" t="inlineStr">
        <is>
          <t>https://www.etsy.com/listing/1537611621</t>
        </is>
      </c>
    </row>
    <row r="1685">
      <c r="A1685" s="3" t="inlineStr">
        <is>
          <t>protection</t>
        </is>
      </c>
      <c r="B1685" s="3" t="inlineStr">
        <is>
          <t>14K Gold Cornicello Necklace, Miami Cuban Chain, Italian Hor</t>
        </is>
      </c>
      <c r="C1685" s="3" t="n">
        <v>1537611621</v>
      </c>
      <c r="D1685" s="3" t="inlineStr">
        <is>
          <t>PHR2-37-20</t>
        </is>
      </c>
      <c r="E1685" s="3" t="inlineStr">
        <is>
          <t>description</t>
        </is>
      </c>
      <c r="F1685" s="14" t="n">
        <v>1842</v>
      </c>
      <c r="G1685" s="17" t="n">
        <v>6.94</v>
      </c>
      <c r="H1685" s="14">
        <f>IF(G1685="","",G1685*Ayarlar!$B$3+Ayarlar!$B$4+Ayarlar!$B$5)</f>
        <v/>
      </c>
      <c r="I1685" s="14">
        <f>IF(G1685="","",ROUNDUP(((G1685*Ayarlar!$B$3+Ayarlar!$B$4+Ayarlar!$B$5)+Ayarlar!$B$8)/((1-Ayarlar!$B$6)*(1-Ayarlar!$B$7)),0))</f>
        <v/>
      </c>
      <c r="J1685" s="14">
        <f>IF(G1685="","",ROUNDUP(((G1685*Ayarlar!$B$3+Ayarlar!$B$4+Ayarlar!$B$5)+Ayarlar!$B$8)/((1-Ayarlar!$B$6)*(1-Ayarlar!$B$7-Ayarlar!$B$9)),0))</f>
        <v/>
      </c>
      <c r="K1685" s="15">
        <f>IF(OR(G1685="",F1685=""),"",(F1685*(1-Ayarlar!$B$6)-(F1685*(1-Ayarlar!$B$6)*Ayarlar!$B$7+Ayarlar!$B$8)-(G1685*Ayarlar!$B$3+Ayarlar!$B$4+Ayarlar!$B$5))/(F1685*(1-Ayarlar!$B$6)))</f>
        <v/>
      </c>
      <c r="L1685" s="3">
        <f>IF(G1685="","GRAM EKSİK",IF(F1685&gt;30000,"FİYAT ŞÜPHELİ",IF(K1685&lt;0,"ZARARDA",IF(F1685&lt;I1685,"RİSKLİ","ok"))))</f>
        <v/>
      </c>
      <c r="M1685" s="16" t="inlineStr">
        <is>
          <t>https://www.etsy.com/listing/1537611621</t>
        </is>
      </c>
    </row>
    <row r="1686">
      <c r="A1686" s="9" t="inlineStr">
        <is>
          <t>protection</t>
        </is>
      </c>
      <c r="B1686" s="9" t="inlineStr">
        <is>
          <t>14K Gold Cornicello Necklace, Miami Cuban Chain, Italian Hor</t>
        </is>
      </c>
      <c r="C1686" s="9" t="n">
        <v>1537611621</v>
      </c>
      <c r="D1686" s="9" t="inlineStr">
        <is>
          <t>PHR2-37-22</t>
        </is>
      </c>
      <c r="E1686" s="9" t="inlineStr">
        <is>
          <t>description</t>
        </is>
      </c>
      <c r="F1686" s="10" t="n">
        <v>2080</v>
      </c>
      <c r="G1686" s="18" t="n">
        <v>7.63</v>
      </c>
      <c r="H1686" s="10">
        <f>IF(G1686="","",G1686*Ayarlar!$B$3+Ayarlar!$B$4+Ayarlar!$B$5)</f>
        <v/>
      </c>
      <c r="I1686" s="10">
        <f>IF(G1686="","",ROUNDUP(((G1686*Ayarlar!$B$3+Ayarlar!$B$4+Ayarlar!$B$5)+Ayarlar!$B$8)/((1-Ayarlar!$B$6)*(1-Ayarlar!$B$7)),0))</f>
        <v/>
      </c>
      <c r="J1686" s="10">
        <f>IF(G1686="","",ROUNDUP(((G1686*Ayarlar!$B$3+Ayarlar!$B$4+Ayarlar!$B$5)+Ayarlar!$B$8)/((1-Ayarlar!$B$6)*(1-Ayarlar!$B$7-Ayarlar!$B$9)),0))</f>
        <v/>
      </c>
      <c r="K1686" s="12">
        <f>IF(OR(G1686="",F1686=""),"",(F1686*(1-Ayarlar!$B$6)-(F1686*(1-Ayarlar!$B$6)*Ayarlar!$B$7+Ayarlar!$B$8)-(G1686*Ayarlar!$B$3+Ayarlar!$B$4+Ayarlar!$B$5))/(F1686*(1-Ayarlar!$B$6)))</f>
        <v/>
      </c>
      <c r="L1686" s="9">
        <f>IF(G1686="","GRAM EKSİK",IF(F1686&gt;30000,"FİYAT ŞÜPHELİ",IF(K1686&lt;0,"ZARARDA",IF(F1686&lt;I1686,"RİSKLİ","ok"))))</f>
        <v/>
      </c>
      <c r="M1686" s="13" t="inlineStr">
        <is>
          <t>https://www.etsy.com/listing/1537611621</t>
        </is>
      </c>
    </row>
    <row r="1687">
      <c r="A1687" s="3" t="inlineStr">
        <is>
          <t>protection</t>
        </is>
      </c>
      <c r="B1687" s="3" t="inlineStr">
        <is>
          <t>14K Gold Cornicello Necklace, Miami Cuban Chain, Italian Hor</t>
        </is>
      </c>
      <c r="C1687" s="3" t="n">
        <v>1537611621</v>
      </c>
      <c r="D1687" s="3" t="inlineStr">
        <is>
          <t>PHR2-37-24</t>
        </is>
      </c>
      <c r="E1687" s="3" t="inlineStr">
        <is>
          <t>description</t>
        </is>
      </c>
      <c r="F1687" s="14" t="n">
        <v>2316</v>
      </c>
      <c r="G1687" s="17" t="n">
        <v>8.33</v>
      </c>
      <c r="H1687" s="14">
        <f>IF(G1687="","",G1687*Ayarlar!$B$3+Ayarlar!$B$4+Ayarlar!$B$5)</f>
        <v/>
      </c>
      <c r="I1687" s="14">
        <f>IF(G1687="","",ROUNDUP(((G1687*Ayarlar!$B$3+Ayarlar!$B$4+Ayarlar!$B$5)+Ayarlar!$B$8)/((1-Ayarlar!$B$6)*(1-Ayarlar!$B$7)),0))</f>
        <v/>
      </c>
      <c r="J1687" s="14">
        <f>IF(G1687="","",ROUNDUP(((G1687*Ayarlar!$B$3+Ayarlar!$B$4+Ayarlar!$B$5)+Ayarlar!$B$8)/((1-Ayarlar!$B$6)*(1-Ayarlar!$B$7-Ayarlar!$B$9)),0))</f>
        <v/>
      </c>
      <c r="K1687" s="15">
        <f>IF(OR(G1687="",F1687=""),"",(F1687*(1-Ayarlar!$B$6)-(F1687*(1-Ayarlar!$B$6)*Ayarlar!$B$7+Ayarlar!$B$8)-(G1687*Ayarlar!$B$3+Ayarlar!$B$4+Ayarlar!$B$5))/(F1687*(1-Ayarlar!$B$6)))</f>
        <v/>
      </c>
      <c r="L1687" s="3">
        <f>IF(G1687="","GRAM EKSİK",IF(F1687&gt;30000,"FİYAT ŞÜPHELİ",IF(K1687&lt;0,"ZARARDA",IF(F1687&lt;I1687,"RİSKLİ","ok"))))</f>
        <v/>
      </c>
      <c r="M1687" s="16" t="inlineStr">
        <is>
          <t>https://www.etsy.com/listing/1537611621</t>
        </is>
      </c>
    </row>
    <row r="1688">
      <c r="A1688" s="9" t="inlineStr">
        <is>
          <t>protection</t>
        </is>
      </c>
      <c r="B1688" s="9" t="inlineStr">
        <is>
          <t>14K Gold Cornicello Necklace, Miami Cuban Chain, Italian Hor</t>
        </is>
      </c>
      <c r="C1688" s="9" t="n">
        <v>1537611621</v>
      </c>
      <c r="D1688" s="9" t="inlineStr">
        <is>
          <t>PHR2-45-16</t>
        </is>
      </c>
      <c r="E1688" s="9" t="inlineStr">
        <is>
          <t>description</t>
        </is>
      </c>
      <c r="F1688" s="10" t="n">
        <v>1969</v>
      </c>
      <c r="G1688" s="18" t="n">
        <v>8.58</v>
      </c>
      <c r="H1688" s="10">
        <f>IF(G1688="","",G1688*Ayarlar!$B$3+Ayarlar!$B$4+Ayarlar!$B$5)</f>
        <v/>
      </c>
      <c r="I1688" s="10">
        <f>IF(G1688="","",ROUNDUP(((G1688*Ayarlar!$B$3+Ayarlar!$B$4+Ayarlar!$B$5)+Ayarlar!$B$8)/((1-Ayarlar!$B$6)*(1-Ayarlar!$B$7)),0))</f>
        <v/>
      </c>
      <c r="J1688" s="10">
        <f>IF(G1688="","",ROUNDUP(((G1688*Ayarlar!$B$3+Ayarlar!$B$4+Ayarlar!$B$5)+Ayarlar!$B$8)/((1-Ayarlar!$B$6)*(1-Ayarlar!$B$7-Ayarlar!$B$9)),0))</f>
        <v/>
      </c>
      <c r="K1688" s="12">
        <f>IF(OR(G1688="",F1688=""),"",(F1688*(1-Ayarlar!$B$6)-(F1688*(1-Ayarlar!$B$6)*Ayarlar!$B$7+Ayarlar!$B$8)-(G1688*Ayarlar!$B$3+Ayarlar!$B$4+Ayarlar!$B$5))/(F1688*(1-Ayarlar!$B$6)))</f>
        <v/>
      </c>
      <c r="L1688" s="9">
        <f>IF(G1688="","GRAM EKSİK",IF(F1688&gt;30000,"FİYAT ŞÜPHELİ",IF(K1688&lt;0,"ZARARDA",IF(F1688&lt;I1688,"RİSKLİ","ok"))))</f>
        <v/>
      </c>
      <c r="M1688" s="13" t="inlineStr">
        <is>
          <t>https://www.etsy.com/listing/1537611621</t>
        </is>
      </c>
    </row>
    <row r="1689">
      <c r="A1689" s="3" t="inlineStr">
        <is>
          <t>protection</t>
        </is>
      </c>
      <c r="B1689" s="3" t="inlineStr">
        <is>
          <t>14K Gold Cornicello Necklace, Miami Cuban Chain, Italian Hor</t>
        </is>
      </c>
      <c r="C1689" s="3" t="n">
        <v>1537611621</v>
      </c>
      <c r="D1689" s="3" t="inlineStr">
        <is>
          <t>PHR2-45-18</t>
        </is>
      </c>
      <c r="E1689" s="3" t="inlineStr">
        <is>
          <t>description</t>
        </is>
      </c>
      <c r="F1689" s="14" t="n">
        <v>2092</v>
      </c>
      <c r="G1689" s="17" t="n">
        <v>9.66</v>
      </c>
      <c r="H1689" s="14">
        <f>IF(G1689="","",G1689*Ayarlar!$B$3+Ayarlar!$B$4+Ayarlar!$B$5)</f>
        <v/>
      </c>
      <c r="I1689" s="14">
        <f>IF(G1689="","",ROUNDUP(((G1689*Ayarlar!$B$3+Ayarlar!$B$4+Ayarlar!$B$5)+Ayarlar!$B$8)/((1-Ayarlar!$B$6)*(1-Ayarlar!$B$7)),0))</f>
        <v/>
      </c>
      <c r="J1689" s="14">
        <f>IF(G1689="","",ROUNDUP(((G1689*Ayarlar!$B$3+Ayarlar!$B$4+Ayarlar!$B$5)+Ayarlar!$B$8)/((1-Ayarlar!$B$6)*(1-Ayarlar!$B$7-Ayarlar!$B$9)),0))</f>
        <v/>
      </c>
      <c r="K1689" s="15">
        <f>IF(OR(G1689="",F1689=""),"",(F1689*(1-Ayarlar!$B$6)-(F1689*(1-Ayarlar!$B$6)*Ayarlar!$B$7+Ayarlar!$B$8)-(G1689*Ayarlar!$B$3+Ayarlar!$B$4+Ayarlar!$B$5))/(F1689*(1-Ayarlar!$B$6)))</f>
        <v/>
      </c>
      <c r="L1689" s="3">
        <f>IF(G1689="","GRAM EKSİK",IF(F1689&gt;30000,"FİYAT ŞÜPHELİ",IF(K1689&lt;0,"ZARARDA",IF(F1689&lt;I1689,"RİSKLİ","ok"))))</f>
        <v/>
      </c>
      <c r="M1689" s="16" t="inlineStr">
        <is>
          <t>https://www.etsy.com/listing/1537611621</t>
        </is>
      </c>
    </row>
    <row r="1690">
      <c r="A1690" s="9" t="inlineStr">
        <is>
          <t>protection</t>
        </is>
      </c>
      <c r="B1690" s="9" t="inlineStr">
        <is>
          <t>14K Gold Cornicello Necklace, Miami Cuban Chain, Italian Hor</t>
        </is>
      </c>
      <c r="C1690" s="9" t="n">
        <v>1537611621</v>
      </c>
      <c r="D1690" s="9" t="inlineStr">
        <is>
          <t>PHR2-45-20</t>
        </is>
      </c>
      <c r="E1690" s="9" t="inlineStr">
        <is>
          <t>description</t>
        </is>
      </c>
      <c r="F1690" s="10" t="n">
        <v>2215</v>
      </c>
      <c r="G1690" s="18" t="n">
        <v>10.73</v>
      </c>
      <c r="H1690" s="10">
        <f>IF(G1690="","",G1690*Ayarlar!$B$3+Ayarlar!$B$4+Ayarlar!$B$5)</f>
        <v/>
      </c>
      <c r="I1690" s="10">
        <f>IF(G1690="","",ROUNDUP(((G1690*Ayarlar!$B$3+Ayarlar!$B$4+Ayarlar!$B$5)+Ayarlar!$B$8)/((1-Ayarlar!$B$6)*(1-Ayarlar!$B$7)),0))</f>
        <v/>
      </c>
      <c r="J1690" s="10">
        <f>IF(G1690="","",ROUNDUP(((G1690*Ayarlar!$B$3+Ayarlar!$B$4+Ayarlar!$B$5)+Ayarlar!$B$8)/((1-Ayarlar!$B$6)*(1-Ayarlar!$B$7-Ayarlar!$B$9)),0))</f>
        <v/>
      </c>
      <c r="K1690" s="12">
        <f>IF(OR(G1690="",F1690=""),"",(F1690*(1-Ayarlar!$B$6)-(F1690*(1-Ayarlar!$B$6)*Ayarlar!$B$7+Ayarlar!$B$8)-(G1690*Ayarlar!$B$3+Ayarlar!$B$4+Ayarlar!$B$5))/(F1690*(1-Ayarlar!$B$6)))</f>
        <v/>
      </c>
      <c r="L1690" s="9">
        <f>IF(G1690="","GRAM EKSİK",IF(F1690&gt;30000,"FİYAT ŞÜPHELİ",IF(K1690&lt;0,"ZARARDA",IF(F1690&lt;I1690,"RİSKLİ","ok"))))</f>
        <v/>
      </c>
      <c r="M1690" s="13" t="inlineStr">
        <is>
          <t>https://www.etsy.com/listing/1537611621</t>
        </is>
      </c>
    </row>
    <row r="1691">
      <c r="A1691" s="3" t="inlineStr">
        <is>
          <t>protection</t>
        </is>
      </c>
      <c r="B1691" s="3" t="inlineStr">
        <is>
          <t>14K Gold Cornicello Necklace, Miami Cuban Chain, Italian Hor</t>
        </is>
      </c>
      <c r="C1691" s="3" t="n">
        <v>1537611621</v>
      </c>
      <c r="D1691" s="3" t="inlineStr">
        <is>
          <t>PHR2-45-22</t>
        </is>
      </c>
      <c r="E1691" s="3" t="inlineStr">
        <is>
          <t>description</t>
        </is>
      </c>
      <c r="F1691" s="14" t="n">
        <v>2336</v>
      </c>
      <c r="G1691" s="17" t="n">
        <v>11.8</v>
      </c>
      <c r="H1691" s="14">
        <f>IF(G1691="","",G1691*Ayarlar!$B$3+Ayarlar!$B$4+Ayarlar!$B$5)</f>
        <v/>
      </c>
      <c r="I1691" s="14">
        <f>IF(G1691="","",ROUNDUP(((G1691*Ayarlar!$B$3+Ayarlar!$B$4+Ayarlar!$B$5)+Ayarlar!$B$8)/((1-Ayarlar!$B$6)*(1-Ayarlar!$B$7)),0))</f>
        <v/>
      </c>
      <c r="J1691" s="14">
        <f>IF(G1691="","",ROUNDUP(((G1691*Ayarlar!$B$3+Ayarlar!$B$4+Ayarlar!$B$5)+Ayarlar!$B$8)/((1-Ayarlar!$B$6)*(1-Ayarlar!$B$7-Ayarlar!$B$9)),0))</f>
        <v/>
      </c>
      <c r="K1691" s="15">
        <f>IF(OR(G1691="",F1691=""),"",(F1691*(1-Ayarlar!$B$6)-(F1691*(1-Ayarlar!$B$6)*Ayarlar!$B$7+Ayarlar!$B$8)-(G1691*Ayarlar!$B$3+Ayarlar!$B$4+Ayarlar!$B$5))/(F1691*(1-Ayarlar!$B$6)))</f>
        <v/>
      </c>
      <c r="L1691" s="3">
        <f>IF(G1691="","GRAM EKSİK",IF(F1691&gt;30000,"FİYAT ŞÜPHELİ",IF(K1691&lt;0,"ZARARDA",IF(F1691&lt;I1691,"RİSKLİ","ok"))))</f>
        <v/>
      </c>
      <c r="M1691" s="16" t="inlineStr">
        <is>
          <t>https://www.etsy.com/listing/1537611621</t>
        </is>
      </c>
    </row>
    <row r="1692">
      <c r="A1692" s="9" t="inlineStr">
        <is>
          <t>protection</t>
        </is>
      </c>
      <c r="B1692" s="9" t="inlineStr">
        <is>
          <t>14K Gold Cornicello Necklace, Miami Cuban Chain, Italian Hor</t>
        </is>
      </c>
      <c r="C1692" s="9" t="n">
        <v>1537611621</v>
      </c>
      <c r="D1692" s="9" t="inlineStr">
        <is>
          <t>PHR2-45-24</t>
        </is>
      </c>
      <c r="E1692" s="9" t="inlineStr">
        <is>
          <t>description</t>
        </is>
      </c>
      <c r="F1692" s="10" t="n">
        <v>2518</v>
      </c>
      <c r="G1692" s="18" t="n">
        <v>12.88</v>
      </c>
      <c r="H1692" s="10">
        <f>IF(G1692="","",G1692*Ayarlar!$B$3+Ayarlar!$B$4+Ayarlar!$B$5)</f>
        <v/>
      </c>
      <c r="I1692" s="10">
        <f>IF(G1692="","",ROUNDUP(((G1692*Ayarlar!$B$3+Ayarlar!$B$4+Ayarlar!$B$5)+Ayarlar!$B$8)/((1-Ayarlar!$B$6)*(1-Ayarlar!$B$7)),0))</f>
        <v/>
      </c>
      <c r="J1692" s="10">
        <f>IF(G1692="","",ROUNDUP(((G1692*Ayarlar!$B$3+Ayarlar!$B$4+Ayarlar!$B$5)+Ayarlar!$B$8)/((1-Ayarlar!$B$6)*(1-Ayarlar!$B$7-Ayarlar!$B$9)),0))</f>
        <v/>
      </c>
      <c r="K1692" s="12">
        <f>IF(OR(G1692="",F1692=""),"",(F1692*(1-Ayarlar!$B$6)-(F1692*(1-Ayarlar!$B$6)*Ayarlar!$B$7+Ayarlar!$B$8)-(G1692*Ayarlar!$B$3+Ayarlar!$B$4+Ayarlar!$B$5))/(F1692*(1-Ayarlar!$B$6)))</f>
        <v/>
      </c>
      <c r="L1692" s="9">
        <f>IF(G1692="","GRAM EKSİK",IF(F1692&gt;30000,"FİYAT ŞÜPHELİ",IF(K1692&lt;0,"ZARARDA",IF(F1692&lt;I1692,"RİSKLİ","ok"))))</f>
        <v/>
      </c>
      <c r="M1692" s="13" t="inlineStr">
        <is>
          <t>https://www.etsy.com/listing/1537611621</t>
        </is>
      </c>
    </row>
    <row r="1693">
      <c r="A1693" s="3" t="inlineStr">
        <is>
          <t>protection</t>
        </is>
      </c>
      <c r="B1693" s="3" t="inlineStr">
        <is>
          <t>14K Gold Cornicello Necklace, Miami Cuban Chain, Italian Hor</t>
        </is>
      </c>
      <c r="C1693" s="3" t="n">
        <v>1537611621</v>
      </c>
      <c r="D1693" s="3" t="inlineStr">
        <is>
          <t>PHR3-3-16</t>
        </is>
      </c>
      <c r="E1693" s="3" t="inlineStr">
        <is>
          <t>description</t>
        </is>
      </c>
      <c r="F1693" s="14" t="n">
        <v>1304</v>
      </c>
      <c r="G1693" s="17" t="n">
        <v>4.48</v>
      </c>
      <c r="H1693" s="14">
        <f>IF(G1693="","",G1693*Ayarlar!$B$3+Ayarlar!$B$4+Ayarlar!$B$5)</f>
        <v/>
      </c>
      <c r="I1693" s="14">
        <f>IF(G1693="","",ROUNDUP(((G1693*Ayarlar!$B$3+Ayarlar!$B$4+Ayarlar!$B$5)+Ayarlar!$B$8)/((1-Ayarlar!$B$6)*(1-Ayarlar!$B$7)),0))</f>
        <v/>
      </c>
      <c r="J1693" s="14">
        <f>IF(G1693="","",ROUNDUP(((G1693*Ayarlar!$B$3+Ayarlar!$B$4+Ayarlar!$B$5)+Ayarlar!$B$8)/((1-Ayarlar!$B$6)*(1-Ayarlar!$B$7-Ayarlar!$B$9)),0))</f>
        <v/>
      </c>
      <c r="K1693" s="15">
        <f>IF(OR(G1693="",F1693=""),"",(F1693*(1-Ayarlar!$B$6)-(F1693*(1-Ayarlar!$B$6)*Ayarlar!$B$7+Ayarlar!$B$8)-(G1693*Ayarlar!$B$3+Ayarlar!$B$4+Ayarlar!$B$5))/(F1693*(1-Ayarlar!$B$6)))</f>
        <v/>
      </c>
      <c r="L1693" s="3">
        <f>IF(G1693="","GRAM EKSİK",IF(F1693&gt;30000,"FİYAT ŞÜPHELİ",IF(K1693&lt;0,"ZARARDA",IF(F1693&lt;I1693,"RİSKLİ","ok"))))</f>
        <v/>
      </c>
      <c r="M1693" s="16" t="inlineStr">
        <is>
          <t>https://www.etsy.com/listing/1537611621</t>
        </is>
      </c>
    </row>
    <row r="1694">
      <c r="A1694" s="9" t="inlineStr">
        <is>
          <t>protection</t>
        </is>
      </c>
      <c r="B1694" s="9" t="inlineStr">
        <is>
          <t>14K Gold Cornicello Necklace, Miami Cuban Chain, Italian Hor</t>
        </is>
      </c>
      <c r="C1694" s="9" t="n">
        <v>1537611621</v>
      </c>
      <c r="D1694" s="9" t="inlineStr">
        <is>
          <t>PHR3-3-18</t>
        </is>
      </c>
      <c r="E1694" s="9" t="inlineStr">
        <is>
          <t>description</t>
        </is>
      </c>
      <c r="F1694" s="10" t="n">
        <v>1425</v>
      </c>
      <c r="G1694" s="18" t="n">
        <v>5.04</v>
      </c>
      <c r="H1694" s="10">
        <f>IF(G1694="","",G1694*Ayarlar!$B$3+Ayarlar!$B$4+Ayarlar!$B$5)</f>
        <v/>
      </c>
      <c r="I1694" s="10">
        <f>IF(G1694="","",ROUNDUP(((G1694*Ayarlar!$B$3+Ayarlar!$B$4+Ayarlar!$B$5)+Ayarlar!$B$8)/((1-Ayarlar!$B$6)*(1-Ayarlar!$B$7)),0))</f>
        <v/>
      </c>
      <c r="J1694" s="10">
        <f>IF(G1694="","",ROUNDUP(((G1694*Ayarlar!$B$3+Ayarlar!$B$4+Ayarlar!$B$5)+Ayarlar!$B$8)/((1-Ayarlar!$B$6)*(1-Ayarlar!$B$7-Ayarlar!$B$9)),0))</f>
        <v/>
      </c>
      <c r="K1694" s="12">
        <f>IF(OR(G1694="",F1694=""),"",(F1694*(1-Ayarlar!$B$6)-(F1694*(1-Ayarlar!$B$6)*Ayarlar!$B$7+Ayarlar!$B$8)-(G1694*Ayarlar!$B$3+Ayarlar!$B$4+Ayarlar!$B$5))/(F1694*(1-Ayarlar!$B$6)))</f>
        <v/>
      </c>
      <c r="L1694" s="9">
        <f>IF(G1694="","GRAM EKSİK",IF(F1694&gt;30000,"FİYAT ŞÜPHELİ",IF(K1694&lt;0,"ZARARDA",IF(F1694&lt;I1694,"RİSKLİ","ok"))))</f>
        <v/>
      </c>
      <c r="M1694" s="13" t="inlineStr">
        <is>
          <t>https://www.etsy.com/listing/1537611621</t>
        </is>
      </c>
    </row>
    <row r="1695">
      <c r="A1695" s="3" t="inlineStr">
        <is>
          <t>protection</t>
        </is>
      </c>
      <c r="B1695" s="3" t="inlineStr">
        <is>
          <t>14K Gold Cornicello Necklace, Miami Cuban Chain, Italian Hor</t>
        </is>
      </c>
      <c r="C1695" s="3" t="n">
        <v>1537611621</v>
      </c>
      <c r="D1695" s="3" t="inlineStr">
        <is>
          <t>PHR3-3-20</t>
        </is>
      </c>
      <c r="E1695" s="3" t="inlineStr">
        <is>
          <t>description</t>
        </is>
      </c>
      <c r="F1695" s="14" t="n">
        <v>1544</v>
      </c>
      <c r="G1695" s="17" t="n">
        <v>5.6</v>
      </c>
      <c r="H1695" s="14">
        <f>IF(G1695="","",G1695*Ayarlar!$B$3+Ayarlar!$B$4+Ayarlar!$B$5)</f>
        <v/>
      </c>
      <c r="I1695" s="14">
        <f>IF(G1695="","",ROUNDUP(((G1695*Ayarlar!$B$3+Ayarlar!$B$4+Ayarlar!$B$5)+Ayarlar!$B$8)/((1-Ayarlar!$B$6)*(1-Ayarlar!$B$7)),0))</f>
        <v/>
      </c>
      <c r="J1695" s="14">
        <f>IF(G1695="","",ROUNDUP(((G1695*Ayarlar!$B$3+Ayarlar!$B$4+Ayarlar!$B$5)+Ayarlar!$B$8)/((1-Ayarlar!$B$6)*(1-Ayarlar!$B$7-Ayarlar!$B$9)),0))</f>
        <v/>
      </c>
      <c r="K1695" s="15">
        <f>IF(OR(G1695="",F1695=""),"",(F1695*(1-Ayarlar!$B$6)-(F1695*(1-Ayarlar!$B$6)*Ayarlar!$B$7+Ayarlar!$B$8)-(G1695*Ayarlar!$B$3+Ayarlar!$B$4+Ayarlar!$B$5))/(F1695*(1-Ayarlar!$B$6)))</f>
        <v/>
      </c>
      <c r="L1695" s="3">
        <f>IF(G1695="","GRAM EKSİK",IF(F1695&gt;30000,"FİYAT ŞÜPHELİ",IF(K1695&lt;0,"ZARARDA",IF(F1695&lt;I1695,"RİSKLİ","ok"))))</f>
        <v/>
      </c>
      <c r="M1695" s="16" t="inlineStr">
        <is>
          <t>https://www.etsy.com/listing/1537611621</t>
        </is>
      </c>
    </row>
    <row r="1696">
      <c r="A1696" s="9" t="inlineStr">
        <is>
          <t>protection</t>
        </is>
      </c>
      <c r="B1696" s="9" t="inlineStr">
        <is>
          <t>14K Gold Cornicello Necklace, Miami Cuban Chain, Italian Hor</t>
        </is>
      </c>
      <c r="C1696" s="9" t="n">
        <v>1537611621</v>
      </c>
      <c r="D1696" s="9" t="inlineStr">
        <is>
          <t>PHR3-3-22</t>
        </is>
      </c>
      <c r="E1696" s="9" t="inlineStr">
        <is>
          <t>description</t>
        </is>
      </c>
      <c r="F1696" s="10" t="n">
        <v>1664</v>
      </c>
      <c r="G1696" s="18" t="n">
        <v>6.16</v>
      </c>
      <c r="H1696" s="10">
        <f>IF(G1696="","",G1696*Ayarlar!$B$3+Ayarlar!$B$4+Ayarlar!$B$5)</f>
        <v/>
      </c>
      <c r="I1696" s="10">
        <f>IF(G1696="","",ROUNDUP(((G1696*Ayarlar!$B$3+Ayarlar!$B$4+Ayarlar!$B$5)+Ayarlar!$B$8)/((1-Ayarlar!$B$6)*(1-Ayarlar!$B$7)),0))</f>
        <v/>
      </c>
      <c r="J1696" s="10">
        <f>IF(G1696="","",ROUNDUP(((G1696*Ayarlar!$B$3+Ayarlar!$B$4+Ayarlar!$B$5)+Ayarlar!$B$8)/((1-Ayarlar!$B$6)*(1-Ayarlar!$B$7-Ayarlar!$B$9)),0))</f>
        <v/>
      </c>
      <c r="K1696" s="12">
        <f>IF(OR(G1696="",F1696=""),"",(F1696*(1-Ayarlar!$B$6)-(F1696*(1-Ayarlar!$B$6)*Ayarlar!$B$7+Ayarlar!$B$8)-(G1696*Ayarlar!$B$3+Ayarlar!$B$4+Ayarlar!$B$5))/(F1696*(1-Ayarlar!$B$6)))</f>
        <v/>
      </c>
      <c r="L1696" s="9">
        <f>IF(G1696="","GRAM EKSİK",IF(F1696&gt;30000,"FİYAT ŞÜPHELİ",IF(K1696&lt;0,"ZARARDA",IF(F1696&lt;I1696,"RİSKLİ","ok"))))</f>
        <v/>
      </c>
      <c r="M1696" s="13" t="inlineStr">
        <is>
          <t>https://www.etsy.com/listing/1537611621</t>
        </is>
      </c>
    </row>
    <row r="1697">
      <c r="A1697" s="3" t="inlineStr">
        <is>
          <t>protection</t>
        </is>
      </c>
      <c r="B1697" s="3" t="inlineStr">
        <is>
          <t>14K Gold Cornicello Necklace, Miami Cuban Chain, Italian Hor</t>
        </is>
      </c>
      <c r="C1697" s="3" t="n">
        <v>1537611621</v>
      </c>
      <c r="D1697" s="3" t="inlineStr">
        <is>
          <t>PHR3-3-24</t>
        </is>
      </c>
      <c r="E1697" s="3" t="inlineStr">
        <is>
          <t>description</t>
        </is>
      </c>
      <c r="F1697" s="14" t="n">
        <v>1784</v>
      </c>
      <c r="G1697" s="17" t="n">
        <v>6.72</v>
      </c>
      <c r="H1697" s="14">
        <f>IF(G1697="","",G1697*Ayarlar!$B$3+Ayarlar!$B$4+Ayarlar!$B$5)</f>
        <v/>
      </c>
      <c r="I1697" s="14">
        <f>IF(G1697="","",ROUNDUP(((G1697*Ayarlar!$B$3+Ayarlar!$B$4+Ayarlar!$B$5)+Ayarlar!$B$8)/((1-Ayarlar!$B$6)*(1-Ayarlar!$B$7)),0))</f>
        <v/>
      </c>
      <c r="J1697" s="14">
        <f>IF(G1697="","",ROUNDUP(((G1697*Ayarlar!$B$3+Ayarlar!$B$4+Ayarlar!$B$5)+Ayarlar!$B$8)/((1-Ayarlar!$B$6)*(1-Ayarlar!$B$7-Ayarlar!$B$9)),0))</f>
        <v/>
      </c>
      <c r="K1697" s="15">
        <f>IF(OR(G1697="",F1697=""),"",(F1697*(1-Ayarlar!$B$6)-(F1697*(1-Ayarlar!$B$6)*Ayarlar!$B$7+Ayarlar!$B$8)-(G1697*Ayarlar!$B$3+Ayarlar!$B$4+Ayarlar!$B$5))/(F1697*(1-Ayarlar!$B$6)))</f>
        <v/>
      </c>
      <c r="L1697" s="3">
        <f>IF(G1697="","GRAM EKSİK",IF(F1697&gt;30000,"FİYAT ŞÜPHELİ",IF(K1697&lt;0,"ZARARDA",IF(F1697&lt;I1697,"RİSKLİ","ok"))))</f>
        <v/>
      </c>
      <c r="M1697" s="16" t="inlineStr">
        <is>
          <t>https://www.etsy.com/listing/1537611621</t>
        </is>
      </c>
    </row>
    <row r="1698">
      <c r="A1698" s="9" t="inlineStr">
        <is>
          <t>protection</t>
        </is>
      </c>
      <c r="B1698" s="9" t="inlineStr">
        <is>
          <t>14K Gold Cornicello Necklace, Miami Cuban Chain, Italian Hor</t>
        </is>
      </c>
      <c r="C1698" s="9" t="n">
        <v>1537611621</v>
      </c>
      <c r="D1698" s="9" t="inlineStr">
        <is>
          <t>PHR3-37-16</t>
        </is>
      </c>
      <c r="E1698" s="9" t="inlineStr">
        <is>
          <t>description</t>
        </is>
      </c>
      <c r="F1698" s="10" t="n">
        <v>1630</v>
      </c>
      <c r="G1698" s="18" t="n">
        <v>5.55</v>
      </c>
      <c r="H1698" s="10">
        <f>IF(G1698="","",G1698*Ayarlar!$B$3+Ayarlar!$B$4+Ayarlar!$B$5)</f>
        <v/>
      </c>
      <c r="I1698" s="10">
        <f>IF(G1698="","",ROUNDUP(((G1698*Ayarlar!$B$3+Ayarlar!$B$4+Ayarlar!$B$5)+Ayarlar!$B$8)/((1-Ayarlar!$B$6)*(1-Ayarlar!$B$7)),0))</f>
        <v/>
      </c>
      <c r="J1698" s="10">
        <f>IF(G1698="","",ROUNDUP(((G1698*Ayarlar!$B$3+Ayarlar!$B$4+Ayarlar!$B$5)+Ayarlar!$B$8)/((1-Ayarlar!$B$6)*(1-Ayarlar!$B$7-Ayarlar!$B$9)),0))</f>
        <v/>
      </c>
      <c r="K1698" s="12">
        <f>IF(OR(G1698="",F1698=""),"",(F1698*(1-Ayarlar!$B$6)-(F1698*(1-Ayarlar!$B$6)*Ayarlar!$B$7+Ayarlar!$B$8)-(G1698*Ayarlar!$B$3+Ayarlar!$B$4+Ayarlar!$B$5))/(F1698*(1-Ayarlar!$B$6)))</f>
        <v/>
      </c>
      <c r="L1698" s="9">
        <f>IF(G1698="","GRAM EKSİK",IF(F1698&gt;30000,"FİYAT ŞÜPHELİ",IF(K1698&lt;0,"ZARARDA",IF(F1698&lt;I1698,"RİSKLİ","ok"))))</f>
        <v/>
      </c>
      <c r="M1698" s="13" t="inlineStr">
        <is>
          <t>https://www.etsy.com/listing/1537611621</t>
        </is>
      </c>
    </row>
    <row r="1699">
      <c r="A1699" s="3" t="inlineStr">
        <is>
          <t>protection</t>
        </is>
      </c>
      <c r="B1699" s="3" t="inlineStr">
        <is>
          <t>14K Gold Cornicello Necklace, Miami Cuban Chain, Italian Hor</t>
        </is>
      </c>
      <c r="C1699" s="3" t="n">
        <v>1537611621</v>
      </c>
      <c r="D1699" s="3" t="inlineStr">
        <is>
          <t>PHR3-37-18</t>
        </is>
      </c>
      <c r="E1699" s="3" t="inlineStr">
        <is>
          <t>description</t>
        </is>
      </c>
      <c r="F1699" s="14" t="n">
        <v>1670</v>
      </c>
      <c r="G1699" s="17" t="n">
        <v>6.24</v>
      </c>
      <c r="H1699" s="14">
        <f>IF(G1699="","",G1699*Ayarlar!$B$3+Ayarlar!$B$4+Ayarlar!$B$5)</f>
        <v/>
      </c>
      <c r="I1699" s="14">
        <f>IF(G1699="","",ROUNDUP(((G1699*Ayarlar!$B$3+Ayarlar!$B$4+Ayarlar!$B$5)+Ayarlar!$B$8)/((1-Ayarlar!$B$6)*(1-Ayarlar!$B$7)),0))</f>
        <v/>
      </c>
      <c r="J1699" s="14">
        <f>IF(G1699="","",ROUNDUP(((G1699*Ayarlar!$B$3+Ayarlar!$B$4+Ayarlar!$B$5)+Ayarlar!$B$8)/((1-Ayarlar!$B$6)*(1-Ayarlar!$B$7-Ayarlar!$B$9)),0))</f>
        <v/>
      </c>
      <c r="K1699" s="15">
        <f>IF(OR(G1699="",F1699=""),"",(F1699*(1-Ayarlar!$B$6)-(F1699*(1-Ayarlar!$B$6)*Ayarlar!$B$7+Ayarlar!$B$8)-(G1699*Ayarlar!$B$3+Ayarlar!$B$4+Ayarlar!$B$5))/(F1699*(1-Ayarlar!$B$6)))</f>
        <v/>
      </c>
      <c r="L1699" s="3">
        <f>IF(G1699="","GRAM EKSİK",IF(F1699&gt;30000,"FİYAT ŞÜPHELİ",IF(K1699&lt;0,"ZARARDA",IF(F1699&lt;I1699,"RİSKLİ","ok"))))</f>
        <v/>
      </c>
      <c r="M1699" s="16" t="inlineStr">
        <is>
          <t>https://www.etsy.com/listing/1537611621</t>
        </is>
      </c>
    </row>
    <row r="1700">
      <c r="A1700" s="9" t="inlineStr">
        <is>
          <t>protection</t>
        </is>
      </c>
      <c r="B1700" s="9" t="inlineStr">
        <is>
          <t>14K Gold Cornicello Necklace, Miami Cuban Chain, Italian Hor</t>
        </is>
      </c>
      <c r="C1700" s="9" t="n">
        <v>1537611621</v>
      </c>
      <c r="D1700" s="9" t="inlineStr">
        <is>
          <t>PHR3-37-20</t>
        </is>
      </c>
      <c r="E1700" s="9" t="inlineStr">
        <is>
          <t>description</t>
        </is>
      </c>
      <c r="F1700" s="10" t="n">
        <v>1781</v>
      </c>
      <c r="G1700" s="18" t="n">
        <v>6.94</v>
      </c>
      <c r="H1700" s="10">
        <f>IF(G1700="","",G1700*Ayarlar!$B$3+Ayarlar!$B$4+Ayarlar!$B$5)</f>
        <v/>
      </c>
      <c r="I1700" s="10">
        <f>IF(G1700="","",ROUNDUP(((G1700*Ayarlar!$B$3+Ayarlar!$B$4+Ayarlar!$B$5)+Ayarlar!$B$8)/((1-Ayarlar!$B$6)*(1-Ayarlar!$B$7)),0))</f>
        <v/>
      </c>
      <c r="J1700" s="10">
        <f>IF(G1700="","",ROUNDUP(((G1700*Ayarlar!$B$3+Ayarlar!$B$4+Ayarlar!$B$5)+Ayarlar!$B$8)/((1-Ayarlar!$B$6)*(1-Ayarlar!$B$7-Ayarlar!$B$9)),0))</f>
        <v/>
      </c>
      <c r="K1700" s="12">
        <f>IF(OR(G1700="",F1700=""),"",(F1700*(1-Ayarlar!$B$6)-(F1700*(1-Ayarlar!$B$6)*Ayarlar!$B$7+Ayarlar!$B$8)-(G1700*Ayarlar!$B$3+Ayarlar!$B$4+Ayarlar!$B$5))/(F1700*(1-Ayarlar!$B$6)))</f>
        <v/>
      </c>
      <c r="L1700" s="9">
        <f>IF(G1700="","GRAM EKSİK",IF(F1700&gt;30000,"FİYAT ŞÜPHELİ",IF(K1700&lt;0,"ZARARDA",IF(F1700&lt;I1700,"RİSKLİ","ok"))))</f>
        <v/>
      </c>
      <c r="M1700" s="13" t="inlineStr">
        <is>
          <t>https://www.etsy.com/listing/1537611621</t>
        </is>
      </c>
    </row>
    <row r="1701">
      <c r="A1701" s="3" t="inlineStr">
        <is>
          <t>protection</t>
        </is>
      </c>
      <c r="B1701" s="3" t="inlineStr">
        <is>
          <t>14K Gold Cornicello Necklace, Miami Cuban Chain, Italian Hor</t>
        </is>
      </c>
      <c r="C1701" s="3" t="n">
        <v>1537611621</v>
      </c>
      <c r="D1701" s="3" t="inlineStr">
        <is>
          <t>PHR3-37-22</t>
        </is>
      </c>
      <c r="E1701" s="3" t="inlineStr">
        <is>
          <t>description</t>
        </is>
      </c>
      <c r="F1701" s="14" t="n">
        <v>1903</v>
      </c>
      <c r="G1701" s="17" t="n">
        <v>7.63</v>
      </c>
      <c r="H1701" s="14">
        <f>IF(G1701="","",G1701*Ayarlar!$B$3+Ayarlar!$B$4+Ayarlar!$B$5)</f>
        <v/>
      </c>
      <c r="I1701" s="14">
        <f>IF(G1701="","",ROUNDUP(((G1701*Ayarlar!$B$3+Ayarlar!$B$4+Ayarlar!$B$5)+Ayarlar!$B$8)/((1-Ayarlar!$B$6)*(1-Ayarlar!$B$7)),0))</f>
        <v/>
      </c>
      <c r="J1701" s="14">
        <f>IF(G1701="","",ROUNDUP(((G1701*Ayarlar!$B$3+Ayarlar!$B$4+Ayarlar!$B$5)+Ayarlar!$B$8)/((1-Ayarlar!$B$6)*(1-Ayarlar!$B$7-Ayarlar!$B$9)),0))</f>
        <v/>
      </c>
      <c r="K1701" s="15">
        <f>IF(OR(G1701="",F1701=""),"",(F1701*(1-Ayarlar!$B$6)-(F1701*(1-Ayarlar!$B$6)*Ayarlar!$B$7+Ayarlar!$B$8)-(G1701*Ayarlar!$B$3+Ayarlar!$B$4+Ayarlar!$B$5))/(F1701*(1-Ayarlar!$B$6)))</f>
        <v/>
      </c>
      <c r="L1701" s="3">
        <f>IF(G1701="","GRAM EKSİK",IF(F1701&gt;30000,"FİYAT ŞÜPHELİ",IF(K1701&lt;0,"ZARARDA",IF(F1701&lt;I1701,"RİSKLİ","ok"))))</f>
        <v/>
      </c>
      <c r="M1701" s="16" t="inlineStr">
        <is>
          <t>https://www.etsy.com/listing/1537611621</t>
        </is>
      </c>
    </row>
    <row r="1702">
      <c r="A1702" s="9" t="inlineStr">
        <is>
          <t>protection</t>
        </is>
      </c>
      <c r="B1702" s="9" t="inlineStr">
        <is>
          <t>14K Gold Cornicello Necklace, Miami Cuban Chain, Italian Hor</t>
        </is>
      </c>
      <c r="C1702" s="9" t="n">
        <v>1537611621</v>
      </c>
      <c r="D1702" s="9" t="inlineStr">
        <is>
          <t>PHR3-37-24</t>
        </is>
      </c>
      <c r="E1702" s="9" t="inlineStr">
        <is>
          <t>description</t>
        </is>
      </c>
      <c r="F1702" s="10" t="n">
        <v>2022</v>
      </c>
      <c r="G1702" s="18" t="n">
        <v>8.33</v>
      </c>
      <c r="H1702" s="10">
        <f>IF(G1702="","",G1702*Ayarlar!$B$3+Ayarlar!$B$4+Ayarlar!$B$5)</f>
        <v/>
      </c>
      <c r="I1702" s="10">
        <f>IF(G1702="","",ROUNDUP(((G1702*Ayarlar!$B$3+Ayarlar!$B$4+Ayarlar!$B$5)+Ayarlar!$B$8)/((1-Ayarlar!$B$6)*(1-Ayarlar!$B$7)),0))</f>
        <v/>
      </c>
      <c r="J1702" s="10">
        <f>IF(G1702="","",ROUNDUP(((G1702*Ayarlar!$B$3+Ayarlar!$B$4+Ayarlar!$B$5)+Ayarlar!$B$8)/((1-Ayarlar!$B$6)*(1-Ayarlar!$B$7-Ayarlar!$B$9)),0))</f>
        <v/>
      </c>
      <c r="K1702" s="12">
        <f>IF(OR(G1702="",F1702=""),"",(F1702*(1-Ayarlar!$B$6)-(F1702*(1-Ayarlar!$B$6)*Ayarlar!$B$7+Ayarlar!$B$8)-(G1702*Ayarlar!$B$3+Ayarlar!$B$4+Ayarlar!$B$5))/(F1702*(1-Ayarlar!$B$6)))</f>
        <v/>
      </c>
      <c r="L1702" s="9">
        <f>IF(G1702="","GRAM EKSİK",IF(F1702&gt;30000,"FİYAT ŞÜPHELİ",IF(K1702&lt;0,"ZARARDA",IF(F1702&lt;I1702,"RİSKLİ","ok"))))</f>
        <v/>
      </c>
      <c r="M1702" s="13" t="inlineStr">
        <is>
          <t>https://www.etsy.com/listing/1537611621</t>
        </is>
      </c>
    </row>
    <row r="1703">
      <c r="A1703" s="3" t="inlineStr">
        <is>
          <t>protection</t>
        </is>
      </c>
      <c r="B1703" s="3" t="inlineStr">
        <is>
          <t>14K Gold Cornicello Necklace, Miami Cuban Chain, Italian Hor</t>
        </is>
      </c>
      <c r="C1703" s="3" t="n">
        <v>1537611621</v>
      </c>
      <c r="D1703" s="3" t="inlineStr">
        <is>
          <t>PHR3-45-16</t>
        </is>
      </c>
      <c r="E1703" s="3" t="inlineStr">
        <is>
          <t>description</t>
        </is>
      </c>
      <c r="F1703" s="14" t="n">
        <v>2082</v>
      </c>
      <c r="G1703" s="17" t="n">
        <v>8.58</v>
      </c>
      <c r="H1703" s="14">
        <f>IF(G1703="","",G1703*Ayarlar!$B$3+Ayarlar!$B$4+Ayarlar!$B$5)</f>
        <v/>
      </c>
      <c r="I1703" s="14">
        <f>IF(G1703="","",ROUNDUP(((G1703*Ayarlar!$B$3+Ayarlar!$B$4+Ayarlar!$B$5)+Ayarlar!$B$8)/((1-Ayarlar!$B$6)*(1-Ayarlar!$B$7)),0))</f>
        <v/>
      </c>
      <c r="J1703" s="14">
        <f>IF(G1703="","",ROUNDUP(((G1703*Ayarlar!$B$3+Ayarlar!$B$4+Ayarlar!$B$5)+Ayarlar!$B$8)/((1-Ayarlar!$B$6)*(1-Ayarlar!$B$7-Ayarlar!$B$9)),0))</f>
        <v/>
      </c>
      <c r="K1703" s="15">
        <f>IF(OR(G1703="",F1703=""),"",(F1703*(1-Ayarlar!$B$6)-(F1703*(1-Ayarlar!$B$6)*Ayarlar!$B$7+Ayarlar!$B$8)-(G1703*Ayarlar!$B$3+Ayarlar!$B$4+Ayarlar!$B$5))/(F1703*(1-Ayarlar!$B$6)))</f>
        <v/>
      </c>
      <c r="L1703" s="3">
        <f>IF(G1703="","GRAM EKSİK",IF(F1703&gt;30000,"FİYAT ŞÜPHELİ",IF(K1703&lt;0,"ZARARDA",IF(F1703&lt;I1703,"RİSKLİ","ok"))))</f>
        <v/>
      </c>
      <c r="M1703" s="16" t="inlineStr">
        <is>
          <t>https://www.etsy.com/listing/1537611621</t>
        </is>
      </c>
    </row>
    <row r="1704">
      <c r="A1704" s="9" t="inlineStr">
        <is>
          <t>protection</t>
        </is>
      </c>
      <c r="B1704" s="9" t="inlineStr">
        <is>
          <t>14K Gold Cornicello Necklace, Miami Cuban Chain, Italian Hor</t>
        </is>
      </c>
      <c r="C1704" s="9" t="n">
        <v>1537611621</v>
      </c>
      <c r="D1704" s="9" t="inlineStr">
        <is>
          <t>PHR3-45-18</t>
        </is>
      </c>
      <c r="E1704" s="9" t="inlineStr">
        <is>
          <t>description</t>
        </is>
      </c>
      <c r="F1704" s="10" t="n">
        <v>2147</v>
      </c>
      <c r="G1704" s="18" t="n">
        <v>9.66</v>
      </c>
      <c r="H1704" s="10">
        <f>IF(G1704="","",G1704*Ayarlar!$B$3+Ayarlar!$B$4+Ayarlar!$B$5)</f>
        <v/>
      </c>
      <c r="I1704" s="10">
        <f>IF(G1704="","",ROUNDUP(((G1704*Ayarlar!$B$3+Ayarlar!$B$4+Ayarlar!$B$5)+Ayarlar!$B$8)/((1-Ayarlar!$B$6)*(1-Ayarlar!$B$7)),0))</f>
        <v/>
      </c>
      <c r="J1704" s="10">
        <f>IF(G1704="","",ROUNDUP(((G1704*Ayarlar!$B$3+Ayarlar!$B$4+Ayarlar!$B$5)+Ayarlar!$B$8)/((1-Ayarlar!$B$6)*(1-Ayarlar!$B$7-Ayarlar!$B$9)),0))</f>
        <v/>
      </c>
      <c r="K1704" s="12">
        <f>IF(OR(G1704="",F1704=""),"",(F1704*(1-Ayarlar!$B$6)-(F1704*(1-Ayarlar!$B$6)*Ayarlar!$B$7+Ayarlar!$B$8)-(G1704*Ayarlar!$B$3+Ayarlar!$B$4+Ayarlar!$B$5))/(F1704*(1-Ayarlar!$B$6)))</f>
        <v/>
      </c>
      <c r="L1704" s="9">
        <f>IF(G1704="","GRAM EKSİK",IF(F1704&gt;30000,"FİYAT ŞÜPHELİ",IF(K1704&lt;0,"ZARARDA",IF(F1704&lt;I1704,"RİSKLİ","ok"))))</f>
        <v/>
      </c>
      <c r="M1704" s="13" t="inlineStr">
        <is>
          <t>https://www.etsy.com/listing/1537611621</t>
        </is>
      </c>
    </row>
    <row r="1705">
      <c r="A1705" s="3" t="inlineStr">
        <is>
          <t>protection</t>
        </is>
      </c>
      <c r="B1705" s="3" t="inlineStr">
        <is>
          <t>14K Gold Cornicello Necklace, Miami Cuban Chain, Italian Hor</t>
        </is>
      </c>
      <c r="C1705" s="3" t="n">
        <v>1537611621</v>
      </c>
      <c r="D1705" s="3" t="inlineStr">
        <is>
          <t>PHR3-45-20</t>
        </is>
      </c>
      <c r="E1705" s="3" t="inlineStr">
        <is>
          <t>description</t>
        </is>
      </c>
      <c r="F1705" s="14" t="n">
        <v>2400</v>
      </c>
      <c r="G1705" s="17" t="n">
        <v>10.73</v>
      </c>
      <c r="H1705" s="14">
        <f>IF(G1705="","",G1705*Ayarlar!$B$3+Ayarlar!$B$4+Ayarlar!$B$5)</f>
        <v/>
      </c>
      <c r="I1705" s="14">
        <f>IF(G1705="","",ROUNDUP(((G1705*Ayarlar!$B$3+Ayarlar!$B$4+Ayarlar!$B$5)+Ayarlar!$B$8)/((1-Ayarlar!$B$6)*(1-Ayarlar!$B$7)),0))</f>
        <v/>
      </c>
      <c r="J1705" s="14">
        <f>IF(G1705="","",ROUNDUP(((G1705*Ayarlar!$B$3+Ayarlar!$B$4+Ayarlar!$B$5)+Ayarlar!$B$8)/((1-Ayarlar!$B$6)*(1-Ayarlar!$B$7-Ayarlar!$B$9)),0))</f>
        <v/>
      </c>
      <c r="K1705" s="15">
        <f>IF(OR(G1705="",F1705=""),"",(F1705*(1-Ayarlar!$B$6)-(F1705*(1-Ayarlar!$B$6)*Ayarlar!$B$7+Ayarlar!$B$8)-(G1705*Ayarlar!$B$3+Ayarlar!$B$4+Ayarlar!$B$5))/(F1705*(1-Ayarlar!$B$6)))</f>
        <v/>
      </c>
      <c r="L1705" s="3">
        <f>IF(G1705="","GRAM EKSİK",IF(F1705&gt;30000,"FİYAT ŞÜPHELİ",IF(K1705&lt;0,"ZARARDA",IF(F1705&lt;I1705,"RİSKLİ","ok"))))</f>
        <v/>
      </c>
      <c r="M1705" s="16" t="inlineStr">
        <is>
          <t>https://www.etsy.com/listing/1537611621</t>
        </is>
      </c>
    </row>
    <row r="1706">
      <c r="A1706" s="9" t="inlineStr">
        <is>
          <t>protection</t>
        </is>
      </c>
      <c r="B1706" s="9" t="inlineStr">
        <is>
          <t>14K Gold Cornicello Necklace, Miami Cuban Chain, Italian Hor</t>
        </is>
      </c>
      <c r="C1706" s="9" t="n">
        <v>1537611621</v>
      </c>
      <c r="D1706" s="9" t="inlineStr">
        <is>
          <t>PHR3-45-22</t>
        </is>
      </c>
      <c r="E1706" s="9" t="inlineStr">
        <is>
          <t>description</t>
        </is>
      </c>
      <c r="F1706" s="10" t="n">
        <v>2511</v>
      </c>
      <c r="G1706" s="18" t="n">
        <v>11.8</v>
      </c>
      <c r="H1706" s="10">
        <f>IF(G1706="","",G1706*Ayarlar!$B$3+Ayarlar!$B$4+Ayarlar!$B$5)</f>
        <v/>
      </c>
      <c r="I1706" s="10">
        <f>IF(G1706="","",ROUNDUP(((G1706*Ayarlar!$B$3+Ayarlar!$B$4+Ayarlar!$B$5)+Ayarlar!$B$8)/((1-Ayarlar!$B$6)*(1-Ayarlar!$B$7)),0))</f>
        <v/>
      </c>
      <c r="J1706" s="10">
        <f>IF(G1706="","",ROUNDUP(((G1706*Ayarlar!$B$3+Ayarlar!$B$4+Ayarlar!$B$5)+Ayarlar!$B$8)/((1-Ayarlar!$B$6)*(1-Ayarlar!$B$7-Ayarlar!$B$9)),0))</f>
        <v/>
      </c>
      <c r="K1706" s="12">
        <f>IF(OR(G1706="",F1706=""),"",(F1706*(1-Ayarlar!$B$6)-(F1706*(1-Ayarlar!$B$6)*Ayarlar!$B$7+Ayarlar!$B$8)-(G1706*Ayarlar!$B$3+Ayarlar!$B$4+Ayarlar!$B$5))/(F1706*(1-Ayarlar!$B$6)))</f>
        <v/>
      </c>
      <c r="L1706" s="9">
        <f>IF(G1706="","GRAM EKSİK",IF(F1706&gt;30000,"FİYAT ŞÜPHELİ",IF(K1706&lt;0,"ZARARDA",IF(F1706&lt;I1706,"RİSKLİ","ok"))))</f>
        <v/>
      </c>
      <c r="M1706" s="13" t="inlineStr">
        <is>
          <t>https://www.etsy.com/listing/1537611621</t>
        </is>
      </c>
    </row>
    <row r="1707">
      <c r="A1707" s="3" t="inlineStr">
        <is>
          <t>protection</t>
        </is>
      </c>
      <c r="B1707" s="3" t="inlineStr">
        <is>
          <t>14K Gold Cornicello Necklace, Miami Cuban Chain, Italian Hor</t>
        </is>
      </c>
      <c r="C1707" s="3" t="n">
        <v>1537611621</v>
      </c>
      <c r="D1707" s="3" t="inlineStr">
        <is>
          <t>PHR3-45-24</t>
        </is>
      </c>
      <c r="E1707" s="3" t="inlineStr">
        <is>
          <t>description</t>
        </is>
      </c>
      <c r="F1707" s="14" t="n">
        <v>2617</v>
      </c>
      <c r="G1707" s="17" t="n">
        <v>12.88</v>
      </c>
      <c r="H1707" s="14">
        <f>IF(G1707="","",G1707*Ayarlar!$B$3+Ayarlar!$B$4+Ayarlar!$B$5)</f>
        <v/>
      </c>
      <c r="I1707" s="14">
        <f>IF(G1707="","",ROUNDUP(((G1707*Ayarlar!$B$3+Ayarlar!$B$4+Ayarlar!$B$5)+Ayarlar!$B$8)/((1-Ayarlar!$B$6)*(1-Ayarlar!$B$7)),0))</f>
        <v/>
      </c>
      <c r="J1707" s="14">
        <f>IF(G1707="","",ROUNDUP(((G1707*Ayarlar!$B$3+Ayarlar!$B$4+Ayarlar!$B$5)+Ayarlar!$B$8)/((1-Ayarlar!$B$6)*(1-Ayarlar!$B$7-Ayarlar!$B$9)),0))</f>
        <v/>
      </c>
      <c r="K1707" s="15">
        <f>IF(OR(G1707="",F1707=""),"",(F1707*(1-Ayarlar!$B$6)-(F1707*(1-Ayarlar!$B$6)*Ayarlar!$B$7+Ayarlar!$B$8)-(G1707*Ayarlar!$B$3+Ayarlar!$B$4+Ayarlar!$B$5))/(F1707*(1-Ayarlar!$B$6)))</f>
        <v/>
      </c>
      <c r="L1707" s="3">
        <f>IF(G1707="","GRAM EKSİK",IF(F1707&gt;30000,"FİYAT ŞÜPHELİ",IF(K1707&lt;0,"ZARARDA",IF(F1707&lt;I1707,"RİSKLİ","ok"))))</f>
        <v/>
      </c>
      <c r="M1707" s="16" t="inlineStr">
        <is>
          <t>https://www.etsy.com/listing/1537611621</t>
        </is>
      </c>
    </row>
    <row r="1708">
      <c r="A1708" s="9" t="inlineStr">
        <is>
          <t>protection</t>
        </is>
      </c>
      <c r="B1708" s="9" t="inlineStr">
        <is>
          <t>14K Gold CZ Hoop Huggie Earrings, Evil Eye Charms</t>
        </is>
      </c>
      <c r="C1708" s="9" t="n">
        <v>1480904845</v>
      </c>
      <c r="D1708" s="9" t="inlineStr">
        <is>
          <t>E106F-BT</t>
        </is>
      </c>
      <c r="E1708" s="9" t="inlineStr">
        <is>
          <t>description</t>
        </is>
      </c>
      <c r="F1708" s="10" t="n">
        <v>484</v>
      </c>
      <c r="G1708" s="18" t="n">
        <v>2.67</v>
      </c>
      <c r="H1708" s="10">
        <f>IF(G1708="","",G1708*Ayarlar!$B$3+Ayarlar!$B$4+Ayarlar!$B$5)</f>
        <v/>
      </c>
      <c r="I1708" s="10">
        <f>IF(G1708="","",ROUNDUP(((G1708*Ayarlar!$B$3+Ayarlar!$B$4+Ayarlar!$B$5)+Ayarlar!$B$8)/((1-Ayarlar!$B$6)*(1-Ayarlar!$B$7)),0))</f>
        <v/>
      </c>
      <c r="J1708" s="10">
        <f>IF(G1708="","",ROUNDUP(((G1708*Ayarlar!$B$3+Ayarlar!$B$4+Ayarlar!$B$5)+Ayarlar!$B$8)/((1-Ayarlar!$B$6)*(1-Ayarlar!$B$7-Ayarlar!$B$9)),0))</f>
        <v/>
      </c>
      <c r="K1708" s="12">
        <f>IF(OR(G1708="",F1708=""),"",(F1708*(1-Ayarlar!$B$6)-(F1708*(1-Ayarlar!$B$6)*Ayarlar!$B$7+Ayarlar!$B$8)-(G1708*Ayarlar!$B$3+Ayarlar!$B$4+Ayarlar!$B$5))/(F1708*(1-Ayarlar!$B$6)))</f>
        <v/>
      </c>
      <c r="L1708" s="9">
        <f>IF(G1708="","GRAM EKSİK",IF(F1708&gt;30000,"FİYAT ŞÜPHELİ",IF(K1708&lt;0,"ZARARDA",IF(F1708&lt;I1708,"RİSKLİ","ok"))))</f>
        <v/>
      </c>
      <c r="M1708" s="13" t="inlineStr">
        <is>
          <t>https://www.etsy.com/listing/1480904845</t>
        </is>
      </c>
    </row>
    <row r="1709">
      <c r="A1709" s="3" t="inlineStr">
        <is>
          <t>protection</t>
        </is>
      </c>
      <c r="B1709" s="3" t="inlineStr">
        <is>
          <t>14K Gold CZ Hoop Huggie Earrings, Evil Eye Charms</t>
        </is>
      </c>
      <c r="C1709" s="3" t="n">
        <v>1480904845</v>
      </c>
      <c r="D1709" s="3" t="inlineStr">
        <is>
          <t>E106F-DL</t>
        </is>
      </c>
      <c r="E1709" s="3" t="inlineStr">
        <is>
          <t>description</t>
        </is>
      </c>
      <c r="F1709" s="14" t="n">
        <v>484</v>
      </c>
      <c r="G1709" s="17" t="n">
        <v>2.67</v>
      </c>
      <c r="H1709" s="14">
        <f>IF(G1709="","",G1709*Ayarlar!$B$3+Ayarlar!$B$4+Ayarlar!$B$5)</f>
        <v/>
      </c>
      <c r="I1709" s="14">
        <f>IF(G1709="","",ROUNDUP(((G1709*Ayarlar!$B$3+Ayarlar!$B$4+Ayarlar!$B$5)+Ayarlar!$B$8)/((1-Ayarlar!$B$6)*(1-Ayarlar!$B$7)),0))</f>
        <v/>
      </c>
      <c r="J1709" s="14">
        <f>IF(G1709="","",ROUNDUP(((G1709*Ayarlar!$B$3+Ayarlar!$B$4+Ayarlar!$B$5)+Ayarlar!$B$8)/((1-Ayarlar!$B$6)*(1-Ayarlar!$B$7-Ayarlar!$B$9)),0))</f>
        <v/>
      </c>
      <c r="K1709" s="15">
        <f>IF(OR(G1709="",F1709=""),"",(F1709*(1-Ayarlar!$B$6)-(F1709*(1-Ayarlar!$B$6)*Ayarlar!$B$7+Ayarlar!$B$8)-(G1709*Ayarlar!$B$3+Ayarlar!$B$4+Ayarlar!$B$5))/(F1709*(1-Ayarlar!$B$6)))</f>
        <v/>
      </c>
      <c r="L1709" s="3">
        <f>IF(G1709="","GRAM EKSİK",IF(F1709&gt;30000,"FİYAT ŞÜPHELİ",IF(K1709&lt;0,"ZARARDA",IF(F1709&lt;I1709,"RİSKLİ","ok"))))</f>
        <v/>
      </c>
      <c r="M1709" s="16" t="inlineStr">
        <is>
          <t>https://www.etsy.com/listing/1480904845</t>
        </is>
      </c>
    </row>
    <row r="1710">
      <c r="A1710" s="9" t="inlineStr">
        <is>
          <t>protection</t>
        </is>
      </c>
      <c r="B1710" s="9" t="inlineStr">
        <is>
          <t>14K Gold CZ Hoop Huggie Earrings, Evil Eye Charms</t>
        </is>
      </c>
      <c r="C1710" s="9" t="n">
        <v>1480904845</v>
      </c>
      <c r="D1710" s="9" t="inlineStr">
        <is>
          <t>E106F-EL</t>
        </is>
      </c>
      <c r="E1710" s="9" t="inlineStr">
        <is>
          <t>description</t>
        </is>
      </c>
      <c r="F1710" s="10" t="n">
        <v>484</v>
      </c>
      <c r="G1710" s="18" t="n">
        <v>2.67</v>
      </c>
      <c r="H1710" s="10">
        <f>IF(G1710="","",G1710*Ayarlar!$B$3+Ayarlar!$B$4+Ayarlar!$B$5)</f>
        <v/>
      </c>
      <c r="I1710" s="10">
        <f>IF(G1710="","",ROUNDUP(((G1710*Ayarlar!$B$3+Ayarlar!$B$4+Ayarlar!$B$5)+Ayarlar!$B$8)/((1-Ayarlar!$B$6)*(1-Ayarlar!$B$7)),0))</f>
        <v/>
      </c>
      <c r="J1710" s="10">
        <f>IF(G1710="","",ROUNDUP(((G1710*Ayarlar!$B$3+Ayarlar!$B$4+Ayarlar!$B$5)+Ayarlar!$B$8)/((1-Ayarlar!$B$6)*(1-Ayarlar!$B$7-Ayarlar!$B$9)),0))</f>
        <v/>
      </c>
      <c r="K1710" s="12">
        <f>IF(OR(G1710="",F1710=""),"",(F1710*(1-Ayarlar!$B$6)-(F1710*(1-Ayarlar!$B$6)*Ayarlar!$B$7+Ayarlar!$B$8)-(G1710*Ayarlar!$B$3+Ayarlar!$B$4+Ayarlar!$B$5))/(F1710*(1-Ayarlar!$B$6)))</f>
        <v/>
      </c>
      <c r="L1710" s="9">
        <f>IF(G1710="","GRAM EKSİK",IF(F1710&gt;30000,"FİYAT ŞÜPHELİ",IF(K1710&lt;0,"ZARARDA",IF(F1710&lt;I1710,"RİSKLİ","ok"))))</f>
        <v/>
      </c>
      <c r="M1710" s="13" t="inlineStr">
        <is>
          <t>https://www.etsy.com/listing/1480904845</t>
        </is>
      </c>
    </row>
    <row r="1711">
      <c r="A1711" s="3" t="inlineStr">
        <is>
          <t>protection</t>
        </is>
      </c>
      <c r="B1711" s="3" t="inlineStr">
        <is>
          <t>14K Gold CZ Hoop Huggie Earrings, Evil Eye Charms</t>
        </is>
      </c>
      <c r="C1711" s="3" t="n">
        <v>1480904845</v>
      </c>
      <c r="D1711" s="3" t="inlineStr">
        <is>
          <t>E106F-ELA</t>
        </is>
      </c>
      <c r="E1711" s="3" t="inlineStr">
        <is>
          <t>description</t>
        </is>
      </c>
      <c r="F1711" s="14" t="n">
        <v>484</v>
      </c>
      <c r="G1711" s="17" t="n">
        <v>2.67</v>
      </c>
      <c r="H1711" s="14">
        <f>IF(G1711="","",G1711*Ayarlar!$B$3+Ayarlar!$B$4+Ayarlar!$B$5)</f>
        <v/>
      </c>
      <c r="I1711" s="14">
        <f>IF(G1711="","",ROUNDUP(((G1711*Ayarlar!$B$3+Ayarlar!$B$4+Ayarlar!$B$5)+Ayarlar!$B$8)/((1-Ayarlar!$B$6)*(1-Ayarlar!$B$7)),0))</f>
        <v/>
      </c>
      <c r="J1711" s="14">
        <f>IF(G1711="","",ROUNDUP(((G1711*Ayarlar!$B$3+Ayarlar!$B$4+Ayarlar!$B$5)+Ayarlar!$B$8)/((1-Ayarlar!$B$6)*(1-Ayarlar!$B$7-Ayarlar!$B$9)),0))</f>
        <v/>
      </c>
      <c r="K1711" s="15">
        <f>IF(OR(G1711="",F1711=""),"",(F1711*(1-Ayarlar!$B$6)-(F1711*(1-Ayarlar!$B$6)*Ayarlar!$B$7+Ayarlar!$B$8)-(G1711*Ayarlar!$B$3+Ayarlar!$B$4+Ayarlar!$B$5))/(F1711*(1-Ayarlar!$B$6)))</f>
        <v/>
      </c>
      <c r="L1711" s="3">
        <f>IF(G1711="","GRAM EKSİK",IF(F1711&gt;30000,"FİYAT ŞÜPHELİ",IF(K1711&lt;0,"ZARARDA",IF(F1711&lt;I1711,"RİSKLİ","ok"))))</f>
        <v/>
      </c>
      <c r="M1711" s="16" t="inlineStr">
        <is>
          <t>https://www.etsy.com/listing/1480904845</t>
        </is>
      </c>
    </row>
    <row r="1712">
      <c r="A1712" s="9" t="inlineStr">
        <is>
          <t>protection</t>
        </is>
      </c>
      <c r="B1712" s="9" t="inlineStr">
        <is>
          <t>14K Gold CZ Hoop Huggie Earrings, Evil Eye Charms</t>
        </is>
      </c>
      <c r="C1712" s="9" t="n">
        <v>1480904845</v>
      </c>
      <c r="D1712" s="9" t="inlineStr">
        <is>
          <t>E106F-EV</t>
        </is>
      </c>
      <c r="E1712" s="9" t="inlineStr">
        <is>
          <t>description</t>
        </is>
      </c>
      <c r="F1712" s="10" t="n">
        <v>484</v>
      </c>
      <c r="G1712" s="18" t="n">
        <v>2.67</v>
      </c>
      <c r="H1712" s="10">
        <f>IF(G1712="","",G1712*Ayarlar!$B$3+Ayarlar!$B$4+Ayarlar!$B$5)</f>
        <v/>
      </c>
      <c r="I1712" s="10">
        <f>IF(G1712="","",ROUNDUP(((G1712*Ayarlar!$B$3+Ayarlar!$B$4+Ayarlar!$B$5)+Ayarlar!$B$8)/((1-Ayarlar!$B$6)*(1-Ayarlar!$B$7)),0))</f>
        <v/>
      </c>
      <c r="J1712" s="10">
        <f>IF(G1712="","",ROUNDUP(((G1712*Ayarlar!$B$3+Ayarlar!$B$4+Ayarlar!$B$5)+Ayarlar!$B$8)/((1-Ayarlar!$B$6)*(1-Ayarlar!$B$7-Ayarlar!$B$9)),0))</f>
        <v/>
      </c>
      <c r="K1712" s="12">
        <f>IF(OR(G1712="",F1712=""),"",(F1712*(1-Ayarlar!$B$6)-(F1712*(1-Ayarlar!$B$6)*Ayarlar!$B$7+Ayarlar!$B$8)-(G1712*Ayarlar!$B$3+Ayarlar!$B$4+Ayarlar!$B$5))/(F1712*(1-Ayarlar!$B$6)))</f>
        <v/>
      </c>
      <c r="L1712" s="9">
        <f>IF(G1712="","GRAM EKSİK",IF(F1712&gt;30000,"FİYAT ŞÜPHELİ",IF(K1712&lt;0,"ZARARDA",IF(F1712&lt;I1712,"RİSKLİ","ok"))))</f>
        <v/>
      </c>
      <c r="M1712" s="13" t="inlineStr">
        <is>
          <t>https://www.etsy.com/listing/1480904845</t>
        </is>
      </c>
    </row>
    <row r="1713">
      <c r="A1713" s="3" t="inlineStr">
        <is>
          <t>protection</t>
        </is>
      </c>
      <c r="B1713" s="3" t="inlineStr">
        <is>
          <t>14K Gold CZ Hoop Huggie Earrings, Evil Eye Charms</t>
        </is>
      </c>
      <c r="C1713" s="3" t="n">
        <v>1480904845</v>
      </c>
      <c r="D1713" s="3" t="inlineStr">
        <is>
          <t>E106F-ST</t>
        </is>
      </c>
      <c r="E1713" s="3" t="inlineStr">
        <is>
          <t>description</t>
        </is>
      </c>
      <c r="F1713" s="14" t="n">
        <v>484</v>
      </c>
      <c r="G1713" s="17" t="n">
        <v>2.67</v>
      </c>
      <c r="H1713" s="14">
        <f>IF(G1713="","",G1713*Ayarlar!$B$3+Ayarlar!$B$4+Ayarlar!$B$5)</f>
        <v/>
      </c>
      <c r="I1713" s="14">
        <f>IF(G1713="","",ROUNDUP(((G1713*Ayarlar!$B$3+Ayarlar!$B$4+Ayarlar!$B$5)+Ayarlar!$B$8)/((1-Ayarlar!$B$6)*(1-Ayarlar!$B$7)),0))</f>
        <v/>
      </c>
      <c r="J1713" s="14">
        <f>IF(G1713="","",ROUNDUP(((G1713*Ayarlar!$B$3+Ayarlar!$B$4+Ayarlar!$B$5)+Ayarlar!$B$8)/((1-Ayarlar!$B$6)*(1-Ayarlar!$B$7-Ayarlar!$B$9)),0))</f>
        <v/>
      </c>
      <c r="K1713" s="15">
        <f>IF(OR(G1713="",F1713=""),"",(F1713*(1-Ayarlar!$B$6)-(F1713*(1-Ayarlar!$B$6)*Ayarlar!$B$7+Ayarlar!$B$8)-(G1713*Ayarlar!$B$3+Ayarlar!$B$4+Ayarlar!$B$5))/(F1713*(1-Ayarlar!$B$6)))</f>
        <v/>
      </c>
      <c r="L1713" s="3">
        <f>IF(G1713="","GRAM EKSİK",IF(F1713&gt;30000,"FİYAT ŞÜPHELİ",IF(K1713&lt;0,"ZARARDA",IF(F1713&lt;I1713,"RİSKLİ","ok"))))</f>
        <v/>
      </c>
      <c r="M1713" s="16" t="inlineStr">
        <is>
          <t>https://www.etsy.com/listing/1480904845</t>
        </is>
      </c>
    </row>
    <row r="1714">
      <c r="A1714" s="9" t="inlineStr">
        <is>
          <t>protection</t>
        </is>
      </c>
      <c r="B1714" s="9" t="inlineStr">
        <is>
          <t>14K Gold CZ Hoop Huggie Earrings, Evil Eye Charms</t>
        </is>
      </c>
      <c r="C1714" s="9" t="n">
        <v>1480904845</v>
      </c>
      <c r="D1714" s="9" t="inlineStr">
        <is>
          <t>E106F-TR</t>
        </is>
      </c>
      <c r="E1714" s="9" t="inlineStr">
        <is>
          <t>description</t>
        </is>
      </c>
      <c r="F1714" s="10" t="n">
        <v>484</v>
      </c>
      <c r="G1714" s="18" t="n">
        <v>2.67</v>
      </c>
      <c r="H1714" s="10">
        <f>IF(G1714="","",G1714*Ayarlar!$B$3+Ayarlar!$B$4+Ayarlar!$B$5)</f>
        <v/>
      </c>
      <c r="I1714" s="10">
        <f>IF(G1714="","",ROUNDUP(((G1714*Ayarlar!$B$3+Ayarlar!$B$4+Ayarlar!$B$5)+Ayarlar!$B$8)/((1-Ayarlar!$B$6)*(1-Ayarlar!$B$7)),0))</f>
        <v/>
      </c>
      <c r="J1714" s="10">
        <f>IF(G1714="","",ROUNDUP(((G1714*Ayarlar!$B$3+Ayarlar!$B$4+Ayarlar!$B$5)+Ayarlar!$B$8)/((1-Ayarlar!$B$6)*(1-Ayarlar!$B$7-Ayarlar!$B$9)),0))</f>
        <v/>
      </c>
      <c r="K1714" s="12">
        <f>IF(OR(G1714="",F1714=""),"",(F1714*(1-Ayarlar!$B$6)-(F1714*(1-Ayarlar!$B$6)*Ayarlar!$B$7+Ayarlar!$B$8)-(G1714*Ayarlar!$B$3+Ayarlar!$B$4+Ayarlar!$B$5))/(F1714*(1-Ayarlar!$B$6)))</f>
        <v/>
      </c>
      <c r="L1714" s="9">
        <f>IF(G1714="","GRAM EKSİK",IF(F1714&gt;30000,"FİYAT ŞÜPHELİ",IF(K1714&lt;0,"ZARARDA",IF(F1714&lt;I1714,"RİSKLİ","ok"))))</f>
        <v/>
      </c>
      <c r="M1714" s="13" t="inlineStr">
        <is>
          <t>https://www.etsy.com/listing/1480904845</t>
        </is>
      </c>
    </row>
    <row r="1715">
      <c r="A1715" s="3" t="inlineStr">
        <is>
          <t>protection</t>
        </is>
      </c>
      <c r="B1715" s="3" t="inlineStr">
        <is>
          <t>14K Gold Diamond Cut Hamsa Hand Pendant / Blue Navy Red Evil</t>
        </is>
      </c>
      <c r="C1715" s="3" t="n">
        <v>1228157956</v>
      </c>
      <c r="D1715" s="3" t="inlineStr">
        <is>
          <t>P16F-B</t>
        </is>
      </c>
      <c r="E1715" s="3" t="inlineStr">
        <is>
          <t>manual</t>
        </is>
      </c>
      <c r="F1715" s="14" t="n">
        <v>148</v>
      </c>
      <c r="G1715" s="17" t="n">
        <v>0.77</v>
      </c>
      <c r="H1715" s="14">
        <f>IF(G1715="","",G1715*Ayarlar!$B$3+Ayarlar!$B$4+Ayarlar!$B$5)</f>
        <v/>
      </c>
      <c r="I1715" s="14">
        <f>IF(G1715="","",ROUNDUP(((G1715*Ayarlar!$B$3+Ayarlar!$B$4+Ayarlar!$B$5)+Ayarlar!$B$8)/((1-Ayarlar!$B$6)*(1-Ayarlar!$B$7)),0))</f>
        <v/>
      </c>
      <c r="J1715" s="14">
        <f>IF(G1715="","",ROUNDUP(((G1715*Ayarlar!$B$3+Ayarlar!$B$4+Ayarlar!$B$5)+Ayarlar!$B$8)/((1-Ayarlar!$B$6)*(1-Ayarlar!$B$7-Ayarlar!$B$9)),0))</f>
        <v/>
      </c>
      <c r="K1715" s="15">
        <f>IF(OR(G1715="",F1715=""),"",(F1715*(1-Ayarlar!$B$6)-(F1715*(1-Ayarlar!$B$6)*Ayarlar!$B$7+Ayarlar!$B$8)-(G1715*Ayarlar!$B$3+Ayarlar!$B$4+Ayarlar!$B$5))/(F1715*(1-Ayarlar!$B$6)))</f>
        <v/>
      </c>
      <c r="L1715" s="3">
        <f>IF(G1715="","GRAM EKSİK",IF(F1715&gt;30000,"FİYAT ŞÜPHELİ",IF(K1715&lt;0,"ZARARDA",IF(F1715&lt;I1715,"RİSKLİ","ok"))))</f>
        <v/>
      </c>
      <c r="M1715" s="16" t="inlineStr">
        <is>
          <t>https://www.etsy.com/listing/1228157956</t>
        </is>
      </c>
    </row>
    <row r="1716">
      <c r="A1716" s="9" t="inlineStr">
        <is>
          <t>protection</t>
        </is>
      </c>
      <c r="B1716" s="9" t="inlineStr">
        <is>
          <t>14K Gold Diamond Cut Hamsa Hand Pendant / Blue Navy Red Evil</t>
        </is>
      </c>
      <c r="C1716" s="9" t="n">
        <v>1228157956</v>
      </c>
      <c r="D1716" s="9" t="inlineStr">
        <is>
          <t>P16F-N</t>
        </is>
      </c>
      <c r="E1716" s="9" t="inlineStr">
        <is>
          <t>manual</t>
        </is>
      </c>
      <c r="F1716" s="10" t="n">
        <v>148</v>
      </c>
      <c r="G1716" s="18" t="n">
        <v>0.77</v>
      </c>
      <c r="H1716" s="10">
        <f>IF(G1716="","",G1716*Ayarlar!$B$3+Ayarlar!$B$4+Ayarlar!$B$5)</f>
        <v/>
      </c>
      <c r="I1716" s="10">
        <f>IF(G1716="","",ROUNDUP(((G1716*Ayarlar!$B$3+Ayarlar!$B$4+Ayarlar!$B$5)+Ayarlar!$B$8)/((1-Ayarlar!$B$6)*(1-Ayarlar!$B$7)),0))</f>
        <v/>
      </c>
      <c r="J1716" s="10">
        <f>IF(G1716="","",ROUNDUP(((G1716*Ayarlar!$B$3+Ayarlar!$B$4+Ayarlar!$B$5)+Ayarlar!$B$8)/((1-Ayarlar!$B$6)*(1-Ayarlar!$B$7-Ayarlar!$B$9)),0))</f>
        <v/>
      </c>
      <c r="K1716" s="12">
        <f>IF(OR(G1716="",F1716=""),"",(F1716*(1-Ayarlar!$B$6)-(F1716*(1-Ayarlar!$B$6)*Ayarlar!$B$7+Ayarlar!$B$8)-(G1716*Ayarlar!$B$3+Ayarlar!$B$4+Ayarlar!$B$5))/(F1716*(1-Ayarlar!$B$6)))</f>
        <v/>
      </c>
      <c r="L1716" s="9">
        <f>IF(G1716="","GRAM EKSİK",IF(F1716&gt;30000,"FİYAT ŞÜPHELİ",IF(K1716&lt;0,"ZARARDA",IF(F1716&lt;I1716,"RİSKLİ","ok"))))</f>
        <v/>
      </c>
      <c r="M1716" s="13" t="inlineStr">
        <is>
          <t>https://www.etsy.com/listing/1228157956</t>
        </is>
      </c>
    </row>
    <row r="1717">
      <c r="A1717" s="3" t="inlineStr">
        <is>
          <t>protection</t>
        </is>
      </c>
      <c r="B1717" s="3" t="inlineStr">
        <is>
          <t>14K Gold Diamond Cut Hamsa Hand Pendant / Blue Navy Red Evil</t>
        </is>
      </c>
      <c r="C1717" s="3" t="n">
        <v>1228157956</v>
      </c>
      <c r="D1717" s="3" t="inlineStr">
        <is>
          <t>P16F-R</t>
        </is>
      </c>
      <c r="E1717" s="3" t="inlineStr">
        <is>
          <t>manual</t>
        </is>
      </c>
      <c r="F1717" s="14" t="n">
        <v>148</v>
      </c>
      <c r="G1717" s="17" t="n">
        <v>0.77</v>
      </c>
      <c r="H1717" s="14">
        <f>IF(G1717="","",G1717*Ayarlar!$B$3+Ayarlar!$B$4+Ayarlar!$B$5)</f>
        <v/>
      </c>
      <c r="I1717" s="14">
        <f>IF(G1717="","",ROUNDUP(((G1717*Ayarlar!$B$3+Ayarlar!$B$4+Ayarlar!$B$5)+Ayarlar!$B$8)/((1-Ayarlar!$B$6)*(1-Ayarlar!$B$7)),0))</f>
        <v/>
      </c>
      <c r="J1717" s="14">
        <f>IF(G1717="","",ROUNDUP(((G1717*Ayarlar!$B$3+Ayarlar!$B$4+Ayarlar!$B$5)+Ayarlar!$B$8)/((1-Ayarlar!$B$6)*(1-Ayarlar!$B$7-Ayarlar!$B$9)),0))</f>
        <v/>
      </c>
      <c r="K1717" s="15">
        <f>IF(OR(G1717="",F1717=""),"",(F1717*(1-Ayarlar!$B$6)-(F1717*(1-Ayarlar!$B$6)*Ayarlar!$B$7+Ayarlar!$B$8)-(G1717*Ayarlar!$B$3+Ayarlar!$B$4+Ayarlar!$B$5))/(F1717*(1-Ayarlar!$B$6)))</f>
        <v/>
      </c>
      <c r="L1717" s="3">
        <f>IF(G1717="","GRAM EKSİK",IF(F1717&gt;30000,"FİYAT ŞÜPHELİ",IF(K1717&lt;0,"ZARARDA",IF(F1717&lt;I1717,"RİSKLİ","ok"))))</f>
        <v/>
      </c>
      <c r="M1717" s="16" t="inlineStr">
        <is>
          <t>https://www.etsy.com/listing/1228157956</t>
        </is>
      </c>
    </row>
    <row r="1718">
      <c r="A1718" s="9" t="inlineStr">
        <is>
          <t>protection</t>
        </is>
      </c>
      <c r="B1718" s="9" t="inlineStr">
        <is>
          <t>14K Gold Diamonique CZ Hamsa Hand Evil Eye Dangle Earrings</t>
        </is>
      </c>
      <c r="C1718" s="9" t="n">
        <v>1206377232</v>
      </c>
      <c r="D1718" s="9" t="inlineStr">
        <is>
          <t>E10F</t>
        </is>
      </c>
      <c r="E1718" s="9" t="inlineStr">
        <is>
          <t>description</t>
        </is>
      </c>
      <c r="F1718" s="10" t="n">
        <v>443</v>
      </c>
      <c r="G1718" s="18" t="n">
        <v>2.44</v>
      </c>
      <c r="H1718" s="10">
        <f>IF(G1718="","",G1718*Ayarlar!$B$3+Ayarlar!$B$4+Ayarlar!$B$5)</f>
        <v/>
      </c>
      <c r="I1718" s="10">
        <f>IF(G1718="","",ROUNDUP(((G1718*Ayarlar!$B$3+Ayarlar!$B$4+Ayarlar!$B$5)+Ayarlar!$B$8)/((1-Ayarlar!$B$6)*(1-Ayarlar!$B$7)),0))</f>
        <v/>
      </c>
      <c r="J1718" s="10">
        <f>IF(G1718="","",ROUNDUP(((G1718*Ayarlar!$B$3+Ayarlar!$B$4+Ayarlar!$B$5)+Ayarlar!$B$8)/((1-Ayarlar!$B$6)*(1-Ayarlar!$B$7-Ayarlar!$B$9)),0))</f>
        <v/>
      </c>
      <c r="K1718" s="12">
        <f>IF(OR(G1718="",F1718=""),"",(F1718*(1-Ayarlar!$B$6)-(F1718*(1-Ayarlar!$B$6)*Ayarlar!$B$7+Ayarlar!$B$8)-(G1718*Ayarlar!$B$3+Ayarlar!$B$4+Ayarlar!$B$5))/(F1718*(1-Ayarlar!$B$6)))</f>
        <v/>
      </c>
      <c r="L1718" s="9">
        <f>IF(G1718="","GRAM EKSİK",IF(F1718&gt;30000,"FİYAT ŞÜPHELİ",IF(K1718&lt;0,"ZARARDA",IF(F1718&lt;I1718,"RİSKLİ","ok"))))</f>
        <v/>
      </c>
      <c r="M1718" s="13" t="inlineStr">
        <is>
          <t>https://www.etsy.com/listing/1206377232</t>
        </is>
      </c>
    </row>
    <row r="1719">
      <c r="A1719" s="3" t="inlineStr">
        <is>
          <t>protection</t>
        </is>
      </c>
      <c r="B1719" s="3" t="inlineStr">
        <is>
          <t>14K Gold Evil Eye Bracelet, Good Luck Charm Jewelry</t>
        </is>
      </c>
      <c r="C1719" s="3" t="n">
        <v>1525338848</v>
      </c>
      <c r="D1719" s="3" t="inlineStr">
        <is>
          <t>B1EYE-BLK</t>
        </is>
      </c>
      <c r="E1719" s="3" t="inlineStr">
        <is>
          <t>description</t>
        </is>
      </c>
      <c r="F1719" s="14" t="n">
        <v>256</v>
      </c>
      <c r="G1719" s="17" t="n">
        <v>1.38</v>
      </c>
      <c r="H1719" s="14">
        <f>IF(G1719="","",G1719*Ayarlar!$B$3+Ayarlar!$B$4+Ayarlar!$B$5)</f>
        <v/>
      </c>
      <c r="I1719" s="14">
        <f>IF(G1719="","",ROUNDUP(((G1719*Ayarlar!$B$3+Ayarlar!$B$4+Ayarlar!$B$5)+Ayarlar!$B$8)/((1-Ayarlar!$B$6)*(1-Ayarlar!$B$7)),0))</f>
        <v/>
      </c>
      <c r="J1719" s="14">
        <f>IF(G1719="","",ROUNDUP(((G1719*Ayarlar!$B$3+Ayarlar!$B$4+Ayarlar!$B$5)+Ayarlar!$B$8)/((1-Ayarlar!$B$6)*(1-Ayarlar!$B$7-Ayarlar!$B$9)),0))</f>
        <v/>
      </c>
      <c r="K1719" s="15">
        <f>IF(OR(G1719="",F1719=""),"",(F1719*(1-Ayarlar!$B$6)-(F1719*(1-Ayarlar!$B$6)*Ayarlar!$B$7+Ayarlar!$B$8)-(G1719*Ayarlar!$B$3+Ayarlar!$B$4+Ayarlar!$B$5))/(F1719*(1-Ayarlar!$B$6)))</f>
        <v/>
      </c>
      <c r="L1719" s="3">
        <f>IF(G1719="","GRAM EKSİK",IF(F1719&gt;30000,"FİYAT ŞÜPHELİ",IF(K1719&lt;0,"ZARARDA",IF(F1719&lt;I1719,"RİSKLİ","ok"))))</f>
        <v/>
      </c>
      <c r="M1719" s="16" t="inlineStr">
        <is>
          <t>https://www.etsy.com/listing/1525338848</t>
        </is>
      </c>
    </row>
    <row r="1720">
      <c r="A1720" s="9" t="inlineStr">
        <is>
          <t>protection</t>
        </is>
      </c>
      <c r="B1720" s="9" t="inlineStr">
        <is>
          <t>14K Gold Evil Eye Bracelet, Good Luck Charm Jewelry</t>
        </is>
      </c>
      <c r="C1720" s="9" t="n">
        <v>1525338848</v>
      </c>
      <c r="D1720" s="9" t="inlineStr">
        <is>
          <t>B1EYE-MUL</t>
        </is>
      </c>
      <c r="E1720" s="9" t="inlineStr">
        <is>
          <t>description</t>
        </is>
      </c>
      <c r="F1720" s="10" t="n">
        <v>256</v>
      </c>
      <c r="G1720" s="18" t="n">
        <v>1.38</v>
      </c>
      <c r="H1720" s="10">
        <f>IF(G1720="","",G1720*Ayarlar!$B$3+Ayarlar!$B$4+Ayarlar!$B$5)</f>
        <v/>
      </c>
      <c r="I1720" s="10">
        <f>IF(G1720="","",ROUNDUP(((G1720*Ayarlar!$B$3+Ayarlar!$B$4+Ayarlar!$B$5)+Ayarlar!$B$8)/((1-Ayarlar!$B$6)*(1-Ayarlar!$B$7)),0))</f>
        <v/>
      </c>
      <c r="J1720" s="10">
        <f>IF(G1720="","",ROUNDUP(((G1720*Ayarlar!$B$3+Ayarlar!$B$4+Ayarlar!$B$5)+Ayarlar!$B$8)/((1-Ayarlar!$B$6)*(1-Ayarlar!$B$7-Ayarlar!$B$9)),0))</f>
        <v/>
      </c>
      <c r="K1720" s="12">
        <f>IF(OR(G1720="",F1720=""),"",(F1720*(1-Ayarlar!$B$6)-(F1720*(1-Ayarlar!$B$6)*Ayarlar!$B$7+Ayarlar!$B$8)-(G1720*Ayarlar!$B$3+Ayarlar!$B$4+Ayarlar!$B$5))/(F1720*(1-Ayarlar!$B$6)))</f>
        <v/>
      </c>
      <c r="L1720" s="9">
        <f>IF(G1720="","GRAM EKSİK",IF(F1720&gt;30000,"FİYAT ŞÜPHELİ",IF(K1720&lt;0,"ZARARDA",IF(F1720&lt;I1720,"RİSKLİ","ok"))))</f>
        <v/>
      </c>
      <c r="M1720" s="13" t="inlineStr">
        <is>
          <t>https://www.etsy.com/listing/1525338848</t>
        </is>
      </c>
    </row>
    <row r="1721">
      <c r="A1721" s="3" t="inlineStr">
        <is>
          <t>protection</t>
        </is>
      </c>
      <c r="B1721" s="3" t="inlineStr">
        <is>
          <t>14K Gold Evil Eye Bracelet, Good Luck Charm Jewelry</t>
        </is>
      </c>
      <c r="C1721" s="3" t="n">
        <v>1525338848</v>
      </c>
      <c r="D1721" s="3" t="inlineStr">
        <is>
          <t>B1EYE-NAV</t>
        </is>
      </c>
      <c r="E1721" s="3" t="inlineStr">
        <is>
          <t>description</t>
        </is>
      </c>
      <c r="F1721" s="14" t="n">
        <v>256</v>
      </c>
      <c r="G1721" s="17" t="n">
        <v>1.38</v>
      </c>
      <c r="H1721" s="14">
        <f>IF(G1721="","",G1721*Ayarlar!$B$3+Ayarlar!$B$4+Ayarlar!$B$5)</f>
        <v/>
      </c>
      <c r="I1721" s="14">
        <f>IF(G1721="","",ROUNDUP(((G1721*Ayarlar!$B$3+Ayarlar!$B$4+Ayarlar!$B$5)+Ayarlar!$B$8)/((1-Ayarlar!$B$6)*(1-Ayarlar!$B$7)),0))</f>
        <v/>
      </c>
      <c r="J1721" s="14">
        <f>IF(G1721="","",ROUNDUP(((G1721*Ayarlar!$B$3+Ayarlar!$B$4+Ayarlar!$B$5)+Ayarlar!$B$8)/((1-Ayarlar!$B$6)*(1-Ayarlar!$B$7-Ayarlar!$B$9)),0))</f>
        <v/>
      </c>
      <c r="K1721" s="15">
        <f>IF(OR(G1721="",F1721=""),"",(F1721*(1-Ayarlar!$B$6)-(F1721*(1-Ayarlar!$B$6)*Ayarlar!$B$7+Ayarlar!$B$8)-(G1721*Ayarlar!$B$3+Ayarlar!$B$4+Ayarlar!$B$5))/(F1721*(1-Ayarlar!$B$6)))</f>
        <v/>
      </c>
      <c r="L1721" s="3">
        <f>IF(G1721="","GRAM EKSİK",IF(F1721&gt;30000,"FİYAT ŞÜPHELİ",IF(K1721&lt;0,"ZARARDA",IF(F1721&lt;I1721,"RİSKLİ","ok"))))</f>
        <v/>
      </c>
      <c r="M1721" s="16" t="inlineStr">
        <is>
          <t>https://www.etsy.com/listing/1525338848</t>
        </is>
      </c>
    </row>
    <row r="1722">
      <c r="A1722" s="9" t="inlineStr">
        <is>
          <t>protection</t>
        </is>
      </c>
      <c r="B1722" s="9" t="inlineStr">
        <is>
          <t>14K Gold Evil Eye Bracelet, Good Luck Charm Jewelry</t>
        </is>
      </c>
      <c r="C1722" s="9" t="n">
        <v>1525338848</v>
      </c>
      <c r="D1722" s="9" t="inlineStr">
        <is>
          <t>B1EYE-OC</t>
        </is>
      </c>
      <c r="E1722" s="9" t="inlineStr">
        <is>
          <t>description</t>
        </is>
      </c>
      <c r="F1722" s="10" t="n">
        <v>256</v>
      </c>
      <c r="G1722" s="18" t="n">
        <v>1.38</v>
      </c>
      <c r="H1722" s="10">
        <f>IF(G1722="","",G1722*Ayarlar!$B$3+Ayarlar!$B$4+Ayarlar!$B$5)</f>
        <v/>
      </c>
      <c r="I1722" s="10">
        <f>IF(G1722="","",ROUNDUP(((G1722*Ayarlar!$B$3+Ayarlar!$B$4+Ayarlar!$B$5)+Ayarlar!$B$8)/((1-Ayarlar!$B$6)*(1-Ayarlar!$B$7)),0))</f>
        <v/>
      </c>
      <c r="J1722" s="10">
        <f>IF(G1722="","",ROUNDUP(((G1722*Ayarlar!$B$3+Ayarlar!$B$4+Ayarlar!$B$5)+Ayarlar!$B$8)/((1-Ayarlar!$B$6)*(1-Ayarlar!$B$7-Ayarlar!$B$9)),0))</f>
        <v/>
      </c>
      <c r="K1722" s="12">
        <f>IF(OR(G1722="",F1722=""),"",(F1722*(1-Ayarlar!$B$6)-(F1722*(1-Ayarlar!$B$6)*Ayarlar!$B$7+Ayarlar!$B$8)-(G1722*Ayarlar!$B$3+Ayarlar!$B$4+Ayarlar!$B$5))/(F1722*(1-Ayarlar!$B$6)))</f>
        <v/>
      </c>
      <c r="L1722" s="9">
        <f>IF(G1722="","GRAM EKSİK",IF(F1722&gt;30000,"FİYAT ŞÜPHELİ",IF(K1722&lt;0,"ZARARDA",IF(F1722&lt;I1722,"RİSKLİ","ok"))))</f>
        <v/>
      </c>
      <c r="M1722" s="13" t="inlineStr">
        <is>
          <t>https://www.etsy.com/listing/1525338848</t>
        </is>
      </c>
    </row>
    <row r="1723">
      <c r="A1723" s="3" t="inlineStr">
        <is>
          <t>protection</t>
        </is>
      </c>
      <c r="B1723" s="3" t="inlineStr">
        <is>
          <t>14K Gold Evil Eye Bracelet, Good Luck Charm Jewelry</t>
        </is>
      </c>
      <c r="C1723" s="3" t="n">
        <v>1525338848</v>
      </c>
      <c r="D1723" s="3" t="inlineStr">
        <is>
          <t>B1EYE-RED</t>
        </is>
      </c>
      <c r="E1723" s="3" t="inlineStr">
        <is>
          <t>description</t>
        </is>
      </c>
      <c r="F1723" s="14" t="n">
        <v>256</v>
      </c>
      <c r="G1723" s="17" t="n">
        <v>1.38</v>
      </c>
      <c r="H1723" s="14">
        <f>IF(G1723="","",G1723*Ayarlar!$B$3+Ayarlar!$B$4+Ayarlar!$B$5)</f>
        <v/>
      </c>
      <c r="I1723" s="14">
        <f>IF(G1723="","",ROUNDUP(((G1723*Ayarlar!$B$3+Ayarlar!$B$4+Ayarlar!$B$5)+Ayarlar!$B$8)/((1-Ayarlar!$B$6)*(1-Ayarlar!$B$7)),0))</f>
        <v/>
      </c>
      <c r="J1723" s="14">
        <f>IF(G1723="","",ROUNDUP(((G1723*Ayarlar!$B$3+Ayarlar!$B$4+Ayarlar!$B$5)+Ayarlar!$B$8)/((1-Ayarlar!$B$6)*(1-Ayarlar!$B$7-Ayarlar!$B$9)),0))</f>
        <v/>
      </c>
      <c r="K1723" s="15">
        <f>IF(OR(G1723="",F1723=""),"",(F1723*(1-Ayarlar!$B$6)-(F1723*(1-Ayarlar!$B$6)*Ayarlar!$B$7+Ayarlar!$B$8)-(G1723*Ayarlar!$B$3+Ayarlar!$B$4+Ayarlar!$B$5))/(F1723*(1-Ayarlar!$B$6)))</f>
        <v/>
      </c>
      <c r="L1723" s="3">
        <f>IF(G1723="","GRAM EKSİK",IF(F1723&gt;30000,"FİYAT ŞÜPHELİ",IF(K1723&lt;0,"ZARARDA",IF(F1723&lt;I1723,"RİSKLİ","ok"))))</f>
        <v/>
      </c>
      <c r="M1723" s="16" t="inlineStr">
        <is>
          <t>https://www.etsy.com/listing/1525338848</t>
        </is>
      </c>
    </row>
    <row r="1724">
      <c r="A1724" s="9" t="inlineStr">
        <is>
          <t>protection</t>
        </is>
      </c>
      <c r="B1724" s="9" t="inlineStr">
        <is>
          <t>14K Gold Evil Eye Bracelet, Good Luck Charm Jewelry</t>
        </is>
      </c>
      <c r="C1724" s="9" t="n">
        <v>1525338848</v>
      </c>
      <c r="D1724" s="9" t="inlineStr">
        <is>
          <t>B1EYE-WH</t>
        </is>
      </c>
      <c r="E1724" s="9" t="inlineStr">
        <is>
          <t>description</t>
        </is>
      </c>
      <c r="F1724" s="10" t="n">
        <v>256</v>
      </c>
      <c r="G1724" s="18" t="n">
        <v>1.38</v>
      </c>
      <c r="H1724" s="10">
        <f>IF(G1724="","",G1724*Ayarlar!$B$3+Ayarlar!$B$4+Ayarlar!$B$5)</f>
        <v/>
      </c>
      <c r="I1724" s="10">
        <f>IF(G1724="","",ROUNDUP(((G1724*Ayarlar!$B$3+Ayarlar!$B$4+Ayarlar!$B$5)+Ayarlar!$B$8)/((1-Ayarlar!$B$6)*(1-Ayarlar!$B$7)),0))</f>
        <v/>
      </c>
      <c r="J1724" s="10">
        <f>IF(G1724="","",ROUNDUP(((G1724*Ayarlar!$B$3+Ayarlar!$B$4+Ayarlar!$B$5)+Ayarlar!$B$8)/((1-Ayarlar!$B$6)*(1-Ayarlar!$B$7-Ayarlar!$B$9)),0))</f>
        <v/>
      </c>
      <c r="K1724" s="12">
        <f>IF(OR(G1724="",F1724=""),"",(F1724*(1-Ayarlar!$B$6)-(F1724*(1-Ayarlar!$B$6)*Ayarlar!$B$7+Ayarlar!$B$8)-(G1724*Ayarlar!$B$3+Ayarlar!$B$4+Ayarlar!$B$5))/(F1724*(1-Ayarlar!$B$6)))</f>
        <v/>
      </c>
      <c r="L1724" s="9">
        <f>IF(G1724="","GRAM EKSİK",IF(F1724&gt;30000,"FİYAT ŞÜPHELİ",IF(K1724&lt;0,"ZARARDA",IF(F1724&lt;I1724,"RİSKLİ","ok"))))</f>
        <v/>
      </c>
      <c r="M1724" s="13" t="inlineStr">
        <is>
          <t>https://www.etsy.com/listing/1525338848</t>
        </is>
      </c>
    </row>
    <row r="1725">
      <c r="A1725" s="3" t="inlineStr">
        <is>
          <t>protection</t>
        </is>
      </c>
      <c r="B1725" s="3" t="inlineStr">
        <is>
          <t>14K Gold Evil Eye Pendant / Dark Blue Protection Charm</t>
        </is>
      </c>
      <c r="C1725" s="3" t="n">
        <v>1203090834</v>
      </c>
      <c r="D1725" s="3" t="inlineStr">
        <is>
          <t>P17F-B</t>
        </is>
      </c>
      <c r="E1725" s="3" t="inlineStr">
        <is>
          <t>description</t>
        </is>
      </c>
      <c r="F1725" s="14" t="n">
        <v>69</v>
      </c>
      <c r="G1725" s="17" t="n">
        <v>0.37</v>
      </c>
      <c r="H1725" s="14">
        <f>IF(G1725="","",G1725*Ayarlar!$B$3+Ayarlar!$B$4+Ayarlar!$B$5)</f>
        <v/>
      </c>
      <c r="I1725" s="14">
        <f>IF(G1725="","",ROUNDUP(((G1725*Ayarlar!$B$3+Ayarlar!$B$4+Ayarlar!$B$5)+Ayarlar!$B$8)/((1-Ayarlar!$B$6)*(1-Ayarlar!$B$7)),0))</f>
        <v/>
      </c>
      <c r="J1725" s="14">
        <f>IF(G1725="","",ROUNDUP(((G1725*Ayarlar!$B$3+Ayarlar!$B$4+Ayarlar!$B$5)+Ayarlar!$B$8)/((1-Ayarlar!$B$6)*(1-Ayarlar!$B$7-Ayarlar!$B$9)),0))</f>
        <v/>
      </c>
      <c r="K1725" s="15">
        <f>IF(OR(G1725="",F1725=""),"",(F1725*(1-Ayarlar!$B$6)-(F1725*(1-Ayarlar!$B$6)*Ayarlar!$B$7+Ayarlar!$B$8)-(G1725*Ayarlar!$B$3+Ayarlar!$B$4+Ayarlar!$B$5))/(F1725*(1-Ayarlar!$B$6)))</f>
        <v/>
      </c>
      <c r="L1725" s="3">
        <f>IF(G1725="","GRAM EKSİK",IF(F1725&gt;30000,"FİYAT ŞÜPHELİ",IF(K1725&lt;0,"ZARARDA",IF(F1725&lt;I1725,"RİSKLİ","ok"))))</f>
        <v/>
      </c>
      <c r="M1725" s="16" t="inlineStr">
        <is>
          <t>https://www.etsy.com/listing/1203090834</t>
        </is>
      </c>
    </row>
    <row r="1726">
      <c r="A1726" s="9" t="inlineStr">
        <is>
          <t>protection</t>
        </is>
      </c>
      <c r="B1726" s="9" t="inlineStr">
        <is>
          <t>14K Gold Evil Eye Pendant / Dark Blue Protection Charm</t>
        </is>
      </c>
      <c r="C1726" s="9" t="n">
        <v>1203090834</v>
      </c>
      <c r="D1726" s="9" t="inlineStr">
        <is>
          <t>P17F-N</t>
        </is>
      </c>
      <c r="E1726" s="9" t="inlineStr">
        <is>
          <t>description</t>
        </is>
      </c>
      <c r="F1726" s="10" t="n">
        <v>69</v>
      </c>
      <c r="G1726" s="18" t="n">
        <v>0.37</v>
      </c>
      <c r="H1726" s="10">
        <f>IF(G1726="","",G1726*Ayarlar!$B$3+Ayarlar!$B$4+Ayarlar!$B$5)</f>
        <v/>
      </c>
      <c r="I1726" s="10">
        <f>IF(G1726="","",ROUNDUP(((G1726*Ayarlar!$B$3+Ayarlar!$B$4+Ayarlar!$B$5)+Ayarlar!$B$8)/((1-Ayarlar!$B$6)*(1-Ayarlar!$B$7)),0))</f>
        <v/>
      </c>
      <c r="J1726" s="10">
        <f>IF(G1726="","",ROUNDUP(((G1726*Ayarlar!$B$3+Ayarlar!$B$4+Ayarlar!$B$5)+Ayarlar!$B$8)/((1-Ayarlar!$B$6)*(1-Ayarlar!$B$7-Ayarlar!$B$9)),0))</f>
        <v/>
      </c>
      <c r="K1726" s="12">
        <f>IF(OR(G1726="",F1726=""),"",(F1726*(1-Ayarlar!$B$6)-(F1726*(1-Ayarlar!$B$6)*Ayarlar!$B$7+Ayarlar!$B$8)-(G1726*Ayarlar!$B$3+Ayarlar!$B$4+Ayarlar!$B$5))/(F1726*(1-Ayarlar!$B$6)))</f>
        <v/>
      </c>
      <c r="L1726" s="9">
        <f>IF(G1726="","GRAM EKSİK",IF(F1726&gt;30000,"FİYAT ŞÜPHELİ",IF(K1726&lt;0,"ZARARDA",IF(F1726&lt;I1726,"RİSKLİ","ok"))))</f>
        <v/>
      </c>
      <c r="M1726" s="13" t="inlineStr">
        <is>
          <t>https://www.etsy.com/listing/1203090834</t>
        </is>
      </c>
    </row>
    <row r="1727">
      <c r="A1727" s="3" t="inlineStr">
        <is>
          <t>protection</t>
        </is>
      </c>
      <c r="B1727" s="3" t="inlineStr">
        <is>
          <t>14K Gold Evil Eye Pendant / Dark Blue Protection Charm</t>
        </is>
      </c>
      <c r="C1727" s="3" t="n">
        <v>1203090834</v>
      </c>
      <c r="D1727" s="3" t="inlineStr">
        <is>
          <t>P17F-R</t>
        </is>
      </c>
      <c r="E1727" s="3" t="inlineStr">
        <is>
          <t>description</t>
        </is>
      </c>
      <c r="F1727" s="14" t="n">
        <v>69</v>
      </c>
      <c r="G1727" s="17" t="n">
        <v>0.37</v>
      </c>
      <c r="H1727" s="14">
        <f>IF(G1727="","",G1727*Ayarlar!$B$3+Ayarlar!$B$4+Ayarlar!$B$5)</f>
        <v/>
      </c>
      <c r="I1727" s="14">
        <f>IF(G1727="","",ROUNDUP(((G1727*Ayarlar!$B$3+Ayarlar!$B$4+Ayarlar!$B$5)+Ayarlar!$B$8)/((1-Ayarlar!$B$6)*(1-Ayarlar!$B$7)),0))</f>
        <v/>
      </c>
      <c r="J1727" s="14">
        <f>IF(G1727="","",ROUNDUP(((G1727*Ayarlar!$B$3+Ayarlar!$B$4+Ayarlar!$B$5)+Ayarlar!$B$8)/((1-Ayarlar!$B$6)*(1-Ayarlar!$B$7-Ayarlar!$B$9)),0))</f>
        <v/>
      </c>
      <c r="K1727" s="15">
        <f>IF(OR(G1727="",F1727=""),"",(F1727*(1-Ayarlar!$B$6)-(F1727*(1-Ayarlar!$B$6)*Ayarlar!$B$7+Ayarlar!$B$8)-(G1727*Ayarlar!$B$3+Ayarlar!$B$4+Ayarlar!$B$5))/(F1727*(1-Ayarlar!$B$6)))</f>
        <v/>
      </c>
      <c r="L1727" s="3">
        <f>IF(G1727="","GRAM EKSİK",IF(F1727&gt;30000,"FİYAT ŞÜPHELİ",IF(K1727&lt;0,"ZARARDA",IF(F1727&lt;I1727,"RİSKLİ","ok"))))</f>
        <v/>
      </c>
      <c r="M1727" s="16" t="inlineStr">
        <is>
          <t>https://www.etsy.com/listing/1203090834</t>
        </is>
      </c>
    </row>
    <row r="1728">
      <c r="A1728" s="9" t="inlineStr">
        <is>
          <t>protection</t>
        </is>
      </c>
      <c r="B1728" s="9" t="inlineStr">
        <is>
          <t>14K Gold Evil Eye Pendant / Dark Blue Protection Charm</t>
        </is>
      </c>
      <c r="C1728" s="9" t="n">
        <v>1203090834</v>
      </c>
      <c r="D1728" s="9" t="inlineStr">
        <is>
          <t>P17F-T</t>
        </is>
      </c>
      <c r="E1728" s="9" t="inlineStr">
        <is>
          <t>description</t>
        </is>
      </c>
      <c r="F1728" s="10" t="n">
        <v>69</v>
      </c>
      <c r="G1728" s="18" t="n">
        <v>0.37</v>
      </c>
      <c r="H1728" s="10">
        <f>IF(G1728="","",G1728*Ayarlar!$B$3+Ayarlar!$B$4+Ayarlar!$B$5)</f>
        <v/>
      </c>
      <c r="I1728" s="10">
        <f>IF(G1728="","",ROUNDUP(((G1728*Ayarlar!$B$3+Ayarlar!$B$4+Ayarlar!$B$5)+Ayarlar!$B$8)/((1-Ayarlar!$B$6)*(1-Ayarlar!$B$7)),0))</f>
        <v/>
      </c>
      <c r="J1728" s="10">
        <f>IF(G1728="","",ROUNDUP(((G1728*Ayarlar!$B$3+Ayarlar!$B$4+Ayarlar!$B$5)+Ayarlar!$B$8)/((1-Ayarlar!$B$6)*(1-Ayarlar!$B$7-Ayarlar!$B$9)),0))</f>
        <v/>
      </c>
      <c r="K1728" s="12">
        <f>IF(OR(G1728="",F1728=""),"",(F1728*(1-Ayarlar!$B$6)-(F1728*(1-Ayarlar!$B$6)*Ayarlar!$B$7+Ayarlar!$B$8)-(G1728*Ayarlar!$B$3+Ayarlar!$B$4+Ayarlar!$B$5))/(F1728*(1-Ayarlar!$B$6)))</f>
        <v/>
      </c>
      <c r="L1728" s="9">
        <f>IF(G1728="","GRAM EKSİK",IF(F1728&gt;30000,"FİYAT ŞÜPHELİ",IF(K1728&lt;0,"ZARARDA",IF(F1728&lt;I1728,"RİSKLİ","ok"))))</f>
        <v/>
      </c>
      <c r="M1728" s="13" t="inlineStr">
        <is>
          <t>https://www.etsy.com/listing/1203090834</t>
        </is>
      </c>
    </row>
    <row r="1729">
      <c r="A1729" s="3" t="inlineStr">
        <is>
          <t>protection</t>
        </is>
      </c>
      <c r="B1729" s="3" t="inlineStr">
        <is>
          <t>14K Gold Evil Eye Pendant, Ocean Blue Protection Charm</t>
        </is>
      </c>
      <c r="C1729" s="3" t="n">
        <v>1216728323</v>
      </c>
      <c r="D1729" s="3" t="inlineStr">
        <is>
          <t>P13F</t>
        </is>
      </c>
      <c r="E1729" s="3" t="inlineStr">
        <is>
          <t>manual</t>
        </is>
      </c>
      <c r="F1729" s="14" t="n">
        <v>160</v>
      </c>
      <c r="G1729" s="17" t="n">
        <v>0.83</v>
      </c>
      <c r="H1729" s="14">
        <f>IF(G1729="","",G1729*Ayarlar!$B$3+Ayarlar!$B$4+Ayarlar!$B$5)</f>
        <v/>
      </c>
      <c r="I1729" s="14">
        <f>IF(G1729="","",ROUNDUP(((G1729*Ayarlar!$B$3+Ayarlar!$B$4+Ayarlar!$B$5)+Ayarlar!$B$8)/((1-Ayarlar!$B$6)*(1-Ayarlar!$B$7)),0))</f>
        <v/>
      </c>
      <c r="J1729" s="14">
        <f>IF(G1729="","",ROUNDUP(((G1729*Ayarlar!$B$3+Ayarlar!$B$4+Ayarlar!$B$5)+Ayarlar!$B$8)/((1-Ayarlar!$B$6)*(1-Ayarlar!$B$7-Ayarlar!$B$9)),0))</f>
        <v/>
      </c>
      <c r="K1729" s="15">
        <f>IF(OR(G1729="",F1729=""),"",(F1729*(1-Ayarlar!$B$6)-(F1729*(1-Ayarlar!$B$6)*Ayarlar!$B$7+Ayarlar!$B$8)-(G1729*Ayarlar!$B$3+Ayarlar!$B$4+Ayarlar!$B$5))/(F1729*(1-Ayarlar!$B$6)))</f>
        <v/>
      </c>
      <c r="L1729" s="3">
        <f>IF(G1729="","GRAM EKSİK",IF(F1729&gt;30000,"FİYAT ŞÜPHELİ",IF(K1729&lt;0,"ZARARDA",IF(F1729&lt;I1729,"RİSKLİ","ok"))))</f>
        <v/>
      </c>
      <c r="M1729" s="16" t="inlineStr">
        <is>
          <t>https://www.etsy.com/listing/1216728323</t>
        </is>
      </c>
    </row>
    <row r="1730">
      <c r="A1730" s="9" t="inlineStr">
        <is>
          <t>protection</t>
        </is>
      </c>
      <c r="B1730" s="9" t="inlineStr">
        <is>
          <t>14K Gold Puffed Evil Eye Pendant / Diamond Cut Protection Ch</t>
        </is>
      </c>
      <c r="C1730" s="9" t="n">
        <v>1228152002</v>
      </c>
      <c r="D1730" s="9" t="inlineStr">
        <is>
          <t>P14F-B</t>
        </is>
      </c>
      <c r="E1730" s="9" t="inlineStr">
        <is>
          <t>manual</t>
        </is>
      </c>
      <c r="F1730" s="10" t="n">
        <v>206</v>
      </c>
      <c r="G1730" s="18" t="n">
        <v>0.96</v>
      </c>
      <c r="H1730" s="10">
        <f>IF(G1730="","",G1730*Ayarlar!$B$3+Ayarlar!$B$4+Ayarlar!$B$5)</f>
        <v/>
      </c>
      <c r="I1730" s="10">
        <f>IF(G1730="","",ROUNDUP(((G1730*Ayarlar!$B$3+Ayarlar!$B$4+Ayarlar!$B$5)+Ayarlar!$B$8)/((1-Ayarlar!$B$6)*(1-Ayarlar!$B$7)),0))</f>
        <v/>
      </c>
      <c r="J1730" s="10">
        <f>IF(G1730="","",ROUNDUP(((G1730*Ayarlar!$B$3+Ayarlar!$B$4+Ayarlar!$B$5)+Ayarlar!$B$8)/((1-Ayarlar!$B$6)*(1-Ayarlar!$B$7-Ayarlar!$B$9)),0))</f>
        <v/>
      </c>
      <c r="K1730" s="12">
        <f>IF(OR(G1730="",F1730=""),"",(F1730*(1-Ayarlar!$B$6)-(F1730*(1-Ayarlar!$B$6)*Ayarlar!$B$7+Ayarlar!$B$8)-(G1730*Ayarlar!$B$3+Ayarlar!$B$4+Ayarlar!$B$5))/(F1730*(1-Ayarlar!$B$6)))</f>
        <v/>
      </c>
      <c r="L1730" s="9">
        <f>IF(G1730="","GRAM EKSİK",IF(F1730&gt;30000,"FİYAT ŞÜPHELİ",IF(K1730&lt;0,"ZARARDA",IF(F1730&lt;I1730,"RİSKLİ","ok"))))</f>
        <v/>
      </c>
      <c r="M1730" s="13" t="inlineStr">
        <is>
          <t>https://www.etsy.com/listing/1228152002</t>
        </is>
      </c>
    </row>
    <row r="1731">
      <c r="A1731" s="3" t="inlineStr">
        <is>
          <t>protection</t>
        </is>
      </c>
      <c r="B1731" s="3" t="inlineStr">
        <is>
          <t>14K Gold Puffed Evil Eye Pendant / Diamond Cut Protection Ch</t>
        </is>
      </c>
      <c r="C1731" s="3" t="n">
        <v>1228152002</v>
      </c>
      <c r="D1731" s="3" t="inlineStr">
        <is>
          <t>P14F-R</t>
        </is>
      </c>
      <c r="E1731" s="3" t="inlineStr">
        <is>
          <t>manual</t>
        </is>
      </c>
      <c r="F1731" s="14" t="n">
        <v>206</v>
      </c>
      <c r="G1731" s="17" t="n">
        <v>0.96</v>
      </c>
      <c r="H1731" s="14">
        <f>IF(G1731="","",G1731*Ayarlar!$B$3+Ayarlar!$B$4+Ayarlar!$B$5)</f>
        <v/>
      </c>
      <c r="I1731" s="14">
        <f>IF(G1731="","",ROUNDUP(((G1731*Ayarlar!$B$3+Ayarlar!$B$4+Ayarlar!$B$5)+Ayarlar!$B$8)/((1-Ayarlar!$B$6)*(1-Ayarlar!$B$7)),0))</f>
        <v/>
      </c>
      <c r="J1731" s="14">
        <f>IF(G1731="","",ROUNDUP(((G1731*Ayarlar!$B$3+Ayarlar!$B$4+Ayarlar!$B$5)+Ayarlar!$B$8)/((1-Ayarlar!$B$6)*(1-Ayarlar!$B$7-Ayarlar!$B$9)),0))</f>
        <v/>
      </c>
      <c r="K1731" s="15">
        <f>IF(OR(G1731="",F1731=""),"",(F1731*(1-Ayarlar!$B$6)-(F1731*(1-Ayarlar!$B$6)*Ayarlar!$B$7+Ayarlar!$B$8)-(G1731*Ayarlar!$B$3+Ayarlar!$B$4+Ayarlar!$B$5))/(F1731*(1-Ayarlar!$B$6)))</f>
        <v/>
      </c>
      <c r="L1731" s="3">
        <f>IF(G1731="","GRAM EKSİK",IF(F1731&gt;30000,"FİYAT ŞÜPHELİ",IF(K1731&lt;0,"ZARARDA",IF(F1731&lt;I1731,"RİSKLİ","ok"))))</f>
        <v/>
      </c>
      <c r="M1731" s="16" t="inlineStr">
        <is>
          <t>https://www.etsy.com/listing/1228152002</t>
        </is>
      </c>
    </row>
    <row r="1732">
      <c r="A1732" s="9" t="inlineStr">
        <is>
          <t>protection</t>
        </is>
      </c>
      <c r="B1732" s="9" t="inlineStr">
        <is>
          <t>14K Gold Puffed Evil Eye Pendant / Ocean Blue Good Luck Char</t>
        </is>
      </c>
      <c r="C1732" s="9" t="n">
        <v>1228150776</v>
      </c>
      <c r="D1732" s="9" t="inlineStr">
        <is>
          <t>P15F-B</t>
        </is>
      </c>
      <c r="E1732" s="9" t="inlineStr">
        <is>
          <t>manual</t>
        </is>
      </c>
      <c r="F1732" s="10" t="n">
        <v>206</v>
      </c>
      <c r="G1732" s="18" t="n">
        <v>1.11</v>
      </c>
      <c r="H1732" s="10">
        <f>IF(G1732="","",G1732*Ayarlar!$B$3+Ayarlar!$B$4+Ayarlar!$B$5)</f>
        <v/>
      </c>
      <c r="I1732" s="10">
        <f>IF(G1732="","",ROUNDUP(((G1732*Ayarlar!$B$3+Ayarlar!$B$4+Ayarlar!$B$5)+Ayarlar!$B$8)/((1-Ayarlar!$B$6)*(1-Ayarlar!$B$7)),0))</f>
        <v/>
      </c>
      <c r="J1732" s="10">
        <f>IF(G1732="","",ROUNDUP(((G1732*Ayarlar!$B$3+Ayarlar!$B$4+Ayarlar!$B$5)+Ayarlar!$B$8)/((1-Ayarlar!$B$6)*(1-Ayarlar!$B$7-Ayarlar!$B$9)),0))</f>
        <v/>
      </c>
      <c r="K1732" s="12">
        <f>IF(OR(G1732="",F1732=""),"",(F1732*(1-Ayarlar!$B$6)-(F1732*(1-Ayarlar!$B$6)*Ayarlar!$B$7+Ayarlar!$B$8)-(G1732*Ayarlar!$B$3+Ayarlar!$B$4+Ayarlar!$B$5))/(F1732*(1-Ayarlar!$B$6)))</f>
        <v/>
      </c>
      <c r="L1732" s="9">
        <f>IF(G1732="","GRAM EKSİK",IF(F1732&gt;30000,"FİYAT ŞÜPHELİ",IF(K1732&lt;0,"ZARARDA",IF(F1732&lt;I1732,"RİSKLİ","ok"))))</f>
        <v/>
      </c>
      <c r="M1732" s="13" t="inlineStr">
        <is>
          <t>https://www.etsy.com/listing/1228150776</t>
        </is>
      </c>
    </row>
    <row r="1733">
      <c r="A1733" s="3" t="inlineStr">
        <is>
          <t>protection</t>
        </is>
      </c>
      <c r="B1733" s="3" t="inlineStr">
        <is>
          <t>14K Gold Puffed Evil Eye Pendant / Ocean Blue Good Luck Char</t>
        </is>
      </c>
      <c r="C1733" s="3" t="n">
        <v>1228150776</v>
      </c>
      <c r="D1733" s="3" t="inlineStr">
        <is>
          <t>P15F-R</t>
        </is>
      </c>
      <c r="E1733" s="3" t="inlineStr">
        <is>
          <t>manual</t>
        </is>
      </c>
      <c r="F1733" s="14" t="n">
        <v>206</v>
      </c>
      <c r="G1733" s="17" t="n">
        <v>1.11</v>
      </c>
      <c r="H1733" s="14">
        <f>IF(G1733="","",G1733*Ayarlar!$B$3+Ayarlar!$B$4+Ayarlar!$B$5)</f>
        <v/>
      </c>
      <c r="I1733" s="14">
        <f>IF(G1733="","",ROUNDUP(((G1733*Ayarlar!$B$3+Ayarlar!$B$4+Ayarlar!$B$5)+Ayarlar!$B$8)/((1-Ayarlar!$B$6)*(1-Ayarlar!$B$7)),0))</f>
        <v/>
      </c>
      <c r="J1733" s="14">
        <f>IF(G1733="","",ROUNDUP(((G1733*Ayarlar!$B$3+Ayarlar!$B$4+Ayarlar!$B$5)+Ayarlar!$B$8)/((1-Ayarlar!$B$6)*(1-Ayarlar!$B$7-Ayarlar!$B$9)),0))</f>
        <v/>
      </c>
      <c r="K1733" s="15">
        <f>IF(OR(G1733="",F1733=""),"",(F1733*(1-Ayarlar!$B$6)-(F1733*(1-Ayarlar!$B$6)*Ayarlar!$B$7+Ayarlar!$B$8)-(G1733*Ayarlar!$B$3+Ayarlar!$B$4+Ayarlar!$B$5))/(F1733*(1-Ayarlar!$B$6)))</f>
        <v/>
      </c>
      <c r="L1733" s="3">
        <f>IF(G1733="","GRAM EKSİK",IF(F1733&gt;30000,"FİYAT ŞÜPHELİ",IF(K1733&lt;0,"ZARARDA",IF(F1733&lt;I1733,"RİSKLİ","ok"))))</f>
        <v/>
      </c>
      <c r="M1733" s="16" t="inlineStr">
        <is>
          <t>https://www.etsy.com/listing/1228150776</t>
        </is>
      </c>
    </row>
    <row r="1734">
      <c r="A1734" s="9" t="inlineStr">
        <is>
          <t>protection</t>
        </is>
      </c>
      <c r="B1734" s="9" t="inlineStr">
        <is>
          <t>14K Gold Teddy Bear CZ Pendant Necklace, Miami Cuban Chain</t>
        </is>
      </c>
      <c r="C1734" s="9" t="n">
        <v>1595078873</v>
      </c>
      <c r="D1734" s="9" t="inlineStr">
        <is>
          <t>PBEAR-1</t>
        </is>
      </c>
      <c r="E1734" s="9" t="inlineStr">
        <is>
          <t>—</t>
        </is>
      </c>
      <c r="F1734" s="10" t="n">
        <v>211.76</v>
      </c>
      <c r="G1734" s="11" t="n"/>
      <c r="H1734" s="10">
        <f>IF(G1734="","",G1734*Ayarlar!$B$3+Ayarlar!$B$4+Ayarlar!$B$5)</f>
        <v/>
      </c>
      <c r="I1734" s="10">
        <f>IF(G1734="","",ROUNDUP(((G1734*Ayarlar!$B$3+Ayarlar!$B$4+Ayarlar!$B$5)+Ayarlar!$B$8)/((1-Ayarlar!$B$6)*(1-Ayarlar!$B$7)),0))</f>
        <v/>
      </c>
      <c r="J1734" s="10">
        <f>IF(G1734="","",ROUNDUP(((G1734*Ayarlar!$B$3+Ayarlar!$B$4+Ayarlar!$B$5)+Ayarlar!$B$8)/((1-Ayarlar!$B$6)*(1-Ayarlar!$B$7-Ayarlar!$B$9)),0))</f>
        <v/>
      </c>
      <c r="K1734" s="12">
        <f>IF(OR(G1734="",F1734=""),"",(F1734*(1-Ayarlar!$B$6)-(F1734*(1-Ayarlar!$B$6)*Ayarlar!$B$7+Ayarlar!$B$8)-(G1734*Ayarlar!$B$3+Ayarlar!$B$4+Ayarlar!$B$5))/(F1734*(1-Ayarlar!$B$6)))</f>
        <v/>
      </c>
      <c r="L1734" s="9">
        <f>IF(G1734="","GRAM EKSİK",IF(F1734&gt;30000,"FİYAT ŞÜPHELİ",IF(K1734&lt;0,"ZARARDA",IF(F1734&lt;I1734,"RİSKLİ","ok"))))</f>
        <v/>
      </c>
      <c r="M1734" s="13" t="inlineStr">
        <is>
          <t>https://www.etsy.com/listing/1595078873</t>
        </is>
      </c>
    </row>
    <row r="1735">
      <c r="A1735" s="3" t="inlineStr">
        <is>
          <t>protection</t>
        </is>
      </c>
      <c r="B1735" s="3" t="inlineStr">
        <is>
          <t>14K Gold Teddy Bear CZ Pendant Necklace, Miami Cuban Chain</t>
        </is>
      </c>
      <c r="C1735" s="3" t="n">
        <v>1595078873</v>
      </c>
      <c r="D1735" s="3" t="inlineStr">
        <is>
          <t>PBEAR-2</t>
        </is>
      </c>
      <c r="E1735" s="3" t="inlineStr">
        <is>
          <t>shipstation</t>
        </is>
      </c>
      <c r="F1735" s="14" t="n">
        <v>659</v>
      </c>
      <c r="G1735" s="17" t="n">
        <v>3.66</v>
      </c>
      <c r="H1735" s="14">
        <f>IF(G1735="","",G1735*Ayarlar!$B$3+Ayarlar!$B$4+Ayarlar!$B$5)</f>
        <v/>
      </c>
      <c r="I1735" s="14">
        <f>IF(G1735="","",ROUNDUP(((G1735*Ayarlar!$B$3+Ayarlar!$B$4+Ayarlar!$B$5)+Ayarlar!$B$8)/((1-Ayarlar!$B$6)*(1-Ayarlar!$B$7)),0))</f>
        <v/>
      </c>
      <c r="J1735" s="14">
        <f>IF(G1735="","",ROUNDUP(((G1735*Ayarlar!$B$3+Ayarlar!$B$4+Ayarlar!$B$5)+Ayarlar!$B$8)/((1-Ayarlar!$B$6)*(1-Ayarlar!$B$7-Ayarlar!$B$9)),0))</f>
        <v/>
      </c>
      <c r="K1735" s="15">
        <f>IF(OR(G1735="",F1735=""),"",(F1735*(1-Ayarlar!$B$6)-(F1735*(1-Ayarlar!$B$6)*Ayarlar!$B$7+Ayarlar!$B$8)-(G1735*Ayarlar!$B$3+Ayarlar!$B$4+Ayarlar!$B$5))/(F1735*(1-Ayarlar!$B$6)))</f>
        <v/>
      </c>
      <c r="L1735" s="3">
        <f>IF(G1735="","GRAM EKSİK",IF(F1735&gt;30000,"FİYAT ŞÜPHELİ",IF(K1735&lt;0,"ZARARDA",IF(F1735&lt;I1735,"RİSKLİ","ok"))))</f>
        <v/>
      </c>
      <c r="M1735" s="16" t="inlineStr">
        <is>
          <t>https://www.etsy.com/listing/1595078873</t>
        </is>
      </c>
    </row>
    <row r="1736">
      <c r="A1736" s="9" t="inlineStr">
        <is>
          <t>protection</t>
        </is>
      </c>
      <c r="B1736" s="9" t="inlineStr">
        <is>
          <t>14K Gold Teddy Bear CZ Pendant Necklace, Miami Cuban Chain</t>
        </is>
      </c>
      <c r="C1736" s="9" t="n">
        <v>1595078873</v>
      </c>
      <c r="D1736" s="9" t="inlineStr">
        <is>
          <t>PBEAR-3</t>
        </is>
      </c>
      <c r="E1736" s="9" t="inlineStr">
        <is>
          <t>—</t>
        </is>
      </c>
      <c r="F1736" s="10" t="n">
        <v>1111.76</v>
      </c>
      <c r="G1736" s="11" t="n"/>
      <c r="H1736" s="10">
        <f>IF(G1736="","",G1736*Ayarlar!$B$3+Ayarlar!$B$4+Ayarlar!$B$5)</f>
        <v/>
      </c>
      <c r="I1736" s="10">
        <f>IF(G1736="","",ROUNDUP(((G1736*Ayarlar!$B$3+Ayarlar!$B$4+Ayarlar!$B$5)+Ayarlar!$B$8)/((1-Ayarlar!$B$6)*(1-Ayarlar!$B$7)),0))</f>
        <v/>
      </c>
      <c r="J1736" s="10">
        <f>IF(G1736="","",ROUNDUP(((G1736*Ayarlar!$B$3+Ayarlar!$B$4+Ayarlar!$B$5)+Ayarlar!$B$8)/((1-Ayarlar!$B$6)*(1-Ayarlar!$B$7-Ayarlar!$B$9)),0))</f>
        <v/>
      </c>
      <c r="K1736" s="12">
        <f>IF(OR(G1736="",F1736=""),"",(F1736*(1-Ayarlar!$B$6)-(F1736*(1-Ayarlar!$B$6)*Ayarlar!$B$7+Ayarlar!$B$8)-(G1736*Ayarlar!$B$3+Ayarlar!$B$4+Ayarlar!$B$5))/(F1736*(1-Ayarlar!$B$6)))</f>
        <v/>
      </c>
      <c r="L1736" s="9">
        <f>IF(G1736="","GRAM EKSİK",IF(F1736&gt;30000,"FİYAT ŞÜPHELİ",IF(K1736&lt;0,"ZARARDA",IF(F1736&lt;I1736,"RİSKLİ","ok"))))</f>
        <v/>
      </c>
      <c r="M1736" s="13" t="inlineStr">
        <is>
          <t>https://www.etsy.com/listing/1595078873</t>
        </is>
      </c>
    </row>
    <row r="1737">
      <c r="A1737" s="3" t="inlineStr">
        <is>
          <t>protection</t>
        </is>
      </c>
      <c r="B1737" s="3" t="inlineStr">
        <is>
          <t>14K Gold Teddy Bear CZ Pendant Necklace, Miami Cuban Chain</t>
        </is>
      </c>
      <c r="C1737" s="3" t="n">
        <v>1595078873</v>
      </c>
      <c r="D1737" s="3" t="inlineStr">
        <is>
          <t>PBEAR-4</t>
        </is>
      </c>
      <c r="E1737" s="3" t="inlineStr">
        <is>
          <t>shipstation</t>
        </is>
      </c>
      <c r="F1737" s="14" t="n">
        <v>985</v>
      </c>
      <c r="G1737" s="17" t="n">
        <v>5.5</v>
      </c>
      <c r="H1737" s="14">
        <f>IF(G1737="","",G1737*Ayarlar!$B$3+Ayarlar!$B$4+Ayarlar!$B$5)</f>
        <v/>
      </c>
      <c r="I1737" s="14">
        <f>IF(G1737="","",ROUNDUP(((G1737*Ayarlar!$B$3+Ayarlar!$B$4+Ayarlar!$B$5)+Ayarlar!$B$8)/((1-Ayarlar!$B$6)*(1-Ayarlar!$B$7)),0))</f>
        <v/>
      </c>
      <c r="J1737" s="14">
        <f>IF(G1737="","",ROUNDUP(((G1737*Ayarlar!$B$3+Ayarlar!$B$4+Ayarlar!$B$5)+Ayarlar!$B$8)/((1-Ayarlar!$B$6)*(1-Ayarlar!$B$7-Ayarlar!$B$9)),0))</f>
        <v/>
      </c>
      <c r="K1737" s="15">
        <f>IF(OR(G1737="",F1737=""),"",(F1737*(1-Ayarlar!$B$6)-(F1737*(1-Ayarlar!$B$6)*Ayarlar!$B$7+Ayarlar!$B$8)-(G1737*Ayarlar!$B$3+Ayarlar!$B$4+Ayarlar!$B$5))/(F1737*(1-Ayarlar!$B$6)))</f>
        <v/>
      </c>
      <c r="L1737" s="3">
        <f>IF(G1737="","GRAM EKSİK",IF(F1737&gt;30000,"FİYAT ŞÜPHELİ",IF(K1737&lt;0,"ZARARDA",IF(F1737&lt;I1737,"RİSKLİ","ok"))))</f>
        <v/>
      </c>
      <c r="M1737" s="16" t="inlineStr">
        <is>
          <t>https://www.etsy.com/listing/1595078873</t>
        </is>
      </c>
    </row>
    <row r="1738">
      <c r="A1738" s="9" t="inlineStr">
        <is>
          <t>protection</t>
        </is>
      </c>
      <c r="B1738" s="9" t="inlineStr">
        <is>
          <t>14K Gold Teddy Bear CZ Pendant Necklace, Miami Cuban Chain</t>
        </is>
      </c>
      <c r="C1738" s="9" t="n">
        <v>1595078873</v>
      </c>
      <c r="D1738" s="9" t="inlineStr">
        <is>
          <t>PBEAR1-3-16</t>
        </is>
      </c>
      <c r="E1738" s="9" t="inlineStr">
        <is>
          <t>description</t>
        </is>
      </c>
      <c r="F1738" s="10" t="n">
        <v>710</v>
      </c>
      <c r="G1738" s="18" t="n">
        <v>3.95</v>
      </c>
      <c r="H1738" s="10">
        <f>IF(G1738="","",G1738*Ayarlar!$B$3+Ayarlar!$B$4+Ayarlar!$B$5)</f>
        <v/>
      </c>
      <c r="I1738" s="10">
        <f>IF(G1738="","",ROUNDUP(((G1738*Ayarlar!$B$3+Ayarlar!$B$4+Ayarlar!$B$5)+Ayarlar!$B$8)/((1-Ayarlar!$B$6)*(1-Ayarlar!$B$7)),0))</f>
        <v/>
      </c>
      <c r="J1738" s="10">
        <f>IF(G1738="","",ROUNDUP(((G1738*Ayarlar!$B$3+Ayarlar!$B$4+Ayarlar!$B$5)+Ayarlar!$B$8)/((1-Ayarlar!$B$6)*(1-Ayarlar!$B$7-Ayarlar!$B$9)),0))</f>
        <v/>
      </c>
      <c r="K1738" s="12">
        <f>IF(OR(G1738="",F1738=""),"",(F1738*(1-Ayarlar!$B$6)-(F1738*(1-Ayarlar!$B$6)*Ayarlar!$B$7+Ayarlar!$B$8)-(G1738*Ayarlar!$B$3+Ayarlar!$B$4+Ayarlar!$B$5))/(F1738*(1-Ayarlar!$B$6)))</f>
        <v/>
      </c>
      <c r="L1738" s="9">
        <f>IF(G1738="","GRAM EKSİK",IF(F1738&gt;30000,"FİYAT ŞÜPHELİ",IF(K1738&lt;0,"ZARARDA",IF(F1738&lt;I1738,"RİSKLİ","ok"))))</f>
        <v/>
      </c>
      <c r="M1738" s="13" t="inlineStr">
        <is>
          <t>https://www.etsy.com/listing/1595078873</t>
        </is>
      </c>
    </row>
    <row r="1739">
      <c r="A1739" s="3" t="inlineStr">
        <is>
          <t>protection</t>
        </is>
      </c>
      <c r="B1739" s="3" t="inlineStr">
        <is>
          <t>14K Gold Teddy Bear CZ Pendant Necklace, Miami Cuban Chain</t>
        </is>
      </c>
      <c r="C1739" s="3" t="n">
        <v>1595078873</v>
      </c>
      <c r="D1739" s="3" t="inlineStr">
        <is>
          <t>PBEAR1-3-18</t>
        </is>
      </c>
      <c r="E1739" s="3" t="inlineStr">
        <is>
          <t>description</t>
        </is>
      </c>
      <c r="F1739" s="14" t="n">
        <v>746</v>
      </c>
      <c r="G1739" s="17" t="n">
        <v>4.15</v>
      </c>
      <c r="H1739" s="14">
        <f>IF(G1739="","",G1739*Ayarlar!$B$3+Ayarlar!$B$4+Ayarlar!$B$5)</f>
        <v/>
      </c>
      <c r="I1739" s="14">
        <f>IF(G1739="","",ROUNDUP(((G1739*Ayarlar!$B$3+Ayarlar!$B$4+Ayarlar!$B$5)+Ayarlar!$B$8)/((1-Ayarlar!$B$6)*(1-Ayarlar!$B$7)),0))</f>
        <v/>
      </c>
      <c r="J1739" s="14">
        <f>IF(G1739="","",ROUNDUP(((G1739*Ayarlar!$B$3+Ayarlar!$B$4+Ayarlar!$B$5)+Ayarlar!$B$8)/((1-Ayarlar!$B$6)*(1-Ayarlar!$B$7-Ayarlar!$B$9)),0))</f>
        <v/>
      </c>
      <c r="K1739" s="15">
        <f>IF(OR(G1739="",F1739=""),"",(F1739*(1-Ayarlar!$B$6)-(F1739*(1-Ayarlar!$B$6)*Ayarlar!$B$7+Ayarlar!$B$8)-(G1739*Ayarlar!$B$3+Ayarlar!$B$4+Ayarlar!$B$5))/(F1739*(1-Ayarlar!$B$6)))</f>
        <v/>
      </c>
      <c r="L1739" s="3">
        <f>IF(G1739="","GRAM EKSİK",IF(F1739&gt;30000,"FİYAT ŞÜPHELİ",IF(K1739&lt;0,"ZARARDA",IF(F1739&lt;I1739,"RİSKLİ","ok"))))</f>
        <v/>
      </c>
      <c r="M1739" s="16" t="inlineStr">
        <is>
          <t>https://www.etsy.com/listing/1595078873</t>
        </is>
      </c>
    </row>
    <row r="1740">
      <c r="A1740" s="9" t="inlineStr">
        <is>
          <t>protection</t>
        </is>
      </c>
      <c r="B1740" s="9" t="inlineStr">
        <is>
          <t>14K Gold Teddy Bear CZ Pendant Necklace, Miami Cuban Chain</t>
        </is>
      </c>
      <c r="C1740" s="9" t="n">
        <v>1595078873</v>
      </c>
      <c r="D1740" s="9" t="inlineStr">
        <is>
          <t>PBEAR1-3-20</t>
        </is>
      </c>
      <c r="E1740" s="9" t="inlineStr">
        <is>
          <t>description</t>
        </is>
      </c>
      <c r="F1740" s="10" t="n">
        <v>949</v>
      </c>
      <c r="G1740" s="18" t="n">
        <v>5.3</v>
      </c>
      <c r="H1740" s="10">
        <f>IF(G1740="","",G1740*Ayarlar!$B$3+Ayarlar!$B$4+Ayarlar!$B$5)</f>
        <v/>
      </c>
      <c r="I1740" s="10">
        <f>IF(G1740="","",ROUNDUP(((G1740*Ayarlar!$B$3+Ayarlar!$B$4+Ayarlar!$B$5)+Ayarlar!$B$8)/((1-Ayarlar!$B$6)*(1-Ayarlar!$B$7)),0))</f>
        <v/>
      </c>
      <c r="J1740" s="10">
        <f>IF(G1740="","",ROUNDUP(((G1740*Ayarlar!$B$3+Ayarlar!$B$4+Ayarlar!$B$5)+Ayarlar!$B$8)/((1-Ayarlar!$B$6)*(1-Ayarlar!$B$7-Ayarlar!$B$9)),0))</f>
        <v/>
      </c>
      <c r="K1740" s="12">
        <f>IF(OR(G1740="",F1740=""),"",(F1740*(1-Ayarlar!$B$6)-(F1740*(1-Ayarlar!$B$6)*Ayarlar!$B$7+Ayarlar!$B$8)-(G1740*Ayarlar!$B$3+Ayarlar!$B$4+Ayarlar!$B$5))/(F1740*(1-Ayarlar!$B$6)))</f>
        <v/>
      </c>
      <c r="L1740" s="9">
        <f>IF(G1740="","GRAM EKSİK",IF(F1740&gt;30000,"FİYAT ŞÜPHELİ",IF(K1740&lt;0,"ZARARDA",IF(F1740&lt;I1740,"RİSKLİ","ok"))))</f>
        <v/>
      </c>
      <c r="M1740" s="13" t="inlineStr">
        <is>
          <t>https://www.etsy.com/listing/1595078873</t>
        </is>
      </c>
    </row>
    <row r="1741">
      <c r="A1741" s="3" t="inlineStr">
        <is>
          <t>protection</t>
        </is>
      </c>
      <c r="B1741" s="3" t="inlineStr">
        <is>
          <t>14K Gold Teddy Bear CZ Pendant Necklace, Miami Cuban Chain</t>
        </is>
      </c>
      <c r="C1741" s="3" t="n">
        <v>1595078873</v>
      </c>
      <c r="D1741" s="3" t="inlineStr">
        <is>
          <t>PBEAR1-3-22</t>
        </is>
      </c>
      <c r="E1741" s="3" t="inlineStr">
        <is>
          <t>description</t>
        </is>
      </c>
      <c r="F1741" s="14" t="n">
        <v>1002</v>
      </c>
      <c r="G1741" s="17" t="n">
        <v>5.6</v>
      </c>
      <c r="H1741" s="14">
        <f>IF(G1741="","",G1741*Ayarlar!$B$3+Ayarlar!$B$4+Ayarlar!$B$5)</f>
        <v/>
      </c>
      <c r="I1741" s="14">
        <f>IF(G1741="","",ROUNDUP(((G1741*Ayarlar!$B$3+Ayarlar!$B$4+Ayarlar!$B$5)+Ayarlar!$B$8)/((1-Ayarlar!$B$6)*(1-Ayarlar!$B$7)),0))</f>
        <v/>
      </c>
      <c r="J1741" s="14">
        <f>IF(G1741="","",ROUNDUP(((G1741*Ayarlar!$B$3+Ayarlar!$B$4+Ayarlar!$B$5)+Ayarlar!$B$8)/((1-Ayarlar!$B$6)*(1-Ayarlar!$B$7-Ayarlar!$B$9)),0))</f>
        <v/>
      </c>
      <c r="K1741" s="15">
        <f>IF(OR(G1741="",F1741=""),"",(F1741*(1-Ayarlar!$B$6)-(F1741*(1-Ayarlar!$B$6)*Ayarlar!$B$7+Ayarlar!$B$8)-(G1741*Ayarlar!$B$3+Ayarlar!$B$4+Ayarlar!$B$5))/(F1741*(1-Ayarlar!$B$6)))</f>
        <v/>
      </c>
      <c r="L1741" s="3">
        <f>IF(G1741="","GRAM EKSİK",IF(F1741&gt;30000,"FİYAT ŞÜPHELİ",IF(K1741&lt;0,"ZARARDA",IF(F1741&lt;I1741,"RİSKLİ","ok"))))</f>
        <v/>
      </c>
      <c r="M1741" s="16" t="inlineStr">
        <is>
          <t>https://www.etsy.com/listing/1595078873</t>
        </is>
      </c>
    </row>
    <row r="1742">
      <c r="A1742" s="9" t="inlineStr">
        <is>
          <t>protection</t>
        </is>
      </c>
      <c r="B1742" s="9" t="inlineStr">
        <is>
          <t>14K Gold Teddy Bear CZ Pendant Necklace, Miami Cuban Chain</t>
        </is>
      </c>
      <c r="C1742" s="9" t="n">
        <v>1595078873</v>
      </c>
      <c r="D1742" s="9" t="inlineStr">
        <is>
          <t>PBEAR1-3-24</t>
        </is>
      </c>
      <c r="E1742" s="9" t="inlineStr">
        <is>
          <t>description</t>
        </is>
      </c>
      <c r="F1742" s="10" t="n">
        <v>979</v>
      </c>
      <c r="G1742" s="18" t="n">
        <v>5.47</v>
      </c>
      <c r="H1742" s="10">
        <f>IF(G1742="","",G1742*Ayarlar!$B$3+Ayarlar!$B$4+Ayarlar!$B$5)</f>
        <v/>
      </c>
      <c r="I1742" s="10">
        <f>IF(G1742="","",ROUNDUP(((G1742*Ayarlar!$B$3+Ayarlar!$B$4+Ayarlar!$B$5)+Ayarlar!$B$8)/((1-Ayarlar!$B$6)*(1-Ayarlar!$B$7)),0))</f>
        <v/>
      </c>
      <c r="J1742" s="10">
        <f>IF(G1742="","",ROUNDUP(((G1742*Ayarlar!$B$3+Ayarlar!$B$4+Ayarlar!$B$5)+Ayarlar!$B$8)/((1-Ayarlar!$B$6)*(1-Ayarlar!$B$7-Ayarlar!$B$9)),0))</f>
        <v/>
      </c>
      <c r="K1742" s="12">
        <f>IF(OR(G1742="",F1742=""),"",(F1742*(1-Ayarlar!$B$6)-(F1742*(1-Ayarlar!$B$6)*Ayarlar!$B$7+Ayarlar!$B$8)-(G1742*Ayarlar!$B$3+Ayarlar!$B$4+Ayarlar!$B$5))/(F1742*(1-Ayarlar!$B$6)))</f>
        <v/>
      </c>
      <c r="L1742" s="9">
        <f>IF(G1742="","GRAM EKSİK",IF(F1742&gt;30000,"FİYAT ŞÜPHELİ",IF(K1742&lt;0,"ZARARDA",IF(F1742&lt;I1742,"RİSKLİ","ok"))))</f>
        <v/>
      </c>
      <c r="M1742" s="13" t="inlineStr">
        <is>
          <t>https://www.etsy.com/listing/1595078873</t>
        </is>
      </c>
    </row>
    <row r="1743">
      <c r="A1743" s="3" t="inlineStr">
        <is>
          <t>protection</t>
        </is>
      </c>
      <c r="B1743" s="3" t="inlineStr">
        <is>
          <t>14K Gold Teddy Bear CZ Pendant Necklace, Miami Cuban Chain</t>
        </is>
      </c>
      <c r="C1743" s="3" t="n">
        <v>1595078873</v>
      </c>
      <c r="D1743" s="3" t="inlineStr">
        <is>
          <t>PBEAR2-3-16</t>
        </is>
      </c>
      <c r="E1743" s="3" t="inlineStr">
        <is>
          <t>description</t>
        </is>
      </c>
      <c r="F1743" s="14" t="n">
        <v>666</v>
      </c>
      <c r="G1743" s="17" t="n">
        <v>3.7</v>
      </c>
      <c r="H1743" s="14">
        <f>IF(G1743="","",G1743*Ayarlar!$B$3+Ayarlar!$B$4+Ayarlar!$B$5)</f>
        <v/>
      </c>
      <c r="I1743" s="14">
        <f>IF(G1743="","",ROUNDUP(((G1743*Ayarlar!$B$3+Ayarlar!$B$4+Ayarlar!$B$5)+Ayarlar!$B$8)/((1-Ayarlar!$B$6)*(1-Ayarlar!$B$7)),0))</f>
        <v/>
      </c>
      <c r="J1743" s="14">
        <f>IF(G1743="","",ROUNDUP(((G1743*Ayarlar!$B$3+Ayarlar!$B$4+Ayarlar!$B$5)+Ayarlar!$B$8)/((1-Ayarlar!$B$6)*(1-Ayarlar!$B$7-Ayarlar!$B$9)),0))</f>
        <v/>
      </c>
      <c r="K1743" s="15">
        <f>IF(OR(G1743="",F1743=""),"",(F1743*(1-Ayarlar!$B$6)-(F1743*(1-Ayarlar!$B$6)*Ayarlar!$B$7+Ayarlar!$B$8)-(G1743*Ayarlar!$B$3+Ayarlar!$B$4+Ayarlar!$B$5))/(F1743*(1-Ayarlar!$B$6)))</f>
        <v/>
      </c>
      <c r="L1743" s="3">
        <f>IF(G1743="","GRAM EKSİK",IF(F1743&gt;30000,"FİYAT ŞÜPHELİ",IF(K1743&lt;0,"ZARARDA",IF(F1743&lt;I1743,"RİSKLİ","ok"))))</f>
        <v/>
      </c>
      <c r="M1743" s="16" t="inlineStr">
        <is>
          <t>https://www.etsy.com/listing/1595078873</t>
        </is>
      </c>
    </row>
    <row r="1744">
      <c r="A1744" s="9" t="inlineStr">
        <is>
          <t>protection</t>
        </is>
      </c>
      <c r="B1744" s="9" t="inlineStr">
        <is>
          <t>14K Gold Teddy Bear CZ Pendant Necklace, Miami Cuban Chain</t>
        </is>
      </c>
      <c r="C1744" s="9" t="n">
        <v>1595078873</v>
      </c>
      <c r="D1744" s="9" t="inlineStr">
        <is>
          <t>PBEAR2-3-18</t>
        </is>
      </c>
      <c r="E1744" s="9" t="inlineStr">
        <is>
          <t>description</t>
        </is>
      </c>
      <c r="F1744" s="10" t="n">
        <v>1124</v>
      </c>
      <c r="G1744" s="18" t="n">
        <v>3.7</v>
      </c>
      <c r="H1744" s="10">
        <f>IF(G1744="","",G1744*Ayarlar!$B$3+Ayarlar!$B$4+Ayarlar!$B$5)</f>
        <v/>
      </c>
      <c r="I1744" s="10">
        <f>IF(G1744="","",ROUNDUP(((G1744*Ayarlar!$B$3+Ayarlar!$B$4+Ayarlar!$B$5)+Ayarlar!$B$8)/((1-Ayarlar!$B$6)*(1-Ayarlar!$B$7)),0))</f>
        <v/>
      </c>
      <c r="J1744" s="10">
        <f>IF(G1744="","",ROUNDUP(((G1744*Ayarlar!$B$3+Ayarlar!$B$4+Ayarlar!$B$5)+Ayarlar!$B$8)/((1-Ayarlar!$B$6)*(1-Ayarlar!$B$7-Ayarlar!$B$9)),0))</f>
        <v/>
      </c>
      <c r="K1744" s="12">
        <f>IF(OR(G1744="",F1744=""),"",(F1744*(1-Ayarlar!$B$6)-(F1744*(1-Ayarlar!$B$6)*Ayarlar!$B$7+Ayarlar!$B$8)-(G1744*Ayarlar!$B$3+Ayarlar!$B$4+Ayarlar!$B$5))/(F1744*(1-Ayarlar!$B$6)))</f>
        <v/>
      </c>
      <c r="L1744" s="9">
        <f>IF(G1744="","GRAM EKSİK",IF(F1744&gt;30000,"FİYAT ŞÜPHELİ",IF(K1744&lt;0,"ZARARDA",IF(F1744&lt;I1744,"RİSKLİ","ok"))))</f>
        <v/>
      </c>
      <c r="M1744" s="13" t="inlineStr">
        <is>
          <t>https://www.etsy.com/listing/1595078873</t>
        </is>
      </c>
    </row>
    <row r="1745">
      <c r="A1745" s="3" t="inlineStr">
        <is>
          <t>protection</t>
        </is>
      </c>
      <c r="B1745" s="3" t="inlineStr">
        <is>
          <t>14K Gold Teddy Bear CZ Pendant Necklace, Miami Cuban Chain</t>
        </is>
      </c>
      <c r="C1745" s="3" t="n">
        <v>1595078873</v>
      </c>
      <c r="D1745" s="3" t="inlineStr">
        <is>
          <t>PBEAR2-3-20</t>
        </is>
      </c>
      <c r="E1745" s="3" t="inlineStr">
        <is>
          <t>description</t>
        </is>
      </c>
      <c r="F1745" s="14" t="n">
        <v>1156</v>
      </c>
      <c r="G1745" s="17" t="n">
        <v>3.7</v>
      </c>
      <c r="H1745" s="14">
        <f>IF(G1745="","",G1745*Ayarlar!$B$3+Ayarlar!$B$4+Ayarlar!$B$5)</f>
        <v/>
      </c>
      <c r="I1745" s="14">
        <f>IF(G1745="","",ROUNDUP(((G1745*Ayarlar!$B$3+Ayarlar!$B$4+Ayarlar!$B$5)+Ayarlar!$B$8)/((1-Ayarlar!$B$6)*(1-Ayarlar!$B$7)),0))</f>
        <v/>
      </c>
      <c r="J1745" s="14">
        <f>IF(G1745="","",ROUNDUP(((G1745*Ayarlar!$B$3+Ayarlar!$B$4+Ayarlar!$B$5)+Ayarlar!$B$8)/((1-Ayarlar!$B$6)*(1-Ayarlar!$B$7-Ayarlar!$B$9)),0))</f>
        <v/>
      </c>
      <c r="K1745" s="15">
        <f>IF(OR(G1745="",F1745=""),"",(F1745*(1-Ayarlar!$B$6)-(F1745*(1-Ayarlar!$B$6)*Ayarlar!$B$7+Ayarlar!$B$8)-(G1745*Ayarlar!$B$3+Ayarlar!$B$4+Ayarlar!$B$5))/(F1745*(1-Ayarlar!$B$6)))</f>
        <v/>
      </c>
      <c r="L1745" s="3">
        <f>IF(G1745="","GRAM EKSİK",IF(F1745&gt;30000,"FİYAT ŞÜPHELİ",IF(K1745&lt;0,"ZARARDA",IF(F1745&lt;I1745,"RİSKLİ","ok"))))</f>
        <v/>
      </c>
      <c r="M1745" s="16" t="inlineStr">
        <is>
          <t>https://www.etsy.com/listing/1595078873</t>
        </is>
      </c>
    </row>
    <row r="1746">
      <c r="A1746" s="9" t="inlineStr">
        <is>
          <t>protection</t>
        </is>
      </c>
      <c r="B1746" s="9" t="inlineStr">
        <is>
          <t>14K Gold Teddy Bear CZ Pendant Necklace, Miami Cuban Chain</t>
        </is>
      </c>
      <c r="C1746" s="9" t="n">
        <v>1595078873</v>
      </c>
      <c r="D1746" s="9" t="inlineStr">
        <is>
          <t>PBEAR2-3-22</t>
        </is>
      </c>
      <c r="E1746" s="9" t="inlineStr">
        <is>
          <t>description</t>
        </is>
      </c>
      <c r="F1746" s="10" t="n">
        <v>1182</v>
      </c>
      <c r="G1746" s="18" t="n">
        <v>3.7</v>
      </c>
      <c r="H1746" s="10">
        <f>IF(G1746="","",G1746*Ayarlar!$B$3+Ayarlar!$B$4+Ayarlar!$B$5)</f>
        <v/>
      </c>
      <c r="I1746" s="10">
        <f>IF(G1746="","",ROUNDUP(((G1746*Ayarlar!$B$3+Ayarlar!$B$4+Ayarlar!$B$5)+Ayarlar!$B$8)/((1-Ayarlar!$B$6)*(1-Ayarlar!$B$7)),0))</f>
        <v/>
      </c>
      <c r="J1746" s="10">
        <f>IF(G1746="","",ROUNDUP(((G1746*Ayarlar!$B$3+Ayarlar!$B$4+Ayarlar!$B$5)+Ayarlar!$B$8)/((1-Ayarlar!$B$6)*(1-Ayarlar!$B$7-Ayarlar!$B$9)),0))</f>
        <v/>
      </c>
      <c r="K1746" s="12">
        <f>IF(OR(G1746="",F1746=""),"",(F1746*(1-Ayarlar!$B$6)-(F1746*(1-Ayarlar!$B$6)*Ayarlar!$B$7+Ayarlar!$B$8)-(G1746*Ayarlar!$B$3+Ayarlar!$B$4+Ayarlar!$B$5))/(F1746*(1-Ayarlar!$B$6)))</f>
        <v/>
      </c>
      <c r="L1746" s="9">
        <f>IF(G1746="","GRAM EKSİK",IF(F1746&gt;30000,"FİYAT ŞÜPHELİ",IF(K1746&lt;0,"ZARARDA",IF(F1746&lt;I1746,"RİSKLİ","ok"))))</f>
        <v/>
      </c>
      <c r="M1746" s="13" t="inlineStr">
        <is>
          <t>https://www.etsy.com/listing/1595078873</t>
        </is>
      </c>
    </row>
    <row r="1747">
      <c r="A1747" s="3" t="inlineStr">
        <is>
          <t>protection</t>
        </is>
      </c>
      <c r="B1747" s="3" t="inlineStr">
        <is>
          <t>14K Gold Teddy Bear CZ Pendant Necklace, Miami Cuban Chain</t>
        </is>
      </c>
      <c r="C1747" s="3" t="n">
        <v>1595078873</v>
      </c>
      <c r="D1747" s="3" t="inlineStr">
        <is>
          <t>PBEAR2-3-24</t>
        </is>
      </c>
      <c r="E1747" s="3" t="inlineStr">
        <is>
          <t>description</t>
        </is>
      </c>
      <c r="F1747" s="14" t="n">
        <v>1219</v>
      </c>
      <c r="G1747" s="17" t="n">
        <v>3.7</v>
      </c>
      <c r="H1747" s="14">
        <f>IF(G1747="","",G1747*Ayarlar!$B$3+Ayarlar!$B$4+Ayarlar!$B$5)</f>
        <v/>
      </c>
      <c r="I1747" s="14">
        <f>IF(G1747="","",ROUNDUP(((G1747*Ayarlar!$B$3+Ayarlar!$B$4+Ayarlar!$B$5)+Ayarlar!$B$8)/((1-Ayarlar!$B$6)*(1-Ayarlar!$B$7)),0))</f>
        <v/>
      </c>
      <c r="J1747" s="14">
        <f>IF(G1747="","",ROUNDUP(((G1747*Ayarlar!$B$3+Ayarlar!$B$4+Ayarlar!$B$5)+Ayarlar!$B$8)/((1-Ayarlar!$B$6)*(1-Ayarlar!$B$7-Ayarlar!$B$9)),0))</f>
        <v/>
      </c>
      <c r="K1747" s="15">
        <f>IF(OR(G1747="",F1747=""),"",(F1747*(1-Ayarlar!$B$6)-(F1747*(1-Ayarlar!$B$6)*Ayarlar!$B$7+Ayarlar!$B$8)-(G1747*Ayarlar!$B$3+Ayarlar!$B$4+Ayarlar!$B$5))/(F1747*(1-Ayarlar!$B$6)))</f>
        <v/>
      </c>
      <c r="L1747" s="3">
        <f>IF(G1747="","GRAM EKSİK",IF(F1747&gt;30000,"FİYAT ŞÜPHELİ",IF(K1747&lt;0,"ZARARDA",IF(F1747&lt;I1747,"RİSKLİ","ok"))))</f>
        <v/>
      </c>
      <c r="M1747" s="16" t="inlineStr">
        <is>
          <t>https://www.etsy.com/listing/1595078873</t>
        </is>
      </c>
    </row>
    <row r="1748">
      <c r="A1748" s="9" t="inlineStr">
        <is>
          <t>protection</t>
        </is>
      </c>
      <c r="B1748" s="9" t="inlineStr">
        <is>
          <t>14K Gold Teddy Bear CZ Pendant Necklace, Miami Cuban Chain</t>
        </is>
      </c>
      <c r="C1748" s="9" t="n">
        <v>1595078873</v>
      </c>
      <c r="D1748" s="9" t="inlineStr">
        <is>
          <t>PBEAR3-3-16</t>
        </is>
      </c>
      <c r="E1748" s="9" t="inlineStr">
        <is>
          <t>description</t>
        </is>
      </c>
      <c r="F1748" s="10" t="n">
        <v>1665</v>
      </c>
      <c r="G1748" s="18" t="n">
        <v>4.25</v>
      </c>
      <c r="H1748" s="10">
        <f>IF(G1748="","",G1748*Ayarlar!$B$3+Ayarlar!$B$4+Ayarlar!$B$5)</f>
        <v/>
      </c>
      <c r="I1748" s="10">
        <f>IF(G1748="","",ROUNDUP(((G1748*Ayarlar!$B$3+Ayarlar!$B$4+Ayarlar!$B$5)+Ayarlar!$B$8)/((1-Ayarlar!$B$6)*(1-Ayarlar!$B$7)),0))</f>
        <v/>
      </c>
      <c r="J1748" s="10">
        <f>IF(G1748="","",ROUNDUP(((G1748*Ayarlar!$B$3+Ayarlar!$B$4+Ayarlar!$B$5)+Ayarlar!$B$8)/((1-Ayarlar!$B$6)*(1-Ayarlar!$B$7-Ayarlar!$B$9)),0))</f>
        <v/>
      </c>
      <c r="K1748" s="12">
        <f>IF(OR(G1748="",F1748=""),"",(F1748*(1-Ayarlar!$B$6)-(F1748*(1-Ayarlar!$B$6)*Ayarlar!$B$7+Ayarlar!$B$8)-(G1748*Ayarlar!$B$3+Ayarlar!$B$4+Ayarlar!$B$5))/(F1748*(1-Ayarlar!$B$6)))</f>
        <v/>
      </c>
      <c r="L1748" s="9">
        <f>IF(G1748="","GRAM EKSİK",IF(F1748&gt;30000,"FİYAT ŞÜPHELİ",IF(K1748&lt;0,"ZARARDA",IF(F1748&lt;I1748,"RİSKLİ","ok"))))</f>
        <v/>
      </c>
      <c r="M1748" s="13" t="inlineStr">
        <is>
          <t>https://www.etsy.com/listing/1595078873</t>
        </is>
      </c>
    </row>
    <row r="1749">
      <c r="A1749" s="3" t="inlineStr">
        <is>
          <t>protection</t>
        </is>
      </c>
      <c r="B1749" s="3" t="inlineStr">
        <is>
          <t>14K Gold Teddy Bear CZ Pendant Necklace, Miami Cuban Chain</t>
        </is>
      </c>
      <c r="C1749" s="3" t="n">
        <v>1595078873</v>
      </c>
      <c r="D1749" s="3" t="inlineStr">
        <is>
          <t>PBEAR3-3-18</t>
        </is>
      </c>
      <c r="E1749" s="3" t="inlineStr">
        <is>
          <t>description</t>
        </is>
      </c>
      <c r="F1749" s="14" t="n">
        <v>2292</v>
      </c>
      <c r="G1749" s="17" t="n">
        <v>4.25</v>
      </c>
      <c r="H1749" s="14">
        <f>IF(G1749="","",G1749*Ayarlar!$B$3+Ayarlar!$B$4+Ayarlar!$B$5)</f>
        <v/>
      </c>
      <c r="I1749" s="14">
        <f>IF(G1749="","",ROUNDUP(((G1749*Ayarlar!$B$3+Ayarlar!$B$4+Ayarlar!$B$5)+Ayarlar!$B$8)/((1-Ayarlar!$B$6)*(1-Ayarlar!$B$7)),0))</f>
        <v/>
      </c>
      <c r="J1749" s="14">
        <f>IF(G1749="","",ROUNDUP(((G1749*Ayarlar!$B$3+Ayarlar!$B$4+Ayarlar!$B$5)+Ayarlar!$B$8)/((1-Ayarlar!$B$6)*(1-Ayarlar!$B$7-Ayarlar!$B$9)),0))</f>
        <v/>
      </c>
      <c r="K1749" s="15">
        <f>IF(OR(G1749="",F1749=""),"",(F1749*(1-Ayarlar!$B$6)-(F1749*(1-Ayarlar!$B$6)*Ayarlar!$B$7+Ayarlar!$B$8)-(G1749*Ayarlar!$B$3+Ayarlar!$B$4+Ayarlar!$B$5))/(F1749*(1-Ayarlar!$B$6)))</f>
        <v/>
      </c>
      <c r="L1749" s="3">
        <f>IF(G1749="","GRAM EKSİK",IF(F1749&gt;30000,"FİYAT ŞÜPHELİ",IF(K1749&lt;0,"ZARARDA",IF(F1749&lt;I1749,"RİSKLİ","ok"))))</f>
        <v/>
      </c>
      <c r="M1749" s="16" t="inlineStr">
        <is>
          <t>https://www.etsy.com/listing/1595078873</t>
        </is>
      </c>
    </row>
    <row r="1750">
      <c r="A1750" s="9" t="inlineStr">
        <is>
          <t>protection</t>
        </is>
      </c>
      <c r="B1750" s="9" t="inlineStr">
        <is>
          <t>14K Gold Teddy Bear CZ Pendant Necklace, Miami Cuban Chain</t>
        </is>
      </c>
      <c r="C1750" s="9" t="n">
        <v>1595078873</v>
      </c>
      <c r="D1750" s="9" t="inlineStr">
        <is>
          <t>PBEAR3-3-20</t>
        </is>
      </c>
      <c r="E1750" s="9" t="inlineStr">
        <is>
          <t>description</t>
        </is>
      </c>
      <c r="F1750" s="10" t="n">
        <v>2483</v>
      </c>
      <c r="G1750" s="18" t="n">
        <v>4.25</v>
      </c>
      <c r="H1750" s="10">
        <f>IF(G1750="","",G1750*Ayarlar!$B$3+Ayarlar!$B$4+Ayarlar!$B$5)</f>
        <v/>
      </c>
      <c r="I1750" s="10">
        <f>IF(G1750="","",ROUNDUP(((G1750*Ayarlar!$B$3+Ayarlar!$B$4+Ayarlar!$B$5)+Ayarlar!$B$8)/((1-Ayarlar!$B$6)*(1-Ayarlar!$B$7)),0))</f>
        <v/>
      </c>
      <c r="J1750" s="10">
        <f>IF(G1750="","",ROUNDUP(((G1750*Ayarlar!$B$3+Ayarlar!$B$4+Ayarlar!$B$5)+Ayarlar!$B$8)/((1-Ayarlar!$B$6)*(1-Ayarlar!$B$7-Ayarlar!$B$9)),0))</f>
        <v/>
      </c>
      <c r="K1750" s="12">
        <f>IF(OR(G1750="",F1750=""),"",(F1750*(1-Ayarlar!$B$6)-(F1750*(1-Ayarlar!$B$6)*Ayarlar!$B$7+Ayarlar!$B$8)-(G1750*Ayarlar!$B$3+Ayarlar!$B$4+Ayarlar!$B$5))/(F1750*(1-Ayarlar!$B$6)))</f>
        <v/>
      </c>
      <c r="L1750" s="9">
        <f>IF(G1750="","GRAM EKSİK",IF(F1750&gt;30000,"FİYAT ŞÜPHELİ",IF(K1750&lt;0,"ZARARDA",IF(F1750&lt;I1750,"RİSKLİ","ok"))))</f>
        <v/>
      </c>
      <c r="M1750" s="13" t="inlineStr">
        <is>
          <t>https://www.etsy.com/listing/1595078873</t>
        </is>
      </c>
    </row>
    <row r="1751">
      <c r="A1751" s="3" t="inlineStr">
        <is>
          <t>protection</t>
        </is>
      </c>
      <c r="B1751" s="3" t="inlineStr">
        <is>
          <t>14K Gold Teddy Bear CZ Pendant Necklace, Miami Cuban Chain</t>
        </is>
      </c>
      <c r="C1751" s="3" t="n">
        <v>1595078873</v>
      </c>
      <c r="D1751" s="3" t="inlineStr">
        <is>
          <t>PBEAR3-3-22</t>
        </is>
      </c>
      <c r="E1751" s="3" t="inlineStr">
        <is>
          <t>description</t>
        </is>
      </c>
      <c r="F1751" s="14" t="n">
        <v>2674</v>
      </c>
      <c r="G1751" s="17" t="n">
        <v>4.25</v>
      </c>
      <c r="H1751" s="14">
        <f>IF(G1751="","",G1751*Ayarlar!$B$3+Ayarlar!$B$4+Ayarlar!$B$5)</f>
        <v/>
      </c>
      <c r="I1751" s="14">
        <f>IF(G1751="","",ROUNDUP(((G1751*Ayarlar!$B$3+Ayarlar!$B$4+Ayarlar!$B$5)+Ayarlar!$B$8)/((1-Ayarlar!$B$6)*(1-Ayarlar!$B$7)),0))</f>
        <v/>
      </c>
      <c r="J1751" s="14">
        <f>IF(G1751="","",ROUNDUP(((G1751*Ayarlar!$B$3+Ayarlar!$B$4+Ayarlar!$B$5)+Ayarlar!$B$8)/((1-Ayarlar!$B$6)*(1-Ayarlar!$B$7-Ayarlar!$B$9)),0))</f>
        <v/>
      </c>
      <c r="K1751" s="15">
        <f>IF(OR(G1751="",F1751=""),"",(F1751*(1-Ayarlar!$B$6)-(F1751*(1-Ayarlar!$B$6)*Ayarlar!$B$7+Ayarlar!$B$8)-(G1751*Ayarlar!$B$3+Ayarlar!$B$4+Ayarlar!$B$5))/(F1751*(1-Ayarlar!$B$6)))</f>
        <v/>
      </c>
      <c r="L1751" s="3">
        <f>IF(G1751="","GRAM EKSİK",IF(F1751&gt;30000,"FİYAT ŞÜPHELİ",IF(K1751&lt;0,"ZARARDA",IF(F1751&lt;I1751,"RİSKLİ","ok"))))</f>
        <v/>
      </c>
      <c r="M1751" s="16" t="inlineStr">
        <is>
          <t>https://www.etsy.com/listing/1595078873</t>
        </is>
      </c>
    </row>
    <row r="1752">
      <c r="A1752" s="9" t="inlineStr">
        <is>
          <t>protection</t>
        </is>
      </c>
      <c r="B1752" s="9" t="inlineStr">
        <is>
          <t>14K Gold Teddy Bear CZ Pendant Necklace, Miami Cuban Chain</t>
        </is>
      </c>
      <c r="C1752" s="9" t="n">
        <v>1595078873</v>
      </c>
      <c r="D1752" s="9" t="inlineStr">
        <is>
          <t>PBEAR3-3-24</t>
        </is>
      </c>
      <c r="E1752" s="9" t="inlineStr">
        <is>
          <t>description</t>
        </is>
      </c>
      <c r="F1752" s="10" t="n">
        <v>2758</v>
      </c>
      <c r="G1752" s="18" t="n">
        <v>4.25</v>
      </c>
      <c r="H1752" s="10">
        <f>IF(G1752="","",G1752*Ayarlar!$B$3+Ayarlar!$B$4+Ayarlar!$B$5)</f>
        <v/>
      </c>
      <c r="I1752" s="10">
        <f>IF(G1752="","",ROUNDUP(((G1752*Ayarlar!$B$3+Ayarlar!$B$4+Ayarlar!$B$5)+Ayarlar!$B$8)/((1-Ayarlar!$B$6)*(1-Ayarlar!$B$7)),0))</f>
        <v/>
      </c>
      <c r="J1752" s="10">
        <f>IF(G1752="","",ROUNDUP(((G1752*Ayarlar!$B$3+Ayarlar!$B$4+Ayarlar!$B$5)+Ayarlar!$B$8)/((1-Ayarlar!$B$6)*(1-Ayarlar!$B$7-Ayarlar!$B$9)),0))</f>
        <v/>
      </c>
      <c r="K1752" s="12">
        <f>IF(OR(G1752="",F1752=""),"",(F1752*(1-Ayarlar!$B$6)-(F1752*(1-Ayarlar!$B$6)*Ayarlar!$B$7+Ayarlar!$B$8)-(G1752*Ayarlar!$B$3+Ayarlar!$B$4+Ayarlar!$B$5))/(F1752*(1-Ayarlar!$B$6)))</f>
        <v/>
      </c>
      <c r="L1752" s="9">
        <f>IF(G1752="","GRAM EKSİK",IF(F1752&gt;30000,"FİYAT ŞÜPHELİ",IF(K1752&lt;0,"ZARARDA",IF(F1752&lt;I1752,"RİSKLİ","ok"))))</f>
        <v/>
      </c>
      <c r="M1752" s="13" t="inlineStr">
        <is>
          <t>https://www.etsy.com/listing/1595078873</t>
        </is>
      </c>
    </row>
    <row r="1753">
      <c r="A1753" s="3" t="inlineStr">
        <is>
          <t>protection</t>
        </is>
      </c>
      <c r="B1753" s="3" t="inlineStr">
        <is>
          <t>14K Gold Teddy Bear CZ Pendant Necklace, Miami Cuban Chain</t>
        </is>
      </c>
      <c r="C1753" s="3" t="n">
        <v>1595078873</v>
      </c>
      <c r="D1753" s="3" t="inlineStr">
        <is>
          <t>PBEAR4-3-16</t>
        </is>
      </c>
      <c r="E1753" s="3" t="inlineStr">
        <is>
          <t>description</t>
        </is>
      </c>
      <c r="F1753" s="14" t="n">
        <v>1972</v>
      </c>
      <c r="G1753" s="17" t="n">
        <v>5.5</v>
      </c>
      <c r="H1753" s="14">
        <f>IF(G1753="","",G1753*Ayarlar!$B$3+Ayarlar!$B$4+Ayarlar!$B$5)</f>
        <v/>
      </c>
      <c r="I1753" s="14">
        <f>IF(G1753="","",ROUNDUP(((G1753*Ayarlar!$B$3+Ayarlar!$B$4+Ayarlar!$B$5)+Ayarlar!$B$8)/((1-Ayarlar!$B$6)*(1-Ayarlar!$B$7)),0))</f>
        <v/>
      </c>
      <c r="J1753" s="14">
        <f>IF(G1753="","",ROUNDUP(((G1753*Ayarlar!$B$3+Ayarlar!$B$4+Ayarlar!$B$5)+Ayarlar!$B$8)/((1-Ayarlar!$B$6)*(1-Ayarlar!$B$7-Ayarlar!$B$9)),0))</f>
        <v/>
      </c>
      <c r="K1753" s="15">
        <f>IF(OR(G1753="",F1753=""),"",(F1753*(1-Ayarlar!$B$6)-(F1753*(1-Ayarlar!$B$6)*Ayarlar!$B$7+Ayarlar!$B$8)-(G1753*Ayarlar!$B$3+Ayarlar!$B$4+Ayarlar!$B$5))/(F1753*(1-Ayarlar!$B$6)))</f>
        <v/>
      </c>
      <c r="L1753" s="3">
        <f>IF(G1753="","GRAM EKSİK",IF(F1753&gt;30000,"FİYAT ŞÜPHELİ",IF(K1753&lt;0,"ZARARDA",IF(F1753&lt;I1753,"RİSKLİ","ok"))))</f>
        <v/>
      </c>
      <c r="M1753" s="16" t="inlineStr">
        <is>
          <t>https://www.etsy.com/listing/1595078873</t>
        </is>
      </c>
    </row>
    <row r="1754">
      <c r="A1754" s="9" t="inlineStr">
        <is>
          <t>protection</t>
        </is>
      </c>
      <c r="B1754" s="9" t="inlineStr">
        <is>
          <t>14K Gold Teddy Bear CZ Pendant Necklace, Miami Cuban Chain</t>
        </is>
      </c>
      <c r="C1754" s="9" t="n">
        <v>1595078873</v>
      </c>
      <c r="D1754" s="9" t="inlineStr">
        <is>
          <t>PBEAR4-3-18</t>
        </is>
      </c>
      <c r="E1754" s="9" t="inlineStr">
        <is>
          <t>description</t>
        </is>
      </c>
      <c r="F1754" s="10" t="n">
        <v>2384</v>
      </c>
      <c r="G1754" s="18" t="n">
        <v>5.5</v>
      </c>
      <c r="H1754" s="10">
        <f>IF(G1754="","",G1754*Ayarlar!$B$3+Ayarlar!$B$4+Ayarlar!$B$5)</f>
        <v/>
      </c>
      <c r="I1754" s="10">
        <f>IF(G1754="","",ROUNDUP(((G1754*Ayarlar!$B$3+Ayarlar!$B$4+Ayarlar!$B$5)+Ayarlar!$B$8)/((1-Ayarlar!$B$6)*(1-Ayarlar!$B$7)),0))</f>
        <v/>
      </c>
      <c r="J1754" s="10">
        <f>IF(G1754="","",ROUNDUP(((G1754*Ayarlar!$B$3+Ayarlar!$B$4+Ayarlar!$B$5)+Ayarlar!$B$8)/((1-Ayarlar!$B$6)*(1-Ayarlar!$B$7-Ayarlar!$B$9)),0))</f>
        <v/>
      </c>
      <c r="K1754" s="12">
        <f>IF(OR(G1754="",F1754=""),"",(F1754*(1-Ayarlar!$B$6)-(F1754*(1-Ayarlar!$B$6)*Ayarlar!$B$7+Ayarlar!$B$8)-(G1754*Ayarlar!$B$3+Ayarlar!$B$4+Ayarlar!$B$5))/(F1754*(1-Ayarlar!$B$6)))</f>
        <v/>
      </c>
      <c r="L1754" s="9">
        <f>IF(G1754="","GRAM EKSİK",IF(F1754&gt;30000,"FİYAT ŞÜPHELİ",IF(K1754&lt;0,"ZARARDA",IF(F1754&lt;I1754,"RİSKLİ","ok"))))</f>
        <v/>
      </c>
      <c r="M1754" s="13" t="inlineStr">
        <is>
          <t>https://www.etsy.com/listing/1595078873</t>
        </is>
      </c>
    </row>
    <row r="1755">
      <c r="A1755" s="3" t="inlineStr">
        <is>
          <t>protection</t>
        </is>
      </c>
      <c r="B1755" s="3" t="inlineStr">
        <is>
          <t>14K Gold Teddy Bear CZ Pendant Necklace, Miami Cuban Chain</t>
        </is>
      </c>
      <c r="C1755" s="3" t="n">
        <v>1595078873</v>
      </c>
      <c r="D1755" s="3" t="inlineStr">
        <is>
          <t>PBEAR4-3-20</t>
        </is>
      </c>
      <c r="E1755" s="3" t="inlineStr">
        <is>
          <t>description</t>
        </is>
      </c>
      <c r="F1755" s="14" t="n">
        <v>2416</v>
      </c>
      <c r="G1755" s="17" t="n">
        <v>5.5</v>
      </c>
      <c r="H1755" s="14">
        <f>IF(G1755="","",G1755*Ayarlar!$B$3+Ayarlar!$B$4+Ayarlar!$B$5)</f>
        <v/>
      </c>
      <c r="I1755" s="14">
        <f>IF(G1755="","",ROUNDUP(((G1755*Ayarlar!$B$3+Ayarlar!$B$4+Ayarlar!$B$5)+Ayarlar!$B$8)/((1-Ayarlar!$B$6)*(1-Ayarlar!$B$7)),0))</f>
        <v/>
      </c>
      <c r="J1755" s="14">
        <f>IF(G1755="","",ROUNDUP(((G1755*Ayarlar!$B$3+Ayarlar!$B$4+Ayarlar!$B$5)+Ayarlar!$B$8)/((1-Ayarlar!$B$6)*(1-Ayarlar!$B$7-Ayarlar!$B$9)),0))</f>
        <v/>
      </c>
      <c r="K1755" s="15">
        <f>IF(OR(G1755="",F1755=""),"",(F1755*(1-Ayarlar!$B$6)-(F1755*(1-Ayarlar!$B$6)*Ayarlar!$B$7+Ayarlar!$B$8)-(G1755*Ayarlar!$B$3+Ayarlar!$B$4+Ayarlar!$B$5))/(F1755*(1-Ayarlar!$B$6)))</f>
        <v/>
      </c>
      <c r="L1755" s="3">
        <f>IF(G1755="","GRAM EKSİK",IF(F1755&gt;30000,"FİYAT ŞÜPHELİ",IF(K1755&lt;0,"ZARARDA",IF(F1755&lt;I1755,"RİSKLİ","ok"))))</f>
        <v/>
      </c>
      <c r="M1755" s="16" t="inlineStr">
        <is>
          <t>https://www.etsy.com/listing/1595078873</t>
        </is>
      </c>
    </row>
    <row r="1756">
      <c r="A1756" s="9" t="inlineStr">
        <is>
          <t>protection</t>
        </is>
      </c>
      <c r="B1756" s="9" t="inlineStr">
        <is>
          <t>14K Gold Teddy Bear CZ Pendant Necklace, Miami Cuban Chain</t>
        </is>
      </c>
      <c r="C1756" s="9" t="n">
        <v>1595078873</v>
      </c>
      <c r="D1756" s="9" t="inlineStr">
        <is>
          <t>PBEAR4-3-22</t>
        </is>
      </c>
      <c r="E1756" s="9" t="inlineStr">
        <is>
          <t>description</t>
        </is>
      </c>
      <c r="F1756" s="10" t="n">
        <v>2448</v>
      </c>
      <c r="G1756" s="18" t="n">
        <v>5.5</v>
      </c>
      <c r="H1756" s="10">
        <f>IF(G1756="","",G1756*Ayarlar!$B$3+Ayarlar!$B$4+Ayarlar!$B$5)</f>
        <v/>
      </c>
      <c r="I1756" s="10">
        <f>IF(G1756="","",ROUNDUP(((G1756*Ayarlar!$B$3+Ayarlar!$B$4+Ayarlar!$B$5)+Ayarlar!$B$8)/((1-Ayarlar!$B$6)*(1-Ayarlar!$B$7)),0))</f>
        <v/>
      </c>
      <c r="J1756" s="10">
        <f>IF(G1756="","",ROUNDUP(((G1756*Ayarlar!$B$3+Ayarlar!$B$4+Ayarlar!$B$5)+Ayarlar!$B$8)/((1-Ayarlar!$B$6)*(1-Ayarlar!$B$7-Ayarlar!$B$9)),0))</f>
        <v/>
      </c>
      <c r="K1756" s="12">
        <f>IF(OR(G1756="",F1756=""),"",(F1756*(1-Ayarlar!$B$6)-(F1756*(1-Ayarlar!$B$6)*Ayarlar!$B$7+Ayarlar!$B$8)-(G1756*Ayarlar!$B$3+Ayarlar!$B$4+Ayarlar!$B$5))/(F1756*(1-Ayarlar!$B$6)))</f>
        <v/>
      </c>
      <c r="L1756" s="9">
        <f>IF(G1756="","GRAM EKSİK",IF(F1756&gt;30000,"FİYAT ŞÜPHELİ",IF(K1756&lt;0,"ZARARDA",IF(F1756&lt;I1756,"RİSKLİ","ok"))))</f>
        <v/>
      </c>
      <c r="M1756" s="13" t="inlineStr">
        <is>
          <t>https://www.etsy.com/listing/1595078873</t>
        </is>
      </c>
    </row>
    <row r="1757">
      <c r="A1757" s="3" t="inlineStr">
        <is>
          <t>protection</t>
        </is>
      </c>
      <c r="B1757" s="3" t="inlineStr">
        <is>
          <t>14K Gold Teddy Bear CZ Pendant Necklace, Miami Cuban Chain</t>
        </is>
      </c>
      <c r="C1757" s="3" t="n">
        <v>1595078873</v>
      </c>
      <c r="D1757" s="3" t="inlineStr">
        <is>
          <t>PBEAR4-3-24</t>
        </is>
      </c>
      <c r="E1757" s="3" t="inlineStr">
        <is>
          <t>description</t>
        </is>
      </c>
      <c r="F1757" s="14" t="n">
        <v>2480</v>
      </c>
      <c r="G1757" s="17" t="n">
        <v>5.5</v>
      </c>
      <c r="H1757" s="14">
        <f>IF(G1757="","",G1757*Ayarlar!$B$3+Ayarlar!$B$4+Ayarlar!$B$5)</f>
        <v/>
      </c>
      <c r="I1757" s="14">
        <f>IF(G1757="","",ROUNDUP(((G1757*Ayarlar!$B$3+Ayarlar!$B$4+Ayarlar!$B$5)+Ayarlar!$B$8)/((1-Ayarlar!$B$6)*(1-Ayarlar!$B$7)),0))</f>
        <v/>
      </c>
      <c r="J1757" s="14">
        <f>IF(G1757="","",ROUNDUP(((G1757*Ayarlar!$B$3+Ayarlar!$B$4+Ayarlar!$B$5)+Ayarlar!$B$8)/((1-Ayarlar!$B$6)*(1-Ayarlar!$B$7-Ayarlar!$B$9)),0))</f>
        <v/>
      </c>
      <c r="K1757" s="15">
        <f>IF(OR(G1757="",F1757=""),"",(F1757*(1-Ayarlar!$B$6)-(F1757*(1-Ayarlar!$B$6)*Ayarlar!$B$7+Ayarlar!$B$8)-(G1757*Ayarlar!$B$3+Ayarlar!$B$4+Ayarlar!$B$5))/(F1757*(1-Ayarlar!$B$6)))</f>
        <v/>
      </c>
      <c r="L1757" s="3">
        <f>IF(G1757="","GRAM EKSİK",IF(F1757&gt;30000,"FİYAT ŞÜPHELİ",IF(K1757&lt;0,"ZARARDA",IF(F1757&lt;I1757,"RİSKLİ","ok"))))</f>
        <v/>
      </c>
      <c r="M1757" s="16" t="inlineStr">
        <is>
          <t>https://www.etsy.com/listing/1595078873</t>
        </is>
      </c>
    </row>
    <row r="1758">
      <c r="A1758" s="9" t="inlineStr">
        <is>
          <t>protection</t>
        </is>
      </c>
      <c r="B1758" s="9" t="inlineStr">
        <is>
          <t>14K Solid Gold Diamond Panther Pendant, Emerald Eye Charm wi</t>
        </is>
      </c>
      <c r="C1758" s="9" t="n">
        <v>1436080231</v>
      </c>
      <c r="D1758" s="9" t="inlineStr">
        <is>
          <t>CPANT1F-16</t>
        </is>
      </c>
      <c r="E1758" s="9" t="inlineStr">
        <is>
          <t>description</t>
        </is>
      </c>
      <c r="F1758" s="10" t="n">
        <v>1123</v>
      </c>
      <c r="G1758" s="18" t="n">
        <v>6.28</v>
      </c>
      <c r="H1758" s="10">
        <f>IF(G1758="","",G1758*Ayarlar!$B$3+Ayarlar!$B$4+Ayarlar!$B$5)</f>
        <v/>
      </c>
      <c r="I1758" s="10">
        <f>IF(G1758="","",ROUNDUP(((G1758*Ayarlar!$B$3+Ayarlar!$B$4+Ayarlar!$B$5)+Ayarlar!$B$8)/((1-Ayarlar!$B$6)*(1-Ayarlar!$B$7)),0))</f>
        <v/>
      </c>
      <c r="J1758" s="10">
        <f>IF(G1758="","",ROUNDUP(((G1758*Ayarlar!$B$3+Ayarlar!$B$4+Ayarlar!$B$5)+Ayarlar!$B$8)/((1-Ayarlar!$B$6)*(1-Ayarlar!$B$7-Ayarlar!$B$9)),0))</f>
        <v/>
      </c>
      <c r="K1758" s="12">
        <f>IF(OR(G1758="",F1758=""),"",(F1758*(1-Ayarlar!$B$6)-(F1758*(1-Ayarlar!$B$6)*Ayarlar!$B$7+Ayarlar!$B$8)-(G1758*Ayarlar!$B$3+Ayarlar!$B$4+Ayarlar!$B$5))/(F1758*(1-Ayarlar!$B$6)))</f>
        <v/>
      </c>
      <c r="L1758" s="9">
        <f>IF(G1758="","GRAM EKSİK",IF(F1758&gt;30000,"FİYAT ŞÜPHELİ",IF(K1758&lt;0,"ZARARDA",IF(F1758&lt;I1758,"RİSKLİ","ok"))))</f>
        <v/>
      </c>
      <c r="M1758" s="13" t="inlineStr">
        <is>
          <t>https://www.etsy.com/listing/1436080231</t>
        </is>
      </c>
    </row>
    <row r="1759">
      <c r="A1759" s="3" t="inlineStr">
        <is>
          <t>protection</t>
        </is>
      </c>
      <c r="B1759" s="3" t="inlineStr">
        <is>
          <t>14K Solid Gold Diamond Panther Pendant, Emerald Eye Charm wi</t>
        </is>
      </c>
      <c r="C1759" s="3" t="n">
        <v>1436080231</v>
      </c>
      <c r="D1759" s="3" t="inlineStr">
        <is>
          <t>CPANT1F-18</t>
        </is>
      </c>
      <c r="E1759" s="3" t="inlineStr">
        <is>
          <t>description</t>
        </is>
      </c>
      <c r="F1759" s="14" t="n">
        <v>1141</v>
      </c>
      <c r="G1759" s="17" t="n">
        <v>6.28</v>
      </c>
      <c r="H1759" s="14">
        <f>IF(G1759="","",G1759*Ayarlar!$B$3+Ayarlar!$B$4+Ayarlar!$B$5)</f>
        <v/>
      </c>
      <c r="I1759" s="14">
        <f>IF(G1759="","",ROUNDUP(((G1759*Ayarlar!$B$3+Ayarlar!$B$4+Ayarlar!$B$5)+Ayarlar!$B$8)/((1-Ayarlar!$B$6)*(1-Ayarlar!$B$7)),0))</f>
        <v/>
      </c>
      <c r="J1759" s="14">
        <f>IF(G1759="","",ROUNDUP(((G1759*Ayarlar!$B$3+Ayarlar!$B$4+Ayarlar!$B$5)+Ayarlar!$B$8)/((1-Ayarlar!$B$6)*(1-Ayarlar!$B$7-Ayarlar!$B$9)),0))</f>
        <v/>
      </c>
      <c r="K1759" s="15">
        <f>IF(OR(G1759="",F1759=""),"",(F1759*(1-Ayarlar!$B$6)-(F1759*(1-Ayarlar!$B$6)*Ayarlar!$B$7+Ayarlar!$B$8)-(G1759*Ayarlar!$B$3+Ayarlar!$B$4+Ayarlar!$B$5))/(F1759*(1-Ayarlar!$B$6)))</f>
        <v/>
      </c>
      <c r="L1759" s="3">
        <f>IF(G1759="","GRAM EKSİK",IF(F1759&gt;30000,"FİYAT ŞÜPHELİ",IF(K1759&lt;0,"ZARARDA",IF(F1759&lt;I1759,"RİSKLİ","ok"))))</f>
        <v/>
      </c>
      <c r="M1759" s="16" t="inlineStr">
        <is>
          <t>https://www.etsy.com/listing/1436080231</t>
        </is>
      </c>
    </row>
    <row r="1760">
      <c r="A1760" s="9" t="inlineStr">
        <is>
          <t>protection</t>
        </is>
      </c>
      <c r="B1760" s="9" t="inlineStr">
        <is>
          <t>14K Solid Gold Diamond Panther Pendant, Emerald Eye Charm wi</t>
        </is>
      </c>
      <c r="C1760" s="9" t="n">
        <v>1436080231</v>
      </c>
      <c r="D1760" s="9" t="inlineStr">
        <is>
          <t>CPANT1F-20</t>
        </is>
      </c>
      <c r="E1760" s="9" t="inlineStr">
        <is>
          <t>description</t>
        </is>
      </c>
      <c r="F1760" s="10" t="n">
        <v>1242</v>
      </c>
      <c r="G1760" s="18" t="n">
        <v>6.28</v>
      </c>
      <c r="H1760" s="10">
        <f>IF(G1760="","",G1760*Ayarlar!$B$3+Ayarlar!$B$4+Ayarlar!$B$5)</f>
        <v/>
      </c>
      <c r="I1760" s="10">
        <f>IF(G1760="","",ROUNDUP(((G1760*Ayarlar!$B$3+Ayarlar!$B$4+Ayarlar!$B$5)+Ayarlar!$B$8)/((1-Ayarlar!$B$6)*(1-Ayarlar!$B$7)),0))</f>
        <v/>
      </c>
      <c r="J1760" s="10">
        <f>IF(G1760="","",ROUNDUP(((G1760*Ayarlar!$B$3+Ayarlar!$B$4+Ayarlar!$B$5)+Ayarlar!$B$8)/((1-Ayarlar!$B$6)*(1-Ayarlar!$B$7-Ayarlar!$B$9)),0))</f>
        <v/>
      </c>
      <c r="K1760" s="12">
        <f>IF(OR(G1760="",F1760=""),"",(F1760*(1-Ayarlar!$B$6)-(F1760*(1-Ayarlar!$B$6)*Ayarlar!$B$7+Ayarlar!$B$8)-(G1760*Ayarlar!$B$3+Ayarlar!$B$4+Ayarlar!$B$5))/(F1760*(1-Ayarlar!$B$6)))</f>
        <v/>
      </c>
      <c r="L1760" s="9">
        <f>IF(G1760="","GRAM EKSİK",IF(F1760&gt;30000,"FİYAT ŞÜPHELİ",IF(K1760&lt;0,"ZARARDA",IF(F1760&lt;I1760,"RİSKLİ","ok"))))</f>
        <v/>
      </c>
      <c r="M1760" s="13" t="inlineStr">
        <is>
          <t>https://www.etsy.com/listing/1436080231</t>
        </is>
      </c>
    </row>
    <row r="1761">
      <c r="A1761" s="3" t="inlineStr">
        <is>
          <t>protection</t>
        </is>
      </c>
      <c r="B1761" s="3" t="inlineStr">
        <is>
          <t>14K Solid Gold Diamond Panther Pendant, Emerald Eye Charm wi</t>
        </is>
      </c>
      <c r="C1761" s="3" t="n">
        <v>1436080231</v>
      </c>
      <c r="D1761" s="3" t="inlineStr">
        <is>
          <t>CPANT1F-22</t>
        </is>
      </c>
      <c r="E1761" s="3" t="inlineStr">
        <is>
          <t>description</t>
        </is>
      </c>
      <c r="F1761" s="14" t="n">
        <v>1340</v>
      </c>
      <c r="G1761" s="17" t="n">
        <v>6.28</v>
      </c>
      <c r="H1761" s="14">
        <f>IF(G1761="","",G1761*Ayarlar!$B$3+Ayarlar!$B$4+Ayarlar!$B$5)</f>
        <v/>
      </c>
      <c r="I1761" s="14">
        <f>IF(G1761="","",ROUNDUP(((G1761*Ayarlar!$B$3+Ayarlar!$B$4+Ayarlar!$B$5)+Ayarlar!$B$8)/((1-Ayarlar!$B$6)*(1-Ayarlar!$B$7)),0))</f>
        <v/>
      </c>
      <c r="J1761" s="14">
        <f>IF(G1761="","",ROUNDUP(((G1761*Ayarlar!$B$3+Ayarlar!$B$4+Ayarlar!$B$5)+Ayarlar!$B$8)/((1-Ayarlar!$B$6)*(1-Ayarlar!$B$7-Ayarlar!$B$9)),0))</f>
        <v/>
      </c>
      <c r="K1761" s="15">
        <f>IF(OR(G1761="",F1761=""),"",(F1761*(1-Ayarlar!$B$6)-(F1761*(1-Ayarlar!$B$6)*Ayarlar!$B$7+Ayarlar!$B$8)-(G1761*Ayarlar!$B$3+Ayarlar!$B$4+Ayarlar!$B$5))/(F1761*(1-Ayarlar!$B$6)))</f>
        <v/>
      </c>
      <c r="L1761" s="3">
        <f>IF(G1761="","GRAM EKSİK",IF(F1761&gt;30000,"FİYAT ŞÜPHELİ",IF(K1761&lt;0,"ZARARDA",IF(F1761&lt;I1761,"RİSKLİ","ok"))))</f>
        <v/>
      </c>
      <c r="M1761" s="16" t="inlineStr">
        <is>
          <t>https://www.etsy.com/listing/1436080231</t>
        </is>
      </c>
    </row>
    <row r="1762">
      <c r="A1762" s="9" t="inlineStr">
        <is>
          <t>protection</t>
        </is>
      </c>
      <c r="B1762" s="9" t="inlineStr">
        <is>
          <t>14K Solid Gold Diamond Panther Pendant, Emerald Eye Charm wi</t>
        </is>
      </c>
      <c r="C1762" s="9" t="n">
        <v>1436080231</v>
      </c>
      <c r="D1762" s="9" t="inlineStr">
        <is>
          <t>CPANT1F-24</t>
        </is>
      </c>
      <c r="E1762" s="9" t="inlineStr">
        <is>
          <t>description</t>
        </is>
      </c>
      <c r="F1762" s="10" t="n">
        <v>1550</v>
      </c>
      <c r="G1762" s="18" t="n">
        <v>6.28</v>
      </c>
      <c r="H1762" s="10">
        <f>IF(G1762="","",G1762*Ayarlar!$B$3+Ayarlar!$B$4+Ayarlar!$B$5)</f>
        <v/>
      </c>
      <c r="I1762" s="10">
        <f>IF(G1762="","",ROUNDUP(((G1762*Ayarlar!$B$3+Ayarlar!$B$4+Ayarlar!$B$5)+Ayarlar!$B$8)/((1-Ayarlar!$B$6)*(1-Ayarlar!$B$7)),0))</f>
        <v/>
      </c>
      <c r="J1762" s="10">
        <f>IF(G1762="","",ROUNDUP(((G1762*Ayarlar!$B$3+Ayarlar!$B$4+Ayarlar!$B$5)+Ayarlar!$B$8)/((1-Ayarlar!$B$6)*(1-Ayarlar!$B$7-Ayarlar!$B$9)),0))</f>
        <v/>
      </c>
      <c r="K1762" s="12">
        <f>IF(OR(G1762="",F1762=""),"",(F1762*(1-Ayarlar!$B$6)-(F1762*(1-Ayarlar!$B$6)*Ayarlar!$B$7+Ayarlar!$B$8)-(G1762*Ayarlar!$B$3+Ayarlar!$B$4+Ayarlar!$B$5))/(F1762*(1-Ayarlar!$B$6)))</f>
        <v/>
      </c>
      <c r="L1762" s="9">
        <f>IF(G1762="","GRAM EKSİK",IF(F1762&gt;30000,"FİYAT ŞÜPHELİ",IF(K1762&lt;0,"ZARARDA",IF(F1762&lt;I1762,"RİSKLİ","ok"))))</f>
        <v/>
      </c>
      <c r="M1762" s="13" t="inlineStr">
        <is>
          <t>https://www.etsy.com/listing/1436080231</t>
        </is>
      </c>
    </row>
    <row r="1763">
      <c r="A1763" s="3" t="inlineStr">
        <is>
          <t>protection</t>
        </is>
      </c>
      <c r="B1763" s="3" t="inlineStr">
        <is>
          <t>14K Solid Gold Diamond Panther Pendant, Emerald Eye Charm wi</t>
        </is>
      </c>
      <c r="C1763" s="3" t="n">
        <v>1436080231</v>
      </c>
      <c r="D1763" s="3" t="inlineStr">
        <is>
          <t>CPANT1F-26</t>
        </is>
      </c>
      <c r="E1763" s="3" t="inlineStr">
        <is>
          <t>description</t>
        </is>
      </c>
      <c r="F1763" s="14" t="n">
        <v>1649</v>
      </c>
      <c r="G1763" s="17" t="n">
        <v>6.28</v>
      </c>
      <c r="H1763" s="14">
        <f>IF(G1763="","",G1763*Ayarlar!$B$3+Ayarlar!$B$4+Ayarlar!$B$5)</f>
        <v/>
      </c>
      <c r="I1763" s="14">
        <f>IF(G1763="","",ROUNDUP(((G1763*Ayarlar!$B$3+Ayarlar!$B$4+Ayarlar!$B$5)+Ayarlar!$B$8)/((1-Ayarlar!$B$6)*(1-Ayarlar!$B$7)),0))</f>
        <v/>
      </c>
      <c r="J1763" s="14">
        <f>IF(G1763="","",ROUNDUP(((G1763*Ayarlar!$B$3+Ayarlar!$B$4+Ayarlar!$B$5)+Ayarlar!$B$8)/((1-Ayarlar!$B$6)*(1-Ayarlar!$B$7-Ayarlar!$B$9)),0))</f>
        <v/>
      </c>
      <c r="K1763" s="15">
        <f>IF(OR(G1763="",F1763=""),"",(F1763*(1-Ayarlar!$B$6)-(F1763*(1-Ayarlar!$B$6)*Ayarlar!$B$7+Ayarlar!$B$8)-(G1763*Ayarlar!$B$3+Ayarlar!$B$4+Ayarlar!$B$5))/(F1763*(1-Ayarlar!$B$6)))</f>
        <v/>
      </c>
      <c r="L1763" s="3">
        <f>IF(G1763="","GRAM EKSİK",IF(F1763&gt;30000,"FİYAT ŞÜPHELİ",IF(K1763&lt;0,"ZARARDA",IF(F1763&lt;I1763,"RİSKLİ","ok"))))</f>
        <v/>
      </c>
      <c r="M1763" s="16" t="inlineStr">
        <is>
          <t>https://www.etsy.com/listing/1436080231</t>
        </is>
      </c>
    </row>
    <row r="1764">
      <c r="A1764" s="9" t="inlineStr">
        <is>
          <t>protection</t>
        </is>
      </c>
      <c r="B1764" s="9" t="inlineStr">
        <is>
          <t>14K Solid Gold Diamond Panther Pendant, Emerald Eye Charm wi</t>
        </is>
      </c>
      <c r="C1764" s="9" t="n">
        <v>1436080231</v>
      </c>
      <c r="D1764" s="9" t="inlineStr">
        <is>
          <t>P11F</t>
        </is>
      </c>
      <c r="E1764" s="9" t="inlineStr">
        <is>
          <t>description</t>
        </is>
      </c>
      <c r="F1764" s="10" t="n">
        <v>1123</v>
      </c>
      <c r="G1764" s="18" t="n">
        <v>6.28</v>
      </c>
      <c r="H1764" s="10">
        <f>IF(G1764="","",G1764*Ayarlar!$B$3+Ayarlar!$B$4+Ayarlar!$B$5)</f>
        <v/>
      </c>
      <c r="I1764" s="10">
        <f>IF(G1764="","",ROUNDUP(((G1764*Ayarlar!$B$3+Ayarlar!$B$4+Ayarlar!$B$5)+Ayarlar!$B$8)/((1-Ayarlar!$B$6)*(1-Ayarlar!$B$7)),0))</f>
        <v/>
      </c>
      <c r="J1764" s="10">
        <f>IF(G1764="","",ROUNDUP(((G1764*Ayarlar!$B$3+Ayarlar!$B$4+Ayarlar!$B$5)+Ayarlar!$B$8)/((1-Ayarlar!$B$6)*(1-Ayarlar!$B$7-Ayarlar!$B$9)),0))</f>
        <v/>
      </c>
      <c r="K1764" s="12">
        <f>IF(OR(G1764="",F1764=""),"",(F1764*(1-Ayarlar!$B$6)-(F1764*(1-Ayarlar!$B$6)*Ayarlar!$B$7+Ayarlar!$B$8)-(G1764*Ayarlar!$B$3+Ayarlar!$B$4+Ayarlar!$B$5))/(F1764*(1-Ayarlar!$B$6)))</f>
        <v/>
      </c>
      <c r="L1764" s="9">
        <f>IF(G1764="","GRAM EKSİK",IF(F1764&gt;30000,"FİYAT ŞÜPHELİ",IF(K1764&lt;0,"ZARARDA",IF(F1764&lt;I1764,"RİSKLİ","ok"))))</f>
        <v/>
      </c>
      <c r="M1764" s="13" t="inlineStr">
        <is>
          <t>https://www.etsy.com/listing/1436080231</t>
        </is>
      </c>
    </row>
    <row r="1765">
      <c r="A1765" s="3" t="inlineStr">
        <is>
          <t>protection</t>
        </is>
      </c>
      <c r="B1765" s="3" t="inlineStr">
        <is>
          <t>Gold Elephant Charm in 14K Solid with CZ Diamonds</t>
        </is>
      </c>
      <c r="C1765" s="3" t="n">
        <v>1448764844</v>
      </c>
      <c r="D1765" s="3" t="inlineStr">
        <is>
          <t>P3F</t>
        </is>
      </c>
      <c r="E1765" s="3" t="inlineStr">
        <is>
          <t>description</t>
        </is>
      </c>
      <c r="F1765" s="14" t="n">
        <v>695</v>
      </c>
      <c r="G1765" s="17" t="n">
        <v>3.86</v>
      </c>
      <c r="H1765" s="14">
        <f>IF(G1765="","",G1765*Ayarlar!$B$3+Ayarlar!$B$4+Ayarlar!$B$5)</f>
        <v/>
      </c>
      <c r="I1765" s="14">
        <f>IF(G1765="","",ROUNDUP(((G1765*Ayarlar!$B$3+Ayarlar!$B$4+Ayarlar!$B$5)+Ayarlar!$B$8)/((1-Ayarlar!$B$6)*(1-Ayarlar!$B$7)),0))</f>
        <v/>
      </c>
      <c r="J1765" s="14">
        <f>IF(G1765="","",ROUNDUP(((G1765*Ayarlar!$B$3+Ayarlar!$B$4+Ayarlar!$B$5)+Ayarlar!$B$8)/((1-Ayarlar!$B$6)*(1-Ayarlar!$B$7-Ayarlar!$B$9)),0))</f>
        <v/>
      </c>
      <c r="K1765" s="15">
        <f>IF(OR(G1765="",F1765=""),"",(F1765*(1-Ayarlar!$B$6)-(F1765*(1-Ayarlar!$B$6)*Ayarlar!$B$7+Ayarlar!$B$8)-(G1765*Ayarlar!$B$3+Ayarlar!$B$4+Ayarlar!$B$5))/(F1765*(1-Ayarlar!$B$6)))</f>
        <v/>
      </c>
      <c r="L1765" s="3">
        <f>IF(G1765="","GRAM EKSİK",IF(F1765&gt;30000,"FİYAT ŞÜPHELİ",IF(K1765&lt;0,"ZARARDA",IF(F1765&lt;I1765,"RİSKLİ","ok"))))</f>
        <v/>
      </c>
      <c r="M1765" s="16" t="inlineStr">
        <is>
          <t>https://www.etsy.com/listing/1448764844</t>
        </is>
      </c>
    </row>
    <row r="1766">
      <c r="A1766" s="9" t="inlineStr">
        <is>
          <t>rings</t>
        </is>
      </c>
      <c r="B1766" s="9" t="inlineStr">
        <is>
          <t>10K Gold Nugget Ring / Men's Square Band in Yellow</t>
        </is>
      </c>
      <c r="C1766" s="9" t="n">
        <v>1219136707</v>
      </c>
      <c r="D1766" s="9" t="inlineStr">
        <is>
          <t>R14-10</t>
        </is>
      </c>
      <c r="E1766" s="9" t="inlineStr">
        <is>
          <t>description</t>
        </is>
      </c>
      <c r="F1766" s="10" t="n">
        <v>263</v>
      </c>
      <c r="G1766" s="18" t="n">
        <v>2.3</v>
      </c>
      <c r="H1766" s="10">
        <f>IF(G1766="","",G1766*Ayarlar!$B$3+Ayarlar!$B$4+Ayarlar!$B$5)</f>
        <v/>
      </c>
      <c r="I1766" s="10">
        <f>IF(G1766="","",ROUNDUP(((G1766*Ayarlar!$B$3+Ayarlar!$B$4+Ayarlar!$B$5)+Ayarlar!$B$8)/((1-Ayarlar!$B$6)*(1-Ayarlar!$B$7)),0))</f>
        <v/>
      </c>
      <c r="J1766" s="10">
        <f>IF(G1766="","",ROUNDUP(((G1766*Ayarlar!$B$3+Ayarlar!$B$4+Ayarlar!$B$5)+Ayarlar!$B$8)/((1-Ayarlar!$B$6)*(1-Ayarlar!$B$7-Ayarlar!$B$9)),0))</f>
        <v/>
      </c>
      <c r="K1766" s="12">
        <f>IF(OR(G1766="",F1766=""),"",(F1766*(1-Ayarlar!$B$6)-(F1766*(1-Ayarlar!$B$6)*Ayarlar!$B$7+Ayarlar!$B$8)-(G1766*Ayarlar!$B$3+Ayarlar!$B$4+Ayarlar!$B$5))/(F1766*(1-Ayarlar!$B$6)))</f>
        <v/>
      </c>
      <c r="L1766" s="9">
        <f>IF(G1766="","GRAM EKSİK",IF(F1766&gt;30000,"FİYAT ŞÜPHELİ",IF(K1766&lt;0,"ZARARDA",IF(F1766&lt;I1766,"RİSKLİ","ok"))))</f>
        <v/>
      </c>
      <c r="M1766" s="13" t="inlineStr">
        <is>
          <t>https://www.etsy.com/listing/1219136707</t>
        </is>
      </c>
    </row>
    <row r="1767">
      <c r="A1767" s="3" t="inlineStr">
        <is>
          <t>rings</t>
        </is>
      </c>
      <c r="B1767" s="3" t="inlineStr">
        <is>
          <t>10K Gold Nugget Ring / Men's Square Band in Yellow</t>
        </is>
      </c>
      <c r="C1767" s="3" t="n">
        <v>1219136707</v>
      </c>
      <c r="D1767" s="3" t="inlineStr">
        <is>
          <t>R14-10.5</t>
        </is>
      </c>
      <c r="E1767" s="3" t="inlineStr">
        <is>
          <t>description</t>
        </is>
      </c>
      <c r="F1767" s="14" t="n">
        <v>263</v>
      </c>
      <c r="G1767" s="17" t="n">
        <v>2.3</v>
      </c>
      <c r="H1767" s="14">
        <f>IF(G1767="","",G1767*Ayarlar!$B$3+Ayarlar!$B$4+Ayarlar!$B$5)</f>
        <v/>
      </c>
      <c r="I1767" s="14">
        <f>IF(G1767="","",ROUNDUP(((G1767*Ayarlar!$B$3+Ayarlar!$B$4+Ayarlar!$B$5)+Ayarlar!$B$8)/((1-Ayarlar!$B$6)*(1-Ayarlar!$B$7)),0))</f>
        <v/>
      </c>
      <c r="J1767" s="14">
        <f>IF(G1767="","",ROUNDUP(((G1767*Ayarlar!$B$3+Ayarlar!$B$4+Ayarlar!$B$5)+Ayarlar!$B$8)/((1-Ayarlar!$B$6)*(1-Ayarlar!$B$7-Ayarlar!$B$9)),0))</f>
        <v/>
      </c>
      <c r="K1767" s="15">
        <f>IF(OR(G1767="",F1767=""),"",(F1767*(1-Ayarlar!$B$6)-(F1767*(1-Ayarlar!$B$6)*Ayarlar!$B$7+Ayarlar!$B$8)-(G1767*Ayarlar!$B$3+Ayarlar!$B$4+Ayarlar!$B$5))/(F1767*(1-Ayarlar!$B$6)))</f>
        <v/>
      </c>
      <c r="L1767" s="3">
        <f>IF(G1767="","GRAM EKSİK",IF(F1767&gt;30000,"FİYAT ŞÜPHELİ",IF(K1767&lt;0,"ZARARDA",IF(F1767&lt;I1767,"RİSKLİ","ok"))))</f>
        <v/>
      </c>
      <c r="M1767" s="16" t="inlineStr">
        <is>
          <t>https://www.etsy.com/listing/1219136707</t>
        </is>
      </c>
    </row>
    <row r="1768">
      <c r="A1768" s="9" t="inlineStr">
        <is>
          <t>rings</t>
        </is>
      </c>
      <c r="B1768" s="9" t="inlineStr">
        <is>
          <t>10K Gold Nugget Ring / Men's Square Band in Yellow</t>
        </is>
      </c>
      <c r="C1768" s="9" t="n">
        <v>1219136707</v>
      </c>
      <c r="D1768" s="9" t="inlineStr">
        <is>
          <t>R14-11</t>
        </is>
      </c>
      <c r="E1768" s="9" t="inlineStr">
        <is>
          <t>shipstation</t>
        </is>
      </c>
      <c r="F1768" s="10" t="n">
        <v>263</v>
      </c>
      <c r="G1768" s="18" t="n">
        <v>2.29</v>
      </c>
      <c r="H1768" s="10">
        <f>IF(G1768="","",G1768*Ayarlar!$B$3+Ayarlar!$B$4+Ayarlar!$B$5)</f>
        <v/>
      </c>
      <c r="I1768" s="10">
        <f>IF(G1768="","",ROUNDUP(((G1768*Ayarlar!$B$3+Ayarlar!$B$4+Ayarlar!$B$5)+Ayarlar!$B$8)/((1-Ayarlar!$B$6)*(1-Ayarlar!$B$7)),0))</f>
        <v/>
      </c>
      <c r="J1768" s="10">
        <f>IF(G1768="","",ROUNDUP(((G1768*Ayarlar!$B$3+Ayarlar!$B$4+Ayarlar!$B$5)+Ayarlar!$B$8)/((1-Ayarlar!$B$6)*(1-Ayarlar!$B$7-Ayarlar!$B$9)),0))</f>
        <v/>
      </c>
      <c r="K1768" s="12">
        <f>IF(OR(G1768="",F1768=""),"",(F1768*(1-Ayarlar!$B$6)-(F1768*(1-Ayarlar!$B$6)*Ayarlar!$B$7+Ayarlar!$B$8)-(G1768*Ayarlar!$B$3+Ayarlar!$B$4+Ayarlar!$B$5))/(F1768*(1-Ayarlar!$B$6)))</f>
        <v/>
      </c>
      <c r="L1768" s="9">
        <f>IF(G1768="","GRAM EKSİK",IF(F1768&gt;30000,"FİYAT ŞÜPHELİ",IF(K1768&lt;0,"ZARARDA",IF(F1768&lt;I1768,"RİSKLİ","ok"))))</f>
        <v/>
      </c>
      <c r="M1768" s="13" t="inlineStr">
        <is>
          <t>https://www.etsy.com/listing/1219136707</t>
        </is>
      </c>
    </row>
    <row r="1769">
      <c r="A1769" s="3" t="inlineStr">
        <is>
          <t>rings</t>
        </is>
      </c>
      <c r="B1769" s="3" t="inlineStr">
        <is>
          <t>10K Gold Nugget Ring / Men's Square Band in Yellow</t>
        </is>
      </c>
      <c r="C1769" s="3" t="n">
        <v>1219136707</v>
      </c>
      <c r="D1769" s="3" t="inlineStr">
        <is>
          <t>R14-11.5</t>
        </is>
      </c>
      <c r="E1769" s="3" t="inlineStr">
        <is>
          <t>description</t>
        </is>
      </c>
      <c r="F1769" s="14" t="n">
        <v>263</v>
      </c>
      <c r="G1769" s="17" t="n">
        <v>2.3</v>
      </c>
      <c r="H1769" s="14">
        <f>IF(G1769="","",G1769*Ayarlar!$B$3+Ayarlar!$B$4+Ayarlar!$B$5)</f>
        <v/>
      </c>
      <c r="I1769" s="14">
        <f>IF(G1769="","",ROUNDUP(((G1769*Ayarlar!$B$3+Ayarlar!$B$4+Ayarlar!$B$5)+Ayarlar!$B$8)/((1-Ayarlar!$B$6)*(1-Ayarlar!$B$7)),0))</f>
        <v/>
      </c>
      <c r="J1769" s="14">
        <f>IF(G1769="","",ROUNDUP(((G1769*Ayarlar!$B$3+Ayarlar!$B$4+Ayarlar!$B$5)+Ayarlar!$B$8)/((1-Ayarlar!$B$6)*(1-Ayarlar!$B$7-Ayarlar!$B$9)),0))</f>
        <v/>
      </c>
      <c r="K1769" s="15">
        <f>IF(OR(G1769="",F1769=""),"",(F1769*(1-Ayarlar!$B$6)-(F1769*(1-Ayarlar!$B$6)*Ayarlar!$B$7+Ayarlar!$B$8)-(G1769*Ayarlar!$B$3+Ayarlar!$B$4+Ayarlar!$B$5))/(F1769*(1-Ayarlar!$B$6)))</f>
        <v/>
      </c>
      <c r="L1769" s="3">
        <f>IF(G1769="","GRAM EKSİK",IF(F1769&gt;30000,"FİYAT ŞÜPHELİ",IF(K1769&lt;0,"ZARARDA",IF(F1769&lt;I1769,"RİSKLİ","ok"))))</f>
        <v/>
      </c>
      <c r="M1769" s="16" t="inlineStr">
        <is>
          <t>https://www.etsy.com/listing/1219136707</t>
        </is>
      </c>
    </row>
    <row r="1770">
      <c r="A1770" s="9" t="inlineStr">
        <is>
          <t>rings</t>
        </is>
      </c>
      <c r="B1770" s="9" t="inlineStr">
        <is>
          <t>10K Gold Nugget Ring / Men's Square Band in Yellow</t>
        </is>
      </c>
      <c r="C1770" s="9" t="n">
        <v>1219136707</v>
      </c>
      <c r="D1770" s="9" t="inlineStr">
        <is>
          <t>R14-12</t>
        </is>
      </c>
      <c r="E1770" s="9" t="inlineStr">
        <is>
          <t>description</t>
        </is>
      </c>
      <c r="F1770" s="10" t="n">
        <v>263</v>
      </c>
      <c r="G1770" s="18" t="n">
        <v>2.3</v>
      </c>
      <c r="H1770" s="10">
        <f>IF(G1770="","",G1770*Ayarlar!$B$3+Ayarlar!$B$4+Ayarlar!$B$5)</f>
        <v/>
      </c>
      <c r="I1770" s="10">
        <f>IF(G1770="","",ROUNDUP(((G1770*Ayarlar!$B$3+Ayarlar!$B$4+Ayarlar!$B$5)+Ayarlar!$B$8)/((1-Ayarlar!$B$6)*(1-Ayarlar!$B$7)),0))</f>
        <v/>
      </c>
      <c r="J1770" s="10">
        <f>IF(G1770="","",ROUNDUP(((G1770*Ayarlar!$B$3+Ayarlar!$B$4+Ayarlar!$B$5)+Ayarlar!$B$8)/((1-Ayarlar!$B$6)*(1-Ayarlar!$B$7-Ayarlar!$B$9)),0))</f>
        <v/>
      </c>
      <c r="K1770" s="12">
        <f>IF(OR(G1770="",F1770=""),"",(F1770*(1-Ayarlar!$B$6)-(F1770*(1-Ayarlar!$B$6)*Ayarlar!$B$7+Ayarlar!$B$8)-(G1770*Ayarlar!$B$3+Ayarlar!$B$4+Ayarlar!$B$5))/(F1770*(1-Ayarlar!$B$6)))</f>
        <v/>
      </c>
      <c r="L1770" s="9">
        <f>IF(G1770="","GRAM EKSİK",IF(F1770&gt;30000,"FİYAT ŞÜPHELİ",IF(K1770&lt;0,"ZARARDA",IF(F1770&lt;I1770,"RİSKLİ","ok"))))</f>
        <v/>
      </c>
      <c r="M1770" s="13" t="inlineStr">
        <is>
          <t>https://www.etsy.com/listing/1219136707</t>
        </is>
      </c>
    </row>
    <row r="1771">
      <c r="A1771" s="3" t="inlineStr">
        <is>
          <t>rings</t>
        </is>
      </c>
      <c r="B1771" s="3" t="inlineStr">
        <is>
          <t>10K Gold Nugget Ring / Men's Square Band in Yellow</t>
        </is>
      </c>
      <c r="C1771" s="3" t="n">
        <v>1219136707</v>
      </c>
      <c r="D1771" s="3" t="inlineStr">
        <is>
          <t>R14-12.5</t>
        </is>
      </c>
      <c r="E1771" s="3" t="inlineStr">
        <is>
          <t>description</t>
        </is>
      </c>
      <c r="F1771" s="14" t="n">
        <v>263</v>
      </c>
      <c r="G1771" s="17" t="n">
        <v>2.3</v>
      </c>
      <c r="H1771" s="14">
        <f>IF(G1771="","",G1771*Ayarlar!$B$3+Ayarlar!$B$4+Ayarlar!$B$5)</f>
        <v/>
      </c>
      <c r="I1771" s="14">
        <f>IF(G1771="","",ROUNDUP(((G1771*Ayarlar!$B$3+Ayarlar!$B$4+Ayarlar!$B$5)+Ayarlar!$B$8)/((1-Ayarlar!$B$6)*(1-Ayarlar!$B$7)),0))</f>
        <v/>
      </c>
      <c r="J1771" s="14">
        <f>IF(G1771="","",ROUNDUP(((G1771*Ayarlar!$B$3+Ayarlar!$B$4+Ayarlar!$B$5)+Ayarlar!$B$8)/((1-Ayarlar!$B$6)*(1-Ayarlar!$B$7-Ayarlar!$B$9)),0))</f>
        <v/>
      </c>
      <c r="K1771" s="15">
        <f>IF(OR(G1771="",F1771=""),"",(F1771*(1-Ayarlar!$B$6)-(F1771*(1-Ayarlar!$B$6)*Ayarlar!$B$7+Ayarlar!$B$8)-(G1771*Ayarlar!$B$3+Ayarlar!$B$4+Ayarlar!$B$5))/(F1771*(1-Ayarlar!$B$6)))</f>
        <v/>
      </c>
      <c r="L1771" s="3">
        <f>IF(G1771="","GRAM EKSİK",IF(F1771&gt;30000,"FİYAT ŞÜPHELİ",IF(K1771&lt;0,"ZARARDA",IF(F1771&lt;I1771,"RİSKLİ","ok"))))</f>
        <v/>
      </c>
      <c r="M1771" s="16" t="inlineStr">
        <is>
          <t>https://www.etsy.com/listing/1219136707</t>
        </is>
      </c>
    </row>
    <row r="1772">
      <c r="A1772" s="9" t="inlineStr">
        <is>
          <t>rings</t>
        </is>
      </c>
      <c r="B1772" s="9" t="inlineStr">
        <is>
          <t>10K Gold Nugget Ring / Men's Square Band in Yellow</t>
        </is>
      </c>
      <c r="C1772" s="9" t="n">
        <v>1219136707</v>
      </c>
      <c r="D1772" s="9" t="inlineStr">
        <is>
          <t>R14-7</t>
        </is>
      </c>
      <c r="E1772" s="9" t="inlineStr">
        <is>
          <t>description</t>
        </is>
      </c>
      <c r="F1772" s="10" t="n">
        <v>263</v>
      </c>
      <c r="G1772" s="18" t="n">
        <v>2.3</v>
      </c>
      <c r="H1772" s="10">
        <f>IF(G1772="","",G1772*Ayarlar!$B$3+Ayarlar!$B$4+Ayarlar!$B$5)</f>
        <v/>
      </c>
      <c r="I1772" s="10">
        <f>IF(G1772="","",ROUNDUP(((G1772*Ayarlar!$B$3+Ayarlar!$B$4+Ayarlar!$B$5)+Ayarlar!$B$8)/((1-Ayarlar!$B$6)*(1-Ayarlar!$B$7)),0))</f>
        <v/>
      </c>
      <c r="J1772" s="10">
        <f>IF(G1772="","",ROUNDUP(((G1772*Ayarlar!$B$3+Ayarlar!$B$4+Ayarlar!$B$5)+Ayarlar!$B$8)/((1-Ayarlar!$B$6)*(1-Ayarlar!$B$7-Ayarlar!$B$9)),0))</f>
        <v/>
      </c>
      <c r="K1772" s="12">
        <f>IF(OR(G1772="",F1772=""),"",(F1772*(1-Ayarlar!$B$6)-(F1772*(1-Ayarlar!$B$6)*Ayarlar!$B$7+Ayarlar!$B$8)-(G1772*Ayarlar!$B$3+Ayarlar!$B$4+Ayarlar!$B$5))/(F1772*(1-Ayarlar!$B$6)))</f>
        <v/>
      </c>
      <c r="L1772" s="9">
        <f>IF(G1772="","GRAM EKSİK",IF(F1772&gt;30000,"FİYAT ŞÜPHELİ",IF(K1772&lt;0,"ZARARDA",IF(F1772&lt;I1772,"RİSKLİ","ok"))))</f>
        <v/>
      </c>
      <c r="M1772" s="13" t="inlineStr">
        <is>
          <t>https://www.etsy.com/listing/1219136707</t>
        </is>
      </c>
    </row>
    <row r="1773">
      <c r="A1773" s="3" t="inlineStr">
        <is>
          <t>rings</t>
        </is>
      </c>
      <c r="B1773" s="3" t="inlineStr">
        <is>
          <t>10K Gold Nugget Ring / Men's Square Band in Yellow</t>
        </is>
      </c>
      <c r="C1773" s="3" t="n">
        <v>1219136707</v>
      </c>
      <c r="D1773" s="3" t="inlineStr">
        <is>
          <t>R14-7.5</t>
        </is>
      </c>
      <c r="E1773" s="3" t="inlineStr">
        <is>
          <t>description</t>
        </is>
      </c>
      <c r="F1773" s="14" t="n">
        <v>263</v>
      </c>
      <c r="G1773" s="17" t="n">
        <v>2.3</v>
      </c>
      <c r="H1773" s="14">
        <f>IF(G1773="","",G1773*Ayarlar!$B$3+Ayarlar!$B$4+Ayarlar!$B$5)</f>
        <v/>
      </c>
      <c r="I1773" s="14">
        <f>IF(G1773="","",ROUNDUP(((G1773*Ayarlar!$B$3+Ayarlar!$B$4+Ayarlar!$B$5)+Ayarlar!$B$8)/((1-Ayarlar!$B$6)*(1-Ayarlar!$B$7)),0))</f>
        <v/>
      </c>
      <c r="J1773" s="14">
        <f>IF(G1773="","",ROUNDUP(((G1773*Ayarlar!$B$3+Ayarlar!$B$4+Ayarlar!$B$5)+Ayarlar!$B$8)/((1-Ayarlar!$B$6)*(1-Ayarlar!$B$7-Ayarlar!$B$9)),0))</f>
        <v/>
      </c>
      <c r="K1773" s="15">
        <f>IF(OR(G1773="",F1773=""),"",(F1773*(1-Ayarlar!$B$6)-(F1773*(1-Ayarlar!$B$6)*Ayarlar!$B$7+Ayarlar!$B$8)-(G1773*Ayarlar!$B$3+Ayarlar!$B$4+Ayarlar!$B$5))/(F1773*(1-Ayarlar!$B$6)))</f>
        <v/>
      </c>
      <c r="L1773" s="3">
        <f>IF(G1773="","GRAM EKSİK",IF(F1773&gt;30000,"FİYAT ŞÜPHELİ",IF(K1773&lt;0,"ZARARDA",IF(F1773&lt;I1773,"RİSKLİ","ok"))))</f>
        <v/>
      </c>
      <c r="M1773" s="16" t="inlineStr">
        <is>
          <t>https://www.etsy.com/listing/1219136707</t>
        </is>
      </c>
    </row>
    <row r="1774">
      <c r="A1774" s="9" t="inlineStr">
        <is>
          <t>rings</t>
        </is>
      </c>
      <c r="B1774" s="9" t="inlineStr">
        <is>
          <t>10K Gold Nugget Ring / Men's Square Band in Yellow</t>
        </is>
      </c>
      <c r="C1774" s="9" t="n">
        <v>1219136707</v>
      </c>
      <c r="D1774" s="9" t="inlineStr">
        <is>
          <t>R14-8</t>
        </is>
      </c>
      <c r="E1774" s="9" t="inlineStr">
        <is>
          <t>description</t>
        </is>
      </c>
      <c r="F1774" s="10" t="n">
        <v>263</v>
      </c>
      <c r="G1774" s="18" t="n">
        <v>2.3</v>
      </c>
      <c r="H1774" s="10">
        <f>IF(G1774="","",G1774*Ayarlar!$B$3+Ayarlar!$B$4+Ayarlar!$B$5)</f>
        <v/>
      </c>
      <c r="I1774" s="10">
        <f>IF(G1774="","",ROUNDUP(((G1774*Ayarlar!$B$3+Ayarlar!$B$4+Ayarlar!$B$5)+Ayarlar!$B$8)/((1-Ayarlar!$B$6)*(1-Ayarlar!$B$7)),0))</f>
        <v/>
      </c>
      <c r="J1774" s="10">
        <f>IF(G1774="","",ROUNDUP(((G1774*Ayarlar!$B$3+Ayarlar!$B$4+Ayarlar!$B$5)+Ayarlar!$B$8)/((1-Ayarlar!$B$6)*(1-Ayarlar!$B$7-Ayarlar!$B$9)),0))</f>
        <v/>
      </c>
      <c r="K1774" s="12">
        <f>IF(OR(G1774="",F1774=""),"",(F1774*(1-Ayarlar!$B$6)-(F1774*(1-Ayarlar!$B$6)*Ayarlar!$B$7+Ayarlar!$B$8)-(G1774*Ayarlar!$B$3+Ayarlar!$B$4+Ayarlar!$B$5))/(F1774*(1-Ayarlar!$B$6)))</f>
        <v/>
      </c>
      <c r="L1774" s="9">
        <f>IF(G1774="","GRAM EKSİK",IF(F1774&gt;30000,"FİYAT ŞÜPHELİ",IF(K1774&lt;0,"ZARARDA",IF(F1774&lt;I1774,"RİSKLİ","ok"))))</f>
        <v/>
      </c>
      <c r="M1774" s="13" t="inlineStr">
        <is>
          <t>https://www.etsy.com/listing/1219136707</t>
        </is>
      </c>
    </row>
    <row r="1775">
      <c r="A1775" s="3" t="inlineStr">
        <is>
          <t>rings</t>
        </is>
      </c>
      <c r="B1775" s="3" t="inlineStr">
        <is>
          <t>10K Gold Nugget Ring / Men's Square Band in Yellow</t>
        </is>
      </c>
      <c r="C1775" s="3" t="n">
        <v>1219136707</v>
      </c>
      <c r="D1775" s="3" t="inlineStr">
        <is>
          <t>R14-8.5</t>
        </is>
      </c>
      <c r="E1775" s="3" t="inlineStr">
        <is>
          <t>description</t>
        </is>
      </c>
      <c r="F1775" s="14" t="n">
        <v>263</v>
      </c>
      <c r="G1775" s="17" t="n">
        <v>2.3</v>
      </c>
      <c r="H1775" s="14">
        <f>IF(G1775="","",G1775*Ayarlar!$B$3+Ayarlar!$B$4+Ayarlar!$B$5)</f>
        <v/>
      </c>
      <c r="I1775" s="14">
        <f>IF(G1775="","",ROUNDUP(((G1775*Ayarlar!$B$3+Ayarlar!$B$4+Ayarlar!$B$5)+Ayarlar!$B$8)/((1-Ayarlar!$B$6)*(1-Ayarlar!$B$7)),0))</f>
        <v/>
      </c>
      <c r="J1775" s="14">
        <f>IF(G1775="","",ROUNDUP(((G1775*Ayarlar!$B$3+Ayarlar!$B$4+Ayarlar!$B$5)+Ayarlar!$B$8)/((1-Ayarlar!$B$6)*(1-Ayarlar!$B$7-Ayarlar!$B$9)),0))</f>
        <v/>
      </c>
      <c r="K1775" s="15">
        <f>IF(OR(G1775="",F1775=""),"",(F1775*(1-Ayarlar!$B$6)-(F1775*(1-Ayarlar!$B$6)*Ayarlar!$B$7+Ayarlar!$B$8)-(G1775*Ayarlar!$B$3+Ayarlar!$B$4+Ayarlar!$B$5))/(F1775*(1-Ayarlar!$B$6)))</f>
        <v/>
      </c>
      <c r="L1775" s="3">
        <f>IF(G1775="","GRAM EKSİK",IF(F1775&gt;30000,"FİYAT ŞÜPHELİ",IF(K1775&lt;0,"ZARARDA",IF(F1775&lt;I1775,"RİSKLİ","ok"))))</f>
        <v/>
      </c>
      <c r="M1775" s="16" t="inlineStr">
        <is>
          <t>https://www.etsy.com/listing/1219136707</t>
        </is>
      </c>
    </row>
    <row r="1776">
      <c r="A1776" s="9" t="inlineStr">
        <is>
          <t>rings</t>
        </is>
      </c>
      <c r="B1776" s="9" t="inlineStr">
        <is>
          <t>10K Gold Nugget Ring / Men's Square Band in Yellow</t>
        </is>
      </c>
      <c r="C1776" s="9" t="n">
        <v>1219136707</v>
      </c>
      <c r="D1776" s="9" t="inlineStr">
        <is>
          <t>R14-9</t>
        </is>
      </c>
      <c r="E1776" s="9" t="inlineStr">
        <is>
          <t>description</t>
        </is>
      </c>
      <c r="F1776" s="10" t="n">
        <v>263</v>
      </c>
      <c r="G1776" s="18" t="n">
        <v>2.3</v>
      </c>
      <c r="H1776" s="10">
        <f>IF(G1776="","",G1776*Ayarlar!$B$3+Ayarlar!$B$4+Ayarlar!$B$5)</f>
        <v/>
      </c>
      <c r="I1776" s="10">
        <f>IF(G1776="","",ROUNDUP(((G1776*Ayarlar!$B$3+Ayarlar!$B$4+Ayarlar!$B$5)+Ayarlar!$B$8)/((1-Ayarlar!$B$6)*(1-Ayarlar!$B$7)),0))</f>
        <v/>
      </c>
      <c r="J1776" s="10">
        <f>IF(G1776="","",ROUNDUP(((G1776*Ayarlar!$B$3+Ayarlar!$B$4+Ayarlar!$B$5)+Ayarlar!$B$8)/((1-Ayarlar!$B$6)*(1-Ayarlar!$B$7-Ayarlar!$B$9)),0))</f>
        <v/>
      </c>
      <c r="K1776" s="12">
        <f>IF(OR(G1776="",F1776=""),"",(F1776*(1-Ayarlar!$B$6)-(F1776*(1-Ayarlar!$B$6)*Ayarlar!$B$7+Ayarlar!$B$8)-(G1776*Ayarlar!$B$3+Ayarlar!$B$4+Ayarlar!$B$5))/(F1776*(1-Ayarlar!$B$6)))</f>
        <v/>
      </c>
      <c r="L1776" s="9">
        <f>IF(G1776="","GRAM EKSİK",IF(F1776&gt;30000,"FİYAT ŞÜPHELİ",IF(K1776&lt;0,"ZARARDA",IF(F1776&lt;I1776,"RİSKLİ","ok"))))</f>
        <v/>
      </c>
      <c r="M1776" s="13" t="inlineStr">
        <is>
          <t>https://www.etsy.com/listing/1219136707</t>
        </is>
      </c>
    </row>
    <row r="1777">
      <c r="A1777" s="3" t="inlineStr">
        <is>
          <t>rings</t>
        </is>
      </c>
      <c r="B1777" s="3" t="inlineStr">
        <is>
          <t>10K Gold Nugget Ring / Men's Square Band in Yellow</t>
        </is>
      </c>
      <c r="C1777" s="3" t="n">
        <v>1219136707</v>
      </c>
      <c r="D1777" s="3" t="inlineStr">
        <is>
          <t>R14-9.5</t>
        </is>
      </c>
      <c r="E1777" s="3" t="inlineStr">
        <is>
          <t>description</t>
        </is>
      </c>
      <c r="F1777" s="14" t="n">
        <v>263</v>
      </c>
      <c r="G1777" s="17" t="n">
        <v>2.3</v>
      </c>
      <c r="H1777" s="14">
        <f>IF(G1777="","",G1777*Ayarlar!$B$3+Ayarlar!$B$4+Ayarlar!$B$5)</f>
        <v/>
      </c>
      <c r="I1777" s="14">
        <f>IF(G1777="","",ROUNDUP(((G1777*Ayarlar!$B$3+Ayarlar!$B$4+Ayarlar!$B$5)+Ayarlar!$B$8)/((1-Ayarlar!$B$6)*(1-Ayarlar!$B$7)),0))</f>
        <v/>
      </c>
      <c r="J1777" s="14">
        <f>IF(G1777="","",ROUNDUP(((G1777*Ayarlar!$B$3+Ayarlar!$B$4+Ayarlar!$B$5)+Ayarlar!$B$8)/((1-Ayarlar!$B$6)*(1-Ayarlar!$B$7-Ayarlar!$B$9)),0))</f>
        <v/>
      </c>
      <c r="K1777" s="15">
        <f>IF(OR(G1777="",F1777=""),"",(F1777*(1-Ayarlar!$B$6)-(F1777*(1-Ayarlar!$B$6)*Ayarlar!$B$7+Ayarlar!$B$8)-(G1777*Ayarlar!$B$3+Ayarlar!$B$4+Ayarlar!$B$5))/(F1777*(1-Ayarlar!$B$6)))</f>
        <v/>
      </c>
      <c r="L1777" s="3">
        <f>IF(G1777="","GRAM EKSİK",IF(F1777&gt;30000,"FİYAT ŞÜPHELİ",IF(K1777&lt;0,"ZARARDA",IF(F1777&lt;I1777,"RİSKLİ","ok"))))</f>
        <v/>
      </c>
      <c r="M1777" s="16" t="inlineStr">
        <is>
          <t>https://www.etsy.com/listing/1219136707</t>
        </is>
      </c>
    </row>
    <row r="1778">
      <c r="A1778" s="9" t="inlineStr">
        <is>
          <t>rings</t>
        </is>
      </c>
      <c r="B1778" s="9" t="inlineStr">
        <is>
          <t>10K Gold Nugget Ring / Men's Square Band in Yellow</t>
        </is>
      </c>
      <c r="C1778" s="9" t="n">
        <v>1219136707</v>
      </c>
      <c r="D1778" s="9" t="inlineStr">
        <is>
          <t>R15-10</t>
        </is>
      </c>
      <c r="E1778" s="9" t="inlineStr">
        <is>
          <t>description</t>
        </is>
      </c>
      <c r="F1778" s="10" t="n">
        <v>366</v>
      </c>
      <c r="G1778" s="18" t="n">
        <v>3.12</v>
      </c>
      <c r="H1778" s="10">
        <f>IF(G1778="","",G1778*Ayarlar!$B$3+Ayarlar!$B$4+Ayarlar!$B$5)</f>
        <v/>
      </c>
      <c r="I1778" s="10">
        <f>IF(G1778="","",ROUNDUP(((G1778*Ayarlar!$B$3+Ayarlar!$B$4+Ayarlar!$B$5)+Ayarlar!$B$8)/((1-Ayarlar!$B$6)*(1-Ayarlar!$B$7)),0))</f>
        <v/>
      </c>
      <c r="J1778" s="10">
        <f>IF(G1778="","",ROUNDUP(((G1778*Ayarlar!$B$3+Ayarlar!$B$4+Ayarlar!$B$5)+Ayarlar!$B$8)/((1-Ayarlar!$B$6)*(1-Ayarlar!$B$7-Ayarlar!$B$9)),0))</f>
        <v/>
      </c>
      <c r="K1778" s="12">
        <f>IF(OR(G1778="",F1778=""),"",(F1778*(1-Ayarlar!$B$6)-(F1778*(1-Ayarlar!$B$6)*Ayarlar!$B$7+Ayarlar!$B$8)-(G1778*Ayarlar!$B$3+Ayarlar!$B$4+Ayarlar!$B$5))/(F1778*(1-Ayarlar!$B$6)))</f>
        <v/>
      </c>
      <c r="L1778" s="9">
        <f>IF(G1778="","GRAM EKSİK",IF(F1778&gt;30000,"FİYAT ŞÜPHELİ",IF(K1778&lt;0,"ZARARDA",IF(F1778&lt;I1778,"RİSKLİ","ok"))))</f>
        <v/>
      </c>
      <c r="M1778" s="13" t="inlineStr">
        <is>
          <t>https://www.etsy.com/listing/1219136707</t>
        </is>
      </c>
    </row>
    <row r="1779">
      <c r="A1779" s="3" t="inlineStr">
        <is>
          <t>rings</t>
        </is>
      </c>
      <c r="B1779" s="3" t="inlineStr">
        <is>
          <t>10K Gold Nugget Ring / Men's Square Band in Yellow</t>
        </is>
      </c>
      <c r="C1779" s="3" t="n">
        <v>1219136707</v>
      </c>
      <c r="D1779" s="3" t="inlineStr">
        <is>
          <t>R15-10.5</t>
        </is>
      </c>
      <c r="E1779" s="3" t="inlineStr">
        <is>
          <t>description</t>
        </is>
      </c>
      <c r="F1779" s="14" t="n">
        <v>366</v>
      </c>
      <c r="G1779" s="17" t="n">
        <v>3.12</v>
      </c>
      <c r="H1779" s="14">
        <f>IF(G1779="","",G1779*Ayarlar!$B$3+Ayarlar!$B$4+Ayarlar!$B$5)</f>
        <v/>
      </c>
      <c r="I1779" s="14">
        <f>IF(G1779="","",ROUNDUP(((G1779*Ayarlar!$B$3+Ayarlar!$B$4+Ayarlar!$B$5)+Ayarlar!$B$8)/((1-Ayarlar!$B$6)*(1-Ayarlar!$B$7)),0))</f>
        <v/>
      </c>
      <c r="J1779" s="14">
        <f>IF(G1779="","",ROUNDUP(((G1779*Ayarlar!$B$3+Ayarlar!$B$4+Ayarlar!$B$5)+Ayarlar!$B$8)/((1-Ayarlar!$B$6)*(1-Ayarlar!$B$7-Ayarlar!$B$9)),0))</f>
        <v/>
      </c>
      <c r="K1779" s="15">
        <f>IF(OR(G1779="",F1779=""),"",(F1779*(1-Ayarlar!$B$6)-(F1779*(1-Ayarlar!$B$6)*Ayarlar!$B$7+Ayarlar!$B$8)-(G1779*Ayarlar!$B$3+Ayarlar!$B$4+Ayarlar!$B$5))/(F1779*(1-Ayarlar!$B$6)))</f>
        <v/>
      </c>
      <c r="L1779" s="3">
        <f>IF(G1779="","GRAM EKSİK",IF(F1779&gt;30000,"FİYAT ŞÜPHELİ",IF(K1779&lt;0,"ZARARDA",IF(F1779&lt;I1779,"RİSKLİ","ok"))))</f>
        <v/>
      </c>
      <c r="M1779" s="16" t="inlineStr">
        <is>
          <t>https://www.etsy.com/listing/1219136707</t>
        </is>
      </c>
    </row>
    <row r="1780">
      <c r="A1780" s="9" t="inlineStr">
        <is>
          <t>rings</t>
        </is>
      </c>
      <c r="B1780" s="9" t="inlineStr">
        <is>
          <t>10K Gold Nugget Ring / Men's Square Band in Yellow</t>
        </is>
      </c>
      <c r="C1780" s="9" t="n">
        <v>1219136707</v>
      </c>
      <c r="D1780" s="9" t="inlineStr">
        <is>
          <t>R15-11</t>
        </is>
      </c>
      <c r="E1780" s="9" t="inlineStr">
        <is>
          <t>description</t>
        </is>
      </c>
      <c r="F1780" s="10" t="n">
        <v>366</v>
      </c>
      <c r="G1780" s="18" t="n">
        <v>3.12</v>
      </c>
      <c r="H1780" s="10">
        <f>IF(G1780="","",G1780*Ayarlar!$B$3+Ayarlar!$B$4+Ayarlar!$B$5)</f>
        <v/>
      </c>
      <c r="I1780" s="10">
        <f>IF(G1780="","",ROUNDUP(((G1780*Ayarlar!$B$3+Ayarlar!$B$4+Ayarlar!$B$5)+Ayarlar!$B$8)/((1-Ayarlar!$B$6)*(1-Ayarlar!$B$7)),0))</f>
        <v/>
      </c>
      <c r="J1780" s="10">
        <f>IF(G1780="","",ROUNDUP(((G1780*Ayarlar!$B$3+Ayarlar!$B$4+Ayarlar!$B$5)+Ayarlar!$B$8)/((1-Ayarlar!$B$6)*(1-Ayarlar!$B$7-Ayarlar!$B$9)),0))</f>
        <v/>
      </c>
      <c r="K1780" s="12">
        <f>IF(OR(G1780="",F1780=""),"",(F1780*(1-Ayarlar!$B$6)-(F1780*(1-Ayarlar!$B$6)*Ayarlar!$B$7+Ayarlar!$B$8)-(G1780*Ayarlar!$B$3+Ayarlar!$B$4+Ayarlar!$B$5))/(F1780*(1-Ayarlar!$B$6)))</f>
        <v/>
      </c>
      <c r="L1780" s="9">
        <f>IF(G1780="","GRAM EKSİK",IF(F1780&gt;30000,"FİYAT ŞÜPHELİ",IF(K1780&lt;0,"ZARARDA",IF(F1780&lt;I1780,"RİSKLİ","ok"))))</f>
        <v/>
      </c>
      <c r="M1780" s="13" t="inlineStr">
        <is>
          <t>https://www.etsy.com/listing/1219136707</t>
        </is>
      </c>
    </row>
    <row r="1781">
      <c r="A1781" s="3" t="inlineStr">
        <is>
          <t>rings</t>
        </is>
      </c>
      <c r="B1781" s="3" t="inlineStr">
        <is>
          <t>10K Gold Nugget Ring / Men's Square Band in Yellow</t>
        </is>
      </c>
      <c r="C1781" s="3" t="n">
        <v>1219136707</v>
      </c>
      <c r="D1781" s="3" t="inlineStr">
        <is>
          <t>R15-11.5</t>
        </is>
      </c>
      <c r="E1781" s="3" t="inlineStr">
        <is>
          <t>description</t>
        </is>
      </c>
      <c r="F1781" s="14" t="n">
        <v>366</v>
      </c>
      <c r="G1781" s="17" t="n">
        <v>3.12</v>
      </c>
      <c r="H1781" s="14">
        <f>IF(G1781="","",G1781*Ayarlar!$B$3+Ayarlar!$B$4+Ayarlar!$B$5)</f>
        <v/>
      </c>
      <c r="I1781" s="14">
        <f>IF(G1781="","",ROUNDUP(((G1781*Ayarlar!$B$3+Ayarlar!$B$4+Ayarlar!$B$5)+Ayarlar!$B$8)/((1-Ayarlar!$B$6)*(1-Ayarlar!$B$7)),0))</f>
        <v/>
      </c>
      <c r="J1781" s="14">
        <f>IF(G1781="","",ROUNDUP(((G1781*Ayarlar!$B$3+Ayarlar!$B$4+Ayarlar!$B$5)+Ayarlar!$B$8)/((1-Ayarlar!$B$6)*(1-Ayarlar!$B$7-Ayarlar!$B$9)),0))</f>
        <v/>
      </c>
      <c r="K1781" s="15">
        <f>IF(OR(G1781="",F1781=""),"",(F1781*(1-Ayarlar!$B$6)-(F1781*(1-Ayarlar!$B$6)*Ayarlar!$B$7+Ayarlar!$B$8)-(G1781*Ayarlar!$B$3+Ayarlar!$B$4+Ayarlar!$B$5))/(F1781*(1-Ayarlar!$B$6)))</f>
        <v/>
      </c>
      <c r="L1781" s="3">
        <f>IF(G1781="","GRAM EKSİK",IF(F1781&gt;30000,"FİYAT ŞÜPHELİ",IF(K1781&lt;0,"ZARARDA",IF(F1781&lt;I1781,"RİSKLİ","ok"))))</f>
        <v/>
      </c>
      <c r="M1781" s="16" t="inlineStr">
        <is>
          <t>https://www.etsy.com/listing/1219136707</t>
        </is>
      </c>
    </row>
    <row r="1782">
      <c r="A1782" s="9" t="inlineStr">
        <is>
          <t>rings</t>
        </is>
      </c>
      <c r="B1782" s="9" t="inlineStr">
        <is>
          <t>10K Gold Nugget Ring / Men's Square Band in Yellow</t>
        </is>
      </c>
      <c r="C1782" s="9" t="n">
        <v>1219136707</v>
      </c>
      <c r="D1782" s="9" t="inlineStr">
        <is>
          <t>R15-12</t>
        </is>
      </c>
      <c r="E1782" s="9" t="inlineStr">
        <is>
          <t>description</t>
        </is>
      </c>
      <c r="F1782" s="10" t="n">
        <v>366</v>
      </c>
      <c r="G1782" s="18" t="n">
        <v>3.12</v>
      </c>
      <c r="H1782" s="10">
        <f>IF(G1782="","",G1782*Ayarlar!$B$3+Ayarlar!$B$4+Ayarlar!$B$5)</f>
        <v/>
      </c>
      <c r="I1782" s="10">
        <f>IF(G1782="","",ROUNDUP(((G1782*Ayarlar!$B$3+Ayarlar!$B$4+Ayarlar!$B$5)+Ayarlar!$B$8)/((1-Ayarlar!$B$6)*(1-Ayarlar!$B$7)),0))</f>
        <v/>
      </c>
      <c r="J1782" s="10">
        <f>IF(G1782="","",ROUNDUP(((G1782*Ayarlar!$B$3+Ayarlar!$B$4+Ayarlar!$B$5)+Ayarlar!$B$8)/((1-Ayarlar!$B$6)*(1-Ayarlar!$B$7-Ayarlar!$B$9)),0))</f>
        <v/>
      </c>
      <c r="K1782" s="12">
        <f>IF(OR(G1782="",F1782=""),"",(F1782*(1-Ayarlar!$B$6)-(F1782*(1-Ayarlar!$B$6)*Ayarlar!$B$7+Ayarlar!$B$8)-(G1782*Ayarlar!$B$3+Ayarlar!$B$4+Ayarlar!$B$5))/(F1782*(1-Ayarlar!$B$6)))</f>
        <v/>
      </c>
      <c r="L1782" s="9">
        <f>IF(G1782="","GRAM EKSİK",IF(F1782&gt;30000,"FİYAT ŞÜPHELİ",IF(K1782&lt;0,"ZARARDA",IF(F1782&lt;I1782,"RİSKLİ","ok"))))</f>
        <v/>
      </c>
      <c r="M1782" s="13" t="inlineStr">
        <is>
          <t>https://www.etsy.com/listing/1219136707</t>
        </is>
      </c>
    </row>
    <row r="1783">
      <c r="A1783" s="3" t="inlineStr">
        <is>
          <t>rings</t>
        </is>
      </c>
      <c r="B1783" s="3" t="inlineStr">
        <is>
          <t>10K Gold Nugget Ring / Men's Square Band in Yellow</t>
        </is>
      </c>
      <c r="C1783" s="3" t="n">
        <v>1219136707</v>
      </c>
      <c r="D1783" s="3" t="inlineStr">
        <is>
          <t>R15-12.5</t>
        </is>
      </c>
      <c r="E1783" s="3" t="inlineStr">
        <is>
          <t>description</t>
        </is>
      </c>
      <c r="F1783" s="14" t="n">
        <v>366</v>
      </c>
      <c r="G1783" s="17" t="n">
        <v>3.12</v>
      </c>
      <c r="H1783" s="14">
        <f>IF(G1783="","",G1783*Ayarlar!$B$3+Ayarlar!$B$4+Ayarlar!$B$5)</f>
        <v/>
      </c>
      <c r="I1783" s="14">
        <f>IF(G1783="","",ROUNDUP(((G1783*Ayarlar!$B$3+Ayarlar!$B$4+Ayarlar!$B$5)+Ayarlar!$B$8)/((1-Ayarlar!$B$6)*(1-Ayarlar!$B$7)),0))</f>
        <v/>
      </c>
      <c r="J1783" s="14">
        <f>IF(G1783="","",ROUNDUP(((G1783*Ayarlar!$B$3+Ayarlar!$B$4+Ayarlar!$B$5)+Ayarlar!$B$8)/((1-Ayarlar!$B$6)*(1-Ayarlar!$B$7-Ayarlar!$B$9)),0))</f>
        <v/>
      </c>
      <c r="K1783" s="15">
        <f>IF(OR(G1783="",F1783=""),"",(F1783*(1-Ayarlar!$B$6)-(F1783*(1-Ayarlar!$B$6)*Ayarlar!$B$7+Ayarlar!$B$8)-(G1783*Ayarlar!$B$3+Ayarlar!$B$4+Ayarlar!$B$5))/(F1783*(1-Ayarlar!$B$6)))</f>
        <v/>
      </c>
      <c r="L1783" s="3">
        <f>IF(G1783="","GRAM EKSİK",IF(F1783&gt;30000,"FİYAT ŞÜPHELİ",IF(K1783&lt;0,"ZARARDA",IF(F1783&lt;I1783,"RİSKLİ","ok"))))</f>
        <v/>
      </c>
      <c r="M1783" s="16" t="inlineStr">
        <is>
          <t>https://www.etsy.com/listing/1219136707</t>
        </is>
      </c>
    </row>
    <row r="1784">
      <c r="A1784" s="9" t="inlineStr">
        <is>
          <t>rings</t>
        </is>
      </c>
      <c r="B1784" s="9" t="inlineStr">
        <is>
          <t>10K Gold Nugget Ring / Men's Square Band in Yellow</t>
        </is>
      </c>
      <c r="C1784" s="9" t="n">
        <v>1219136707</v>
      </c>
      <c r="D1784" s="9" t="inlineStr">
        <is>
          <t>R15-7</t>
        </is>
      </c>
      <c r="E1784" s="9" t="inlineStr">
        <is>
          <t>description</t>
        </is>
      </c>
      <c r="F1784" s="10" t="n">
        <v>366</v>
      </c>
      <c r="G1784" s="18" t="n">
        <v>3.12</v>
      </c>
      <c r="H1784" s="10">
        <f>IF(G1784="","",G1784*Ayarlar!$B$3+Ayarlar!$B$4+Ayarlar!$B$5)</f>
        <v/>
      </c>
      <c r="I1784" s="10">
        <f>IF(G1784="","",ROUNDUP(((G1784*Ayarlar!$B$3+Ayarlar!$B$4+Ayarlar!$B$5)+Ayarlar!$B$8)/((1-Ayarlar!$B$6)*(1-Ayarlar!$B$7)),0))</f>
        <v/>
      </c>
      <c r="J1784" s="10">
        <f>IF(G1784="","",ROUNDUP(((G1784*Ayarlar!$B$3+Ayarlar!$B$4+Ayarlar!$B$5)+Ayarlar!$B$8)/((1-Ayarlar!$B$6)*(1-Ayarlar!$B$7-Ayarlar!$B$9)),0))</f>
        <v/>
      </c>
      <c r="K1784" s="12">
        <f>IF(OR(G1784="",F1784=""),"",(F1784*(1-Ayarlar!$B$6)-(F1784*(1-Ayarlar!$B$6)*Ayarlar!$B$7+Ayarlar!$B$8)-(G1784*Ayarlar!$B$3+Ayarlar!$B$4+Ayarlar!$B$5))/(F1784*(1-Ayarlar!$B$6)))</f>
        <v/>
      </c>
      <c r="L1784" s="9">
        <f>IF(G1784="","GRAM EKSİK",IF(F1784&gt;30000,"FİYAT ŞÜPHELİ",IF(K1784&lt;0,"ZARARDA",IF(F1784&lt;I1784,"RİSKLİ","ok"))))</f>
        <v/>
      </c>
      <c r="M1784" s="13" t="inlineStr">
        <is>
          <t>https://www.etsy.com/listing/1219136707</t>
        </is>
      </c>
    </row>
    <row r="1785">
      <c r="A1785" s="3" t="inlineStr">
        <is>
          <t>rings</t>
        </is>
      </c>
      <c r="B1785" s="3" t="inlineStr">
        <is>
          <t>10K Gold Nugget Ring / Men's Square Band in Yellow</t>
        </is>
      </c>
      <c r="C1785" s="3" t="n">
        <v>1219136707</v>
      </c>
      <c r="D1785" s="3" t="inlineStr">
        <is>
          <t>R15-7.5</t>
        </is>
      </c>
      <c r="E1785" s="3" t="inlineStr">
        <is>
          <t>description</t>
        </is>
      </c>
      <c r="F1785" s="14" t="n">
        <v>366</v>
      </c>
      <c r="G1785" s="17" t="n">
        <v>3.12</v>
      </c>
      <c r="H1785" s="14">
        <f>IF(G1785="","",G1785*Ayarlar!$B$3+Ayarlar!$B$4+Ayarlar!$B$5)</f>
        <v/>
      </c>
      <c r="I1785" s="14">
        <f>IF(G1785="","",ROUNDUP(((G1785*Ayarlar!$B$3+Ayarlar!$B$4+Ayarlar!$B$5)+Ayarlar!$B$8)/((1-Ayarlar!$B$6)*(1-Ayarlar!$B$7)),0))</f>
        <v/>
      </c>
      <c r="J1785" s="14">
        <f>IF(G1785="","",ROUNDUP(((G1785*Ayarlar!$B$3+Ayarlar!$B$4+Ayarlar!$B$5)+Ayarlar!$B$8)/((1-Ayarlar!$B$6)*(1-Ayarlar!$B$7-Ayarlar!$B$9)),0))</f>
        <v/>
      </c>
      <c r="K1785" s="15">
        <f>IF(OR(G1785="",F1785=""),"",(F1785*(1-Ayarlar!$B$6)-(F1785*(1-Ayarlar!$B$6)*Ayarlar!$B$7+Ayarlar!$B$8)-(G1785*Ayarlar!$B$3+Ayarlar!$B$4+Ayarlar!$B$5))/(F1785*(1-Ayarlar!$B$6)))</f>
        <v/>
      </c>
      <c r="L1785" s="3">
        <f>IF(G1785="","GRAM EKSİK",IF(F1785&gt;30000,"FİYAT ŞÜPHELİ",IF(K1785&lt;0,"ZARARDA",IF(F1785&lt;I1785,"RİSKLİ","ok"))))</f>
        <v/>
      </c>
      <c r="M1785" s="16" t="inlineStr">
        <is>
          <t>https://www.etsy.com/listing/1219136707</t>
        </is>
      </c>
    </row>
    <row r="1786">
      <c r="A1786" s="9" t="inlineStr">
        <is>
          <t>rings</t>
        </is>
      </c>
      <c r="B1786" s="9" t="inlineStr">
        <is>
          <t>10K Gold Nugget Ring / Men's Square Band in Yellow</t>
        </is>
      </c>
      <c r="C1786" s="9" t="n">
        <v>1219136707</v>
      </c>
      <c r="D1786" s="9" t="inlineStr">
        <is>
          <t>R15-8</t>
        </is>
      </c>
      <c r="E1786" s="9" t="inlineStr">
        <is>
          <t>description</t>
        </is>
      </c>
      <c r="F1786" s="10" t="n">
        <v>366</v>
      </c>
      <c r="G1786" s="18" t="n">
        <v>3.12</v>
      </c>
      <c r="H1786" s="10">
        <f>IF(G1786="","",G1786*Ayarlar!$B$3+Ayarlar!$B$4+Ayarlar!$B$5)</f>
        <v/>
      </c>
      <c r="I1786" s="10">
        <f>IF(G1786="","",ROUNDUP(((G1786*Ayarlar!$B$3+Ayarlar!$B$4+Ayarlar!$B$5)+Ayarlar!$B$8)/((1-Ayarlar!$B$6)*(1-Ayarlar!$B$7)),0))</f>
        <v/>
      </c>
      <c r="J1786" s="10">
        <f>IF(G1786="","",ROUNDUP(((G1786*Ayarlar!$B$3+Ayarlar!$B$4+Ayarlar!$B$5)+Ayarlar!$B$8)/((1-Ayarlar!$B$6)*(1-Ayarlar!$B$7-Ayarlar!$B$9)),0))</f>
        <v/>
      </c>
      <c r="K1786" s="12">
        <f>IF(OR(G1786="",F1786=""),"",(F1786*(1-Ayarlar!$B$6)-(F1786*(1-Ayarlar!$B$6)*Ayarlar!$B$7+Ayarlar!$B$8)-(G1786*Ayarlar!$B$3+Ayarlar!$B$4+Ayarlar!$B$5))/(F1786*(1-Ayarlar!$B$6)))</f>
        <v/>
      </c>
      <c r="L1786" s="9">
        <f>IF(G1786="","GRAM EKSİK",IF(F1786&gt;30000,"FİYAT ŞÜPHELİ",IF(K1786&lt;0,"ZARARDA",IF(F1786&lt;I1786,"RİSKLİ","ok"))))</f>
        <v/>
      </c>
      <c r="M1786" s="13" t="inlineStr">
        <is>
          <t>https://www.etsy.com/listing/1219136707</t>
        </is>
      </c>
    </row>
    <row r="1787">
      <c r="A1787" s="3" t="inlineStr">
        <is>
          <t>rings</t>
        </is>
      </c>
      <c r="B1787" s="3" t="inlineStr">
        <is>
          <t>10K Gold Nugget Ring / Men's Square Band in Yellow</t>
        </is>
      </c>
      <c r="C1787" s="3" t="n">
        <v>1219136707</v>
      </c>
      <c r="D1787" s="3" t="inlineStr">
        <is>
          <t>R15-8.5</t>
        </is>
      </c>
      <c r="E1787" s="3" t="inlineStr">
        <is>
          <t>description</t>
        </is>
      </c>
      <c r="F1787" s="14" t="n">
        <v>366</v>
      </c>
      <c r="G1787" s="17" t="n">
        <v>3.12</v>
      </c>
      <c r="H1787" s="14">
        <f>IF(G1787="","",G1787*Ayarlar!$B$3+Ayarlar!$B$4+Ayarlar!$B$5)</f>
        <v/>
      </c>
      <c r="I1787" s="14">
        <f>IF(G1787="","",ROUNDUP(((G1787*Ayarlar!$B$3+Ayarlar!$B$4+Ayarlar!$B$5)+Ayarlar!$B$8)/((1-Ayarlar!$B$6)*(1-Ayarlar!$B$7)),0))</f>
        <v/>
      </c>
      <c r="J1787" s="14">
        <f>IF(G1787="","",ROUNDUP(((G1787*Ayarlar!$B$3+Ayarlar!$B$4+Ayarlar!$B$5)+Ayarlar!$B$8)/((1-Ayarlar!$B$6)*(1-Ayarlar!$B$7-Ayarlar!$B$9)),0))</f>
        <v/>
      </c>
      <c r="K1787" s="15">
        <f>IF(OR(G1787="",F1787=""),"",(F1787*(1-Ayarlar!$B$6)-(F1787*(1-Ayarlar!$B$6)*Ayarlar!$B$7+Ayarlar!$B$8)-(G1787*Ayarlar!$B$3+Ayarlar!$B$4+Ayarlar!$B$5))/(F1787*(1-Ayarlar!$B$6)))</f>
        <v/>
      </c>
      <c r="L1787" s="3">
        <f>IF(G1787="","GRAM EKSİK",IF(F1787&gt;30000,"FİYAT ŞÜPHELİ",IF(K1787&lt;0,"ZARARDA",IF(F1787&lt;I1787,"RİSKLİ","ok"))))</f>
        <v/>
      </c>
      <c r="M1787" s="16" t="inlineStr">
        <is>
          <t>https://www.etsy.com/listing/1219136707</t>
        </is>
      </c>
    </row>
    <row r="1788">
      <c r="A1788" s="9" t="inlineStr">
        <is>
          <t>rings</t>
        </is>
      </c>
      <c r="B1788" s="9" t="inlineStr">
        <is>
          <t>10K Gold Nugget Ring / Men's Square Band in Yellow</t>
        </is>
      </c>
      <c r="C1788" s="9" t="n">
        <v>1219136707</v>
      </c>
      <c r="D1788" s="9" t="inlineStr">
        <is>
          <t>R15-9</t>
        </is>
      </c>
      <c r="E1788" s="9" t="inlineStr">
        <is>
          <t>shipstation</t>
        </is>
      </c>
      <c r="F1788" s="10" t="n">
        <v>363</v>
      </c>
      <c r="G1788" s="18" t="n">
        <v>2.88</v>
      </c>
      <c r="H1788" s="10">
        <f>IF(G1788="","",G1788*Ayarlar!$B$3+Ayarlar!$B$4+Ayarlar!$B$5)</f>
        <v/>
      </c>
      <c r="I1788" s="10">
        <f>IF(G1788="","",ROUNDUP(((G1788*Ayarlar!$B$3+Ayarlar!$B$4+Ayarlar!$B$5)+Ayarlar!$B$8)/((1-Ayarlar!$B$6)*(1-Ayarlar!$B$7)),0))</f>
        <v/>
      </c>
      <c r="J1788" s="10">
        <f>IF(G1788="","",ROUNDUP(((G1788*Ayarlar!$B$3+Ayarlar!$B$4+Ayarlar!$B$5)+Ayarlar!$B$8)/((1-Ayarlar!$B$6)*(1-Ayarlar!$B$7-Ayarlar!$B$9)),0))</f>
        <v/>
      </c>
      <c r="K1788" s="12">
        <f>IF(OR(G1788="",F1788=""),"",(F1788*(1-Ayarlar!$B$6)-(F1788*(1-Ayarlar!$B$6)*Ayarlar!$B$7+Ayarlar!$B$8)-(G1788*Ayarlar!$B$3+Ayarlar!$B$4+Ayarlar!$B$5))/(F1788*(1-Ayarlar!$B$6)))</f>
        <v/>
      </c>
      <c r="L1788" s="9">
        <f>IF(G1788="","GRAM EKSİK",IF(F1788&gt;30000,"FİYAT ŞÜPHELİ",IF(K1788&lt;0,"ZARARDA",IF(F1788&lt;I1788,"RİSKLİ","ok"))))</f>
        <v/>
      </c>
      <c r="M1788" s="13" t="inlineStr">
        <is>
          <t>https://www.etsy.com/listing/1219136707</t>
        </is>
      </c>
    </row>
    <row r="1789">
      <c r="A1789" s="3" t="inlineStr">
        <is>
          <t>rings</t>
        </is>
      </c>
      <c r="B1789" s="3" t="inlineStr">
        <is>
          <t>10K Gold Nugget Ring / Men's Square Band in Yellow</t>
        </is>
      </c>
      <c r="C1789" s="3" t="n">
        <v>1219136707</v>
      </c>
      <c r="D1789" s="3" t="inlineStr">
        <is>
          <t>R15-9.5</t>
        </is>
      </c>
      <c r="E1789" s="3" t="inlineStr">
        <is>
          <t>description</t>
        </is>
      </c>
      <c r="F1789" s="14" t="n">
        <v>366</v>
      </c>
      <c r="G1789" s="17" t="n">
        <v>3.12</v>
      </c>
      <c r="H1789" s="14">
        <f>IF(G1789="","",G1789*Ayarlar!$B$3+Ayarlar!$B$4+Ayarlar!$B$5)</f>
        <v/>
      </c>
      <c r="I1789" s="14">
        <f>IF(G1789="","",ROUNDUP(((G1789*Ayarlar!$B$3+Ayarlar!$B$4+Ayarlar!$B$5)+Ayarlar!$B$8)/((1-Ayarlar!$B$6)*(1-Ayarlar!$B$7)),0))</f>
        <v/>
      </c>
      <c r="J1789" s="14">
        <f>IF(G1789="","",ROUNDUP(((G1789*Ayarlar!$B$3+Ayarlar!$B$4+Ayarlar!$B$5)+Ayarlar!$B$8)/((1-Ayarlar!$B$6)*(1-Ayarlar!$B$7-Ayarlar!$B$9)),0))</f>
        <v/>
      </c>
      <c r="K1789" s="15">
        <f>IF(OR(G1789="",F1789=""),"",(F1789*(1-Ayarlar!$B$6)-(F1789*(1-Ayarlar!$B$6)*Ayarlar!$B$7+Ayarlar!$B$8)-(G1789*Ayarlar!$B$3+Ayarlar!$B$4+Ayarlar!$B$5))/(F1789*(1-Ayarlar!$B$6)))</f>
        <v/>
      </c>
      <c r="L1789" s="3">
        <f>IF(G1789="","GRAM EKSİK",IF(F1789&gt;30000,"FİYAT ŞÜPHELİ",IF(K1789&lt;0,"ZARARDA",IF(F1789&lt;I1789,"RİSKLİ","ok"))))</f>
        <v/>
      </c>
      <c r="M1789" s="16" t="inlineStr">
        <is>
          <t>https://www.etsy.com/listing/1219136707</t>
        </is>
      </c>
    </row>
    <row r="1790">
      <c r="A1790" s="9" t="inlineStr">
        <is>
          <t>rings</t>
        </is>
      </c>
      <c r="B1790" s="9" t="inlineStr">
        <is>
          <t>10K Gold Nugget Ring / Men's Square Band in Yellow</t>
        </is>
      </c>
      <c r="C1790" s="9" t="n">
        <v>1219136707</v>
      </c>
      <c r="D1790" s="9" t="inlineStr">
        <is>
          <t>R16-10</t>
        </is>
      </c>
      <c r="E1790" s="9" t="inlineStr">
        <is>
          <t>description</t>
        </is>
      </c>
      <c r="F1790" s="10" t="n">
        <v>538</v>
      </c>
      <c r="G1790" s="18" t="n">
        <v>5</v>
      </c>
      <c r="H1790" s="10">
        <f>IF(G1790="","",G1790*Ayarlar!$B$3+Ayarlar!$B$4+Ayarlar!$B$5)</f>
        <v/>
      </c>
      <c r="I1790" s="10">
        <f>IF(G1790="","",ROUNDUP(((G1790*Ayarlar!$B$3+Ayarlar!$B$4+Ayarlar!$B$5)+Ayarlar!$B$8)/((1-Ayarlar!$B$6)*(1-Ayarlar!$B$7)),0))</f>
        <v/>
      </c>
      <c r="J1790" s="10">
        <f>IF(G1790="","",ROUNDUP(((G1790*Ayarlar!$B$3+Ayarlar!$B$4+Ayarlar!$B$5)+Ayarlar!$B$8)/((1-Ayarlar!$B$6)*(1-Ayarlar!$B$7-Ayarlar!$B$9)),0))</f>
        <v/>
      </c>
      <c r="K1790" s="12">
        <f>IF(OR(G1790="",F1790=""),"",(F1790*(1-Ayarlar!$B$6)-(F1790*(1-Ayarlar!$B$6)*Ayarlar!$B$7+Ayarlar!$B$8)-(G1790*Ayarlar!$B$3+Ayarlar!$B$4+Ayarlar!$B$5))/(F1790*(1-Ayarlar!$B$6)))</f>
        <v/>
      </c>
      <c r="L1790" s="9">
        <f>IF(G1790="","GRAM EKSİK",IF(F1790&gt;30000,"FİYAT ŞÜPHELİ",IF(K1790&lt;0,"ZARARDA",IF(F1790&lt;I1790,"RİSKLİ","ok"))))</f>
        <v/>
      </c>
      <c r="M1790" s="13" t="inlineStr">
        <is>
          <t>https://www.etsy.com/listing/1219136707</t>
        </is>
      </c>
    </row>
    <row r="1791">
      <c r="A1791" s="3" t="inlineStr">
        <is>
          <t>rings</t>
        </is>
      </c>
      <c r="B1791" s="3" t="inlineStr">
        <is>
          <t>10K Gold Nugget Ring / Men's Square Band in Yellow</t>
        </is>
      </c>
      <c r="C1791" s="3" t="n">
        <v>1219136707</v>
      </c>
      <c r="D1791" s="3" t="inlineStr">
        <is>
          <t>R16-10.5</t>
        </is>
      </c>
      <c r="E1791" s="3" t="inlineStr">
        <is>
          <t>description</t>
        </is>
      </c>
      <c r="F1791" s="14" t="n">
        <v>538</v>
      </c>
      <c r="G1791" s="17" t="n">
        <v>5</v>
      </c>
      <c r="H1791" s="14">
        <f>IF(G1791="","",G1791*Ayarlar!$B$3+Ayarlar!$B$4+Ayarlar!$B$5)</f>
        <v/>
      </c>
      <c r="I1791" s="14">
        <f>IF(G1791="","",ROUNDUP(((G1791*Ayarlar!$B$3+Ayarlar!$B$4+Ayarlar!$B$5)+Ayarlar!$B$8)/((1-Ayarlar!$B$6)*(1-Ayarlar!$B$7)),0))</f>
        <v/>
      </c>
      <c r="J1791" s="14">
        <f>IF(G1791="","",ROUNDUP(((G1791*Ayarlar!$B$3+Ayarlar!$B$4+Ayarlar!$B$5)+Ayarlar!$B$8)/((1-Ayarlar!$B$6)*(1-Ayarlar!$B$7-Ayarlar!$B$9)),0))</f>
        <v/>
      </c>
      <c r="K1791" s="15">
        <f>IF(OR(G1791="",F1791=""),"",(F1791*(1-Ayarlar!$B$6)-(F1791*(1-Ayarlar!$B$6)*Ayarlar!$B$7+Ayarlar!$B$8)-(G1791*Ayarlar!$B$3+Ayarlar!$B$4+Ayarlar!$B$5))/(F1791*(1-Ayarlar!$B$6)))</f>
        <v/>
      </c>
      <c r="L1791" s="3">
        <f>IF(G1791="","GRAM EKSİK",IF(F1791&gt;30000,"FİYAT ŞÜPHELİ",IF(K1791&lt;0,"ZARARDA",IF(F1791&lt;I1791,"RİSKLİ","ok"))))</f>
        <v/>
      </c>
      <c r="M1791" s="16" t="inlineStr">
        <is>
          <t>https://www.etsy.com/listing/1219136707</t>
        </is>
      </c>
    </row>
    <row r="1792">
      <c r="A1792" s="9" t="inlineStr">
        <is>
          <t>rings</t>
        </is>
      </c>
      <c r="B1792" s="9" t="inlineStr">
        <is>
          <t>10K Gold Nugget Ring / Men's Square Band in Yellow</t>
        </is>
      </c>
      <c r="C1792" s="9" t="n">
        <v>1219136707</v>
      </c>
      <c r="D1792" s="9" t="inlineStr">
        <is>
          <t>R16-11</t>
        </is>
      </c>
      <c r="E1792" s="9" t="inlineStr">
        <is>
          <t>description</t>
        </is>
      </c>
      <c r="F1792" s="10" t="n">
        <v>538</v>
      </c>
      <c r="G1792" s="18" t="n">
        <v>5</v>
      </c>
      <c r="H1792" s="10">
        <f>IF(G1792="","",G1792*Ayarlar!$B$3+Ayarlar!$B$4+Ayarlar!$B$5)</f>
        <v/>
      </c>
      <c r="I1792" s="10">
        <f>IF(G1792="","",ROUNDUP(((G1792*Ayarlar!$B$3+Ayarlar!$B$4+Ayarlar!$B$5)+Ayarlar!$B$8)/((1-Ayarlar!$B$6)*(1-Ayarlar!$B$7)),0))</f>
        <v/>
      </c>
      <c r="J1792" s="10">
        <f>IF(G1792="","",ROUNDUP(((G1792*Ayarlar!$B$3+Ayarlar!$B$4+Ayarlar!$B$5)+Ayarlar!$B$8)/((1-Ayarlar!$B$6)*(1-Ayarlar!$B$7-Ayarlar!$B$9)),0))</f>
        <v/>
      </c>
      <c r="K1792" s="12">
        <f>IF(OR(G1792="",F1792=""),"",(F1792*(1-Ayarlar!$B$6)-(F1792*(1-Ayarlar!$B$6)*Ayarlar!$B$7+Ayarlar!$B$8)-(G1792*Ayarlar!$B$3+Ayarlar!$B$4+Ayarlar!$B$5))/(F1792*(1-Ayarlar!$B$6)))</f>
        <v/>
      </c>
      <c r="L1792" s="9">
        <f>IF(G1792="","GRAM EKSİK",IF(F1792&gt;30000,"FİYAT ŞÜPHELİ",IF(K1792&lt;0,"ZARARDA",IF(F1792&lt;I1792,"RİSKLİ","ok"))))</f>
        <v/>
      </c>
      <c r="M1792" s="13" t="inlineStr">
        <is>
          <t>https://www.etsy.com/listing/1219136707</t>
        </is>
      </c>
    </row>
    <row r="1793">
      <c r="A1793" s="3" t="inlineStr">
        <is>
          <t>rings</t>
        </is>
      </c>
      <c r="B1793" s="3" t="inlineStr">
        <is>
          <t>10K Gold Nugget Ring / Men's Square Band in Yellow</t>
        </is>
      </c>
      <c r="C1793" s="3" t="n">
        <v>1219136707</v>
      </c>
      <c r="D1793" s="3" t="inlineStr">
        <is>
          <t>R16-11.5</t>
        </is>
      </c>
      <c r="E1793" s="3" t="inlineStr">
        <is>
          <t>description</t>
        </is>
      </c>
      <c r="F1793" s="14" t="n">
        <v>538</v>
      </c>
      <c r="G1793" s="17" t="n">
        <v>5</v>
      </c>
      <c r="H1793" s="14">
        <f>IF(G1793="","",G1793*Ayarlar!$B$3+Ayarlar!$B$4+Ayarlar!$B$5)</f>
        <v/>
      </c>
      <c r="I1793" s="14">
        <f>IF(G1793="","",ROUNDUP(((G1793*Ayarlar!$B$3+Ayarlar!$B$4+Ayarlar!$B$5)+Ayarlar!$B$8)/((1-Ayarlar!$B$6)*(1-Ayarlar!$B$7)),0))</f>
        <v/>
      </c>
      <c r="J1793" s="14">
        <f>IF(G1793="","",ROUNDUP(((G1793*Ayarlar!$B$3+Ayarlar!$B$4+Ayarlar!$B$5)+Ayarlar!$B$8)/((1-Ayarlar!$B$6)*(1-Ayarlar!$B$7-Ayarlar!$B$9)),0))</f>
        <v/>
      </c>
      <c r="K1793" s="15">
        <f>IF(OR(G1793="",F1793=""),"",(F1793*(1-Ayarlar!$B$6)-(F1793*(1-Ayarlar!$B$6)*Ayarlar!$B$7+Ayarlar!$B$8)-(G1793*Ayarlar!$B$3+Ayarlar!$B$4+Ayarlar!$B$5))/(F1793*(1-Ayarlar!$B$6)))</f>
        <v/>
      </c>
      <c r="L1793" s="3">
        <f>IF(G1793="","GRAM EKSİK",IF(F1793&gt;30000,"FİYAT ŞÜPHELİ",IF(K1793&lt;0,"ZARARDA",IF(F1793&lt;I1793,"RİSKLİ","ok"))))</f>
        <v/>
      </c>
      <c r="M1793" s="16" t="inlineStr">
        <is>
          <t>https://www.etsy.com/listing/1219136707</t>
        </is>
      </c>
    </row>
    <row r="1794">
      <c r="A1794" s="9" t="inlineStr">
        <is>
          <t>rings</t>
        </is>
      </c>
      <c r="B1794" s="9" t="inlineStr">
        <is>
          <t>10K Gold Nugget Ring / Men's Square Band in Yellow</t>
        </is>
      </c>
      <c r="C1794" s="9" t="n">
        <v>1219136707</v>
      </c>
      <c r="D1794" s="9" t="inlineStr">
        <is>
          <t>R16-12</t>
        </is>
      </c>
      <c r="E1794" s="9" t="inlineStr">
        <is>
          <t>description</t>
        </is>
      </c>
      <c r="F1794" s="10" t="n">
        <v>538</v>
      </c>
      <c r="G1794" s="18" t="n">
        <v>5</v>
      </c>
      <c r="H1794" s="10">
        <f>IF(G1794="","",G1794*Ayarlar!$B$3+Ayarlar!$B$4+Ayarlar!$B$5)</f>
        <v/>
      </c>
      <c r="I1794" s="10">
        <f>IF(G1794="","",ROUNDUP(((G1794*Ayarlar!$B$3+Ayarlar!$B$4+Ayarlar!$B$5)+Ayarlar!$B$8)/((1-Ayarlar!$B$6)*(1-Ayarlar!$B$7)),0))</f>
        <v/>
      </c>
      <c r="J1794" s="10">
        <f>IF(G1794="","",ROUNDUP(((G1794*Ayarlar!$B$3+Ayarlar!$B$4+Ayarlar!$B$5)+Ayarlar!$B$8)/((1-Ayarlar!$B$6)*(1-Ayarlar!$B$7-Ayarlar!$B$9)),0))</f>
        <v/>
      </c>
      <c r="K1794" s="12">
        <f>IF(OR(G1794="",F1794=""),"",(F1794*(1-Ayarlar!$B$6)-(F1794*(1-Ayarlar!$B$6)*Ayarlar!$B$7+Ayarlar!$B$8)-(G1794*Ayarlar!$B$3+Ayarlar!$B$4+Ayarlar!$B$5))/(F1794*(1-Ayarlar!$B$6)))</f>
        <v/>
      </c>
      <c r="L1794" s="9">
        <f>IF(G1794="","GRAM EKSİK",IF(F1794&gt;30000,"FİYAT ŞÜPHELİ",IF(K1794&lt;0,"ZARARDA",IF(F1794&lt;I1794,"RİSKLİ","ok"))))</f>
        <v/>
      </c>
      <c r="M1794" s="13" t="inlineStr">
        <is>
          <t>https://www.etsy.com/listing/1219136707</t>
        </is>
      </c>
    </row>
    <row r="1795">
      <c r="A1795" s="3" t="inlineStr">
        <is>
          <t>rings</t>
        </is>
      </c>
      <c r="B1795" s="3" t="inlineStr">
        <is>
          <t>10K Gold Nugget Ring / Men's Square Band in Yellow</t>
        </is>
      </c>
      <c r="C1795" s="3" t="n">
        <v>1219136707</v>
      </c>
      <c r="D1795" s="3" t="inlineStr">
        <is>
          <t>R16-12.5</t>
        </is>
      </c>
      <c r="E1795" s="3" t="inlineStr">
        <is>
          <t>description</t>
        </is>
      </c>
      <c r="F1795" s="14" t="n">
        <v>538</v>
      </c>
      <c r="G1795" s="17" t="n">
        <v>5</v>
      </c>
      <c r="H1795" s="14">
        <f>IF(G1795="","",G1795*Ayarlar!$B$3+Ayarlar!$B$4+Ayarlar!$B$5)</f>
        <v/>
      </c>
      <c r="I1795" s="14">
        <f>IF(G1795="","",ROUNDUP(((G1795*Ayarlar!$B$3+Ayarlar!$B$4+Ayarlar!$B$5)+Ayarlar!$B$8)/((1-Ayarlar!$B$6)*(1-Ayarlar!$B$7)),0))</f>
        <v/>
      </c>
      <c r="J1795" s="14">
        <f>IF(G1795="","",ROUNDUP(((G1795*Ayarlar!$B$3+Ayarlar!$B$4+Ayarlar!$B$5)+Ayarlar!$B$8)/((1-Ayarlar!$B$6)*(1-Ayarlar!$B$7-Ayarlar!$B$9)),0))</f>
        <v/>
      </c>
      <c r="K1795" s="15">
        <f>IF(OR(G1795="",F1795=""),"",(F1795*(1-Ayarlar!$B$6)-(F1795*(1-Ayarlar!$B$6)*Ayarlar!$B$7+Ayarlar!$B$8)-(G1795*Ayarlar!$B$3+Ayarlar!$B$4+Ayarlar!$B$5))/(F1795*(1-Ayarlar!$B$6)))</f>
        <v/>
      </c>
      <c r="L1795" s="3">
        <f>IF(G1795="","GRAM EKSİK",IF(F1795&gt;30000,"FİYAT ŞÜPHELİ",IF(K1795&lt;0,"ZARARDA",IF(F1795&lt;I1795,"RİSKLİ","ok"))))</f>
        <v/>
      </c>
      <c r="M1795" s="16" t="inlineStr">
        <is>
          <t>https://www.etsy.com/listing/1219136707</t>
        </is>
      </c>
    </row>
    <row r="1796">
      <c r="A1796" s="9" t="inlineStr">
        <is>
          <t>rings</t>
        </is>
      </c>
      <c r="B1796" s="9" t="inlineStr">
        <is>
          <t>10K Gold Nugget Ring / Men's Square Band in Yellow</t>
        </is>
      </c>
      <c r="C1796" s="9" t="n">
        <v>1219136707</v>
      </c>
      <c r="D1796" s="9" t="inlineStr">
        <is>
          <t>R16-7</t>
        </is>
      </c>
      <c r="E1796" s="9" t="inlineStr">
        <is>
          <t>description</t>
        </is>
      </c>
      <c r="F1796" s="10" t="n">
        <v>487</v>
      </c>
      <c r="G1796" s="18" t="n">
        <v>5</v>
      </c>
      <c r="H1796" s="10">
        <f>IF(G1796="","",G1796*Ayarlar!$B$3+Ayarlar!$B$4+Ayarlar!$B$5)</f>
        <v/>
      </c>
      <c r="I1796" s="10">
        <f>IF(G1796="","",ROUNDUP(((G1796*Ayarlar!$B$3+Ayarlar!$B$4+Ayarlar!$B$5)+Ayarlar!$B$8)/((1-Ayarlar!$B$6)*(1-Ayarlar!$B$7)),0))</f>
        <v/>
      </c>
      <c r="J1796" s="10">
        <f>IF(G1796="","",ROUNDUP(((G1796*Ayarlar!$B$3+Ayarlar!$B$4+Ayarlar!$B$5)+Ayarlar!$B$8)/((1-Ayarlar!$B$6)*(1-Ayarlar!$B$7-Ayarlar!$B$9)),0))</f>
        <v/>
      </c>
      <c r="K1796" s="12">
        <f>IF(OR(G1796="",F1796=""),"",(F1796*(1-Ayarlar!$B$6)-(F1796*(1-Ayarlar!$B$6)*Ayarlar!$B$7+Ayarlar!$B$8)-(G1796*Ayarlar!$B$3+Ayarlar!$B$4+Ayarlar!$B$5))/(F1796*(1-Ayarlar!$B$6)))</f>
        <v/>
      </c>
      <c r="L1796" s="9">
        <f>IF(G1796="","GRAM EKSİK",IF(F1796&gt;30000,"FİYAT ŞÜPHELİ",IF(K1796&lt;0,"ZARARDA",IF(F1796&lt;I1796,"RİSKLİ","ok"))))</f>
        <v/>
      </c>
      <c r="M1796" s="13" t="inlineStr">
        <is>
          <t>https://www.etsy.com/listing/1219136707</t>
        </is>
      </c>
    </row>
    <row r="1797">
      <c r="A1797" s="3" t="inlineStr">
        <is>
          <t>rings</t>
        </is>
      </c>
      <c r="B1797" s="3" t="inlineStr">
        <is>
          <t>10K Gold Nugget Ring / Men's Square Band in Yellow</t>
        </is>
      </c>
      <c r="C1797" s="3" t="n">
        <v>1219136707</v>
      </c>
      <c r="D1797" s="3" t="inlineStr">
        <is>
          <t>R16-7.5</t>
        </is>
      </c>
      <c r="E1797" s="3" t="inlineStr">
        <is>
          <t>description</t>
        </is>
      </c>
      <c r="F1797" s="14" t="n">
        <v>487</v>
      </c>
      <c r="G1797" s="17" t="n">
        <v>5</v>
      </c>
      <c r="H1797" s="14">
        <f>IF(G1797="","",G1797*Ayarlar!$B$3+Ayarlar!$B$4+Ayarlar!$B$5)</f>
        <v/>
      </c>
      <c r="I1797" s="14">
        <f>IF(G1797="","",ROUNDUP(((G1797*Ayarlar!$B$3+Ayarlar!$B$4+Ayarlar!$B$5)+Ayarlar!$B$8)/((1-Ayarlar!$B$6)*(1-Ayarlar!$B$7)),0))</f>
        <v/>
      </c>
      <c r="J1797" s="14">
        <f>IF(G1797="","",ROUNDUP(((G1797*Ayarlar!$B$3+Ayarlar!$B$4+Ayarlar!$B$5)+Ayarlar!$B$8)/((1-Ayarlar!$B$6)*(1-Ayarlar!$B$7-Ayarlar!$B$9)),0))</f>
        <v/>
      </c>
      <c r="K1797" s="15">
        <f>IF(OR(G1797="",F1797=""),"",(F1797*(1-Ayarlar!$B$6)-(F1797*(1-Ayarlar!$B$6)*Ayarlar!$B$7+Ayarlar!$B$8)-(G1797*Ayarlar!$B$3+Ayarlar!$B$4+Ayarlar!$B$5))/(F1797*(1-Ayarlar!$B$6)))</f>
        <v/>
      </c>
      <c r="L1797" s="3">
        <f>IF(G1797="","GRAM EKSİK",IF(F1797&gt;30000,"FİYAT ŞÜPHELİ",IF(K1797&lt;0,"ZARARDA",IF(F1797&lt;I1797,"RİSKLİ","ok"))))</f>
        <v/>
      </c>
      <c r="M1797" s="16" t="inlineStr">
        <is>
          <t>https://www.etsy.com/listing/1219136707</t>
        </is>
      </c>
    </row>
    <row r="1798">
      <c r="A1798" s="9" t="inlineStr">
        <is>
          <t>rings</t>
        </is>
      </c>
      <c r="B1798" s="9" t="inlineStr">
        <is>
          <t>10K Gold Nugget Ring / Men's Square Band in Yellow</t>
        </is>
      </c>
      <c r="C1798" s="9" t="n">
        <v>1219136707</v>
      </c>
      <c r="D1798" s="9" t="inlineStr">
        <is>
          <t>R16-8</t>
        </is>
      </c>
      <c r="E1798" s="9" t="inlineStr">
        <is>
          <t>description</t>
        </is>
      </c>
      <c r="F1798" s="10" t="n">
        <v>487</v>
      </c>
      <c r="G1798" s="18" t="n">
        <v>5</v>
      </c>
      <c r="H1798" s="10">
        <f>IF(G1798="","",G1798*Ayarlar!$B$3+Ayarlar!$B$4+Ayarlar!$B$5)</f>
        <v/>
      </c>
      <c r="I1798" s="10">
        <f>IF(G1798="","",ROUNDUP(((G1798*Ayarlar!$B$3+Ayarlar!$B$4+Ayarlar!$B$5)+Ayarlar!$B$8)/((1-Ayarlar!$B$6)*(1-Ayarlar!$B$7)),0))</f>
        <v/>
      </c>
      <c r="J1798" s="10">
        <f>IF(G1798="","",ROUNDUP(((G1798*Ayarlar!$B$3+Ayarlar!$B$4+Ayarlar!$B$5)+Ayarlar!$B$8)/((1-Ayarlar!$B$6)*(1-Ayarlar!$B$7-Ayarlar!$B$9)),0))</f>
        <v/>
      </c>
      <c r="K1798" s="12">
        <f>IF(OR(G1798="",F1798=""),"",(F1798*(1-Ayarlar!$B$6)-(F1798*(1-Ayarlar!$B$6)*Ayarlar!$B$7+Ayarlar!$B$8)-(G1798*Ayarlar!$B$3+Ayarlar!$B$4+Ayarlar!$B$5))/(F1798*(1-Ayarlar!$B$6)))</f>
        <v/>
      </c>
      <c r="L1798" s="9">
        <f>IF(G1798="","GRAM EKSİK",IF(F1798&gt;30000,"FİYAT ŞÜPHELİ",IF(K1798&lt;0,"ZARARDA",IF(F1798&lt;I1798,"RİSKLİ","ok"))))</f>
        <v/>
      </c>
      <c r="M1798" s="13" t="inlineStr">
        <is>
          <t>https://www.etsy.com/listing/1219136707</t>
        </is>
      </c>
    </row>
    <row r="1799">
      <c r="A1799" s="3" t="inlineStr">
        <is>
          <t>rings</t>
        </is>
      </c>
      <c r="B1799" s="3" t="inlineStr">
        <is>
          <t>10K Gold Nugget Ring / Men's Square Band in Yellow</t>
        </is>
      </c>
      <c r="C1799" s="3" t="n">
        <v>1219136707</v>
      </c>
      <c r="D1799" s="3" t="inlineStr">
        <is>
          <t>R16-8.5</t>
        </is>
      </c>
      <c r="E1799" s="3" t="inlineStr">
        <is>
          <t>description</t>
        </is>
      </c>
      <c r="F1799" s="14" t="n">
        <v>487</v>
      </c>
      <c r="G1799" s="17" t="n">
        <v>5</v>
      </c>
      <c r="H1799" s="14">
        <f>IF(G1799="","",G1799*Ayarlar!$B$3+Ayarlar!$B$4+Ayarlar!$B$5)</f>
        <v/>
      </c>
      <c r="I1799" s="14">
        <f>IF(G1799="","",ROUNDUP(((G1799*Ayarlar!$B$3+Ayarlar!$B$4+Ayarlar!$B$5)+Ayarlar!$B$8)/((1-Ayarlar!$B$6)*(1-Ayarlar!$B$7)),0))</f>
        <v/>
      </c>
      <c r="J1799" s="14">
        <f>IF(G1799="","",ROUNDUP(((G1799*Ayarlar!$B$3+Ayarlar!$B$4+Ayarlar!$B$5)+Ayarlar!$B$8)/((1-Ayarlar!$B$6)*(1-Ayarlar!$B$7-Ayarlar!$B$9)),0))</f>
        <v/>
      </c>
      <c r="K1799" s="15">
        <f>IF(OR(G1799="",F1799=""),"",(F1799*(1-Ayarlar!$B$6)-(F1799*(1-Ayarlar!$B$6)*Ayarlar!$B$7+Ayarlar!$B$8)-(G1799*Ayarlar!$B$3+Ayarlar!$B$4+Ayarlar!$B$5))/(F1799*(1-Ayarlar!$B$6)))</f>
        <v/>
      </c>
      <c r="L1799" s="3">
        <f>IF(G1799="","GRAM EKSİK",IF(F1799&gt;30000,"FİYAT ŞÜPHELİ",IF(K1799&lt;0,"ZARARDA",IF(F1799&lt;I1799,"RİSKLİ","ok"))))</f>
        <v/>
      </c>
      <c r="M1799" s="16" t="inlineStr">
        <is>
          <t>https://www.etsy.com/listing/1219136707</t>
        </is>
      </c>
    </row>
    <row r="1800">
      <c r="A1800" s="9" t="inlineStr">
        <is>
          <t>rings</t>
        </is>
      </c>
      <c r="B1800" s="9" t="inlineStr">
        <is>
          <t>10K Gold Nugget Ring / Men's Square Band in Yellow</t>
        </is>
      </c>
      <c r="C1800" s="9" t="n">
        <v>1219136707</v>
      </c>
      <c r="D1800" s="9" t="inlineStr">
        <is>
          <t>R16-9</t>
        </is>
      </c>
      <c r="E1800" s="9" t="inlineStr">
        <is>
          <t>description</t>
        </is>
      </c>
      <c r="F1800" s="10" t="n">
        <v>487</v>
      </c>
      <c r="G1800" s="18" t="n">
        <v>5</v>
      </c>
      <c r="H1800" s="10">
        <f>IF(G1800="","",G1800*Ayarlar!$B$3+Ayarlar!$B$4+Ayarlar!$B$5)</f>
        <v/>
      </c>
      <c r="I1800" s="10">
        <f>IF(G1800="","",ROUNDUP(((G1800*Ayarlar!$B$3+Ayarlar!$B$4+Ayarlar!$B$5)+Ayarlar!$B$8)/((1-Ayarlar!$B$6)*(1-Ayarlar!$B$7)),0))</f>
        <v/>
      </c>
      <c r="J1800" s="10">
        <f>IF(G1800="","",ROUNDUP(((G1800*Ayarlar!$B$3+Ayarlar!$B$4+Ayarlar!$B$5)+Ayarlar!$B$8)/((1-Ayarlar!$B$6)*(1-Ayarlar!$B$7-Ayarlar!$B$9)),0))</f>
        <v/>
      </c>
      <c r="K1800" s="12">
        <f>IF(OR(G1800="",F1800=""),"",(F1800*(1-Ayarlar!$B$6)-(F1800*(1-Ayarlar!$B$6)*Ayarlar!$B$7+Ayarlar!$B$8)-(G1800*Ayarlar!$B$3+Ayarlar!$B$4+Ayarlar!$B$5))/(F1800*(1-Ayarlar!$B$6)))</f>
        <v/>
      </c>
      <c r="L1800" s="9">
        <f>IF(G1800="","GRAM EKSİK",IF(F1800&gt;30000,"FİYAT ŞÜPHELİ",IF(K1800&lt;0,"ZARARDA",IF(F1800&lt;I1800,"RİSKLİ","ok"))))</f>
        <v/>
      </c>
      <c r="M1800" s="13" t="inlineStr">
        <is>
          <t>https://www.etsy.com/listing/1219136707</t>
        </is>
      </c>
    </row>
    <row r="1801">
      <c r="A1801" s="3" t="inlineStr">
        <is>
          <t>rings</t>
        </is>
      </c>
      <c r="B1801" s="3" t="inlineStr">
        <is>
          <t>10K Gold Nugget Ring / Men's Square Band in Yellow</t>
        </is>
      </c>
      <c r="C1801" s="3" t="n">
        <v>1219136707</v>
      </c>
      <c r="D1801" s="3" t="inlineStr">
        <is>
          <t>R16-9.5</t>
        </is>
      </c>
      <c r="E1801" s="3" t="inlineStr">
        <is>
          <t>description</t>
        </is>
      </c>
      <c r="F1801" s="14" t="n">
        <v>487</v>
      </c>
      <c r="G1801" s="17" t="n">
        <v>5</v>
      </c>
      <c r="H1801" s="14">
        <f>IF(G1801="","",G1801*Ayarlar!$B$3+Ayarlar!$B$4+Ayarlar!$B$5)</f>
        <v/>
      </c>
      <c r="I1801" s="14">
        <f>IF(G1801="","",ROUNDUP(((G1801*Ayarlar!$B$3+Ayarlar!$B$4+Ayarlar!$B$5)+Ayarlar!$B$8)/((1-Ayarlar!$B$6)*(1-Ayarlar!$B$7)),0))</f>
        <v/>
      </c>
      <c r="J1801" s="14">
        <f>IF(G1801="","",ROUNDUP(((G1801*Ayarlar!$B$3+Ayarlar!$B$4+Ayarlar!$B$5)+Ayarlar!$B$8)/((1-Ayarlar!$B$6)*(1-Ayarlar!$B$7-Ayarlar!$B$9)),0))</f>
        <v/>
      </c>
      <c r="K1801" s="15">
        <f>IF(OR(G1801="",F1801=""),"",(F1801*(1-Ayarlar!$B$6)-(F1801*(1-Ayarlar!$B$6)*Ayarlar!$B$7+Ayarlar!$B$8)-(G1801*Ayarlar!$B$3+Ayarlar!$B$4+Ayarlar!$B$5))/(F1801*(1-Ayarlar!$B$6)))</f>
        <v/>
      </c>
      <c r="L1801" s="3">
        <f>IF(G1801="","GRAM EKSİK",IF(F1801&gt;30000,"FİYAT ŞÜPHELİ",IF(K1801&lt;0,"ZARARDA",IF(F1801&lt;I1801,"RİSKLİ","ok"))))</f>
        <v/>
      </c>
      <c r="M1801" s="16" t="inlineStr">
        <is>
          <t>https://www.etsy.com/listing/1219136707</t>
        </is>
      </c>
    </row>
    <row r="1802">
      <c r="A1802" s="9" t="inlineStr">
        <is>
          <t>rings</t>
        </is>
      </c>
      <c r="B1802" s="9" t="inlineStr">
        <is>
          <t>10K Gold Nugget Ring / Men's Square Band in Yellow</t>
        </is>
      </c>
      <c r="C1802" s="9" t="n">
        <v>1219136707</v>
      </c>
      <c r="D1802" s="9" t="inlineStr">
        <is>
          <t>R49-10</t>
        </is>
      </c>
      <c r="E1802" s="9" t="inlineStr">
        <is>
          <t>description</t>
        </is>
      </c>
      <c r="F1802" s="10" t="n">
        <v>147</v>
      </c>
      <c r="G1802" s="18" t="n">
        <v>1.83</v>
      </c>
      <c r="H1802" s="10">
        <f>IF(G1802="","",G1802*Ayarlar!$B$3+Ayarlar!$B$4+Ayarlar!$B$5)</f>
        <v/>
      </c>
      <c r="I1802" s="10">
        <f>IF(G1802="","",ROUNDUP(((G1802*Ayarlar!$B$3+Ayarlar!$B$4+Ayarlar!$B$5)+Ayarlar!$B$8)/((1-Ayarlar!$B$6)*(1-Ayarlar!$B$7)),0))</f>
        <v/>
      </c>
      <c r="J1802" s="10">
        <f>IF(G1802="","",ROUNDUP(((G1802*Ayarlar!$B$3+Ayarlar!$B$4+Ayarlar!$B$5)+Ayarlar!$B$8)/((1-Ayarlar!$B$6)*(1-Ayarlar!$B$7-Ayarlar!$B$9)),0))</f>
        <v/>
      </c>
      <c r="K1802" s="12">
        <f>IF(OR(G1802="",F1802=""),"",(F1802*(1-Ayarlar!$B$6)-(F1802*(1-Ayarlar!$B$6)*Ayarlar!$B$7+Ayarlar!$B$8)-(G1802*Ayarlar!$B$3+Ayarlar!$B$4+Ayarlar!$B$5))/(F1802*(1-Ayarlar!$B$6)))</f>
        <v/>
      </c>
      <c r="L1802" s="9">
        <f>IF(G1802="","GRAM EKSİK",IF(F1802&gt;30000,"FİYAT ŞÜPHELİ",IF(K1802&lt;0,"ZARARDA",IF(F1802&lt;I1802,"RİSKLİ","ok"))))</f>
        <v/>
      </c>
      <c r="M1802" s="13" t="inlineStr">
        <is>
          <t>https://www.etsy.com/listing/1219136707</t>
        </is>
      </c>
    </row>
    <row r="1803">
      <c r="A1803" s="3" t="inlineStr">
        <is>
          <t>rings</t>
        </is>
      </c>
      <c r="B1803" s="3" t="inlineStr">
        <is>
          <t>10K Gold Nugget Ring / Men's Square Band in Yellow</t>
        </is>
      </c>
      <c r="C1803" s="3" t="n">
        <v>1219136707</v>
      </c>
      <c r="D1803" s="3" t="inlineStr">
        <is>
          <t>R49-10.5</t>
        </is>
      </c>
      <c r="E1803" s="3" t="inlineStr">
        <is>
          <t>description</t>
        </is>
      </c>
      <c r="F1803" s="14" t="n">
        <v>147</v>
      </c>
      <c r="G1803" s="17" t="n">
        <v>1.83</v>
      </c>
      <c r="H1803" s="14">
        <f>IF(G1803="","",G1803*Ayarlar!$B$3+Ayarlar!$B$4+Ayarlar!$B$5)</f>
        <v/>
      </c>
      <c r="I1803" s="14">
        <f>IF(G1803="","",ROUNDUP(((G1803*Ayarlar!$B$3+Ayarlar!$B$4+Ayarlar!$B$5)+Ayarlar!$B$8)/((1-Ayarlar!$B$6)*(1-Ayarlar!$B$7)),0))</f>
        <v/>
      </c>
      <c r="J1803" s="14">
        <f>IF(G1803="","",ROUNDUP(((G1803*Ayarlar!$B$3+Ayarlar!$B$4+Ayarlar!$B$5)+Ayarlar!$B$8)/((1-Ayarlar!$B$6)*(1-Ayarlar!$B$7-Ayarlar!$B$9)),0))</f>
        <v/>
      </c>
      <c r="K1803" s="15">
        <f>IF(OR(G1803="",F1803=""),"",(F1803*(1-Ayarlar!$B$6)-(F1803*(1-Ayarlar!$B$6)*Ayarlar!$B$7+Ayarlar!$B$8)-(G1803*Ayarlar!$B$3+Ayarlar!$B$4+Ayarlar!$B$5))/(F1803*(1-Ayarlar!$B$6)))</f>
        <v/>
      </c>
      <c r="L1803" s="3">
        <f>IF(G1803="","GRAM EKSİK",IF(F1803&gt;30000,"FİYAT ŞÜPHELİ",IF(K1803&lt;0,"ZARARDA",IF(F1803&lt;I1803,"RİSKLİ","ok"))))</f>
        <v/>
      </c>
      <c r="M1803" s="16" t="inlineStr">
        <is>
          <t>https://www.etsy.com/listing/1219136707</t>
        </is>
      </c>
    </row>
    <row r="1804">
      <c r="A1804" s="9" t="inlineStr">
        <is>
          <t>rings</t>
        </is>
      </c>
      <c r="B1804" s="9" t="inlineStr">
        <is>
          <t>10K Gold Nugget Ring / Men's Square Band in Yellow</t>
        </is>
      </c>
      <c r="C1804" s="9" t="n">
        <v>1219136707</v>
      </c>
      <c r="D1804" s="9" t="inlineStr">
        <is>
          <t>R49-11</t>
        </is>
      </c>
      <c r="E1804" s="9" t="inlineStr">
        <is>
          <t>description</t>
        </is>
      </c>
      <c r="F1804" s="10" t="n">
        <v>147</v>
      </c>
      <c r="G1804" s="18" t="n">
        <v>1.83</v>
      </c>
      <c r="H1804" s="10">
        <f>IF(G1804="","",G1804*Ayarlar!$B$3+Ayarlar!$B$4+Ayarlar!$B$5)</f>
        <v/>
      </c>
      <c r="I1804" s="10">
        <f>IF(G1804="","",ROUNDUP(((G1804*Ayarlar!$B$3+Ayarlar!$B$4+Ayarlar!$B$5)+Ayarlar!$B$8)/((1-Ayarlar!$B$6)*(1-Ayarlar!$B$7)),0))</f>
        <v/>
      </c>
      <c r="J1804" s="10">
        <f>IF(G1804="","",ROUNDUP(((G1804*Ayarlar!$B$3+Ayarlar!$B$4+Ayarlar!$B$5)+Ayarlar!$B$8)/((1-Ayarlar!$B$6)*(1-Ayarlar!$B$7-Ayarlar!$B$9)),0))</f>
        <v/>
      </c>
      <c r="K1804" s="12">
        <f>IF(OR(G1804="",F1804=""),"",(F1804*(1-Ayarlar!$B$6)-(F1804*(1-Ayarlar!$B$6)*Ayarlar!$B$7+Ayarlar!$B$8)-(G1804*Ayarlar!$B$3+Ayarlar!$B$4+Ayarlar!$B$5))/(F1804*(1-Ayarlar!$B$6)))</f>
        <v/>
      </c>
      <c r="L1804" s="9">
        <f>IF(G1804="","GRAM EKSİK",IF(F1804&gt;30000,"FİYAT ŞÜPHELİ",IF(K1804&lt;0,"ZARARDA",IF(F1804&lt;I1804,"RİSKLİ","ok"))))</f>
        <v/>
      </c>
      <c r="M1804" s="13" t="inlineStr">
        <is>
          <t>https://www.etsy.com/listing/1219136707</t>
        </is>
      </c>
    </row>
    <row r="1805">
      <c r="A1805" s="3" t="inlineStr">
        <is>
          <t>rings</t>
        </is>
      </c>
      <c r="B1805" s="3" t="inlineStr">
        <is>
          <t>10K Gold Nugget Ring / Men's Square Band in Yellow</t>
        </is>
      </c>
      <c r="C1805" s="3" t="n">
        <v>1219136707</v>
      </c>
      <c r="D1805" s="3" t="inlineStr">
        <is>
          <t>R49-11.5</t>
        </is>
      </c>
      <c r="E1805" s="3" t="inlineStr">
        <is>
          <t>description</t>
        </is>
      </c>
      <c r="F1805" s="14" t="n">
        <v>147</v>
      </c>
      <c r="G1805" s="17" t="n">
        <v>1.83</v>
      </c>
      <c r="H1805" s="14">
        <f>IF(G1805="","",G1805*Ayarlar!$B$3+Ayarlar!$B$4+Ayarlar!$B$5)</f>
        <v/>
      </c>
      <c r="I1805" s="14">
        <f>IF(G1805="","",ROUNDUP(((G1805*Ayarlar!$B$3+Ayarlar!$B$4+Ayarlar!$B$5)+Ayarlar!$B$8)/((1-Ayarlar!$B$6)*(1-Ayarlar!$B$7)),0))</f>
        <v/>
      </c>
      <c r="J1805" s="14">
        <f>IF(G1805="","",ROUNDUP(((G1805*Ayarlar!$B$3+Ayarlar!$B$4+Ayarlar!$B$5)+Ayarlar!$B$8)/((1-Ayarlar!$B$6)*(1-Ayarlar!$B$7-Ayarlar!$B$9)),0))</f>
        <v/>
      </c>
      <c r="K1805" s="15">
        <f>IF(OR(G1805="",F1805=""),"",(F1805*(1-Ayarlar!$B$6)-(F1805*(1-Ayarlar!$B$6)*Ayarlar!$B$7+Ayarlar!$B$8)-(G1805*Ayarlar!$B$3+Ayarlar!$B$4+Ayarlar!$B$5))/(F1805*(1-Ayarlar!$B$6)))</f>
        <v/>
      </c>
      <c r="L1805" s="3">
        <f>IF(G1805="","GRAM EKSİK",IF(F1805&gt;30000,"FİYAT ŞÜPHELİ",IF(K1805&lt;0,"ZARARDA",IF(F1805&lt;I1805,"RİSKLİ","ok"))))</f>
        <v/>
      </c>
      <c r="M1805" s="16" t="inlineStr">
        <is>
          <t>https://www.etsy.com/listing/1219136707</t>
        </is>
      </c>
    </row>
    <row r="1806">
      <c r="A1806" s="9" t="inlineStr">
        <is>
          <t>rings</t>
        </is>
      </c>
      <c r="B1806" s="9" t="inlineStr">
        <is>
          <t>10K Gold Nugget Ring / Men's Square Band in Yellow</t>
        </is>
      </c>
      <c r="C1806" s="9" t="n">
        <v>1219136707</v>
      </c>
      <c r="D1806" s="9" t="inlineStr">
        <is>
          <t>R49-12</t>
        </is>
      </c>
      <c r="E1806" s="9" t="inlineStr">
        <is>
          <t>description</t>
        </is>
      </c>
      <c r="F1806" s="10" t="n">
        <v>147</v>
      </c>
      <c r="G1806" s="18" t="n">
        <v>1.83</v>
      </c>
      <c r="H1806" s="10">
        <f>IF(G1806="","",G1806*Ayarlar!$B$3+Ayarlar!$B$4+Ayarlar!$B$5)</f>
        <v/>
      </c>
      <c r="I1806" s="10">
        <f>IF(G1806="","",ROUNDUP(((G1806*Ayarlar!$B$3+Ayarlar!$B$4+Ayarlar!$B$5)+Ayarlar!$B$8)/((1-Ayarlar!$B$6)*(1-Ayarlar!$B$7)),0))</f>
        <v/>
      </c>
      <c r="J1806" s="10">
        <f>IF(G1806="","",ROUNDUP(((G1806*Ayarlar!$B$3+Ayarlar!$B$4+Ayarlar!$B$5)+Ayarlar!$B$8)/((1-Ayarlar!$B$6)*(1-Ayarlar!$B$7-Ayarlar!$B$9)),0))</f>
        <v/>
      </c>
      <c r="K1806" s="12">
        <f>IF(OR(G1806="",F1806=""),"",(F1806*(1-Ayarlar!$B$6)-(F1806*(1-Ayarlar!$B$6)*Ayarlar!$B$7+Ayarlar!$B$8)-(G1806*Ayarlar!$B$3+Ayarlar!$B$4+Ayarlar!$B$5))/(F1806*(1-Ayarlar!$B$6)))</f>
        <v/>
      </c>
      <c r="L1806" s="9">
        <f>IF(G1806="","GRAM EKSİK",IF(F1806&gt;30000,"FİYAT ŞÜPHELİ",IF(K1806&lt;0,"ZARARDA",IF(F1806&lt;I1806,"RİSKLİ","ok"))))</f>
        <v/>
      </c>
      <c r="M1806" s="13" t="inlineStr">
        <is>
          <t>https://www.etsy.com/listing/1219136707</t>
        </is>
      </c>
    </row>
    <row r="1807">
      <c r="A1807" s="3" t="inlineStr">
        <is>
          <t>rings</t>
        </is>
      </c>
      <c r="B1807" s="3" t="inlineStr">
        <is>
          <t>10K Gold Nugget Ring / Men's Square Band in Yellow</t>
        </is>
      </c>
      <c r="C1807" s="3" t="n">
        <v>1219136707</v>
      </c>
      <c r="D1807" s="3" t="inlineStr">
        <is>
          <t>R49-12.5</t>
        </is>
      </c>
      <c r="E1807" s="3" t="inlineStr">
        <is>
          <t>description</t>
        </is>
      </c>
      <c r="F1807" s="14" t="n">
        <v>147</v>
      </c>
      <c r="G1807" s="17" t="n">
        <v>1.83</v>
      </c>
      <c r="H1807" s="14">
        <f>IF(G1807="","",G1807*Ayarlar!$B$3+Ayarlar!$B$4+Ayarlar!$B$5)</f>
        <v/>
      </c>
      <c r="I1807" s="14">
        <f>IF(G1807="","",ROUNDUP(((G1807*Ayarlar!$B$3+Ayarlar!$B$4+Ayarlar!$B$5)+Ayarlar!$B$8)/((1-Ayarlar!$B$6)*(1-Ayarlar!$B$7)),0))</f>
        <v/>
      </c>
      <c r="J1807" s="14">
        <f>IF(G1807="","",ROUNDUP(((G1807*Ayarlar!$B$3+Ayarlar!$B$4+Ayarlar!$B$5)+Ayarlar!$B$8)/((1-Ayarlar!$B$6)*(1-Ayarlar!$B$7-Ayarlar!$B$9)),0))</f>
        <v/>
      </c>
      <c r="K1807" s="15">
        <f>IF(OR(G1807="",F1807=""),"",(F1807*(1-Ayarlar!$B$6)-(F1807*(1-Ayarlar!$B$6)*Ayarlar!$B$7+Ayarlar!$B$8)-(G1807*Ayarlar!$B$3+Ayarlar!$B$4+Ayarlar!$B$5))/(F1807*(1-Ayarlar!$B$6)))</f>
        <v/>
      </c>
      <c r="L1807" s="3">
        <f>IF(G1807="","GRAM EKSİK",IF(F1807&gt;30000,"FİYAT ŞÜPHELİ",IF(K1807&lt;0,"ZARARDA",IF(F1807&lt;I1807,"RİSKLİ","ok"))))</f>
        <v/>
      </c>
      <c r="M1807" s="16" t="inlineStr">
        <is>
          <t>https://www.etsy.com/listing/1219136707</t>
        </is>
      </c>
    </row>
    <row r="1808">
      <c r="A1808" s="9" t="inlineStr">
        <is>
          <t>rings</t>
        </is>
      </c>
      <c r="B1808" s="9" t="inlineStr">
        <is>
          <t>10K Gold Nugget Ring / Men's Square Band in Yellow</t>
        </is>
      </c>
      <c r="C1808" s="9" t="n">
        <v>1219136707</v>
      </c>
      <c r="D1808" s="9" t="inlineStr">
        <is>
          <t>R49-7</t>
        </is>
      </c>
      <c r="E1808" s="9" t="inlineStr">
        <is>
          <t>description</t>
        </is>
      </c>
      <c r="F1808" s="10" t="n">
        <v>147</v>
      </c>
      <c r="G1808" s="18" t="n">
        <v>1.83</v>
      </c>
      <c r="H1808" s="10">
        <f>IF(G1808="","",G1808*Ayarlar!$B$3+Ayarlar!$B$4+Ayarlar!$B$5)</f>
        <v/>
      </c>
      <c r="I1808" s="10">
        <f>IF(G1808="","",ROUNDUP(((G1808*Ayarlar!$B$3+Ayarlar!$B$4+Ayarlar!$B$5)+Ayarlar!$B$8)/((1-Ayarlar!$B$6)*(1-Ayarlar!$B$7)),0))</f>
        <v/>
      </c>
      <c r="J1808" s="10">
        <f>IF(G1808="","",ROUNDUP(((G1808*Ayarlar!$B$3+Ayarlar!$B$4+Ayarlar!$B$5)+Ayarlar!$B$8)/((1-Ayarlar!$B$6)*(1-Ayarlar!$B$7-Ayarlar!$B$9)),0))</f>
        <v/>
      </c>
      <c r="K1808" s="12">
        <f>IF(OR(G1808="",F1808=""),"",(F1808*(1-Ayarlar!$B$6)-(F1808*(1-Ayarlar!$B$6)*Ayarlar!$B$7+Ayarlar!$B$8)-(G1808*Ayarlar!$B$3+Ayarlar!$B$4+Ayarlar!$B$5))/(F1808*(1-Ayarlar!$B$6)))</f>
        <v/>
      </c>
      <c r="L1808" s="9">
        <f>IF(G1808="","GRAM EKSİK",IF(F1808&gt;30000,"FİYAT ŞÜPHELİ",IF(K1808&lt;0,"ZARARDA",IF(F1808&lt;I1808,"RİSKLİ","ok"))))</f>
        <v/>
      </c>
      <c r="M1808" s="13" t="inlineStr">
        <is>
          <t>https://www.etsy.com/listing/1219136707</t>
        </is>
      </c>
    </row>
    <row r="1809">
      <c r="A1809" s="3" t="inlineStr">
        <is>
          <t>rings</t>
        </is>
      </c>
      <c r="B1809" s="3" t="inlineStr">
        <is>
          <t>10K Gold Nugget Ring / Men's Square Band in Yellow</t>
        </is>
      </c>
      <c r="C1809" s="3" t="n">
        <v>1219136707</v>
      </c>
      <c r="D1809" s="3" t="inlineStr">
        <is>
          <t>R49-7.5</t>
        </is>
      </c>
      <c r="E1809" s="3" t="inlineStr">
        <is>
          <t>description</t>
        </is>
      </c>
      <c r="F1809" s="14" t="n">
        <v>147</v>
      </c>
      <c r="G1809" s="17" t="n">
        <v>1.83</v>
      </c>
      <c r="H1809" s="14">
        <f>IF(G1809="","",G1809*Ayarlar!$B$3+Ayarlar!$B$4+Ayarlar!$B$5)</f>
        <v/>
      </c>
      <c r="I1809" s="14">
        <f>IF(G1809="","",ROUNDUP(((G1809*Ayarlar!$B$3+Ayarlar!$B$4+Ayarlar!$B$5)+Ayarlar!$B$8)/((1-Ayarlar!$B$6)*(1-Ayarlar!$B$7)),0))</f>
        <v/>
      </c>
      <c r="J1809" s="14">
        <f>IF(G1809="","",ROUNDUP(((G1809*Ayarlar!$B$3+Ayarlar!$B$4+Ayarlar!$B$5)+Ayarlar!$B$8)/((1-Ayarlar!$B$6)*(1-Ayarlar!$B$7-Ayarlar!$B$9)),0))</f>
        <v/>
      </c>
      <c r="K1809" s="15">
        <f>IF(OR(G1809="",F1809=""),"",(F1809*(1-Ayarlar!$B$6)-(F1809*(1-Ayarlar!$B$6)*Ayarlar!$B$7+Ayarlar!$B$8)-(G1809*Ayarlar!$B$3+Ayarlar!$B$4+Ayarlar!$B$5))/(F1809*(1-Ayarlar!$B$6)))</f>
        <v/>
      </c>
      <c r="L1809" s="3">
        <f>IF(G1809="","GRAM EKSİK",IF(F1809&gt;30000,"FİYAT ŞÜPHELİ",IF(K1809&lt;0,"ZARARDA",IF(F1809&lt;I1809,"RİSKLİ","ok"))))</f>
        <v/>
      </c>
      <c r="M1809" s="16" t="inlineStr">
        <is>
          <t>https://www.etsy.com/listing/1219136707</t>
        </is>
      </c>
    </row>
    <row r="1810">
      <c r="A1810" s="9" t="inlineStr">
        <is>
          <t>rings</t>
        </is>
      </c>
      <c r="B1810" s="9" t="inlineStr">
        <is>
          <t>10K Gold Nugget Ring / Men's Square Band in Yellow</t>
        </is>
      </c>
      <c r="C1810" s="9" t="n">
        <v>1219136707</v>
      </c>
      <c r="D1810" s="9" t="inlineStr">
        <is>
          <t>R49-8</t>
        </is>
      </c>
      <c r="E1810" s="9" t="inlineStr">
        <is>
          <t>description</t>
        </is>
      </c>
      <c r="F1810" s="10" t="n">
        <v>147</v>
      </c>
      <c r="G1810" s="18" t="n">
        <v>1.83</v>
      </c>
      <c r="H1810" s="10">
        <f>IF(G1810="","",G1810*Ayarlar!$B$3+Ayarlar!$B$4+Ayarlar!$B$5)</f>
        <v/>
      </c>
      <c r="I1810" s="10">
        <f>IF(G1810="","",ROUNDUP(((G1810*Ayarlar!$B$3+Ayarlar!$B$4+Ayarlar!$B$5)+Ayarlar!$B$8)/((1-Ayarlar!$B$6)*(1-Ayarlar!$B$7)),0))</f>
        <v/>
      </c>
      <c r="J1810" s="10">
        <f>IF(G1810="","",ROUNDUP(((G1810*Ayarlar!$B$3+Ayarlar!$B$4+Ayarlar!$B$5)+Ayarlar!$B$8)/((1-Ayarlar!$B$6)*(1-Ayarlar!$B$7-Ayarlar!$B$9)),0))</f>
        <v/>
      </c>
      <c r="K1810" s="12">
        <f>IF(OR(G1810="",F1810=""),"",(F1810*(1-Ayarlar!$B$6)-(F1810*(1-Ayarlar!$B$6)*Ayarlar!$B$7+Ayarlar!$B$8)-(G1810*Ayarlar!$B$3+Ayarlar!$B$4+Ayarlar!$B$5))/(F1810*(1-Ayarlar!$B$6)))</f>
        <v/>
      </c>
      <c r="L1810" s="9">
        <f>IF(G1810="","GRAM EKSİK",IF(F1810&gt;30000,"FİYAT ŞÜPHELİ",IF(K1810&lt;0,"ZARARDA",IF(F1810&lt;I1810,"RİSKLİ","ok"))))</f>
        <v/>
      </c>
      <c r="M1810" s="13" t="inlineStr">
        <is>
          <t>https://www.etsy.com/listing/1219136707</t>
        </is>
      </c>
    </row>
    <row r="1811">
      <c r="A1811" s="3" t="inlineStr">
        <is>
          <t>rings</t>
        </is>
      </c>
      <c r="B1811" s="3" t="inlineStr">
        <is>
          <t>10K Gold Nugget Ring / Men's Square Band in Yellow</t>
        </is>
      </c>
      <c r="C1811" s="3" t="n">
        <v>1219136707</v>
      </c>
      <c r="D1811" s="3" t="inlineStr">
        <is>
          <t>R49-8.5</t>
        </is>
      </c>
      <c r="E1811" s="3" t="inlineStr">
        <is>
          <t>description</t>
        </is>
      </c>
      <c r="F1811" s="14" t="n">
        <v>147</v>
      </c>
      <c r="G1811" s="17" t="n">
        <v>1.83</v>
      </c>
      <c r="H1811" s="14">
        <f>IF(G1811="","",G1811*Ayarlar!$B$3+Ayarlar!$B$4+Ayarlar!$B$5)</f>
        <v/>
      </c>
      <c r="I1811" s="14">
        <f>IF(G1811="","",ROUNDUP(((G1811*Ayarlar!$B$3+Ayarlar!$B$4+Ayarlar!$B$5)+Ayarlar!$B$8)/((1-Ayarlar!$B$6)*(1-Ayarlar!$B$7)),0))</f>
        <v/>
      </c>
      <c r="J1811" s="14">
        <f>IF(G1811="","",ROUNDUP(((G1811*Ayarlar!$B$3+Ayarlar!$B$4+Ayarlar!$B$5)+Ayarlar!$B$8)/((1-Ayarlar!$B$6)*(1-Ayarlar!$B$7-Ayarlar!$B$9)),0))</f>
        <v/>
      </c>
      <c r="K1811" s="15">
        <f>IF(OR(G1811="",F1811=""),"",(F1811*(1-Ayarlar!$B$6)-(F1811*(1-Ayarlar!$B$6)*Ayarlar!$B$7+Ayarlar!$B$8)-(G1811*Ayarlar!$B$3+Ayarlar!$B$4+Ayarlar!$B$5))/(F1811*(1-Ayarlar!$B$6)))</f>
        <v/>
      </c>
      <c r="L1811" s="3">
        <f>IF(G1811="","GRAM EKSİK",IF(F1811&gt;30000,"FİYAT ŞÜPHELİ",IF(K1811&lt;0,"ZARARDA",IF(F1811&lt;I1811,"RİSKLİ","ok"))))</f>
        <v/>
      </c>
      <c r="M1811" s="16" t="inlineStr">
        <is>
          <t>https://www.etsy.com/listing/1219136707</t>
        </is>
      </c>
    </row>
    <row r="1812">
      <c r="A1812" s="9" t="inlineStr">
        <is>
          <t>rings</t>
        </is>
      </c>
      <c r="B1812" s="9" t="inlineStr">
        <is>
          <t>10K Gold Nugget Ring / Men's Square Band in Yellow</t>
        </is>
      </c>
      <c r="C1812" s="9" t="n">
        <v>1219136707</v>
      </c>
      <c r="D1812" s="9" t="inlineStr">
        <is>
          <t>R49-9</t>
        </is>
      </c>
      <c r="E1812" s="9" t="inlineStr">
        <is>
          <t>description</t>
        </is>
      </c>
      <c r="F1812" s="10" t="n">
        <v>147</v>
      </c>
      <c r="G1812" s="18" t="n">
        <v>1.83</v>
      </c>
      <c r="H1812" s="10">
        <f>IF(G1812="","",G1812*Ayarlar!$B$3+Ayarlar!$B$4+Ayarlar!$B$5)</f>
        <v/>
      </c>
      <c r="I1812" s="10">
        <f>IF(G1812="","",ROUNDUP(((G1812*Ayarlar!$B$3+Ayarlar!$B$4+Ayarlar!$B$5)+Ayarlar!$B$8)/((1-Ayarlar!$B$6)*(1-Ayarlar!$B$7)),0))</f>
        <v/>
      </c>
      <c r="J1812" s="10">
        <f>IF(G1812="","",ROUNDUP(((G1812*Ayarlar!$B$3+Ayarlar!$B$4+Ayarlar!$B$5)+Ayarlar!$B$8)/((1-Ayarlar!$B$6)*(1-Ayarlar!$B$7-Ayarlar!$B$9)),0))</f>
        <v/>
      </c>
      <c r="K1812" s="12">
        <f>IF(OR(G1812="",F1812=""),"",(F1812*(1-Ayarlar!$B$6)-(F1812*(1-Ayarlar!$B$6)*Ayarlar!$B$7+Ayarlar!$B$8)-(G1812*Ayarlar!$B$3+Ayarlar!$B$4+Ayarlar!$B$5))/(F1812*(1-Ayarlar!$B$6)))</f>
        <v/>
      </c>
      <c r="L1812" s="9">
        <f>IF(G1812="","GRAM EKSİK",IF(F1812&gt;30000,"FİYAT ŞÜPHELİ",IF(K1812&lt;0,"ZARARDA",IF(F1812&lt;I1812,"RİSKLİ","ok"))))</f>
        <v/>
      </c>
      <c r="M1812" s="13" t="inlineStr">
        <is>
          <t>https://www.etsy.com/listing/1219136707</t>
        </is>
      </c>
    </row>
    <row r="1813">
      <c r="A1813" s="3" t="inlineStr">
        <is>
          <t>rings</t>
        </is>
      </c>
      <c r="B1813" s="3" t="inlineStr">
        <is>
          <t>10K Gold Nugget Ring / Men's Square Band in Yellow</t>
        </is>
      </c>
      <c r="C1813" s="3" t="n">
        <v>1219136707</v>
      </c>
      <c r="D1813" s="3" t="inlineStr">
        <is>
          <t>R49-9.5</t>
        </is>
      </c>
      <c r="E1813" s="3" t="inlineStr">
        <is>
          <t>description</t>
        </is>
      </c>
      <c r="F1813" s="14" t="n">
        <v>147</v>
      </c>
      <c r="G1813" s="17" t="n">
        <v>1.83</v>
      </c>
      <c r="H1813" s="14">
        <f>IF(G1813="","",G1813*Ayarlar!$B$3+Ayarlar!$B$4+Ayarlar!$B$5)</f>
        <v/>
      </c>
      <c r="I1813" s="14">
        <f>IF(G1813="","",ROUNDUP(((G1813*Ayarlar!$B$3+Ayarlar!$B$4+Ayarlar!$B$5)+Ayarlar!$B$8)/((1-Ayarlar!$B$6)*(1-Ayarlar!$B$7)),0))</f>
        <v/>
      </c>
      <c r="J1813" s="14">
        <f>IF(G1813="","",ROUNDUP(((G1813*Ayarlar!$B$3+Ayarlar!$B$4+Ayarlar!$B$5)+Ayarlar!$B$8)/((1-Ayarlar!$B$6)*(1-Ayarlar!$B$7-Ayarlar!$B$9)),0))</f>
        <v/>
      </c>
      <c r="K1813" s="15">
        <f>IF(OR(G1813="",F1813=""),"",(F1813*(1-Ayarlar!$B$6)-(F1813*(1-Ayarlar!$B$6)*Ayarlar!$B$7+Ayarlar!$B$8)-(G1813*Ayarlar!$B$3+Ayarlar!$B$4+Ayarlar!$B$5))/(F1813*(1-Ayarlar!$B$6)))</f>
        <v/>
      </c>
      <c r="L1813" s="3">
        <f>IF(G1813="","GRAM EKSİK",IF(F1813&gt;30000,"FİYAT ŞÜPHELİ",IF(K1813&lt;0,"ZARARDA",IF(F1813&lt;I1813,"RİSKLİ","ok"))))</f>
        <v/>
      </c>
      <c r="M1813" s="16" t="inlineStr">
        <is>
          <t>https://www.etsy.com/listing/1219136707</t>
        </is>
      </c>
    </row>
    <row r="1814">
      <c r="A1814" s="9" t="inlineStr">
        <is>
          <t>rings</t>
        </is>
      </c>
      <c r="B1814" s="9" t="inlineStr">
        <is>
          <t>10K Gold Nugget Ring / Men's Square Band in Yellow</t>
        </is>
      </c>
      <c r="C1814" s="9" t="n">
        <v>1219136707</v>
      </c>
      <c r="D1814" s="9" t="inlineStr">
        <is>
          <t>R50-10</t>
        </is>
      </c>
      <c r="E1814" s="9" t="inlineStr">
        <is>
          <t>description</t>
        </is>
      </c>
      <c r="F1814" s="10" t="n">
        <v>645</v>
      </c>
      <c r="G1814" s="18" t="n">
        <v>5.59</v>
      </c>
      <c r="H1814" s="10">
        <f>IF(G1814="","",G1814*Ayarlar!$B$3+Ayarlar!$B$4+Ayarlar!$B$5)</f>
        <v/>
      </c>
      <c r="I1814" s="10">
        <f>IF(G1814="","",ROUNDUP(((G1814*Ayarlar!$B$3+Ayarlar!$B$4+Ayarlar!$B$5)+Ayarlar!$B$8)/((1-Ayarlar!$B$6)*(1-Ayarlar!$B$7)),0))</f>
        <v/>
      </c>
      <c r="J1814" s="10">
        <f>IF(G1814="","",ROUNDUP(((G1814*Ayarlar!$B$3+Ayarlar!$B$4+Ayarlar!$B$5)+Ayarlar!$B$8)/((1-Ayarlar!$B$6)*(1-Ayarlar!$B$7-Ayarlar!$B$9)),0))</f>
        <v/>
      </c>
      <c r="K1814" s="12">
        <f>IF(OR(G1814="",F1814=""),"",(F1814*(1-Ayarlar!$B$6)-(F1814*(1-Ayarlar!$B$6)*Ayarlar!$B$7+Ayarlar!$B$8)-(G1814*Ayarlar!$B$3+Ayarlar!$B$4+Ayarlar!$B$5))/(F1814*(1-Ayarlar!$B$6)))</f>
        <v/>
      </c>
      <c r="L1814" s="9">
        <f>IF(G1814="","GRAM EKSİK",IF(F1814&gt;30000,"FİYAT ŞÜPHELİ",IF(K1814&lt;0,"ZARARDA",IF(F1814&lt;I1814,"RİSKLİ","ok"))))</f>
        <v/>
      </c>
      <c r="M1814" s="13" t="inlineStr">
        <is>
          <t>https://www.etsy.com/listing/1219136707</t>
        </is>
      </c>
    </row>
    <row r="1815">
      <c r="A1815" s="3" t="inlineStr">
        <is>
          <t>rings</t>
        </is>
      </c>
      <c r="B1815" s="3" t="inlineStr">
        <is>
          <t>10K Gold Nugget Ring / Men's Square Band in Yellow</t>
        </is>
      </c>
      <c r="C1815" s="3" t="n">
        <v>1219136707</v>
      </c>
      <c r="D1815" s="3" t="inlineStr">
        <is>
          <t>R50-10.5</t>
        </is>
      </c>
      <c r="E1815" s="3" t="inlineStr">
        <is>
          <t>description</t>
        </is>
      </c>
      <c r="F1815" s="14" t="n">
        <v>645</v>
      </c>
      <c r="G1815" s="17" t="n">
        <v>5.59</v>
      </c>
      <c r="H1815" s="14">
        <f>IF(G1815="","",G1815*Ayarlar!$B$3+Ayarlar!$B$4+Ayarlar!$B$5)</f>
        <v/>
      </c>
      <c r="I1815" s="14">
        <f>IF(G1815="","",ROUNDUP(((G1815*Ayarlar!$B$3+Ayarlar!$B$4+Ayarlar!$B$5)+Ayarlar!$B$8)/((1-Ayarlar!$B$6)*(1-Ayarlar!$B$7)),0))</f>
        <v/>
      </c>
      <c r="J1815" s="14">
        <f>IF(G1815="","",ROUNDUP(((G1815*Ayarlar!$B$3+Ayarlar!$B$4+Ayarlar!$B$5)+Ayarlar!$B$8)/((1-Ayarlar!$B$6)*(1-Ayarlar!$B$7-Ayarlar!$B$9)),0))</f>
        <v/>
      </c>
      <c r="K1815" s="15">
        <f>IF(OR(G1815="",F1815=""),"",(F1815*(1-Ayarlar!$B$6)-(F1815*(1-Ayarlar!$B$6)*Ayarlar!$B$7+Ayarlar!$B$8)-(G1815*Ayarlar!$B$3+Ayarlar!$B$4+Ayarlar!$B$5))/(F1815*(1-Ayarlar!$B$6)))</f>
        <v/>
      </c>
      <c r="L1815" s="3">
        <f>IF(G1815="","GRAM EKSİK",IF(F1815&gt;30000,"FİYAT ŞÜPHELİ",IF(K1815&lt;0,"ZARARDA",IF(F1815&lt;I1815,"RİSKLİ","ok"))))</f>
        <v/>
      </c>
      <c r="M1815" s="16" t="inlineStr">
        <is>
          <t>https://www.etsy.com/listing/1219136707</t>
        </is>
      </c>
    </row>
    <row r="1816">
      <c r="A1816" s="9" t="inlineStr">
        <is>
          <t>rings</t>
        </is>
      </c>
      <c r="B1816" s="9" t="inlineStr">
        <is>
          <t>10K Gold Nugget Ring / Men's Square Band in Yellow</t>
        </is>
      </c>
      <c r="C1816" s="9" t="n">
        <v>1219136707</v>
      </c>
      <c r="D1816" s="9" t="inlineStr">
        <is>
          <t>R50-11</t>
        </is>
      </c>
      <c r="E1816" s="9" t="inlineStr">
        <is>
          <t>description</t>
        </is>
      </c>
      <c r="F1816" s="10" t="n">
        <v>645</v>
      </c>
      <c r="G1816" s="18" t="n">
        <v>5.59</v>
      </c>
      <c r="H1816" s="10">
        <f>IF(G1816="","",G1816*Ayarlar!$B$3+Ayarlar!$B$4+Ayarlar!$B$5)</f>
        <v/>
      </c>
      <c r="I1816" s="10">
        <f>IF(G1816="","",ROUNDUP(((G1816*Ayarlar!$B$3+Ayarlar!$B$4+Ayarlar!$B$5)+Ayarlar!$B$8)/((1-Ayarlar!$B$6)*(1-Ayarlar!$B$7)),0))</f>
        <v/>
      </c>
      <c r="J1816" s="10">
        <f>IF(G1816="","",ROUNDUP(((G1816*Ayarlar!$B$3+Ayarlar!$B$4+Ayarlar!$B$5)+Ayarlar!$B$8)/((1-Ayarlar!$B$6)*(1-Ayarlar!$B$7-Ayarlar!$B$9)),0))</f>
        <v/>
      </c>
      <c r="K1816" s="12">
        <f>IF(OR(G1816="",F1816=""),"",(F1816*(1-Ayarlar!$B$6)-(F1816*(1-Ayarlar!$B$6)*Ayarlar!$B$7+Ayarlar!$B$8)-(G1816*Ayarlar!$B$3+Ayarlar!$B$4+Ayarlar!$B$5))/(F1816*(1-Ayarlar!$B$6)))</f>
        <v/>
      </c>
      <c r="L1816" s="9">
        <f>IF(G1816="","GRAM EKSİK",IF(F1816&gt;30000,"FİYAT ŞÜPHELİ",IF(K1816&lt;0,"ZARARDA",IF(F1816&lt;I1816,"RİSKLİ","ok"))))</f>
        <v/>
      </c>
      <c r="M1816" s="13" t="inlineStr">
        <is>
          <t>https://www.etsy.com/listing/1219136707</t>
        </is>
      </c>
    </row>
    <row r="1817">
      <c r="A1817" s="3" t="inlineStr">
        <is>
          <t>rings</t>
        </is>
      </c>
      <c r="B1817" s="3" t="inlineStr">
        <is>
          <t>10K Gold Nugget Ring / Men's Square Band in Yellow</t>
        </is>
      </c>
      <c r="C1817" s="3" t="n">
        <v>1219136707</v>
      </c>
      <c r="D1817" s="3" t="inlineStr">
        <is>
          <t>R50-11.5</t>
        </is>
      </c>
      <c r="E1817" s="3" t="inlineStr">
        <is>
          <t>description</t>
        </is>
      </c>
      <c r="F1817" s="14" t="n">
        <v>645</v>
      </c>
      <c r="G1817" s="17" t="n">
        <v>5.59</v>
      </c>
      <c r="H1817" s="14">
        <f>IF(G1817="","",G1817*Ayarlar!$B$3+Ayarlar!$B$4+Ayarlar!$B$5)</f>
        <v/>
      </c>
      <c r="I1817" s="14">
        <f>IF(G1817="","",ROUNDUP(((G1817*Ayarlar!$B$3+Ayarlar!$B$4+Ayarlar!$B$5)+Ayarlar!$B$8)/((1-Ayarlar!$B$6)*(1-Ayarlar!$B$7)),0))</f>
        <v/>
      </c>
      <c r="J1817" s="14">
        <f>IF(G1817="","",ROUNDUP(((G1817*Ayarlar!$B$3+Ayarlar!$B$4+Ayarlar!$B$5)+Ayarlar!$B$8)/((1-Ayarlar!$B$6)*(1-Ayarlar!$B$7-Ayarlar!$B$9)),0))</f>
        <v/>
      </c>
      <c r="K1817" s="15">
        <f>IF(OR(G1817="",F1817=""),"",(F1817*(1-Ayarlar!$B$6)-(F1817*(1-Ayarlar!$B$6)*Ayarlar!$B$7+Ayarlar!$B$8)-(G1817*Ayarlar!$B$3+Ayarlar!$B$4+Ayarlar!$B$5))/(F1817*(1-Ayarlar!$B$6)))</f>
        <v/>
      </c>
      <c r="L1817" s="3">
        <f>IF(G1817="","GRAM EKSİK",IF(F1817&gt;30000,"FİYAT ŞÜPHELİ",IF(K1817&lt;0,"ZARARDA",IF(F1817&lt;I1817,"RİSKLİ","ok"))))</f>
        <v/>
      </c>
      <c r="M1817" s="16" t="inlineStr">
        <is>
          <t>https://www.etsy.com/listing/1219136707</t>
        </is>
      </c>
    </row>
    <row r="1818">
      <c r="A1818" s="9" t="inlineStr">
        <is>
          <t>rings</t>
        </is>
      </c>
      <c r="B1818" s="9" t="inlineStr">
        <is>
          <t>10K Gold Nugget Ring / Men's Square Band in Yellow</t>
        </is>
      </c>
      <c r="C1818" s="9" t="n">
        <v>1219136707</v>
      </c>
      <c r="D1818" s="9" t="inlineStr">
        <is>
          <t>R50-12</t>
        </is>
      </c>
      <c r="E1818" s="9" t="inlineStr">
        <is>
          <t>description</t>
        </is>
      </c>
      <c r="F1818" s="10" t="n">
        <v>645</v>
      </c>
      <c r="G1818" s="18" t="n">
        <v>5.59</v>
      </c>
      <c r="H1818" s="10">
        <f>IF(G1818="","",G1818*Ayarlar!$B$3+Ayarlar!$B$4+Ayarlar!$B$5)</f>
        <v/>
      </c>
      <c r="I1818" s="10">
        <f>IF(G1818="","",ROUNDUP(((G1818*Ayarlar!$B$3+Ayarlar!$B$4+Ayarlar!$B$5)+Ayarlar!$B$8)/((1-Ayarlar!$B$6)*(1-Ayarlar!$B$7)),0))</f>
        <v/>
      </c>
      <c r="J1818" s="10">
        <f>IF(G1818="","",ROUNDUP(((G1818*Ayarlar!$B$3+Ayarlar!$B$4+Ayarlar!$B$5)+Ayarlar!$B$8)/((1-Ayarlar!$B$6)*(1-Ayarlar!$B$7-Ayarlar!$B$9)),0))</f>
        <v/>
      </c>
      <c r="K1818" s="12">
        <f>IF(OR(G1818="",F1818=""),"",(F1818*(1-Ayarlar!$B$6)-(F1818*(1-Ayarlar!$B$6)*Ayarlar!$B$7+Ayarlar!$B$8)-(G1818*Ayarlar!$B$3+Ayarlar!$B$4+Ayarlar!$B$5))/(F1818*(1-Ayarlar!$B$6)))</f>
        <v/>
      </c>
      <c r="L1818" s="9">
        <f>IF(G1818="","GRAM EKSİK",IF(F1818&gt;30000,"FİYAT ŞÜPHELİ",IF(K1818&lt;0,"ZARARDA",IF(F1818&lt;I1818,"RİSKLİ","ok"))))</f>
        <v/>
      </c>
      <c r="M1818" s="13" t="inlineStr">
        <is>
          <t>https://www.etsy.com/listing/1219136707</t>
        </is>
      </c>
    </row>
    <row r="1819">
      <c r="A1819" s="3" t="inlineStr">
        <is>
          <t>rings</t>
        </is>
      </c>
      <c r="B1819" s="3" t="inlineStr">
        <is>
          <t>10K Gold Nugget Ring / Men's Square Band in Yellow</t>
        </is>
      </c>
      <c r="C1819" s="3" t="n">
        <v>1219136707</v>
      </c>
      <c r="D1819" s="3" t="inlineStr">
        <is>
          <t>R50-12.5</t>
        </is>
      </c>
      <c r="E1819" s="3" t="inlineStr">
        <is>
          <t>description</t>
        </is>
      </c>
      <c r="F1819" s="14" t="n">
        <v>645</v>
      </c>
      <c r="G1819" s="17" t="n">
        <v>5.59</v>
      </c>
      <c r="H1819" s="14">
        <f>IF(G1819="","",G1819*Ayarlar!$B$3+Ayarlar!$B$4+Ayarlar!$B$5)</f>
        <v/>
      </c>
      <c r="I1819" s="14">
        <f>IF(G1819="","",ROUNDUP(((G1819*Ayarlar!$B$3+Ayarlar!$B$4+Ayarlar!$B$5)+Ayarlar!$B$8)/((1-Ayarlar!$B$6)*(1-Ayarlar!$B$7)),0))</f>
        <v/>
      </c>
      <c r="J1819" s="14">
        <f>IF(G1819="","",ROUNDUP(((G1819*Ayarlar!$B$3+Ayarlar!$B$4+Ayarlar!$B$5)+Ayarlar!$B$8)/((1-Ayarlar!$B$6)*(1-Ayarlar!$B$7-Ayarlar!$B$9)),0))</f>
        <v/>
      </c>
      <c r="K1819" s="15">
        <f>IF(OR(G1819="",F1819=""),"",(F1819*(1-Ayarlar!$B$6)-(F1819*(1-Ayarlar!$B$6)*Ayarlar!$B$7+Ayarlar!$B$8)-(G1819*Ayarlar!$B$3+Ayarlar!$B$4+Ayarlar!$B$5))/(F1819*(1-Ayarlar!$B$6)))</f>
        <v/>
      </c>
      <c r="L1819" s="3">
        <f>IF(G1819="","GRAM EKSİK",IF(F1819&gt;30000,"FİYAT ŞÜPHELİ",IF(K1819&lt;0,"ZARARDA",IF(F1819&lt;I1819,"RİSKLİ","ok"))))</f>
        <v/>
      </c>
      <c r="M1819" s="16" t="inlineStr">
        <is>
          <t>https://www.etsy.com/listing/1219136707</t>
        </is>
      </c>
    </row>
    <row r="1820">
      <c r="A1820" s="9" t="inlineStr">
        <is>
          <t>rings</t>
        </is>
      </c>
      <c r="B1820" s="9" t="inlineStr">
        <is>
          <t>10K Gold Nugget Ring / Men's Square Band in Yellow</t>
        </is>
      </c>
      <c r="C1820" s="9" t="n">
        <v>1219136707</v>
      </c>
      <c r="D1820" s="9" t="inlineStr">
        <is>
          <t>R50-7</t>
        </is>
      </c>
      <c r="E1820" s="9" t="inlineStr">
        <is>
          <t>description</t>
        </is>
      </c>
      <c r="F1820" s="10" t="n">
        <v>645</v>
      </c>
      <c r="G1820" s="18" t="n">
        <v>5.59</v>
      </c>
      <c r="H1820" s="10">
        <f>IF(G1820="","",G1820*Ayarlar!$B$3+Ayarlar!$B$4+Ayarlar!$B$5)</f>
        <v/>
      </c>
      <c r="I1820" s="10">
        <f>IF(G1820="","",ROUNDUP(((G1820*Ayarlar!$B$3+Ayarlar!$B$4+Ayarlar!$B$5)+Ayarlar!$B$8)/((1-Ayarlar!$B$6)*(1-Ayarlar!$B$7)),0))</f>
        <v/>
      </c>
      <c r="J1820" s="10">
        <f>IF(G1820="","",ROUNDUP(((G1820*Ayarlar!$B$3+Ayarlar!$B$4+Ayarlar!$B$5)+Ayarlar!$B$8)/((1-Ayarlar!$B$6)*(1-Ayarlar!$B$7-Ayarlar!$B$9)),0))</f>
        <v/>
      </c>
      <c r="K1820" s="12">
        <f>IF(OR(G1820="",F1820=""),"",(F1820*(1-Ayarlar!$B$6)-(F1820*(1-Ayarlar!$B$6)*Ayarlar!$B$7+Ayarlar!$B$8)-(G1820*Ayarlar!$B$3+Ayarlar!$B$4+Ayarlar!$B$5))/(F1820*(1-Ayarlar!$B$6)))</f>
        <v/>
      </c>
      <c r="L1820" s="9">
        <f>IF(G1820="","GRAM EKSİK",IF(F1820&gt;30000,"FİYAT ŞÜPHELİ",IF(K1820&lt;0,"ZARARDA",IF(F1820&lt;I1820,"RİSKLİ","ok"))))</f>
        <v/>
      </c>
      <c r="M1820" s="13" t="inlineStr">
        <is>
          <t>https://www.etsy.com/listing/1219136707</t>
        </is>
      </c>
    </row>
    <row r="1821">
      <c r="A1821" s="3" t="inlineStr">
        <is>
          <t>rings</t>
        </is>
      </c>
      <c r="B1821" s="3" t="inlineStr">
        <is>
          <t>10K Gold Nugget Ring / Men's Square Band in Yellow</t>
        </is>
      </c>
      <c r="C1821" s="3" t="n">
        <v>1219136707</v>
      </c>
      <c r="D1821" s="3" t="inlineStr">
        <is>
          <t>R50-7.5</t>
        </is>
      </c>
      <c r="E1821" s="3" t="inlineStr">
        <is>
          <t>description</t>
        </is>
      </c>
      <c r="F1821" s="14" t="n">
        <v>645</v>
      </c>
      <c r="G1821" s="17" t="n">
        <v>5.59</v>
      </c>
      <c r="H1821" s="14">
        <f>IF(G1821="","",G1821*Ayarlar!$B$3+Ayarlar!$B$4+Ayarlar!$B$5)</f>
        <v/>
      </c>
      <c r="I1821" s="14">
        <f>IF(G1821="","",ROUNDUP(((G1821*Ayarlar!$B$3+Ayarlar!$B$4+Ayarlar!$B$5)+Ayarlar!$B$8)/((1-Ayarlar!$B$6)*(1-Ayarlar!$B$7)),0))</f>
        <v/>
      </c>
      <c r="J1821" s="14">
        <f>IF(G1821="","",ROUNDUP(((G1821*Ayarlar!$B$3+Ayarlar!$B$4+Ayarlar!$B$5)+Ayarlar!$B$8)/((1-Ayarlar!$B$6)*(1-Ayarlar!$B$7-Ayarlar!$B$9)),0))</f>
        <v/>
      </c>
      <c r="K1821" s="15">
        <f>IF(OR(G1821="",F1821=""),"",(F1821*(1-Ayarlar!$B$6)-(F1821*(1-Ayarlar!$B$6)*Ayarlar!$B$7+Ayarlar!$B$8)-(G1821*Ayarlar!$B$3+Ayarlar!$B$4+Ayarlar!$B$5))/(F1821*(1-Ayarlar!$B$6)))</f>
        <v/>
      </c>
      <c r="L1821" s="3">
        <f>IF(G1821="","GRAM EKSİK",IF(F1821&gt;30000,"FİYAT ŞÜPHELİ",IF(K1821&lt;0,"ZARARDA",IF(F1821&lt;I1821,"RİSKLİ","ok"))))</f>
        <v/>
      </c>
      <c r="M1821" s="16" t="inlineStr">
        <is>
          <t>https://www.etsy.com/listing/1219136707</t>
        </is>
      </c>
    </row>
    <row r="1822">
      <c r="A1822" s="9" t="inlineStr">
        <is>
          <t>rings</t>
        </is>
      </c>
      <c r="B1822" s="9" t="inlineStr">
        <is>
          <t>10K Gold Nugget Ring / Men's Square Band in Yellow</t>
        </is>
      </c>
      <c r="C1822" s="9" t="n">
        <v>1219136707</v>
      </c>
      <c r="D1822" s="9" t="inlineStr">
        <is>
          <t>R50-8</t>
        </is>
      </c>
      <c r="E1822" s="9" t="inlineStr">
        <is>
          <t>description</t>
        </is>
      </c>
      <c r="F1822" s="10" t="n">
        <v>645</v>
      </c>
      <c r="G1822" s="18" t="n">
        <v>5.59</v>
      </c>
      <c r="H1822" s="10">
        <f>IF(G1822="","",G1822*Ayarlar!$B$3+Ayarlar!$B$4+Ayarlar!$B$5)</f>
        <v/>
      </c>
      <c r="I1822" s="10">
        <f>IF(G1822="","",ROUNDUP(((G1822*Ayarlar!$B$3+Ayarlar!$B$4+Ayarlar!$B$5)+Ayarlar!$B$8)/((1-Ayarlar!$B$6)*(1-Ayarlar!$B$7)),0))</f>
        <v/>
      </c>
      <c r="J1822" s="10">
        <f>IF(G1822="","",ROUNDUP(((G1822*Ayarlar!$B$3+Ayarlar!$B$4+Ayarlar!$B$5)+Ayarlar!$B$8)/((1-Ayarlar!$B$6)*(1-Ayarlar!$B$7-Ayarlar!$B$9)),0))</f>
        <v/>
      </c>
      <c r="K1822" s="12">
        <f>IF(OR(G1822="",F1822=""),"",(F1822*(1-Ayarlar!$B$6)-(F1822*(1-Ayarlar!$B$6)*Ayarlar!$B$7+Ayarlar!$B$8)-(G1822*Ayarlar!$B$3+Ayarlar!$B$4+Ayarlar!$B$5))/(F1822*(1-Ayarlar!$B$6)))</f>
        <v/>
      </c>
      <c r="L1822" s="9">
        <f>IF(G1822="","GRAM EKSİK",IF(F1822&gt;30000,"FİYAT ŞÜPHELİ",IF(K1822&lt;0,"ZARARDA",IF(F1822&lt;I1822,"RİSKLİ","ok"))))</f>
        <v/>
      </c>
      <c r="M1822" s="13" t="inlineStr">
        <is>
          <t>https://www.etsy.com/listing/1219136707</t>
        </is>
      </c>
    </row>
    <row r="1823">
      <c r="A1823" s="3" t="inlineStr">
        <is>
          <t>rings</t>
        </is>
      </c>
      <c r="B1823" s="3" t="inlineStr">
        <is>
          <t>10K Gold Nugget Ring / Men's Square Band in Yellow</t>
        </is>
      </c>
      <c r="C1823" s="3" t="n">
        <v>1219136707</v>
      </c>
      <c r="D1823" s="3" t="inlineStr">
        <is>
          <t>R50-8.5</t>
        </is>
      </c>
      <c r="E1823" s="3" t="inlineStr">
        <is>
          <t>description</t>
        </is>
      </c>
      <c r="F1823" s="14" t="n">
        <v>645</v>
      </c>
      <c r="G1823" s="17" t="n">
        <v>5.59</v>
      </c>
      <c r="H1823" s="14">
        <f>IF(G1823="","",G1823*Ayarlar!$B$3+Ayarlar!$B$4+Ayarlar!$B$5)</f>
        <v/>
      </c>
      <c r="I1823" s="14">
        <f>IF(G1823="","",ROUNDUP(((G1823*Ayarlar!$B$3+Ayarlar!$B$4+Ayarlar!$B$5)+Ayarlar!$B$8)/((1-Ayarlar!$B$6)*(1-Ayarlar!$B$7)),0))</f>
        <v/>
      </c>
      <c r="J1823" s="14">
        <f>IF(G1823="","",ROUNDUP(((G1823*Ayarlar!$B$3+Ayarlar!$B$4+Ayarlar!$B$5)+Ayarlar!$B$8)/((1-Ayarlar!$B$6)*(1-Ayarlar!$B$7-Ayarlar!$B$9)),0))</f>
        <v/>
      </c>
      <c r="K1823" s="15">
        <f>IF(OR(G1823="",F1823=""),"",(F1823*(1-Ayarlar!$B$6)-(F1823*(1-Ayarlar!$B$6)*Ayarlar!$B$7+Ayarlar!$B$8)-(G1823*Ayarlar!$B$3+Ayarlar!$B$4+Ayarlar!$B$5))/(F1823*(1-Ayarlar!$B$6)))</f>
        <v/>
      </c>
      <c r="L1823" s="3">
        <f>IF(G1823="","GRAM EKSİK",IF(F1823&gt;30000,"FİYAT ŞÜPHELİ",IF(K1823&lt;0,"ZARARDA",IF(F1823&lt;I1823,"RİSKLİ","ok"))))</f>
        <v/>
      </c>
      <c r="M1823" s="16" t="inlineStr">
        <is>
          <t>https://www.etsy.com/listing/1219136707</t>
        </is>
      </c>
    </row>
    <row r="1824">
      <c r="A1824" s="9" t="inlineStr">
        <is>
          <t>rings</t>
        </is>
      </c>
      <c r="B1824" s="9" t="inlineStr">
        <is>
          <t>10K Gold Nugget Ring / Men's Square Band in Yellow</t>
        </is>
      </c>
      <c r="C1824" s="9" t="n">
        <v>1219136707</v>
      </c>
      <c r="D1824" s="9" t="inlineStr">
        <is>
          <t>R50-9</t>
        </is>
      </c>
      <c r="E1824" s="9" t="inlineStr">
        <is>
          <t>description</t>
        </is>
      </c>
      <c r="F1824" s="10" t="n">
        <v>645</v>
      </c>
      <c r="G1824" s="18" t="n">
        <v>5.59</v>
      </c>
      <c r="H1824" s="10">
        <f>IF(G1824="","",G1824*Ayarlar!$B$3+Ayarlar!$B$4+Ayarlar!$B$5)</f>
        <v/>
      </c>
      <c r="I1824" s="10">
        <f>IF(G1824="","",ROUNDUP(((G1824*Ayarlar!$B$3+Ayarlar!$B$4+Ayarlar!$B$5)+Ayarlar!$B$8)/((1-Ayarlar!$B$6)*(1-Ayarlar!$B$7)),0))</f>
        <v/>
      </c>
      <c r="J1824" s="10">
        <f>IF(G1824="","",ROUNDUP(((G1824*Ayarlar!$B$3+Ayarlar!$B$4+Ayarlar!$B$5)+Ayarlar!$B$8)/((1-Ayarlar!$B$6)*(1-Ayarlar!$B$7-Ayarlar!$B$9)),0))</f>
        <v/>
      </c>
      <c r="K1824" s="12">
        <f>IF(OR(G1824="",F1824=""),"",(F1824*(1-Ayarlar!$B$6)-(F1824*(1-Ayarlar!$B$6)*Ayarlar!$B$7+Ayarlar!$B$8)-(G1824*Ayarlar!$B$3+Ayarlar!$B$4+Ayarlar!$B$5))/(F1824*(1-Ayarlar!$B$6)))</f>
        <v/>
      </c>
      <c r="L1824" s="9">
        <f>IF(G1824="","GRAM EKSİK",IF(F1824&gt;30000,"FİYAT ŞÜPHELİ",IF(K1824&lt;0,"ZARARDA",IF(F1824&lt;I1824,"RİSKLİ","ok"))))</f>
        <v/>
      </c>
      <c r="M1824" s="13" t="inlineStr">
        <is>
          <t>https://www.etsy.com/listing/1219136707</t>
        </is>
      </c>
    </row>
    <row r="1825">
      <c r="A1825" s="3" t="inlineStr">
        <is>
          <t>rings</t>
        </is>
      </c>
      <c r="B1825" s="3" t="inlineStr">
        <is>
          <t>10K Gold Nugget Ring / Men's Square Band in Yellow</t>
        </is>
      </c>
      <c r="C1825" s="3" t="n">
        <v>1219136707</v>
      </c>
      <c r="D1825" s="3" t="inlineStr">
        <is>
          <t>R50-9.5</t>
        </is>
      </c>
      <c r="E1825" s="3" t="inlineStr">
        <is>
          <t>description</t>
        </is>
      </c>
      <c r="F1825" s="14" t="n">
        <v>645</v>
      </c>
      <c r="G1825" s="17" t="n">
        <v>5.59</v>
      </c>
      <c r="H1825" s="14">
        <f>IF(G1825="","",G1825*Ayarlar!$B$3+Ayarlar!$B$4+Ayarlar!$B$5)</f>
        <v/>
      </c>
      <c r="I1825" s="14">
        <f>IF(G1825="","",ROUNDUP(((G1825*Ayarlar!$B$3+Ayarlar!$B$4+Ayarlar!$B$5)+Ayarlar!$B$8)/((1-Ayarlar!$B$6)*(1-Ayarlar!$B$7)),0))</f>
        <v/>
      </c>
      <c r="J1825" s="14">
        <f>IF(G1825="","",ROUNDUP(((G1825*Ayarlar!$B$3+Ayarlar!$B$4+Ayarlar!$B$5)+Ayarlar!$B$8)/((1-Ayarlar!$B$6)*(1-Ayarlar!$B$7-Ayarlar!$B$9)),0))</f>
        <v/>
      </c>
      <c r="K1825" s="15">
        <f>IF(OR(G1825="",F1825=""),"",(F1825*(1-Ayarlar!$B$6)-(F1825*(1-Ayarlar!$B$6)*Ayarlar!$B$7+Ayarlar!$B$8)-(G1825*Ayarlar!$B$3+Ayarlar!$B$4+Ayarlar!$B$5))/(F1825*(1-Ayarlar!$B$6)))</f>
        <v/>
      </c>
      <c r="L1825" s="3">
        <f>IF(G1825="","GRAM EKSİK",IF(F1825&gt;30000,"FİYAT ŞÜPHELİ",IF(K1825&lt;0,"ZARARDA",IF(F1825&lt;I1825,"RİSKLİ","ok"))))</f>
        <v/>
      </c>
      <c r="M1825" s="16" t="inlineStr">
        <is>
          <t>https://www.etsy.com/listing/1219136707</t>
        </is>
      </c>
    </row>
    <row r="1826">
      <c r="A1826" s="9" t="inlineStr">
        <is>
          <t>rings</t>
        </is>
      </c>
      <c r="B1826" s="9" t="inlineStr">
        <is>
          <t>10K Solid Gold CZ Stone Men's Ring / Statement Jewelry</t>
        </is>
      </c>
      <c r="C1826" s="9" t="n">
        <v>1743975353</v>
      </c>
      <c r="D1826" s="9" t="inlineStr">
        <is>
          <t>RCZOV-10</t>
        </is>
      </c>
      <c r="E1826" s="9" t="inlineStr">
        <is>
          <t>shipstation</t>
        </is>
      </c>
      <c r="F1826" s="10" t="n">
        <v>474</v>
      </c>
      <c r="G1826" s="18" t="n">
        <v>4.38</v>
      </c>
      <c r="H1826" s="10">
        <f>IF(G1826="","",G1826*Ayarlar!$B$3+Ayarlar!$B$4+Ayarlar!$B$5)</f>
        <v/>
      </c>
      <c r="I1826" s="10">
        <f>IF(G1826="","",ROUNDUP(((G1826*Ayarlar!$B$3+Ayarlar!$B$4+Ayarlar!$B$5)+Ayarlar!$B$8)/((1-Ayarlar!$B$6)*(1-Ayarlar!$B$7)),0))</f>
        <v/>
      </c>
      <c r="J1826" s="10">
        <f>IF(G1826="","",ROUNDUP(((G1826*Ayarlar!$B$3+Ayarlar!$B$4+Ayarlar!$B$5)+Ayarlar!$B$8)/((1-Ayarlar!$B$6)*(1-Ayarlar!$B$7-Ayarlar!$B$9)),0))</f>
        <v/>
      </c>
      <c r="K1826" s="12">
        <f>IF(OR(G1826="",F1826=""),"",(F1826*(1-Ayarlar!$B$6)-(F1826*(1-Ayarlar!$B$6)*Ayarlar!$B$7+Ayarlar!$B$8)-(G1826*Ayarlar!$B$3+Ayarlar!$B$4+Ayarlar!$B$5))/(F1826*(1-Ayarlar!$B$6)))</f>
        <v/>
      </c>
      <c r="L1826" s="9">
        <f>IF(G1826="","GRAM EKSİK",IF(F1826&gt;30000,"FİYAT ŞÜPHELİ",IF(K1826&lt;0,"ZARARDA",IF(F1826&lt;I1826,"RİSKLİ","ok"))))</f>
        <v/>
      </c>
      <c r="M1826" s="13" t="inlineStr">
        <is>
          <t>https://www.etsy.com/listing/1743975353</t>
        </is>
      </c>
    </row>
    <row r="1827">
      <c r="A1827" s="3" t="inlineStr">
        <is>
          <t>rings</t>
        </is>
      </c>
      <c r="B1827" s="3" t="inlineStr">
        <is>
          <t>10K Solid Gold CZ Stone Men's Ring / Statement Jewelry</t>
        </is>
      </c>
      <c r="C1827" s="3" t="n">
        <v>1743975353</v>
      </c>
      <c r="D1827" s="3" t="inlineStr">
        <is>
          <t>RCZOV-10.5</t>
        </is>
      </c>
      <c r="E1827" s="3" t="inlineStr">
        <is>
          <t>description</t>
        </is>
      </c>
      <c r="F1827" s="14" t="n">
        <v>470</v>
      </c>
      <c r="G1827" s="17" t="n">
        <v>3.56</v>
      </c>
      <c r="H1827" s="14">
        <f>IF(G1827="","",G1827*Ayarlar!$B$3+Ayarlar!$B$4+Ayarlar!$B$5)</f>
        <v/>
      </c>
      <c r="I1827" s="14">
        <f>IF(G1827="","",ROUNDUP(((G1827*Ayarlar!$B$3+Ayarlar!$B$4+Ayarlar!$B$5)+Ayarlar!$B$8)/((1-Ayarlar!$B$6)*(1-Ayarlar!$B$7)),0))</f>
        <v/>
      </c>
      <c r="J1827" s="14">
        <f>IF(G1827="","",ROUNDUP(((G1827*Ayarlar!$B$3+Ayarlar!$B$4+Ayarlar!$B$5)+Ayarlar!$B$8)/((1-Ayarlar!$B$6)*(1-Ayarlar!$B$7-Ayarlar!$B$9)),0))</f>
        <v/>
      </c>
      <c r="K1827" s="15">
        <f>IF(OR(G1827="",F1827=""),"",(F1827*(1-Ayarlar!$B$6)-(F1827*(1-Ayarlar!$B$6)*Ayarlar!$B$7+Ayarlar!$B$8)-(G1827*Ayarlar!$B$3+Ayarlar!$B$4+Ayarlar!$B$5))/(F1827*(1-Ayarlar!$B$6)))</f>
        <v/>
      </c>
      <c r="L1827" s="3">
        <f>IF(G1827="","GRAM EKSİK",IF(F1827&gt;30000,"FİYAT ŞÜPHELİ",IF(K1827&lt;0,"ZARARDA",IF(F1827&lt;I1827,"RİSKLİ","ok"))))</f>
        <v/>
      </c>
      <c r="M1827" s="16" t="inlineStr">
        <is>
          <t>https://www.etsy.com/listing/1743975353</t>
        </is>
      </c>
    </row>
    <row r="1828">
      <c r="A1828" s="9" t="inlineStr">
        <is>
          <t>rings</t>
        </is>
      </c>
      <c r="B1828" s="9" t="inlineStr">
        <is>
          <t>10K Solid Gold CZ Stone Men's Ring / Statement Jewelry</t>
        </is>
      </c>
      <c r="C1828" s="9" t="n">
        <v>1743975353</v>
      </c>
      <c r="D1828" s="9" t="inlineStr">
        <is>
          <t>RCZOV-11</t>
        </is>
      </c>
      <c r="E1828" s="9" t="inlineStr">
        <is>
          <t>description</t>
        </is>
      </c>
      <c r="F1828" s="10" t="n">
        <v>470</v>
      </c>
      <c r="G1828" s="18" t="n">
        <v>3.56</v>
      </c>
      <c r="H1828" s="10">
        <f>IF(G1828="","",G1828*Ayarlar!$B$3+Ayarlar!$B$4+Ayarlar!$B$5)</f>
        <v/>
      </c>
      <c r="I1828" s="10">
        <f>IF(G1828="","",ROUNDUP(((G1828*Ayarlar!$B$3+Ayarlar!$B$4+Ayarlar!$B$5)+Ayarlar!$B$8)/((1-Ayarlar!$B$6)*(1-Ayarlar!$B$7)),0))</f>
        <v/>
      </c>
      <c r="J1828" s="10">
        <f>IF(G1828="","",ROUNDUP(((G1828*Ayarlar!$B$3+Ayarlar!$B$4+Ayarlar!$B$5)+Ayarlar!$B$8)/((1-Ayarlar!$B$6)*(1-Ayarlar!$B$7-Ayarlar!$B$9)),0))</f>
        <v/>
      </c>
      <c r="K1828" s="12">
        <f>IF(OR(G1828="",F1828=""),"",(F1828*(1-Ayarlar!$B$6)-(F1828*(1-Ayarlar!$B$6)*Ayarlar!$B$7+Ayarlar!$B$8)-(G1828*Ayarlar!$B$3+Ayarlar!$B$4+Ayarlar!$B$5))/(F1828*(1-Ayarlar!$B$6)))</f>
        <v/>
      </c>
      <c r="L1828" s="9">
        <f>IF(G1828="","GRAM EKSİK",IF(F1828&gt;30000,"FİYAT ŞÜPHELİ",IF(K1828&lt;0,"ZARARDA",IF(F1828&lt;I1828,"RİSKLİ","ok"))))</f>
        <v/>
      </c>
      <c r="M1828" s="13" t="inlineStr">
        <is>
          <t>https://www.etsy.com/listing/1743975353</t>
        </is>
      </c>
    </row>
    <row r="1829">
      <c r="A1829" s="3" t="inlineStr">
        <is>
          <t>rings</t>
        </is>
      </c>
      <c r="B1829" s="3" t="inlineStr">
        <is>
          <t>10K Solid Gold CZ Stone Men's Ring / Statement Jewelry</t>
        </is>
      </c>
      <c r="C1829" s="3" t="n">
        <v>1743975353</v>
      </c>
      <c r="D1829" s="3" t="inlineStr">
        <is>
          <t>RCZOV-11.5</t>
        </is>
      </c>
      <c r="E1829" s="3" t="inlineStr">
        <is>
          <t>description</t>
        </is>
      </c>
      <c r="F1829" s="14" t="n">
        <v>470</v>
      </c>
      <c r="G1829" s="17" t="n">
        <v>3.56</v>
      </c>
      <c r="H1829" s="14">
        <f>IF(G1829="","",G1829*Ayarlar!$B$3+Ayarlar!$B$4+Ayarlar!$B$5)</f>
        <v/>
      </c>
      <c r="I1829" s="14">
        <f>IF(G1829="","",ROUNDUP(((G1829*Ayarlar!$B$3+Ayarlar!$B$4+Ayarlar!$B$5)+Ayarlar!$B$8)/((1-Ayarlar!$B$6)*(1-Ayarlar!$B$7)),0))</f>
        <v/>
      </c>
      <c r="J1829" s="14">
        <f>IF(G1829="","",ROUNDUP(((G1829*Ayarlar!$B$3+Ayarlar!$B$4+Ayarlar!$B$5)+Ayarlar!$B$8)/((1-Ayarlar!$B$6)*(1-Ayarlar!$B$7-Ayarlar!$B$9)),0))</f>
        <v/>
      </c>
      <c r="K1829" s="15">
        <f>IF(OR(G1829="",F1829=""),"",(F1829*(1-Ayarlar!$B$6)-(F1829*(1-Ayarlar!$B$6)*Ayarlar!$B$7+Ayarlar!$B$8)-(G1829*Ayarlar!$B$3+Ayarlar!$B$4+Ayarlar!$B$5))/(F1829*(1-Ayarlar!$B$6)))</f>
        <v/>
      </c>
      <c r="L1829" s="3">
        <f>IF(G1829="","GRAM EKSİK",IF(F1829&gt;30000,"FİYAT ŞÜPHELİ",IF(K1829&lt;0,"ZARARDA",IF(F1829&lt;I1829,"RİSKLİ","ok"))))</f>
        <v/>
      </c>
      <c r="M1829" s="16" t="inlineStr">
        <is>
          <t>https://www.etsy.com/listing/1743975353</t>
        </is>
      </c>
    </row>
    <row r="1830">
      <c r="A1830" s="9" t="inlineStr">
        <is>
          <t>rings</t>
        </is>
      </c>
      <c r="B1830" s="9" t="inlineStr">
        <is>
          <t>10K Solid Gold CZ Stone Men's Ring / Statement Jewelry</t>
        </is>
      </c>
      <c r="C1830" s="9" t="n">
        <v>1743975353</v>
      </c>
      <c r="D1830" s="9" t="inlineStr">
        <is>
          <t>RCZOV-12</t>
        </is>
      </c>
      <c r="E1830" s="9" t="inlineStr">
        <is>
          <t>description</t>
        </is>
      </c>
      <c r="F1830" s="10" t="n">
        <v>470</v>
      </c>
      <c r="G1830" s="18" t="n">
        <v>3.56</v>
      </c>
      <c r="H1830" s="10">
        <f>IF(G1830="","",G1830*Ayarlar!$B$3+Ayarlar!$B$4+Ayarlar!$B$5)</f>
        <v/>
      </c>
      <c r="I1830" s="10">
        <f>IF(G1830="","",ROUNDUP(((G1830*Ayarlar!$B$3+Ayarlar!$B$4+Ayarlar!$B$5)+Ayarlar!$B$8)/((1-Ayarlar!$B$6)*(1-Ayarlar!$B$7)),0))</f>
        <v/>
      </c>
      <c r="J1830" s="10">
        <f>IF(G1830="","",ROUNDUP(((G1830*Ayarlar!$B$3+Ayarlar!$B$4+Ayarlar!$B$5)+Ayarlar!$B$8)/((1-Ayarlar!$B$6)*(1-Ayarlar!$B$7-Ayarlar!$B$9)),0))</f>
        <v/>
      </c>
      <c r="K1830" s="12">
        <f>IF(OR(G1830="",F1830=""),"",(F1830*(1-Ayarlar!$B$6)-(F1830*(1-Ayarlar!$B$6)*Ayarlar!$B$7+Ayarlar!$B$8)-(G1830*Ayarlar!$B$3+Ayarlar!$B$4+Ayarlar!$B$5))/(F1830*(1-Ayarlar!$B$6)))</f>
        <v/>
      </c>
      <c r="L1830" s="9">
        <f>IF(G1830="","GRAM EKSİK",IF(F1830&gt;30000,"FİYAT ŞÜPHELİ",IF(K1830&lt;0,"ZARARDA",IF(F1830&lt;I1830,"RİSKLİ","ok"))))</f>
        <v/>
      </c>
      <c r="M1830" s="13" t="inlineStr">
        <is>
          <t>https://www.etsy.com/listing/1743975353</t>
        </is>
      </c>
    </row>
    <row r="1831">
      <c r="A1831" s="3" t="inlineStr">
        <is>
          <t>rings</t>
        </is>
      </c>
      <c r="B1831" s="3" t="inlineStr">
        <is>
          <t>10K Solid Gold CZ Stone Men's Ring / Statement Jewelry</t>
        </is>
      </c>
      <c r="C1831" s="3" t="n">
        <v>1743975353</v>
      </c>
      <c r="D1831" s="3" t="inlineStr">
        <is>
          <t>RCZOV-12.5</t>
        </is>
      </c>
      <c r="E1831" s="3" t="inlineStr">
        <is>
          <t>description</t>
        </is>
      </c>
      <c r="F1831" s="14" t="n">
        <v>470</v>
      </c>
      <c r="G1831" s="17" t="n">
        <v>3.56</v>
      </c>
      <c r="H1831" s="14">
        <f>IF(G1831="","",G1831*Ayarlar!$B$3+Ayarlar!$B$4+Ayarlar!$B$5)</f>
        <v/>
      </c>
      <c r="I1831" s="14">
        <f>IF(G1831="","",ROUNDUP(((G1831*Ayarlar!$B$3+Ayarlar!$B$4+Ayarlar!$B$5)+Ayarlar!$B$8)/((1-Ayarlar!$B$6)*(1-Ayarlar!$B$7)),0))</f>
        <v/>
      </c>
      <c r="J1831" s="14">
        <f>IF(G1831="","",ROUNDUP(((G1831*Ayarlar!$B$3+Ayarlar!$B$4+Ayarlar!$B$5)+Ayarlar!$B$8)/((1-Ayarlar!$B$6)*(1-Ayarlar!$B$7-Ayarlar!$B$9)),0))</f>
        <v/>
      </c>
      <c r="K1831" s="15">
        <f>IF(OR(G1831="",F1831=""),"",(F1831*(1-Ayarlar!$B$6)-(F1831*(1-Ayarlar!$B$6)*Ayarlar!$B$7+Ayarlar!$B$8)-(G1831*Ayarlar!$B$3+Ayarlar!$B$4+Ayarlar!$B$5))/(F1831*(1-Ayarlar!$B$6)))</f>
        <v/>
      </c>
      <c r="L1831" s="3">
        <f>IF(G1831="","GRAM EKSİK",IF(F1831&gt;30000,"FİYAT ŞÜPHELİ",IF(K1831&lt;0,"ZARARDA",IF(F1831&lt;I1831,"RİSKLİ","ok"))))</f>
        <v/>
      </c>
      <c r="M1831" s="16" t="inlineStr">
        <is>
          <t>https://www.etsy.com/listing/1743975353</t>
        </is>
      </c>
    </row>
    <row r="1832">
      <c r="A1832" s="9" t="inlineStr">
        <is>
          <t>rings</t>
        </is>
      </c>
      <c r="B1832" s="9" t="inlineStr">
        <is>
          <t>10K Solid Gold CZ Stone Men's Ring / Statement Jewelry</t>
        </is>
      </c>
      <c r="C1832" s="9" t="n">
        <v>1743975353</v>
      </c>
      <c r="D1832" s="9" t="inlineStr">
        <is>
          <t>RCZOV-6</t>
        </is>
      </c>
      <c r="E1832" s="9" t="inlineStr">
        <is>
          <t>description</t>
        </is>
      </c>
      <c r="F1832" s="10" t="n">
        <v>470</v>
      </c>
      <c r="G1832" s="18" t="n">
        <v>3.56</v>
      </c>
      <c r="H1832" s="10">
        <f>IF(G1832="","",G1832*Ayarlar!$B$3+Ayarlar!$B$4+Ayarlar!$B$5)</f>
        <v/>
      </c>
      <c r="I1832" s="10">
        <f>IF(G1832="","",ROUNDUP(((G1832*Ayarlar!$B$3+Ayarlar!$B$4+Ayarlar!$B$5)+Ayarlar!$B$8)/((1-Ayarlar!$B$6)*(1-Ayarlar!$B$7)),0))</f>
        <v/>
      </c>
      <c r="J1832" s="10">
        <f>IF(G1832="","",ROUNDUP(((G1832*Ayarlar!$B$3+Ayarlar!$B$4+Ayarlar!$B$5)+Ayarlar!$B$8)/((1-Ayarlar!$B$6)*(1-Ayarlar!$B$7-Ayarlar!$B$9)),0))</f>
        <v/>
      </c>
      <c r="K1832" s="12">
        <f>IF(OR(G1832="",F1832=""),"",(F1832*(1-Ayarlar!$B$6)-(F1832*(1-Ayarlar!$B$6)*Ayarlar!$B$7+Ayarlar!$B$8)-(G1832*Ayarlar!$B$3+Ayarlar!$B$4+Ayarlar!$B$5))/(F1832*(1-Ayarlar!$B$6)))</f>
        <v/>
      </c>
      <c r="L1832" s="9">
        <f>IF(G1832="","GRAM EKSİK",IF(F1832&gt;30000,"FİYAT ŞÜPHELİ",IF(K1832&lt;0,"ZARARDA",IF(F1832&lt;I1832,"RİSKLİ","ok"))))</f>
        <v/>
      </c>
      <c r="M1832" s="13" t="inlineStr">
        <is>
          <t>https://www.etsy.com/listing/1743975353</t>
        </is>
      </c>
    </row>
    <row r="1833">
      <c r="A1833" s="3" t="inlineStr">
        <is>
          <t>rings</t>
        </is>
      </c>
      <c r="B1833" s="3" t="inlineStr">
        <is>
          <t>10K Solid Gold CZ Stone Men's Ring / Statement Jewelry</t>
        </is>
      </c>
      <c r="C1833" s="3" t="n">
        <v>1743975353</v>
      </c>
      <c r="D1833" s="3" t="inlineStr">
        <is>
          <t>RCZOV-6.5</t>
        </is>
      </c>
      <c r="E1833" s="3" t="inlineStr">
        <is>
          <t>description</t>
        </is>
      </c>
      <c r="F1833" s="14" t="n">
        <v>470</v>
      </c>
      <c r="G1833" s="17" t="n">
        <v>3.56</v>
      </c>
      <c r="H1833" s="14">
        <f>IF(G1833="","",G1833*Ayarlar!$B$3+Ayarlar!$B$4+Ayarlar!$B$5)</f>
        <v/>
      </c>
      <c r="I1833" s="14">
        <f>IF(G1833="","",ROUNDUP(((G1833*Ayarlar!$B$3+Ayarlar!$B$4+Ayarlar!$B$5)+Ayarlar!$B$8)/((1-Ayarlar!$B$6)*(1-Ayarlar!$B$7)),0))</f>
        <v/>
      </c>
      <c r="J1833" s="14">
        <f>IF(G1833="","",ROUNDUP(((G1833*Ayarlar!$B$3+Ayarlar!$B$4+Ayarlar!$B$5)+Ayarlar!$B$8)/((1-Ayarlar!$B$6)*(1-Ayarlar!$B$7-Ayarlar!$B$9)),0))</f>
        <v/>
      </c>
      <c r="K1833" s="15">
        <f>IF(OR(G1833="",F1833=""),"",(F1833*(1-Ayarlar!$B$6)-(F1833*(1-Ayarlar!$B$6)*Ayarlar!$B$7+Ayarlar!$B$8)-(G1833*Ayarlar!$B$3+Ayarlar!$B$4+Ayarlar!$B$5))/(F1833*(1-Ayarlar!$B$6)))</f>
        <v/>
      </c>
      <c r="L1833" s="3">
        <f>IF(G1833="","GRAM EKSİK",IF(F1833&gt;30000,"FİYAT ŞÜPHELİ",IF(K1833&lt;0,"ZARARDA",IF(F1833&lt;I1833,"RİSKLİ","ok"))))</f>
        <v/>
      </c>
      <c r="M1833" s="16" t="inlineStr">
        <is>
          <t>https://www.etsy.com/listing/1743975353</t>
        </is>
      </c>
    </row>
    <row r="1834">
      <c r="A1834" s="9" t="inlineStr">
        <is>
          <t>rings</t>
        </is>
      </c>
      <c r="B1834" s="9" t="inlineStr">
        <is>
          <t>10K Solid Gold CZ Stone Men's Ring / Statement Jewelry</t>
        </is>
      </c>
      <c r="C1834" s="9" t="n">
        <v>1743975353</v>
      </c>
      <c r="D1834" s="9" t="inlineStr">
        <is>
          <t>RCZOV-7</t>
        </is>
      </c>
      <c r="E1834" s="9" t="inlineStr">
        <is>
          <t>description</t>
        </is>
      </c>
      <c r="F1834" s="10" t="n">
        <v>470</v>
      </c>
      <c r="G1834" s="18" t="n">
        <v>3.56</v>
      </c>
      <c r="H1834" s="10">
        <f>IF(G1834="","",G1834*Ayarlar!$B$3+Ayarlar!$B$4+Ayarlar!$B$5)</f>
        <v/>
      </c>
      <c r="I1834" s="10">
        <f>IF(G1834="","",ROUNDUP(((G1834*Ayarlar!$B$3+Ayarlar!$B$4+Ayarlar!$B$5)+Ayarlar!$B$8)/((1-Ayarlar!$B$6)*(1-Ayarlar!$B$7)),0))</f>
        <v/>
      </c>
      <c r="J1834" s="10">
        <f>IF(G1834="","",ROUNDUP(((G1834*Ayarlar!$B$3+Ayarlar!$B$4+Ayarlar!$B$5)+Ayarlar!$B$8)/((1-Ayarlar!$B$6)*(1-Ayarlar!$B$7-Ayarlar!$B$9)),0))</f>
        <v/>
      </c>
      <c r="K1834" s="12">
        <f>IF(OR(G1834="",F1834=""),"",(F1834*(1-Ayarlar!$B$6)-(F1834*(1-Ayarlar!$B$6)*Ayarlar!$B$7+Ayarlar!$B$8)-(G1834*Ayarlar!$B$3+Ayarlar!$B$4+Ayarlar!$B$5))/(F1834*(1-Ayarlar!$B$6)))</f>
        <v/>
      </c>
      <c r="L1834" s="9">
        <f>IF(G1834="","GRAM EKSİK",IF(F1834&gt;30000,"FİYAT ŞÜPHELİ",IF(K1834&lt;0,"ZARARDA",IF(F1834&lt;I1834,"RİSKLİ","ok"))))</f>
        <v/>
      </c>
      <c r="M1834" s="13" t="inlineStr">
        <is>
          <t>https://www.etsy.com/listing/1743975353</t>
        </is>
      </c>
    </row>
    <row r="1835">
      <c r="A1835" s="3" t="inlineStr">
        <is>
          <t>rings</t>
        </is>
      </c>
      <c r="B1835" s="3" t="inlineStr">
        <is>
          <t>10K Solid Gold CZ Stone Men's Ring / Statement Jewelry</t>
        </is>
      </c>
      <c r="C1835" s="3" t="n">
        <v>1743975353</v>
      </c>
      <c r="D1835" s="3" t="inlineStr">
        <is>
          <t>RCZOV-7.5</t>
        </is>
      </c>
      <c r="E1835" s="3" t="inlineStr">
        <is>
          <t>description</t>
        </is>
      </c>
      <c r="F1835" s="14" t="n">
        <v>470</v>
      </c>
      <c r="G1835" s="17" t="n">
        <v>3.56</v>
      </c>
      <c r="H1835" s="14">
        <f>IF(G1835="","",G1835*Ayarlar!$B$3+Ayarlar!$B$4+Ayarlar!$B$5)</f>
        <v/>
      </c>
      <c r="I1835" s="14">
        <f>IF(G1835="","",ROUNDUP(((G1835*Ayarlar!$B$3+Ayarlar!$B$4+Ayarlar!$B$5)+Ayarlar!$B$8)/((1-Ayarlar!$B$6)*(1-Ayarlar!$B$7)),0))</f>
        <v/>
      </c>
      <c r="J1835" s="14">
        <f>IF(G1835="","",ROUNDUP(((G1835*Ayarlar!$B$3+Ayarlar!$B$4+Ayarlar!$B$5)+Ayarlar!$B$8)/((1-Ayarlar!$B$6)*(1-Ayarlar!$B$7-Ayarlar!$B$9)),0))</f>
        <v/>
      </c>
      <c r="K1835" s="15">
        <f>IF(OR(G1835="",F1835=""),"",(F1835*(1-Ayarlar!$B$6)-(F1835*(1-Ayarlar!$B$6)*Ayarlar!$B$7+Ayarlar!$B$8)-(G1835*Ayarlar!$B$3+Ayarlar!$B$4+Ayarlar!$B$5))/(F1835*(1-Ayarlar!$B$6)))</f>
        <v/>
      </c>
      <c r="L1835" s="3">
        <f>IF(G1835="","GRAM EKSİK",IF(F1835&gt;30000,"FİYAT ŞÜPHELİ",IF(K1835&lt;0,"ZARARDA",IF(F1835&lt;I1835,"RİSKLİ","ok"))))</f>
        <v/>
      </c>
      <c r="M1835" s="16" t="inlineStr">
        <is>
          <t>https://www.etsy.com/listing/1743975353</t>
        </is>
      </c>
    </row>
    <row r="1836">
      <c r="A1836" s="9" t="inlineStr">
        <is>
          <t>rings</t>
        </is>
      </c>
      <c r="B1836" s="9" t="inlineStr">
        <is>
          <t>10K Solid Gold CZ Stone Men's Ring / Statement Jewelry</t>
        </is>
      </c>
      <c r="C1836" s="9" t="n">
        <v>1743975353</v>
      </c>
      <c r="D1836" s="9" t="inlineStr">
        <is>
          <t>RCZOV-8</t>
        </is>
      </c>
      <c r="E1836" s="9" t="inlineStr">
        <is>
          <t>description</t>
        </is>
      </c>
      <c r="F1836" s="10" t="n">
        <v>470</v>
      </c>
      <c r="G1836" s="18" t="n">
        <v>3.56</v>
      </c>
      <c r="H1836" s="10">
        <f>IF(G1836="","",G1836*Ayarlar!$B$3+Ayarlar!$B$4+Ayarlar!$B$5)</f>
        <v/>
      </c>
      <c r="I1836" s="10">
        <f>IF(G1836="","",ROUNDUP(((G1836*Ayarlar!$B$3+Ayarlar!$B$4+Ayarlar!$B$5)+Ayarlar!$B$8)/((1-Ayarlar!$B$6)*(1-Ayarlar!$B$7)),0))</f>
        <v/>
      </c>
      <c r="J1836" s="10">
        <f>IF(G1836="","",ROUNDUP(((G1836*Ayarlar!$B$3+Ayarlar!$B$4+Ayarlar!$B$5)+Ayarlar!$B$8)/((1-Ayarlar!$B$6)*(1-Ayarlar!$B$7-Ayarlar!$B$9)),0))</f>
        <v/>
      </c>
      <c r="K1836" s="12">
        <f>IF(OR(G1836="",F1836=""),"",(F1836*(1-Ayarlar!$B$6)-(F1836*(1-Ayarlar!$B$6)*Ayarlar!$B$7+Ayarlar!$B$8)-(G1836*Ayarlar!$B$3+Ayarlar!$B$4+Ayarlar!$B$5))/(F1836*(1-Ayarlar!$B$6)))</f>
        <v/>
      </c>
      <c r="L1836" s="9">
        <f>IF(G1836="","GRAM EKSİK",IF(F1836&gt;30000,"FİYAT ŞÜPHELİ",IF(K1836&lt;0,"ZARARDA",IF(F1836&lt;I1836,"RİSKLİ","ok"))))</f>
        <v/>
      </c>
      <c r="M1836" s="13" t="inlineStr">
        <is>
          <t>https://www.etsy.com/listing/1743975353</t>
        </is>
      </c>
    </row>
    <row r="1837">
      <c r="A1837" s="3" t="inlineStr">
        <is>
          <t>rings</t>
        </is>
      </c>
      <c r="B1837" s="3" t="inlineStr">
        <is>
          <t>10K Solid Gold CZ Stone Men's Ring / Statement Jewelry</t>
        </is>
      </c>
      <c r="C1837" s="3" t="n">
        <v>1743975353</v>
      </c>
      <c r="D1837" s="3" t="inlineStr">
        <is>
          <t>RCZOV-8.5</t>
        </is>
      </c>
      <c r="E1837" s="3" t="inlineStr">
        <is>
          <t>description</t>
        </is>
      </c>
      <c r="F1837" s="14" t="n">
        <v>470</v>
      </c>
      <c r="G1837" s="17" t="n">
        <v>3.56</v>
      </c>
      <c r="H1837" s="14">
        <f>IF(G1837="","",G1837*Ayarlar!$B$3+Ayarlar!$B$4+Ayarlar!$B$5)</f>
        <v/>
      </c>
      <c r="I1837" s="14">
        <f>IF(G1837="","",ROUNDUP(((G1837*Ayarlar!$B$3+Ayarlar!$B$4+Ayarlar!$B$5)+Ayarlar!$B$8)/((1-Ayarlar!$B$6)*(1-Ayarlar!$B$7)),0))</f>
        <v/>
      </c>
      <c r="J1837" s="14">
        <f>IF(G1837="","",ROUNDUP(((G1837*Ayarlar!$B$3+Ayarlar!$B$4+Ayarlar!$B$5)+Ayarlar!$B$8)/((1-Ayarlar!$B$6)*(1-Ayarlar!$B$7-Ayarlar!$B$9)),0))</f>
        <v/>
      </c>
      <c r="K1837" s="15">
        <f>IF(OR(G1837="",F1837=""),"",(F1837*(1-Ayarlar!$B$6)-(F1837*(1-Ayarlar!$B$6)*Ayarlar!$B$7+Ayarlar!$B$8)-(G1837*Ayarlar!$B$3+Ayarlar!$B$4+Ayarlar!$B$5))/(F1837*(1-Ayarlar!$B$6)))</f>
        <v/>
      </c>
      <c r="L1837" s="3">
        <f>IF(G1837="","GRAM EKSİK",IF(F1837&gt;30000,"FİYAT ŞÜPHELİ",IF(K1837&lt;0,"ZARARDA",IF(F1837&lt;I1837,"RİSKLİ","ok"))))</f>
        <v/>
      </c>
      <c r="M1837" s="16" t="inlineStr">
        <is>
          <t>https://www.etsy.com/listing/1743975353</t>
        </is>
      </c>
    </row>
    <row r="1838">
      <c r="A1838" s="9" t="inlineStr">
        <is>
          <t>rings</t>
        </is>
      </c>
      <c r="B1838" s="9" t="inlineStr">
        <is>
          <t>10K Solid Gold CZ Stone Men's Ring / Statement Jewelry</t>
        </is>
      </c>
      <c r="C1838" s="9" t="n">
        <v>1743975353</v>
      </c>
      <c r="D1838" s="9" t="inlineStr">
        <is>
          <t>RCZOV-9</t>
        </is>
      </c>
      <c r="E1838" s="9" t="inlineStr">
        <is>
          <t>description</t>
        </is>
      </c>
      <c r="F1838" s="10" t="n">
        <v>470</v>
      </c>
      <c r="G1838" s="18" t="n">
        <v>3.56</v>
      </c>
      <c r="H1838" s="10">
        <f>IF(G1838="","",G1838*Ayarlar!$B$3+Ayarlar!$B$4+Ayarlar!$B$5)</f>
        <v/>
      </c>
      <c r="I1838" s="10">
        <f>IF(G1838="","",ROUNDUP(((G1838*Ayarlar!$B$3+Ayarlar!$B$4+Ayarlar!$B$5)+Ayarlar!$B$8)/((1-Ayarlar!$B$6)*(1-Ayarlar!$B$7)),0))</f>
        <v/>
      </c>
      <c r="J1838" s="10">
        <f>IF(G1838="","",ROUNDUP(((G1838*Ayarlar!$B$3+Ayarlar!$B$4+Ayarlar!$B$5)+Ayarlar!$B$8)/((1-Ayarlar!$B$6)*(1-Ayarlar!$B$7-Ayarlar!$B$9)),0))</f>
        <v/>
      </c>
      <c r="K1838" s="12">
        <f>IF(OR(G1838="",F1838=""),"",(F1838*(1-Ayarlar!$B$6)-(F1838*(1-Ayarlar!$B$6)*Ayarlar!$B$7+Ayarlar!$B$8)-(G1838*Ayarlar!$B$3+Ayarlar!$B$4+Ayarlar!$B$5))/(F1838*(1-Ayarlar!$B$6)))</f>
        <v/>
      </c>
      <c r="L1838" s="9">
        <f>IF(G1838="","GRAM EKSİK",IF(F1838&gt;30000,"FİYAT ŞÜPHELİ",IF(K1838&lt;0,"ZARARDA",IF(F1838&lt;I1838,"RİSKLİ","ok"))))</f>
        <v/>
      </c>
      <c r="M1838" s="13" t="inlineStr">
        <is>
          <t>https://www.etsy.com/listing/1743975353</t>
        </is>
      </c>
    </row>
    <row r="1839">
      <c r="A1839" s="3" t="inlineStr">
        <is>
          <t>rings</t>
        </is>
      </c>
      <c r="B1839" s="3" t="inlineStr">
        <is>
          <t>10K Solid Gold CZ Stone Men's Ring / Statement Jewelry</t>
        </is>
      </c>
      <c r="C1839" s="3" t="n">
        <v>1743975353</v>
      </c>
      <c r="D1839" s="3" t="inlineStr">
        <is>
          <t>RCZOV-9.5</t>
        </is>
      </c>
      <c r="E1839" s="3" t="inlineStr">
        <is>
          <t>description</t>
        </is>
      </c>
      <c r="F1839" s="14" t="n">
        <v>470</v>
      </c>
      <c r="G1839" s="17" t="n">
        <v>3.56</v>
      </c>
      <c r="H1839" s="14">
        <f>IF(G1839="","",G1839*Ayarlar!$B$3+Ayarlar!$B$4+Ayarlar!$B$5)</f>
        <v/>
      </c>
      <c r="I1839" s="14">
        <f>IF(G1839="","",ROUNDUP(((G1839*Ayarlar!$B$3+Ayarlar!$B$4+Ayarlar!$B$5)+Ayarlar!$B$8)/((1-Ayarlar!$B$6)*(1-Ayarlar!$B$7)),0))</f>
        <v/>
      </c>
      <c r="J1839" s="14">
        <f>IF(G1839="","",ROUNDUP(((G1839*Ayarlar!$B$3+Ayarlar!$B$4+Ayarlar!$B$5)+Ayarlar!$B$8)/((1-Ayarlar!$B$6)*(1-Ayarlar!$B$7-Ayarlar!$B$9)),0))</f>
        <v/>
      </c>
      <c r="K1839" s="15">
        <f>IF(OR(G1839="",F1839=""),"",(F1839*(1-Ayarlar!$B$6)-(F1839*(1-Ayarlar!$B$6)*Ayarlar!$B$7+Ayarlar!$B$8)-(G1839*Ayarlar!$B$3+Ayarlar!$B$4+Ayarlar!$B$5))/(F1839*(1-Ayarlar!$B$6)))</f>
        <v/>
      </c>
      <c r="L1839" s="3">
        <f>IF(G1839="","GRAM EKSİK",IF(F1839&gt;30000,"FİYAT ŞÜPHELİ",IF(K1839&lt;0,"ZARARDA",IF(F1839&lt;I1839,"RİSKLİ","ok"))))</f>
        <v/>
      </c>
      <c r="M1839" s="16" t="inlineStr">
        <is>
          <t>https://www.etsy.com/listing/1743975353</t>
        </is>
      </c>
    </row>
    <row r="1840">
      <c r="A1840" s="9" t="inlineStr">
        <is>
          <t>rings</t>
        </is>
      </c>
      <c r="B1840" s="9" t="inlineStr">
        <is>
          <t>10K Solid Gold CZ Stone Men's Ring / Statement Jewelry</t>
        </is>
      </c>
      <c r="C1840" s="9" t="n">
        <v>1743975353</v>
      </c>
      <c r="D1840" s="9" t="inlineStr">
        <is>
          <t>RCZREC-10</t>
        </is>
      </c>
      <c r="E1840" s="9" t="inlineStr">
        <is>
          <t>description</t>
        </is>
      </c>
      <c r="F1840" s="10" t="n">
        <v>449</v>
      </c>
      <c r="G1840" s="18" t="n">
        <v>3.56</v>
      </c>
      <c r="H1840" s="10">
        <f>IF(G1840="","",G1840*Ayarlar!$B$3+Ayarlar!$B$4+Ayarlar!$B$5)</f>
        <v/>
      </c>
      <c r="I1840" s="10">
        <f>IF(G1840="","",ROUNDUP(((G1840*Ayarlar!$B$3+Ayarlar!$B$4+Ayarlar!$B$5)+Ayarlar!$B$8)/((1-Ayarlar!$B$6)*(1-Ayarlar!$B$7)),0))</f>
        <v/>
      </c>
      <c r="J1840" s="10">
        <f>IF(G1840="","",ROUNDUP(((G1840*Ayarlar!$B$3+Ayarlar!$B$4+Ayarlar!$B$5)+Ayarlar!$B$8)/((1-Ayarlar!$B$6)*(1-Ayarlar!$B$7-Ayarlar!$B$9)),0))</f>
        <v/>
      </c>
      <c r="K1840" s="12">
        <f>IF(OR(G1840="",F1840=""),"",(F1840*(1-Ayarlar!$B$6)-(F1840*(1-Ayarlar!$B$6)*Ayarlar!$B$7+Ayarlar!$B$8)-(G1840*Ayarlar!$B$3+Ayarlar!$B$4+Ayarlar!$B$5))/(F1840*(1-Ayarlar!$B$6)))</f>
        <v/>
      </c>
      <c r="L1840" s="9">
        <f>IF(G1840="","GRAM EKSİK",IF(F1840&gt;30000,"FİYAT ŞÜPHELİ",IF(K1840&lt;0,"ZARARDA",IF(F1840&lt;I1840,"RİSKLİ","ok"))))</f>
        <v/>
      </c>
      <c r="M1840" s="13" t="inlineStr">
        <is>
          <t>https://www.etsy.com/listing/1743975353</t>
        </is>
      </c>
    </row>
    <row r="1841">
      <c r="A1841" s="3" t="inlineStr">
        <is>
          <t>rings</t>
        </is>
      </c>
      <c r="B1841" s="3" t="inlineStr">
        <is>
          <t>10K Solid Gold CZ Stone Men's Ring / Statement Jewelry</t>
        </is>
      </c>
      <c r="C1841" s="3" t="n">
        <v>1743975353</v>
      </c>
      <c r="D1841" s="3" t="inlineStr">
        <is>
          <t>RCZREC-10.5</t>
        </is>
      </c>
      <c r="E1841" s="3" t="inlineStr">
        <is>
          <t>description</t>
        </is>
      </c>
      <c r="F1841" s="14" t="n">
        <v>449</v>
      </c>
      <c r="G1841" s="17" t="n">
        <v>3.56</v>
      </c>
      <c r="H1841" s="14">
        <f>IF(G1841="","",G1841*Ayarlar!$B$3+Ayarlar!$B$4+Ayarlar!$B$5)</f>
        <v/>
      </c>
      <c r="I1841" s="14">
        <f>IF(G1841="","",ROUNDUP(((G1841*Ayarlar!$B$3+Ayarlar!$B$4+Ayarlar!$B$5)+Ayarlar!$B$8)/((1-Ayarlar!$B$6)*(1-Ayarlar!$B$7)),0))</f>
        <v/>
      </c>
      <c r="J1841" s="14">
        <f>IF(G1841="","",ROUNDUP(((G1841*Ayarlar!$B$3+Ayarlar!$B$4+Ayarlar!$B$5)+Ayarlar!$B$8)/((1-Ayarlar!$B$6)*(1-Ayarlar!$B$7-Ayarlar!$B$9)),0))</f>
        <v/>
      </c>
      <c r="K1841" s="15">
        <f>IF(OR(G1841="",F1841=""),"",(F1841*(1-Ayarlar!$B$6)-(F1841*(1-Ayarlar!$B$6)*Ayarlar!$B$7+Ayarlar!$B$8)-(G1841*Ayarlar!$B$3+Ayarlar!$B$4+Ayarlar!$B$5))/(F1841*(1-Ayarlar!$B$6)))</f>
        <v/>
      </c>
      <c r="L1841" s="3">
        <f>IF(G1841="","GRAM EKSİK",IF(F1841&gt;30000,"FİYAT ŞÜPHELİ",IF(K1841&lt;0,"ZARARDA",IF(F1841&lt;I1841,"RİSKLİ","ok"))))</f>
        <v/>
      </c>
      <c r="M1841" s="16" t="inlineStr">
        <is>
          <t>https://www.etsy.com/listing/1743975353</t>
        </is>
      </c>
    </row>
    <row r="1842">
      <c r="A1842" s="9" t="inlineStr">
        <is>
          <t>rings</t>
        </is>
      </c>
      <c r="B1842" s="9" t="inlineStr">
        <is>
          <t>10K Solid Gold CZ Stone Men's Ring / Statement Jewelry</t>
        </is>
      </c>
      <c r="C1842" s="9" t="n">
        <v>1743975353</v>
      </c>
      <c r="D1842" s="9" t="inlineStr">
        <is>
          <t>RCZREC-11</t>
        </is>
      </c>
      <c r="E1842" s="9" t="inlineStr">
        <is>
          <t>description</t>
        </is>
      </c>
      <c r="F1842" s="10" t="n">
        <v>449</v>
      </c>
      <c r="G1842" s="18" t="n">
        <v>3.56</v>
      </c>
      <c r="H1842" s="10">
        <f>IF(G1842="","",G1842*Ayarlar!$B$3+Ayarlar!$B$4+Ayarlar!$B$5)</f>
        <v/>
      </c>
      <c r="I1842" s="10">
        <f>IF(G1842="","",ROUNDUP(((G1842*Ayarlar!$B$3+Ayarlar!$B$4+Ayarlar!$B$5)+Ayarlar!$B$8)/((1-Ayarlar!$B$6)*(1-Ayarlar!$B$7)),0))</f>
        <v/>
      </c>
      <c r="J1842" s="10">
        <f>IF(G1842="","",ROUNDUP(((G1842*Ayarlar!$B$3+Ayarlar!$B$4+Ayarlar!$B$5)+Ayarlar!$B$8)/((1-Ayarlar!$B$6)*(1-Ayarlar!$B$7-Ayarlar!$B$9)),0))</f>
        <v/>
      </c>
      <c r="K1842" s="12">
        <f>IF(OR(G1842="",F1842=""),"",(F1842*(1-Ayarlar!$B$6)-(F1842*(1-Ayarlar!$B$6)*Ayarlar!$B$7+Ayarlar!$B$8)-(G1842*Ayarlar!$B$3+Ayarlar!$B$4+Ayarlar!$B$5))/(F1842*(1-Ayarlar!$B$6)))</f>
        <v/>
      </c>
      <c r="L1842" s="9">
        <f>IF(G1842="","GRAM EKSİK",IF(F1842&gt;30000,"FİYAT ŞÜPHELİ",IF(K1842&lt;0,"ZARARDA",IF(F1842&lt;I1842,"RİSKLİ","ok"))))</f>
        <v/>
      </c>
      <c r="M1842" s="13" t="inlineStr">
        <is>
          <t>https://www.etsy.com/listing/1743975353</t>
        </is>
      </c>
    </row>
    <row r="1843">
      <c r="A1843" s="3" t="inlineStr">
        <is>
          <t>rings</t>
        </is>
      </c>
      <c r="B1843" s="3" t="inlineStr">
        <is>
          <t>10K Solid Gold CZ Stone Men's Ring / Statement Jewelry</t>
        </is>
      </c>
      <c r="C1843" s="3" t="n">
        <v>1743975353</v>
      </c>
      <c r="D1843" s="3" t="inlineStr">
        <is>
          <t>RCZREC-11.5</t>
        </is>
      </c>
      <c r="E1843" s="3" t="inlineStr">
        <is>
          <t>description</t>
        </is>
      </c>
      <c r="F1843" s="14" t="n">
        <v>449</v>
      </c>
      <c r="G1843" s="17" t="n">
        <v>3.56</v>
      </c>
      <c r="H1843" s="14">
        <f>IF(G1843="","",G1843*Ayarlar!$B$3+Ayarlar!$B$4+Ayarlar!$B$5)</f>
        <v/>
      </c>
      <c r="I1843" s="14">
        <f>IF(G1843="","",ROUNDUP(((G1843*Ayarlar!$B$3+Ayarlar!$B$4+Ayarlar!$B$5)+Ayarlar!$B$8)/((1-Ayarlar!$B$6)*(1-Ayarlar!$B$7)),0))</f>
        <v/>
      </c>
      <c r="J1843" s="14">
        <f>IF(G1843="","",ROUNDUP(((G1843*Ayarlar!$B$3+Ayarlar!$B$4+Ayarlar!$B$5)+Ayarlar!$B$8)/((1-Ayarlar!$B$6)*(1-Ayarlar!$B$7-Ayarlar!$B$9)),0))</f>
        <v/>
      </c>
      <c r="K1843" s="15">
        <f>IF(OR(G1843="",F1843=""),"",(F1843*(1-Ayarlar!$B$6)-(F1843*(1-Ayarlar!$B$6)*Ayarlar!$B$7+Ayarlar!$B$8)-(G1843*Ayarlar!$B$3+Ayarlar!$B$4+Ayarlar!$B$5))/(F1843*(1-Ayarlar!$B$6)))</f>
        <v/>
      </c>
      <c r="L1843" s="3">
        <f>IF(G1843="","GRAM EKSİK",IF(F1843&gt;30000,"FİYAT ŞÜPHELİ",IF(K1843&lt;0,"ZARARDA",IF(F1843&lt;I1843,"RİSKLİ","ok"))))</f>
        <v/>
      </c>
      <c r="M1843" s="16" t="inlineStr">
        <is>
          <t>https://www.etsy.com/listing/1743975353</t>
        </is>
      </c>
    </row>
    <row r="1844">
      <c r="A1844" s="9" t="inlineStr">
        <is>
          <t>rings</t>
        </is>
      </c>
      <c r="B1844" s="9" t="inlineStr">
        <is>
          <t>10K Solid Gold CZ Stone Men's Ring / Statement Jewelry</t>
        </is>
      </c>
      <c r="C1844" s="9" t="n">
        <v>1743975353</v>
      </c>
      <c r="D1844" s="9" t="inlineStr">
        <is>
          <t>RCZREC-12</t>
        </is>
      </c>
      <c r="E1844" s="9" t="inlineStr">
        <is>
          <t>description</t>
        </is>
      </c>
      <c r="F1844" s="10" t="n">
        <v>449</v>
      </c>
      <c r="G1844" s="18" t="n">
        <v>3.56</v>
      </c>
      <c r="H1844" s="10">
        <f>IF(G1844="","",G1844*Ayarlar!$B$3+Ayarlar!$B$4+Ayarlar!$B$5)</f>
        <v/>
      </c>
      <c r="I1844" s="10">
        <f>IF(G1844="","",ROUNDUP(((G1844*Ayarlar!$B$3+Ayarlar!$B$4+Ayarlar!$B$5)+Ayarlar!$B$8)/((1-Ayarlar!$B$6)*(1-Ayarlar!$B$7)),0))</f>
        <v/>
      </c>
      <c r="J1844" s="10">
        <f>IF(G1844="","",ROUNDUP(((G1844*Ayarlar!$B$3+Ayarlar!$B$4+Ayarlar!$B$5)+Ayarlar!$B$8)/((1-Ayarlar!$B$6)*(1-Ayarlar!$B$7-Ayarlar!$B$9)),0))</f>
        <v/>
      </c>
      <c r="K1844" s="12">
        <f>IF(OR(G1844="",F1844=""),"",(F1844*(1-Ayarlar!$B$6)-(F1844*(1-Ayarlar!$B$6)*Ayarlar!$B$7+Ayarlar!$B$8)-(G1844*Ayarlar!$B$3+Ayarlar!$B$4+Ayarlar!$B$5))/(F1844*(1-Ayarlar!$B$6)))</f>
        <v/>
      </c>
      <c r="L1844" s="9">
        <f>IF(G1844="","GRAM EKSİK",IF(F1844&gt;30000,"FİYAT ŞÜPHELİ",IF(K1844&lt;0,"ZARARDA",IF(F1844&lt;I1844,"RİSKLİ","ok"))))</f>
        <v/>
      </c>
      <c r="M1844" s="13" t="inlineStr">
        <is>
          <t>https://www.etsy.com/listing/1743975353</t>
        </is>
      </c>
    </row>
    <row r="1845">
      <c r="A1845" s="3" t="inlineStr">
        <is>
          <t>rings</t>
        </is>
      </c>
      <c r="B1845" s="3" t="inlineStr">
        <is>
          <t>10K Solid Gold CZ Stone Men's Ring / Statement Jewelry</t>
        </is>
      </c>
      <c r="C1845" s="3" t="n">
        <v>1743975353</v>
      </c>
      <c r="D1845" s="3" t="inlineStr">
        <is>
          <t>RCZREC-12.5</t>
        </is>
      </c>
      <c r="E1845" s="3" t="inlineStr">
        <is>
          <t>description</t>
        </is>
      </c>
      <c r="F1845" s="14" t="n">
        <v>449</v>
      </c>
      <c r="G1845" s="17" t="n">
        <v>3.56</v>
      </c>
      <c r="H1845" s="14">
        <f>IF(G1845="","",G1845*Ayarlar!$B$3+Ayarlar!$B$4+Ayarlar!$B$5)</f>
        <v/>
      </c>
      <c r="I1845" s="14">
        <f>IF(G1845="","",ROUNDUP(((G1845*Ayarlar!$B$3+Ayarlar!$B$4+Ayarlar!$B$5)+Ayarlar!$B$8)/((1-Ayarlar!$B$6)*(1-Ayarlar!$B$7)),0))</f>
        <v/>
      </c>
      <c r="J1845" s="14">
        <f>IF(G1845="","",ROUNDUP(((G1845*Ayarlar!$B$3+Ayarlar!$B$4+Ayarlar!$B$5)+Ayarlar!$B$8)/((1-Ayarlar!$B$6)*(1-Ayarlar!$B$7-Ayarlar!$B$9)),0))</f>
        <v/>
      </c>
      <c r="K1845" s="15">
        <f>IF(OR(G1845="",F1845=""),"",(F1845*(1-Ayarlar!$B$6)-(F1845*(1-Ayarlar!$B$6)*Ayarlar!$B$7+Ayarlar!$B$8)-(G1845*Ayarlar!$B$3+Ayarlar!$B$4+Ayarlar!$B$5))/(F1845*(1-Ayarlar!$B$6)))</f>
        <v/>
      </c>
      <c r="L1845" s="3">
        <f>IF(G1845="","GRAM EKSİK",IF(F1845&gt;30000,"FİYAT ŞÜPHELİ",IF(K1845&lt;0,"ZARARDA",IF(F1845&lt;I1845,"RİSKLİ","ok"))))</f>
        <v/>
      </c>
      <c r="M1845" s="16" t="inlineStr">
        <is>
          <t>https://www.etsy.com/listing/1743975353</t>
        </is>
      </c>
    </row>
    <row r="1846">
      <c r="A1846" s="9" t="inlineStr">
        <is>
          <t>rings</t>
        </is>
      </c>
      <c r="B1846" s="9" t="inlineStr">
        <is>
          <t>10K Solid Gold CZ Stone Men's Ring / Statement Jewelry</t>
        </is>
      </c>
      <c r="C1846" s="9" t="n">
        <v>1743975353</v>
      </c>
      <c r="D1846" s="9" t="inlineStr">
        <is>
          <t>RCZREC-6</t>
        </is>
      </c>
      <c r="E1846" s="9" t="inlineStr">
        <is>
          <t>description</t>
        </is>
      </c>
      <c r="F1846" s="10" t="n">
        <v>449</v>
      </c>
      <c r="G1846" s="18" t="n">
        <v>3.56</v>
      </c>
      <c r="H1846" s="10">
        <f>IF(G1846="","",G1846*Ayarlar!$B$3+Ayarlar!$B$4+Ayarlar!$B$5)</f>
        <v/>
      </c>
      <c r="I1846" s="10">
        <f>IF(G1846="","",ROUNDUP(((G1846*Ayarlar!$B$3+Ayarlar!$B$4+Ayarlar!$B$5)+Ayarlar!$B$8)/((1-Ayarlar!$B$6)*(1-Ayarlar!$B$7)),0))</f>
        <v/>
      </c>
      <c r="J1846" s="10">
        <f>IF(G1846="","",ROUNDUP(((G1846*Ayarlar!$B$3+Ayarlar!$B$4+Ayarlar!$B$5)+Ayarlar!$B$8)/((1-Ayarlar!$B$6)*(1-Ayarlar!$B$7-Ayarlar!$B$9)),0))</f>
        <v/>
      </c>
      <c r="K1846" s="12">
        <f>IF(OR(G1846="",F1846=""),"",(F1846*(1-Ayarlar!$B$6)-(F1846*(1-Ayarlar!$B$6)*Ayarlar!$B$7+Ayarlar!$B$8)-(G1846*Ayarlar!$B$3+Ayarlar!$B$4+Ayarlar!$B$5))/(F1846*(1-Ayarlar!$B$6)))</f>
        <v/>
      </c>
      <c r="L1846" s="9">
        <f>IF(G1846="","GRAM EKSİK",IF(F1846&gt;30000,"FİYAT ŞÜPHELİ",IF(K1846&lt;0,"ZARARDA",IF(F1846&lt;I1846,"RİSKLİ","ok"))))</f>
        <v/>
      </c>
      <c r="M1846" s="13" t="inlineStr">
        <is>
          <t>https://www.etsy.com/listing/1743975353</t>
        </is>
      </c>
    </row>
    <row r="1847">
      <c r="A1847" s="3" t="inlineStr">
        <is>
          <t>rings</t>
        </is>
      </c>
      <c r="B1847" s="3" t="inlineStr">
        <is>
          <t>10K Solid Gold CZ Stone Men's Ring / Statement Jewelry</t>
        </is>
      </c>
      <c r="C1847" s="3" t="n">
        <v>1743975353</v>
      </c>
      <c r="D1847" s="3" t="inlineStr">
        <is>
          <t>RCZREC-6.5</t>
        </is>
      </c>
      <c r="E1847" s="3" t="inlineStr">
        <is>
          <t>description</t>
        </is>
      </c>
      <c r="F1847" s="14" t="n">
        <v>449</v>
      </c>
      <c r="G1847" s="17" t="n">
        <v>3.56</v>
      </c>
      <c r="H1847" s="14">
        <f>IF(G1847="","",G1847*Ayarlar!$B$3+Ayarlar!$B$4+Ayarlar!$B$5)</f>
        <v/>
      </c>
      <c r="I1847" s="14">
        <f>IF(G1847="","",ROUNDUP(((G1847*Ayarlar!$B$3+Ayarlar!$B$4+Ayarlar!$B$5)+Ayarlar!$B$8)/((1-Ayarlar!$B$6)*(1-Ayarlar!$B$7)),0))</f>
        <v/>
      </c>
      <c r="J1847" s="14">
        <f>IF(G1847="","",ROUNDUP(((G1847*Ayarlar!$B$3+Ayarlar!$B$4+Ayarlar!$B$5)+Ayarlar!$B$8)/((1-Ayarlar!$B$6)*(1-Ayarlar!$B$7-Ayarlar!$B$9)),0))</f>
        <v/>
      </c>
      <c r="K1847" s="15">
        <f>IF(OR(G1847="",F1847=""),"",(F1847*(1-Ayarlar!$B$6)-(F1847*(1-Ayarlar!$B$6)*Ayarlar!$B$7+Ayarlar!$B$8)-(G1847*Ayarlar!$B$3+Ayarlar!$B$4+Ayarlar!$B$5))/(F1847*(1-Ayarlar!$B$6)))</f>
        <v/>
      </c>
      <c r="L1847" s="3">
        <f>IF(G1847="","GRAM EKSİK",IF(F1847&gt;30000,"FİYAT ŞÜPHELİ",IF(K1847&lt;0,"ZARARDA",IF(F1847&lt;I1847,"RİSKLİ","ok"))))</f>
        <v/>
      </c>
      <c r="M1847" s="16" t="inlineStr">
        <is>
          <t>https://www.etsy.com/listing/1743975353</t>
        </is>
      </c>
    </row>
    <row r="1848">
      <c r="A1848" s="9" t="inlineStr">
        <is>
          <t>rings</t>
        </is>
      </c>
      <c r="B1848" s="9" t="inlineStr">
        <is>
          <t>10K Solid Gold CZ Stone Men's Ring / Statement Jewelry</t>
        </is>
      </c>
      <c r="C1848" s="9" t="n">
        <v>1743975353</v>
      </c>
      <c r="D1848" s="9" t="inlineStr">
        <is>
          <t>RCZREC-7</t>
        </is>
      </c>
      <c r="E1848" s="9" t="inlineStr">
        <is>
          <t>description</t>
        </is>
      </c>
      <c r="F1848" s="10" t="n">
        <v>449</v>
      </c>
      <c r="G1848" s="18" t="n">
        <v>3.56</v>
      </c>
      <c r="H1848" s="10">
        <f>IF(G1848="","",G1848*Ayarlar!$B$3+Ayarlar!$B$4+Ayarlar!$B$5)</f>
        <v/>
      </c>
      <c r="I1848" s="10">
        <f>IF(G1848="","",ROUNDUP(((G1848*Ayarlar!$B$3+Ayarlar!$B$4+Ayarlar!$B$5)+Ayarlar!$B$8)/((1-Ayarlar!$B$6)*(1-Ayarlar!$B$7)),0))</f>
        <v/>
      </c>
      <c r="J1848" s="10">
        <f>IF(G1848="","",ROUNDUP(((G1848*Ayarlar!$B$3+Ayarlar!$B$4+Ayarlar!$B$5)+Ayarlar!$B$8)/((1-Ayarlar!$B$6)*(1-Ayarlar!$B$7-Ayarlar!$B$9)),0))</f>
        <v/>
      </c>
      <c r="K1848" s="12">
        <f>IF(OR(G1848="",F1848=""),"",(F1848*(1-Ayarlar!$B$6)-(F1848*(1-Ayarlar!$B$6)*Ayarlar!$B$7+Ayarlar!$B$8)-(G1848*Ayarlar!$B$3+Ayarlar!$B$4+Ayarlar!$B$5))/(F1848*(1-Ayarlar!$B$6)))</f>
        <v/>
      </c>
      <c r="L1848" s="9">
        <f>IF(G1848="","GRAM EKSİK",IF(F1848&gt;30000,"FİYAT ŞÜPHELİ",IF(K1848&lt;0,"ZARARDA",IF(F1848&lt;I1848,"RİSKLİ","ok"))))</f>
        <v/>
      </c>
      <c r="M1848" s="13" t="inlineStr">
        <is>
          <t>https://www.etsy.com/listing/1743975353</t>
        </is>
      </c>
    </row>
    <row r="1849">
      <c r="A1849" s="3" t="inlineStr">
        <is>
          <t>rings</t>
        </is>
      </c>
      <c r="B1849" s="3" t="inlineStr">
        <is>
          <t>10K Solid Gold CZ Stone Men's Ring / Statement Jewelry</t>
        </is>
      </c>
      <c r="C1849" s="3" t="n">
        <v>1743975353</v>
      </c>
      <c r="D1849" s="3" t="inlineStr">
        <is>
          <t>RCZREC-7.5</t>
        </is>
      </c>
      <c r="E1849" s="3" t="inlineStr">
        <is>
          <t>description</t>
        </is>
      </c>
      <c r="F1849" s="14" t="n">
        <v>449</v>
      </c>
      <c r="G1849" s="17" t="n">
        <v>3.56</v>
      </c>
      <c r="H1849" s="14">
        <f>IF(G1849="","",G1849*Ayarlar!$B$3+Ayarlar!$B$4+Ayarlar!$B$5)</f>
        <v/>
      </c>
      <c r="I1849" s="14">
        <f>IF(G1849="","",ROUNDUP(((G1849*Ayarlar!$B$3+Ayarlar!$B$4+Ayarlar!$B$5)+Ayarlar!$B$8)/((1-Ayarlar!$B$6)*(1-Ayarlar!$B$7)),0))</f>
        <v/>
      </c>
      <c r="J1849" s="14">
        <f>IF(G1849="","",ROUNDUP(((G1849*Ayarlar!$B$3+Ayarlar!$B$4+Ayarlar!$B$5)+Ayarlar!$B$8)/((1-Ayarlar!$B$6)*(1-Ayarlar!$B$7-Ayarlar!$B$9)),0))</f>
        <v/>
      </c>
      <c r="K1849" s="15">
        <f>IF(OR(G1849="",F1849=""),"",(F1849*(1-Ayarlar!$B$6)-(F1849*(1-Ayarlar!$B$6)*Ayarlar!$B$7+Ayarlar!$B$8)-(G1849*Ayarlar!$B$3+Ayarlar!$B$4+Ayarlar!$B$5))/(F1849*(1-Ayarlar!$B$6)))</f>
        <v/>
      </c>
      <c r="L1849" s="3">
        <f>IF(G1849="","GRAM EKSİK",IF(F1849&gt;30000,"FİYAT ŞÜPHELİ",IF(K1849&lt;0,"ZARARDA",IF(F1849&lt;I1849,"RİSKLİ","ok"))))</f>
        <v/>
      </c>
      <c r="M1849" s="16" t="inlineStr">
        <is>
          <t>https://www.etsy.com/listing/1743975353</t>
        </is>
      </c>
    </row>
    <row r="1850">
      <c r="A1850" s="9" t="inlineStr">
        <is>
          <t>rings</t>
        </is>
      </c>
      <c r="B1850" s="9" t="inlineStr">
        <is>
          <t>10K Solid Gold CZ Stone Men's Ring / Statement Jewelry</t>
        </is>
      </c>
      <c r="C1850" s="9" t="n">
        <v>1743975353</v>
      </c>
      <c r="D1850" s="9" t="inlineStr">
        <is>
          <t>RCZREC-8</t>
        </is>
      </c>
      <c r="E1850" s="9" t="inlineStr">
        <is>
          <t>description</t>
        </is>
      </c>
      <c r="F1850" s="10" t="n">
        <v>449</v>
      </c>
      <c r="G1850" s="18" t="n">
        <v>3.56</v>
      </c>
      <c r="H1850" s="10">
        <f>IF(G1850="","",G1850*Ayarlar!$B$3+Ayarlar!$B$4+Ayarlar!$B$5)</f>
        <v/>
      </c>
      <c r="I1850" s="10">
        <f>IF(G1850="","",ROUNDUP(((G1850*Ayarlar!$B$3+Ayarlar!$B$4+Ayarlar!$B$5)+Ayarlar!$B$8)/((1-Ayarlar!$B$6)*(1-Ayarlar!$B$7)),0))</f>
        <v/>
      </c>
      <c r="J1850" s="10">
        <f>IF(G1850="","",ROUNDUP(((G1850*Ayarlar!$B$3+Ayarlar!$B$4+Ayarlar!$B$5)+Ayarlar!$B$8)/((1-Ayarlar!$B$6)*(1-Ayarlar!$B$7-Ayarlar!$B$9)),0))</f>
        <v/>
      </c>
      <c r="K1850" s="12">
        <f>IF(OR(G1850="",F1850=""),"",(F1850*(1-Ayarlar!$B$6)-(F1850*(1-Ayarlar!$B$6)*Ayarlar!$B$7+Ayarlar!$B$8)-(G1850*Ayarlar!$B$3+Ayarlar!$B$4+Ayarlar!$B$5))/(F1850*(1-Ayarlar!$B$6)))</f>
        <v/>
      </c>
      <c r="L1850" s="9">
        <f>IF(G1850="","GRAM EKSİK",IF(F1850&gt;30000,"FİYAT ŞÜPHELİ",IF(K1850&lt;0,"ZARARDA",IF(F1850&lt;I1850,"RİSKLİ","ok"))))</f>
        <v/>
      </c>
      <c r="M1850" s="13" t="inlineStr">
        <is>
          <t>https://www.etsy.com/listing/1743975353</t>
        </is>
      </c>
    </row>
    <row r="1851">
      <c r="A1851" s="3" t="inlineStr">
        <is>
          <t>rings</t>
        </is>
      </c>
      <c r="B1851" s="3" t="inlineStr">
        <is>
          <t>10K Solid Gold CZ Stone Men's Ring / Statement Jewelry</t>
        </is>
      </c>
      <c r="C1851" s="3" t="n">
        <v>1743975353</v>
      </c>
      <c r="D1851" s="3" t="inlineStr">
        <is>
          <t>RCZREC-8.5</t>
        </is>
      </c>
      <c r="E1851" s="3" t="inlineStr">
        <is>
          <t>description</t>
        </is>
      </c>
      <c r="F1851" s="14" t="n">
        <v>449</v>
      </c>
      <c r="G1851" s="17" t="n">
        <v>3.56</v>
      </c>
      <c r="H1851" s="14">
        <f>IF(G1851="","",G1851*Ayarlar!$B$3+Ayarlar!$B$4+Ayarlar!$B$5)</f>
        <v/>
      </c>
      <c r="I1851" s="14">
        <f>IF(G1851="","",ROUNDUP(((G1851*Ayarlar!$B$3+Ayarlar!$B$4+Ayarlar!$B$5)+Ayarlar!$B$8)/((1-Ayarlar!$B$6)*(1-Ayarlar!$B$7)),0))</f>
        <v/>
      </c>
      <c r="J1851" s="14">
        <f>IF(G1851="","",ROUNDUP(((G1851*Ayarlar!$B$3+Ayarlar!$B$4+Ayarlar!$B$5)+Ayarlar!$B$8)/((1-Ayarlar!$B$6)*(1-Ayarlar!$B$7-Ayarlar!$B$9)),0))</f>
        <v/>
      </c>
      <c r="K1851" s="15">
        <f>IF(OR(G1851="",F1851=""),"",(F1851*(1-Ayarlar!$B$6)-(F1851*(1-Ayarlar!$B$6)*Ayarlar!$B$7+Ayarlar!$B$8)-(G1851*Ayarlar!$B$3+Ayarlar!$B$4+Ayarlar!$B$5))/(F1851*(1-Ayarlar!$B$6)))</f>
        <v/>
      </c>
      <c r="L1851" s="3">
        <f>IF(G1851="","GRAM EKSİK",IF(F1851&gt;30000,"FİYAT ŞÜPHELİ",IF(K1851&lt;0,"ZARARDA",IF(F1851&lt;I1851,"RİSKLİ","ok"))))</f>
        <v/>
      </c>
      <c r="M1851" s="16" t="inlineStr">
        <is>
          <t>https://www.etsy.com/listing/1743975353</t>
        </is>
      </c>
    </row>
    <row r="1852">
      <c r="A1852" s="9" t="inlineStr">
        <is>
          <t>rings</t>
        </is>
      </c>
      <c r="B1852" s="9" t="inlineStr">
        <is>
          <t>10K Solid Gold CZ Stone Men's Ring / Statement Jewelry</t>
        </is>
      </c>
      <c r="C1852" s="9" t="n">
        <v>1743975353</v>
      </c>
      <c r="D1852" s="9" t="inlineStr">
        <is>
          <t>RCZREC-9</t>
        </is>
      </c>
      <c r="E1852" s="9" t="inlineStr">
        <is>
          <t>description</t>
        </is>
      </c>
      <c r="F1852" s="10" t="n">
        <v>449</v>
      </c>
      <c r="G1852" s="18" t="n">
        <v>3.56</v>
      </c>
      <c r="H1852" s="10">
        <f>IF(G1852="","",G1852*Ayarlar!$B$3+Ayarlar!$B$4+Ayarlar!$B$5)</f>
        <v/>
      </c>
      <c r="I1852" s="10">
        <f>IF(G1852="","",ROUNDUP(((G1852*Ayarlar!$B$3+Ayarlar!$B$4+Ayarlar!$B$5)+Ayarlar!$B$8)/((1-Ayarlar!$B$6)*(1-Ayarlar!$B$7)),0))</f>
        <v/>
      </c>
      <c r="J1852" s="10">
        <f>IF(G1852="","",ROUNDUP(((G1852*Ayarlar!$B$3+Ayarlar!$B$4+Ayarlar!$B$5)+Ayarlar!$B$8)/((1-Ayarlar!$B$6)*(1-Ayarlar!$B$7-Ayarlar!$B$9)),0))</f>
        <v/>
      </c>
      <c r="K1852" s="12">
        <f>IF(OR(G1852="",F1852=""),"",(F1852*(1-Ayarlar!$B$6)-(F1852*(1-Ayarlar!$B$6)*Ayarlar!$B$7+Ayarlar!$B$8)-(G1852*Ayarlar!$B$3+Ayarlar!$B$4+Ayarlar!$B$5))/(F1852*(1-Ayarlar!$B$6)))</f>
        <v/>
      </c>
      <c r="L1852" s="9">
        <f>IF(G1852="","GRAM EKSİK",IF(F1852&gt;30000,"FİYAT ŞÜPHELİ",IF(K1852&lt;0,"ZARARDA",IF(F1852&lt;I1852,"RİSKLİ","ok"))))</f>
        <v/>
      </c>
      <c r="M1852" s="13" t="inlineStr">
        <is>
          <t>https://www.etsy.com/listing/1743975353</t>
        </is>
      </c>
    </row>
    <row r="1853">
      <c r="A1853" s="3" t="inlineStr">
        <is>
          <t>rings</t>
        </is>
      </c>
      <c r="B1853" s="3" t="inlineStr">
        <is>
          <t>10K Solid Gold CZ Stone Men's Ring / Statement Jewelry</t>
        </is>
      </c>
      <c r="C1853" s="3" t="n">
        <v>1743975353</v>
      </c>
      <c r="D1853" s="3" t="inlineStr">
        <is>
          <t>RCZREC-9.5</t>
        </is>
      </c>
      <c r="E1853" s="3" t="inlineStr">
        <is>
          <t>description</t>
        </is>
      </c>
      <c r="F1853" s="14" t="n">
        <v>449</v>
      </c>
      <c r="G1853" s="17" t="n">
        <v>3.56</v>
      </c>
      <c r="H1853" s="14">
        <f>IF(G1853="","",G1853*Ayarlar!$B$3+Ayarlar!$B$4+Ayarlar!$B$5)</f>
        <v/>
      </c>
      <c r="I1853" s="14">
        <f>IF(G1853="","",ROUNDUP(((G1853*Ayarlar!$B$3+Ayarlar!$B$4+Ayarlar!$B$5)+Ayarlar!$B$8)/((1-Ayarlar!$B$6)*(1-Ayarlar!$B$7)),0))</f>
        <v/>
      </c>
      <c r="J1853" s="14">
        <f>IF(G1853="","",ROUNDUP(((G1853*Ayarlar!$B$3+Ayarlar!$B$4+Ayarlar!$B$5)+Ayarlar!$B$8)/((1-Ayarlar!$B$6)*(1-Ayarlar!$B$7-Ayarlar!$B$9)),0))</f>
        <v/>
      </c>
      <c r="K1853" s="15">
        <f>IF(OR(G1853="",F1853=""),"",(F1853*(1-Ayarlar!$B$6)-(F1853*(1-Ayarlar!$B$6)*Ayarlar!$B$7+Ayarlar!$B$8)-(G1853*Ayarlar!$B$3+Ayarlar!$B$4+Ayarlar!$B$5))/(F1853*(1-Ayarlar!$B$6)))</f>
        <v/>
      </c>
      <c r="L1853" s="3">
        <f>IF(G1853="","GRAM EKSİK",IF(F1853&gt;30000,"FİYAT ŞÜPHELİ",IF(K1853&lt;0,"ZARARDA",IF(F1853&lt;I1853,"RİSKLİ","ok"))))</f>
        <v/>
      </c>
      <c r="M1853" s="16" t="inlineStr">
        <is>
          <t>https://www.etsy.com/listing/1743975353</t>
        </is>
      </c>
    </row>
    <row r="1854">
      <c r="A1854" s="9" t="inlineStr">
        <is>
          <t>rings</t>
        </is>
      </c>
      <c r="B1854" s="9" t="inlineStr">
        <is>
          <t>10K Solid Gold CZ Stone Men's Ring / Statement Jewelry</t>
        </is>
      </c>
      <c r="C1854" s="9" t="n">
        <v>1743975353</v>
      </c>
      <c r="D1854" s="9" t="inlineStr">
        <is>
          <t>RCZSQ-10</t>
        </is>
      </c>
      <c r="E1854" s="9" t="inlineStr">
        <is>
          <t>description</t>
        </is>
      </c>
      <c r="F1854" s="10" t="n">
        <v>408</v>
      </c>
      <c r="G1854" s="18" t="n">
        <v>3.56</v>
      </c>
      <c r="H1854" s="10">
        <f>IF(G1854="","",G1854*Ayarlar!$B$3+Ayarlar!$B$4+Ayarlar!$B$5)</f>
        <v/>
      </c>
      <c r="I1854" s="10">
        <f>IF(G1854="","",ROUNDUP(((G1854*Ayarlar!$B$3+Ayarlar!$B$4+Ayarlar!$B$5)+Ayarlar!$B$8)/((1-Ayarlar!$B$6)*(1-Ayarlar!$B$7)),0))</f>
        <v/>
      </c>
      <c r="J1854" s="10">
        <f>IF(G1854="","",ROUNDUP(((G1854*Ayarlar!$B$3+Ayarlar!$B$4+Ayarlar!$B$5)+Ayarlar!$B$8)/((1-Ayarlar!$B$6)*(1-Ayarlar!$B$7-Ayarlar!$B$9)),0))</f>
        <v/>
      </c>
      <c r="K1854" s="12">
        <f>IF(OR(G1854="",F1854=""),"",(F1854*(1-Ayarlar!$B$6)-(F1854*(1-Ayarlar!$B$6)*Ayarlar!$B$7+Ayarlar!$B$8)-(G1854*Ayarlar!$B$3+Ayarlar!$B$4+Ayarlar!$B$5))/(F1854*(1-Ayarlar!$B$6)))</f>
        <v/>
      </c>
      <c r="L1854" s="9">
        <f>IF(G1854="","GRAM EKSİK",IF(F1854&gt;30000,"FİYAT ŞÜPHELİ",IF(K1854&lt;0,"ZARARDA",IF(F1854&lt;I1854,"RİSKLİ","ok"))))</f>
        <v/>
      </c>
      <c r="M1854" s="13" t="inlineStr">
        <is>
          <t>https://www.etsy.com/listing/1743975353</t>
        </is>
      </c>
    </row>
    <row r="1855">
      <c r="A1855" s="3" t="inlineStr">
        <is>
          <t>rings</t>
        </is>
      </c>
      <c r="B1855" s="3" t="inlineStr">
        <is>
          <t>10K Solid Gold CZ Stone Men's Ring / Statement Jewelry</t>
        </is>
      </c>
      <c r="C1855" s="3" t="n">
        <v>1743975353</v>
      </c>
      <c r="D1855" s="3" t="inlineStr">
        <is>
          <t>RCZSQ-10.5</t>
        </is>
      </c>
      <c r="E1855" s="3" t="inlineStr">
        <is>
          <t>description</t>
        </is>
      </c>
      <c r="F1855" s="14" t="n">
        <v>408</v>
      </c>
      <c r="G1855" s="17" t="n">
        <v>3.56</v>
      </c>
      <c r="H1855" s="14">
        <f>IF(G1855="","",G1855*Ayarlar!$B$3+Ayarlar!$B$4+Ayarlar!$B$5)</f>
        <v/>
      </c>
      <c r="I1855" s="14">
        <f>IF(G1855="","",ROUNDUP(((G1855*Ayarlar!$B$3+Ayarlar!$B$4+Ayarlar!$B$5)+Ayarlar!$B$8)/((1-Ayarlar!$B$6)*(1-Ayarlar!$B$7)),0))</f>
        <v/>
      </c>
      <c r="J1855" s="14">
        <f>IF(G1855="","",ROUNDUP(((G1855*Ayarlar!$B$3+Ayarlar!$B$4+Ayarlar!$B$5)+Ayarlar!$B$8)/((1-Ayarlar!$B$6)*(1-Ayarlar!$B$7-Ayarlar!$B$9)),0))</f>
        <v/>
      </c>
      <c r="K1855" s="15">
        <f>IF(OR(G1855="",F1855=""),"",(F1855*(1-Ayarlar!$B$6)-(F1855*(1-Ayarlar!$B$6)*Ayarlar!$B$7+Ayarlar!$B$8)-(G1855*Ayarlar!$B$3+Ayarlar!$B$4+Ayarlar!$B$5))/(F1855*(1-Ayarlar!$B$6)))</f>
        <v/>
      </c>
      <c r="L1855" s="3">
        <f>IF(G1855="","GRAM EKSİK",IF(F1855&gt;30000,"FİYAT ŞÜPHELİ",IF(K1855&lt;0,"ZARARDA",IF(F1855&lt;I1855,"RİSKLİ","ok"))))</f>
        <v/>
      </c>
      <c r="M1855" s="16" t="inlineStr">
        <is>
          <t>https://www.etsy.com/listing/1743975353</t>
        </is>
      </c>
    </row>
    <row r="1856">
      <c r="A1856" s="9" t="inlineStr">
        <is>
          <t>rings</t>
        </is>
      </c>
      <c r="B1856" s="9" t="inlineStr">
        <is>
          <t>10K Solid Gold CZ Stone Men's Ring / Statement Jewelry</t>
        </is>
      </c>
      <c r="C1856" s="9" t="n">
        <v>1743975353</v>
      </c>
      <c r="D1856" s="9" t="inlineStr">
        <is>
          <t>RCZSQ-11</t>
        </is>
      </c>
      <c r="E1856" s="9" t="inlineStr">
        <is>
          <t>description</t>
        </is>
      </c>
      <c r="F1856" s="10" t="n">
        <v>408</v>
      </c>
      <c r="G1856" s="18" t="n">
        <v>3.56</v>
      </c>
      <c r="H1856" s="10">
        <f>IF(G1856="","",G1856*Ayarlar!$B$3+Ayarlar!$B$4+Ayarlar!$B$5)</f>
        <v/>
      </c>
      <c r="I1856" s="10">
        <f>IF(G1856="","",ROUNDUP(((G1856*Ayarlar!$B$3+Ayarlar!$B$4+Ayarlar!$B$5)+Ayarlar!$B$8)/((1-Ayarlar!$B$6)*(1-Ayarlar!$B$7)),0))</f>
        <v/>
      </c>
      <c r="J1856" s="10">
        <f>IF(G1856="","",ROUNDUP(((G1856*Ayarlar!$B$3+Ayarlar!$B$4+Ayarlar!$B$5)+Ayarlar!$B$8)/((1-Ayarlar!$B$6)*(1-Ayarlar!$B$7-Ayarlar!$B$9)),0))</f>
        <v/>
      </c>
      <c r="K1856" s="12">
        <f>IF(OR(G1856="",F1856=""),"",(F1856*(1-Ayarlar!$B$6)-(F1856*(1-Ayarlar!$B$6)*Ayarlar!$B$7+Ayarlar!$B$8)-(G1856*Ayarlar!$B$3+Ayarlar!$B$4+Ayarlar!$B$5))/(F1856*(1-Ayarlar!$B$6)))</f>
        <v/>
      </c>
      <c r="L1856" s="9">
        <f>IF(G1856="","GRAM EKSİK",IF(F1856&gt;30000,"FİYAT ŞÜPHELİ",IF(K1856&lt;0,"ZARARDA",IF(F1856&lt;I1856,"RİSKLİ","ok"))))</f>
        <v/>
      </c>
      <c r="M1856" s="13" t="inlineStr">
        <is>
          <t>https://www.etsy.com/listing/1743975353</t>
        </is>
      </c>
    </row>
    <row r="1857">
      <c r="A1857" s="3" t="inlineStr">
        <is>
          <t>rings</t>
        </is>
      </c>
      <c r="B1857" s="3" t="inlineStr">
        <is>
          <t>10K Solid Gold CZ Stone Men's Ring / Statement Jewelry</t>
        </is>
      </c>
      <c r="C1857" s="3" t="n">
        <v>1743975353</v>
      </c>
      <c r="D1857" s="3" t="inlineStr">
        <is>
          <t>RCZSQ-11.5</t>
        </is>
      </c>
      <c r="E1857" s="3" t="inlineStr">
        <is>
          <t>description</t>
        </is>
      </c>
      <c r="F1857" s="14" t="n">
        <v>408</v>
      </c>
      <c r="G1857" s="17" t="n">
        <v>3.56</v>
      </c>
      <c r="H1857" s="14">
        <f>IF(G1857="","",G1857*Ayarlar!$B$3+Ayarlar!$B$4+Ayarlar!$B$5)</f>
        <v/>
      </c>
      <c r="I1857" s="14">
        <f>IF(G1857="","",ROUNDUP(((G1857*Ayarlar!$B$3+Ayarlar!$B$4+Ayarlar!$B$5)+Ayarlar!$B$8)/((1-Ayarlar!$B$6)*(1-Ayarlar!$B$7)),0))</f>
        <v/>
      </c>
      <c r="J1857" s="14">
        <f>IF(G1857="","",ROUNDUP(((G1857*Ayarlar!$B$3+Ayarlar!$B$4+Ayarlar!$B$5)+Ayarlar!$B$8)/((1-Ayarlar!$B$6)*(1-Ayarlar!$B$7-Ayarlar!$B$9)),0))</f>
        <v/>
      </c>
      <c r="K1857" s="15">
        <f>IF(OR(G1857="",F1857=""),"",(F1857*(1-Ayarlar!$B$6)-(F1857*(1-Ayarlar!$B$6)*Ayarlar!$B$7+Ayarlar!$B$8)-(G1857*Ayarlar!$B$3+Ayarlar!$B$4+Ayarlar!$B$5))/(F1857*(1-Ayarlar!$B$6)))</f>
        <v/>
      </c>
      <c r="L1857" s="3">
        <f>IF(G1857="","GRAM EKSİK",IF(F1857&gt;30000,"FİYAT ŞÜPHELİ",IF(K1857&lt;0,"ZARARDA",IF(F1857&lt;I1857,"RİSKLİ","ok"))))</f>
        <v/>
      </c>
      <c r="M1857" s="16" t="inlineStr">
        <is>
          <t>https://www.etsy.com/listing/1743975353</t>
        </is>
      </c>
    </row>
    <row r="1858">
      <c r="A1858" s="9" t="inlineStr">
        <is>
          <t>rings</t>
        </is>
      </c>
      <c r="B1858" s="9" t="inlineStr">
        <is>
          <t>10K Solid Gold CZ Stone Men's Ring / Statement Jewelry</t>
        </is>
      </c>
      <c r="C1858" s="9" t="n">
        <v>1743975353</v>
      </c>
      <c r="D1858" s="9" t="inlineStr">
        <is>
          <t>RCZSQ-12</t>
        </is>
      </c>
      <c r="E1858" s="9" t="inlineStr">
        <is>
          <t>description</t>
        </is>
      </c>
      <c r="F1858" s="10" t="n">
        <v>408</v>
      </c>
      <c r="G1858" s="18" t="n">
        <v>3.56</v>
      </c>
      <c r="H1858" s="10">
        <f>IF(G1858="","",G1858*Ayarlar!$B$3+Ayarlar!$B$4+Ayarlar!$B$5)</f>
        <v/>
      </c>
      <c r="I1858" s="10">
        <f>IF(G1858="","",ROUNDUP(((G1858*Ayarlar!$B$3+Ayarlar!$B$4+Ayarlar!$B$5)+Ayarlar!$B$8)/((1-Ayarlar!$B$6)*(1-Ayarlar!$B$7)),0))</f>
        <v/>
      </c>
      <c r="J1858" s="10">
        <f>IF(G1858="","",ROUNDUP(((G1858*Ayarlar!$B$3+Ayarlar!$B$4+Ayarlar!$B$5)+Ayarlar!$B$8)/((1-Ayarlar!$B$6)*(1-Ayarlar!$B$7-Ayarlar!$B$9)),0))</f>
        <v/>
      </c>
      <c r="K1858" s="12">
        <f>IF(OR(G1858="",F1858=""),"",(F1858*(1-Ayarlar!$B$6)-(F1858*(1-Ayarlar!$B$6)*Ayarlar!$B$7+Ayarlar!$B$8)-(G1858*Ayarlar!$B$3+Ayarlar!$B$4+Ayarlar!$B$5))/(F1858*(1-Ayarlar!$B$6)))</f>
        <v/>
      </c>
      <c r="L1858" s="9">
        <f>IF(G1858="","GRAM EKSİK",IF(F1858&gt;30000,"FİYAT ŞÜPHELİ",IF(K1858&lt;0,"ZARARDA",IF(F1858&lt;I1858,"RİSKLİ","ok"))))</f>
        <v/>
      </c>
      <c r="M1858" s="13" t="inlineStr">
        <is>
          <t>https://www.etsy.com/listing/1743975353</t>
        </is>
      </c>
    </row>
    <row r="1859">
      <c r="A1859" s="3" t="inlineStr">
        <is>
          <t>rings</t>
        </is>
      </c>
      <c r="B1859" s="3" t="inlineStr">
        <is>
          <t>10K Solid Gold CZ Stone Men's Ring / Statement Jewelry</t>
        </is>
      </c>
      <c r="C1859" s="3" t="n">
        <v>1743975353</v>
      </c>
      <c r="D1859" s="3" t="inlineStr">
        <is>
          <t>RCZSQ-12.5</t>
        </is>
      </c>
      <c r="E1859" s="3" t="inlineStr">
        <is>
          <t>description</t>
        </is>
      </c>
      <c r="F1859" s="14" t="n">
        <v>408</v>
      </c>
      <c r="G1859" s="17" t="n">
        <v>3.56</v>
      </c>
      <c r="H1859" s="14">
        <f>IF(G1859="","",G1859*Ayarlar!$B$3+Ayarlar!$B$4+Ayarlar!$B$5)</f>
        <v/>
      </c>
      <c r="I1859" s="14">
        <f>IF(G1859="","",ROUNDUP(((G1859*Ayarlar!$B$3+Ayarlar!$B$4+Ayarlar!$B$5)+Ayarlar!$B$8)/((1-Ayarlar!$B$6)*(1-Ayarlar!$B$7)),0))</f>
        <v/>
      </c>
      <c r="J1859" s="14">
        <f>IF(G1859="","",ROUNDUP(((G1859*Ayarlar!$B$3+Ayarlar!$B$4+Ayarlar!$B$5)+Ayarlar!$B$8)/((1-Ayarlar!$B$6)*(1-Ayarlar!$B$7-Ayarlar!$B$9)),0))</f>
        <v/>
      </c>
      <c r="K1859" s="15">
        <f>IF(OR(G1859="",F1859=""),"",(F1859*(1-Ayarlar!$B$6)-(F1859*(1-Ayarlar!$B$6)*Ayarlar!$B$7+Ayarlar!$B$8)-(G1859*Ayarlar!$B$3+Ayarlar!$B$4+Ayarlar!$B$5))/(F1859*(1-Ayarlar!$B$6)))</f>
        <v/>
      </c>
      <c r="L1859" s="3">
        <f>IF(G1859="","GRAM EKSİK",IF(F1859&gt;30000,"FİYAT ŞÜPHELİ",IF(K1859&lt;0,"ZARARDA",IF(F1859&lt;I1859,"RİSKLİ","ok"))))</f>
        <v/>
      </c>
      <c r="M1859" s="16" t="inlineStr">
        <is>
          <t>https://www.etsy.com/listing/1743975353</t>
        </is>
      </c>
    </row>
    <row r="1860">
      <c r="A1860" s="9" t="inlineStr">
        <is>
          <t>rings</t>
        </is>
      </c>
      <c r="B1860" s="9" t="inlineStr">
        <is>
          <t>10K Solid Gold CZ Stone Men's Ring / Statement Jewelry</t>
        </is>
      </c>
      <c r="C1860" s="9" t="n">
        <v>1743975353</v>
      </c>
      <c r="D1860" s="9" t="inlineStr">
        <is>
          <t>RCZSQ-6</t>
        </is>
      </c>
      <c r="E1860" s="9" t="inlineStr">
        <is>
          <t>description</t>
        </is>
      </c>
      <c r="F1860" s="10" t="n">
        <v>408</v>
      </c>
      <c r="G1860" s="18" t="n">
        <v>3.56</v>
      </c>
      <c r="H1860" s="10">
        <f>IF(G1860="","",G1860*Ayarlar!$B$3+Ayarlar!$B$4+Ayarlar!$B$5)</f>
        <v/>
      </c>
      <c r="I1860" s="10">
        <f>IF(G1860="","",ROUNDUP(((G1860*Ayarlar!$B$3+Ayarlar!$B$4+Ayarlar!$B$5)+Ayarlar!$B$8)/((1-Ayarlar!$B$6)*(1-Ayarlar!$B$7)),0))</f>
        <v/>
      </c>
      <c r="J1860" s="10">
        <f>IF(G1860="","",ROUNDUP(((G1860*Ayarlar!$B$3+Ayarlar!$B$4+Ayarlar!$B$5)+Ayarlar!$B$8)/((1-Ayarlar!$B$6)*(1-Ayarlar!$B$7-Ayarlar!$B$9)),0))</f>
        <v/>
      </c>
      <c r="K1860" s="12">
        <f>IF(OR(G1860="",F1860=""),"",(F1860*(1-Ayarlar!$B$6)-(F1860*(1-Ayarlar!$B$6)*Ayarlar!$B$7+Ayarlar!$B$8)-(G1860*Ayarlar!$B$3+Ayarlar!$B$4+Ayarlar!$B$5))/(F1860*(1-Ayarlar!$B$6)))</f>
        <v/>
      </c>
      <c r="L1860" s="9">
        <f>IF(G1860="","GRAM EKSİK",IF(F1860&gt;30000,"FİYAT ŞÜPHELİ",IF(K1860&lt;0,"ZARARDA",IF(F1860&lt;I1860,"RİSKLİ","ok"))))</f>
        <v/>
      </c>
      <c r="M1860" s="13" t="inlineStr">
        <is>
          <t>https://www.etsy.com/listing/1743975353</t>
        </is>
      </c>
    </row>
    <row r="1861">
      <c r="A1861" s="3" t="inlineStr">
        <is>
          <t>rings</t>
        </is>
      </c>
      <c r="B1861" s="3" t="inlineStr">
        <is>
          <t>10K Solid Gold CZ Stone Men's Ring / Statement Jewelry</t>
        </is>
      </c>
      <c r="C1861" s="3" t="n">
        <v>1743975353</v>
      </c>
      <c r="D1861" s="3" t="inlineStr">
        <is>
          <t>RCZSQ-6.5</t>
        </is>
      </c>
      <c r="E1861" s="3" t="inlineStr">
        <is>
          <t>description</t>
        </is>
      </c>
      <c r="F1861" s="14" t="n">
        <v>408</v>
      </c>
      <c r="G1861" s="17" t="n">
        <v>3.56</v>
      </c>
      <c r="H1861" s="14">
        <f>IF(G1861="","",G1861*Ayarlar!$B$3+Ayarlar!$B$4+Ayarlar!$B$5)</f>
        <v/>
      </c>
      <c r="I1861" s="14">
        <f>IF(G1861="","",ROUNDUP(((G1861*Ayarlar!$B$3+Ayarlar!$B$4+Ayarlar!$B$5)+Ayarlar!$B$8)/((1-Ayarlar!$B$6)*(1-Ayarlar!$B$7)),0))</f>
        <v/>
      </c>
      <c r="J1861" s="14">
        <f>IF(G1861="","",ROUNDUP(((G1861*Ayarlar!$B$3+Ayarlar!$B$4+Ayarlar!$B$5)+Ayarlar!$B$8)/((1-Ayarlar!$B$6)*(1-Ayarlar!$B$7-Ayarlar!$B$9)),0))</f>
        <v/>
      </c>
      <c r="K1861" s="15">
        <f>IF(OR(G1861="",F1861=""),"",(F1861*(1-Ayarlar!$B$6)-(F1861*(1-Ayarlar!$B$6)*Ayarlar!$B$7+Ayarlar!$B$8)-(G1861*Ayarlar!$B$3+Ayarlar!$B$4+Ayarlar!$B$5))/(F1861*(1-Ayarlar!$B$6)))</f>
        <v/>
      </c>
      <c r="L1861" s="3">
        <f>IF(G1861="","GRAM EKSİK",IF(F1861&gt;30000,"FİYAT ŞÜPHELİ",IF(K1861&lt;0,"ZARARDA",IF(F1861&lt;I1861,"RİSKLİ","ok"))))</f>
        <v/>
      </c>
      <c r="M1861" s="16" t="inlineStr">
        <is>
          <t>https://www.etsy.com/listing/1743975353</t>
        </is>
      </c>
    </row>
    <row r="1862">
      <c r="A1862" s="9" t="inlineStr">
        <is>
          <t>rings</t>
        </is>
      </c>
      <c r="B1862" s="9" t="inlineStr">
        <is>
          <t>10K Solid Gold CZ Stone Men's Ring / Statement Jewelry</t>
        </is>
      </c>
      <c r="C1862" s="9" t="n">
        <v>1743975353</v>
      </c>
      <c r="D1862" s="9" t="inlineStr">
        <is>
          <t>RCZSQ-7</t>
        </is>
      </c>
      <c r="E1862" s="9" t="inlineStr">
        <is>
          <t>description</t>
        </is>
      </c>
      <c r="F1862" s="10" t="n">
        <v>408</v>
      </c>
      <c r="G1862" s="18" t="n">
        <v>3.56</v>
      </c>
      <c r="H1862" s="10">
        <f>IF(G1862="","",G1862*Ayarlar!$B$3+Ayarlar!$B$4+Ayarlar!$B$5)</f>
        <v/>
      </c>
      <c r="I1862" s="10">
        <f>IF(G1862="","",ROUNDUP(((G1862*Ayarlar!$B$3+Ayarlar!$B$4+Ayarlar!$B$5)+Ayarlar!$B$8)/((1-Ayarlar!$B$6)*(1-Ayarlar!$B$7)),0))</f>
        <v/>
      </c>
      <c r="J1862" s="10">
        <f>IF(G1862="","",ROUNDUP(((G1862*Ayarlar!$B$3+Ayarlar!$B$4+Ayarlar!$B$5)+Ayarlar!$B$8)/((1-Ayarlar!$B$6)*(1-Ayarlar!$B$7-Ayarlar!$B$9)),0))</f>
        <v/>
      </c>
      <c r="K1862" s="12">
        <f>IF(OR(G1862="",F1862=""),"",(F1862*(1-Ayarlar!$B$6)-(F1862*(1-Ayarlar!$B$6)*Ayarlar!$B$7+Ayarlar!$B$8)-(G1862*Ayarlar!$B$3+Ayarlar!$B$4+Ayarlar!$B$5))/(F1862*(1-Ayarlar!$B$6)))</f>
        <v/>
      </c>
      <c r="L1862" s="9">
        <f>IF(G1862="","GRAM EKSİK",IF(F1862&gt;30000,"FİYAT ŞÜPHELİ",IF(K1862&lt;0,"ZARARDA",IF(F1862&lt;I1862,"RİSKLİ","ok"))))</f>
        <v/>
      </c>
      <c r="M1862" s="13" t="inlineStr">
        <is>
          <t>https://www.etsy.com/listing/1743975353</t>
        </is>
      </c>
    </row>
    <row r="1863">
      <c r="A1863" s="3" t="inlineStr">
        <is>
          <t>rings</t>
        </is>
      </c>
      <c r="B1863" s="3" t="inlineStr">
        <is>
          <t>10K Solid Gold CZ Stone Men's Ring / Statement Jewelry</t>
        </is>
      </c>
      <c r="C1863" s="3" t="n">
        <v>1743975353</v>
      </c>
      <c r="D1863" s="3" t="inlineStr">
        <is>
          <t>RCZSQ-7.5</t>
        </is>
      </c>
      <c r="E1863" s="3" t="inlineStr">
        <is>
          <t>description</t>
        </is>
      </c>
      <c r="F1863" s="14" t="n">
        <v>408</v>
      </c>
      <c r="G1863" s="17" t="n">
        <v>3.56</v>
      </c>
      <c r="H1863" s="14">
        <f>IF(G1863="","",G1863*Ayarlar!$B$3+Ayarlar!$B$4+Ayarlar!$B$5)</f>
        <v/>
      </c>
      <c r="I1863" s="14">
        <f>IF(G1863="","",ROUNDUP(((G1863*Ayarlar!$B$3+Ayarlar!$B$4+Ayarlar!$B$5)+Ayarlar!$B$8)/((1-Ayarlar!$B$6)*(1-Ayarlar!$B$7)),0))</f>
        <v/>
      </c>
      <c r="J1863" s="14">
        <f>IF(G1863="","",ROUNDUP(((G1863*Ayarlar!$B$3+Ayarlar!$B$4+Ayarlar!$B$5)+Ayarlar!$B$8)/((1-Ayarlar!$B$6)*(1-Ayarlar!$B$7-Ayarlar!$B$9)),0))</f>
        <v/>
      </c>
      <c r="K1863" s="15">
        <f>IF(OR(G1863="",F1863=""),"",(F1863*(1-Ayarlar!$B$6)-(F1863*(1-Ayarlar!$B$6)*Ayarlar!$B$7+Ayarlar!$B$8)-(G1863*Ayarlar!$B$3+Ayarlar!$B$4+Ayarlar!$B$5))/(F1863*(1-Ayarlar!$B$6)))</f>
        <v/>
      </c>
      <c r="L1863" s="3">
        <f>IF(G1863="","GRAM EKSİK",IF(F1863&gt;30000,"FİYAT ŞÜPHELİ",IF(K1863&lt;0,"ZARARDA",IF(F1863&lt;I1863,"RİSKLİ","ok"))))</f>
        <v/>
      </c>
      <c r="M1863" s="16" t="inlineStr">
        <is>
          <t>https://www.etsy.com/listing/1743975353</t>
        </is>
      </c>
    </row>
    <row r="1864">
      <c r="A1864" s="9" t="inlineStr">
        <is>
          <t>rings</t>
        </is>
      </c>
      <c r="B1864" s="9" t="inlineStr">
        <is>
          <t>10K Solid Gold CZ Stone Men's Ring / Statement Jewelry</t>
        </is>
      </c>
      <c r="C1864" s="9" t="n">
        <v>1743975353</v>
      </c>
      <c r="D1864" s="9" t="inlineStr">
        <is>
          <t>RCZSQ-8</t>
        </is>
      </c>
      <c r="E1864" s="9" t="inlineStr">
        <is>
          <t>description</t>
        </is>
      </c>
      <c r="F1864" s="10" t="n">
        <v>408</v>
      </c>
      <c r="G1864" s="18" t="n">
        <v>3.56</v>
      </c>
      <c r="H1864" s="10">
        <f>IF(G1864="","",G1864*Ayarlar!$B$3+Ayarlar!$B$4+Ayarlar!$B$5)</f>
        <v/>
      </c>
      <c r="I1864" s="10">
        <f>IF(G1864="","",ROUNDUP(((G1864*Ayarlar!$B$3+Ayarlar!$B$4+Ayarlar!$B$5)+Ayarlar!$B$8)/((1-Ayarlar!$B$6)*(1-Ayarlar!$B$7)),0))</f>
        <v/>
      </c>
      <c r="J1864" s="10">
        <f>IF(G1864="","",ROUNDUP(((G1864*Ayarlar!$B$3+Ayarlar!$B$4+Ayarlar!$B$5)+Ayarlar!$B$8)/((1-Ayarlar!$B$6)*(1-Ayarlar!$B$7-Ayarlar!$B$9)),0))</f>
        <v/>
      </c>
      <c r="K1864" s="12">
        <f>IF(OR(G1864="",F1864=""),"",(F1864*(1-Ayarlar!$B$6)-(F1864*(1-Ayarlar!$B$6)*Ayarlar!$B$7+Ayarlar!$B$8)-(G1864*Ayarlar!$B$3+Ayarlar!$B$4+Ayarlar!$B$5))/(F1864*(1-Ayarlar!$B$6)))</f>
        <v/>
      </c>
      <c r="L1864" s="9">
        <f>IF(G1864="","GRAM EKSİK",IF(F1864&gt;30000,"FİYAT ŞÜPHELİ",IF(K1864&lt;0,"ZARARDA",IF(F1864&lt;I1864,"RİSKLİ","ok"))))</f>
        <v/>
      </c>
      <c r="M1864" s="13" t="inlineStr">
        <is>
          <t>https://www.etsy.com/listing/1743975353</t>
        </is>
      </c>
    </row>
    <row r="1865">
      <c r="A1865" s="3" t="inlineStr">
        <is>
          <t>rings</t>
        </is>
      </c>
      <c r="B1865" s="3" t="inlineStr">
        <is>
          <t>10K Solid Gold CZ Stone Men's Ring / Statement Jewelry</t>
        </is>
      </c>
      <c r="C1865" s="3" t="n">
        <v>1743975353</v>
      </c>
      <c r="D1865" s="3" t="inlineStr">
        <is>
          <t>RCZSQ-8.5</t>
        </is>
      </c>
      <c r="E1865" s="3" t="inlineStr">
        <is>
          <t>shipstation</t>
        </is>
      </c>
      <c r="F1865" s="14" t="n">
        <v>408</v>
      </c>
      <c r="G1865" s="17" t="n">
        <v>3.56</v>
      </c>
      <c r="H1865" s="14">
        <f>IF(G1865="","",G1865*Ayarlar!$B$3+Ayarlar!$B$4+Ayarlar!$B$5)</f>
        <v/>
      </c>
      <c r="I1865" s="14">
        <f>IF(G1865="","",ROUNDUP(((G1865*Ayarlar!$B$3+Ayarlar!$B$4+Ayarlar!$B$5)+Ayarlar!$B$8)/((1-Ayarlar!$B$6)*(1-Ayarlar!$B$7)),0))</f>
        <v/>
      </c>
      <c r="J1865" s="14">
        <f>IF(G1865="","",ROUNDUP(((G1865*Ayarlar!$B$3+Ayarlar!$B$4+Ayarlar!$B$5)+Ayarlar!$B$8)/((1-Ayarlar!$B$6)*(1-Ayarlar!$B$7-Ayarlar!$B$9)),0))</f>
        <v/>
      </c>
      <c r="K1865" s="15">
        <f>IF(OR(G1865="",F1865=""),"",(F1865*(1-Ayarlar!$B$6)-(F1865*(1-Ayarlar!$B$6)*Ayarlar!$B$7+Ayarlar!$B$8)-(G1865*Ayarlar!$B$3+Ayarlar!$B$4+Ayarlar!$B$5))/(F1865*(1-Ayarlar!$B$6)))</f>
        <v/>
      </c>
      <c r="L1865" s="3">
        <f>IF(G1865="","GRAM EKSİK",IF(F1865&gt;30000,"FİYAT ŞÜPHELİ",IF(K1865&lt;0,"ZARARDA",IF(F1865&lt;I1865,"RİSKLİ","ok"))))</f>
        <v/>
      </c>
      <c r="M1865" s="16" t="inlineStr">
        <is>
          <t>https://www.etsy.com/listing/1743975353</t>
        </is>
      </c>
    </row>
    <row r="1866">
      <c r="A1866" s="9" t="inlineStr">
        <is>
          <t>rings</t>
        </is>
      </c>
      <c r="B1866" s="9" t="inlineStr">
        <is>
          <t>10K Solid Gold CZ Stone Men's Ring / Statement Jewelry</t>
        </is>
      </c>
      <c r="C1866" s="9" t="n">
        <v>1743975353</v>
      </c>
      <c r="D1866" s="9" t="inlineStr">
        <is>
          <t>RCZSQ-9</t>
        </is>
      </c>
      <c r="E1866" s="9" t="inlineStr">
        <is>
          <t>description</t>
        </is>
      </c>
      <c r="F1866" s="10" t="n">
        <v>408</v>
      </c>
      <c r="G1866" s="18" t="n">
        <v>3.56</v>
      </c>
      <c r="H1866" s="10">
        <f>IF(G1866="","",G1866*Ayarlar!$B$3+Ayarlar!$B$4+Ayarlar!$B$5)</f>
        <v/>
      </c>
      <c r="I1866" s="10">
        <f>IF(G1866="","",ROUNDUP(((G1866*Ayarlar!$B$3+Ayarlar!$B$4+Ayarlar!$B$5)+Ayarlar!$B$8)/((1-Ayarlar!$B$6)*(1-Ayarlar!$B$7)),0))</f>
        <v/>
      </c>
      <c r="J1866" s="10">
        <f>IF(G1866="","",ROUNDUP(((G1866*Ayarlar!$B$3+Ayarlar!$B$4+Ayarlar!$B$5)+Ayarlar!$B$8)/((1-Ayarlar!$B$6)*(1-Ayarlar!$B$7-Ayarlar!$B$9)),0))</f>
        <v/>
      </c>
      <c r="K1866" s="12">
        <f>IF(OR(G1866="",F1866=""),"",(F1866*(1-Ayarlar!$B$6)-(F1866*(1-Ayarlar!$B$6)*Ayarlar!$B$7+Ayarlar!$B$8)-(G1866*Ayarlar!$B$3+Ayarlar!$B$4+Ayarlar!$B$5))/(F1866*(1-Ayarlar!$B$6)))</f>
        <v/>
      </c>
      <c r="L1866" s="9">
        <f>IF(G1866="","GRAM EKSİK",IF(F1866&gt;30000,"FİYAT ŞÜPHELİ",IF(K1866&lt;0,"ZARARDA",IF(F1866&lt;I1866,"RİSKLİ","ok"))))</f>
        <v/>
      </c>
      <c r="M1866" s="13" t="inlineStr">
        <is>
          <t>https://www.etsy.com/listing/1743975353</t>
        </is>
      </c>
    </row>
    <row r="1867">
      <c r="A1867" s="3" t="inlineStr">
        <is>
          <t>rings</t>
        </is>
      </c>
      <c r="B1867" s="3" t="inlineStr">
        <is>
          <t>10K Solid Gold CZ Stone Men's Ring / Statement Jewelry</t>
        </is>
      </c>
      <c r="C1867" s="3" t="n">
        <v>1743975353</v>
      </c>
      <c r="D1867" s="3" t="inlineStr">
        <is>
          <t>RCZSQ-9.5</t>
        </is>
      </c>
      <c r="E1867" s="3" t="inlineStr">
        <is>
          <t>description</t>
        </is>
      </c>
      <c r="F1867" s="14" t="n">
        <v>408</v>
      </c>
      <c r="G1867" s="17" t="n">
        <v>3.56</v>
      </c>
      <c r="H1867" s="14">
        <f>IF(G1867="","",G1867*Ayarlar!$B$3+Ayarlar!$B$4+Ayarlar!$B$5)</f>
        <v/>
      </c>
      <c r="I1867" s="14">
        <f>IF(G1867="","",ROUNDUP(((G1867*Ayarlar!$B$3+Ayarlar!$B$4+Ayarlar!$B$5)+Ayarlar!$B$8)/((1-Ayarlar!$B$6)*(1-Ayarlar!$B$7)),0))</f>
        <v/>
      </c>
      <c r="J1867" s="14">
        <f>IF(G1867="","",ROUNDUP(((G1867*Ayarlar!$B$3+Ayarlar!$B$4+Ayarlar!$B$5)+Ayarlar!$B$8)/((1-Ayarlar!$B$6)*(1-Ayarlar!$B$7-Ayarlar!$B$9)),0))</f>
        <v/>
      </c>
      <c r="K1867" s="15">
        <f>IF(OR(G1867="",F1867=""),"",(F1867*(1-Ayarlar!$B$6)-(F1867*(1-Ayarlar!$B$6)*Ayarlar!$B$7+Ayarlar!$B$8)-(G1867*Ayarlar!$B$3+Ayarlar!$B$4+Ayarlar!$B$5))/(F1867*(1-Ayarlar!$B$6)))</f>
        <v/>
      </c>
      <c r="L1867" s="3">
        <f>IF(G1867="","GRAM EKSİK",IF(F1867&gt;30000,"FİYAT ŞÜPHELİ",IF(K1867&lt;0,"ZARARDA",IF(F1867&lt;I1867,"RİSKLİ","ok"))))</f>
        <v/>
      </c>
      <c r="M1867" s="16" t="inlineStr">
        <is>
          <t>https://www.etsy.com/listing/1743975353</t>
        </is>
      </c>
    </row>
    <row r="1868">
      <c r="A1868" s="9" t="inlineStr">
        <is>
          <t>rings</t>
        </is>
      </c>
      <c r="B1868" s="9" t="inlineStr">
        <is>
          <t>10K Solid Yellow Gold Men's Ring with CZ Stone / Polished Fi</t>
        </is>
      </c>
      <c r="C1868" s="9" t="n">
        <v>1743489483</v>
      </c>
      <c r="D1868" s="9" t="inlineStr">
        <is>
          <t>RCZ1H-10</t>
        </is>
      </c>
      <c r="E1868" s="9" t="inlineStr">
        <is>
          <t>description</t>
        </is>
      </c>
      <c r="F1868" s="10" t="n">
        <v>436</v>
      </c>
      <c r="G1868" s="18" t="n">
        <v>3</v>
      </c>
      <c r="H1868" s="10">
        <f>IF(G1868="","",G1868*Ayarlar!$B$3+Ayarlar!$B$4+Ayarlar!$B$5)</f>
        <v/>
      </c>
      <c r="I1868" s="10">
        <f>IF(G1868="","",ROUNDUP(((G1868*Ayarlar!$B$3+Ayarlar!$B$4+Ayarlar!$B$5)+Ayarlar!$B$8)/((1-Ayarlar!$B$6)*(1-Ayarlar!$B$7)),0))</f>
        <v/>
      </c>
      <c r="J1868" s="10">
        <f>IF(G1868="","",ROUNDUP(((G1868*Ayarlar!$B$3+Ayarlar!$B$4+Ayarlar!$B$5)+Ayarlar!$B$8)/((1-Ayarlar!$B$6)*(1-Ayarlar!$B$7-Ayarlar!$B$9)),0))</f>
        <v/>
      </c>
      <c r="K1868" s="12">
        <f>IF(OR(G1868="",F1868=""),"",(F1868*(1-Ayarlar!$B$6)-(F1868*(1-Ayarlar!$B$6)*Ayarlar!$B$7+Ayarlar!$B$8)-(G1868*Ayarlar!$B$3+Ayarlar!$B$4+Ayarlar!$B$5))/(F1868*(1-Ayarlar!$B$6)))</f>
        <v/>
      </c>
      <c r="L1868" s="9">
        <f>IF(G1868="","GRAM EKSİK",IF(F1868&gt;30000,"FİYAT ŞÜPHELİ",IF(K1868&lt;0,"ZARARDA",IF(F1868&lt;I1868,"RİSKLİ","ok"))))</f>
        <v/>
      </c>
      <c r="M1868" s="13" t="inlineStr">
        <is>
          <t>https://www.etsy.com/listing/1743489483</t>
        </is>
      </c>
    </row>
    <row r="1869">
      <c r="A1869" s="3" t="inlineStr">
        <is>
          <t>rings</t>
        </is>
      </c>
      <c r="B1869" s="3" t="inlineStr">
        <is>
          <t>10K Solid Yellow Gold Men's Ring with CZ Stone / Polished Fi</t>
        </is>
      </c>
      <c r="C1869" s="3" t="n">
        <v>1743489483</v>
      </c>
      <c r="D1869" s="3" t="inlineStr">
        <is>
          <t>RCZ1H-10.5</t>
        </is>
      </c>
      <c r="E1869" s="3" t="inlineStr">
        <is>
          <t>shipstation</t>
        </is>
      </c>
      <c r="F1869" s="14" t="n">
        <v>435</v>
      </c>
      <c r="G1869" s="17" t="n">
        <v>2.76</v>
      </c>
      <c r="H1869" s="14">
        <f>IF(G1869="","",G1869*Ayarlar!$B$3+Ayarlar!$B$4+Ayarlar!$B$5)</f>
        <v/>
      </c>
      <c r="I1869" s="14">
        <f>IF(G1869="","",ROUNDUP(((G1869*Ayarlar!$B$3+Ayarlar!$B$4+Ayarlar!$B$5)+Ayarlar!$B$8)/((1-Ayarlar!$B$6)*(1-Ayarlar!$B$7)),0))</f>
        <v/>
      </c>
      <c r="J1869" s="14">
        <f>IF(G1869="","",ROUNDUP(((G1869*Ayarlar!$B$3+Ayarlar!$B$4+Ayarlar!$B$5)+Ayarlar!$B$8)/((1-Ayarlar!$B$6)*(1-Ayarlar!$B$7-Ayarlar!$B$9)),0))</f>
        <v/>
      </c>
      <c r="K1869" s="15">
        <f>IF(OR(G1869="",F1869=""),"",(F1869*(1-Ayarlar!$B$6)-(F1869*(1-Ayarlar!$B$6)*Ayarlar!$B$7+Ayarlar!$B$8)-(G1869*Ayarlar!$B$3+Ayarlar!$B$4+Ayarlar!$B$5))/(F1869*(1-Ayarlar!$B$6)))</f>
        <v/>
      </c>
      <c r="L1869" s="3">
        <f>IF(G1869="","GRAM EKSİK",IF(F1869&gt;30000,"FİYAT ŞÜPHELİ",IF(K1869&lt;0,"ZARARDA",IF(F1869&lt;I1869,"RİSKLİ","ok"))))</f>
        <v/>
      </c>
      <c r="M1869" s="16" t="inlineStr">
        <is>
          <t>https://www.etsy.com/listing/1743489483</t>
        </is>
      </c>
    </row>
    <row r="1870">
      <c r="A1870" s="9" t="inlineStr">
        <is>
          <t>rings</t>
        </is>
      </c>
      <c r="B1870" s="9" t="inlineStr">
        <is>
          <t>10K Solid Yellow Gold Men's Ring with CZ Stone / Polished Fi</t>
        </is>
      </c>
      <c r="C1870" s="9" t="n">
        <v>1743489483</v>
      </c>
      <c r="D1870" s="9" t="inlineStr">
        <is>
          <t>RCZ1H-11</t>
        </is>
      </c>
      <c r="E1870" s="9" t="inlineStr">
        <is>
          <t>shipstation</t>
        </is>
      </c>
      <c r="F1870" s="10" t="n">
        <v>437</v>
      </c>
      <c r="G1870" s="18" t="n">
        <v>3.07</v>
      </c>
      <c r="H1870" s="10">
        <f>IF(G1870="","",G1870*Ayarlar!$B$3+Ayarlar!$B$4+Ayarlar!$B$5)</f>
        <v/>
      </c>
      <c r="I1870" s="10">
        <f>IF(G1870="","",ROUNDUP(((G1870*Ayarlar!$B$3+Ayarlar!$B$4+Ayarlar!$B$5)+Ayarlar!$B$8)/((1-Ayarlar!$B$6)*(1-Ayarlar!$B$7)),0))</f>
        <v/>
      </c>
      <c r="J1870" s="10">
        <f>IF(G1870="","",ROUNDUP(((G1870*Ayarlar!$B$3+Ayarlar!$B$4+Ayarlar!$B$5)+Ayarlar!$B$8)/((1-Ayarlar!$B$6)*(1-Ayarlar!$B$7-Ayarlar!$B$9)),0))</f>
        <v/>
      </c>
      <c r="K1870" s="12">
        <f>IF(OR(G1870="",F1870=""),"",(F1870*(1-Ayarlar!$B$6)-(F1870*(1-Ayarlar!$B$6)*Ayarlar!$B$7+Ayarlar!$B$8)-(G1870*Ayarlar!$B$3+Ayarlar!$B$4+Ayarlar!$B$5))/(F1870*(1-Ayarlar!$B$6)))</f>
        <v/>
      </c>
      <c r="L1870" s="9">
        <f>IF(G1870="","GRAM EKSİK",IF(F1870&gt;30000,"FİYAT ŞÜPHELİ",IF(K1870&lt;0,"ZARARDA",IF(F1870&lt;I1870,"RİSKLİ","ok"))))</f>
        <v/>
      </c>
      <c r="M1870" s="13" t="inlineStr">
        <is>
          <t>https://www.etsy.com/listing/1743489483</t>
        </is>
      </c>
    </row>
    <row r="1871">
      <c r="A1871" s="3" t="inlineStr">
        <is>
          <t>rings</t>
        </is>
      </c>
      <c r="B1871" s="3" t="inlineStr">
        <is>
          <t>10K Solid Yellow Gold Men's Ring with CZ Stone / Polished Fi</t>
        </is>
      </c>
      <c r="C1871" s="3" t="n">
        <v>1743489483</v>
      </c>
      <c r="D1871" s="3" t="inlineStr">
        <is>
          <t>RCZ1H-11.5</t>
        </is>
      </c>
      <c r="E1871" s="3" t="inlineStr">
        <is>
          <t>description</t>
        </is>
      </c>
      <c r="F1871" s="14" t="n">
        <v>436</v>
      </c>
      <c r="G1871" s="17" t="n">
        <v>3</v>
      </c>
      <c r="H1871" s="14">
        <f>IF(G1871="","",G1871*Ayarlar!$B$3+Ayarlar!$B$4+Ayarlar!$B$5)</f>
        <v/>
      </c>
      <c r="I1871" s="14">
        <f>IF(G1871="","",ROUNDUP(((G1871*Ayarlar!$B$3+Ayarlar!$B$4+Ayarlar!$B$5)+Ayarlar!$B$8)/((1-Ayarlar!$B$6)*(1-Ayarlar!$B$7)),0))</f>
        <v/>
      </c>
      <c r="J1871" s="14">
        <f>IF(G1871="","",ROUNDUP(((G1871*Ayarlar!$B$3+Ayarlar!$B$4+Ayarlar!$B$5)+Ayarlar!$B$8)/((1-Ayarlar!$B$6)*(1-Ayarlar!$B$7-Ayarlar!$B$9)),0))</f>
        <v/>
      </c>
      <c r="K1871" s="15">
        <f>IF(OR(G1871="",F1871=""),"",(F1871*(1-Ayarlar!$B$6)-(F1871*(1-Ayarlar!$B$6)*Ayarlar!$B$7+Ayarlar!$B$8)-(G1871*Ayarlar!$B$3+Ayarlar!$B$4+Ayarlar!$B$5))/(F1871*(1-Ayarlar!$B$6)))</f>
        <v/>
      </c>
      <c r="L1871" s="3">
        <f>IF(G1871="","GRAM EKSİK",IF(F1871&gt;30000,"FİYAT ŞÜPHELİ",IF(K1871&lt;0,"ZARARDA",IF(F1871&lt;I1871,"RİSKLİ","ok"))))</f>
        <v/>
      </c>
      <c r="M1871" s="16" t="inlineStr">
        <is>
          <t>https://www.etsy.com/listing/1743489483</t>
        </is>
      </c>
    </row>
    <row r="1872">
      <c r="A1872" s="9" t="inlineStr">
        <is>
          <t>rings</t>
        </is>
      </c>
      <c r="B1872" s="9" t="inlineStr">
        <is>
          <t>10K Solid Yellow Gold Men's Ring with CZ Stone / Polished Fi</t>
        </is>
      </c>
      <c r="C1872" s="9" t="n">
        <v>1743489483</v>
      </c>
      <c r="D1872" s="9" t="inlineStr">
        <is>
          <t>RCZ1H-12</t>
        </is>
      </c>
      <c r="E1872" s="9" t="inlineStr">
        <is>
          <t>description</t>
        </is>
      </c>
      <c r="F1872" s="10" t="n">
        <v>436</v>
      </c>
      <c r="G1872" s="18" t="n">
        <v>3</v>
      </c>
      <c r="H1872" s="10">
        <f>IF(G1872="","",G1872*Ayarlar!$B$3+Ayarlar!$B$4+Ayarlar!$B$5)</f>
        <v/>
      </c>
      <c r="I1872" s="10">
        <f>IF(G1872="","",ROUNDUP(((G1872*Ayarlar!$B$3+Ayarlar!$B$4+Ayarlar!$B$5)+Ayarlar!$B$8)/((1-Ayarlar!$B$6)*(1-Ayarlar!$B$7)),0))</f>
        <v/>
      </c>
      <c r="J1872" s="10">
        <f>IF(G1872="","",ROUNDUP(((G1872*Ayarlar!$B$3+Ayarlar!$B$4+Ayarlar!$B$5)+Ayarlar!$B$8)/((1-Ayarlar!$B$6)*(1-Ayarlar!$B$7-Ayarlar!$B$9)),0))</f>
        <v/>
      </c>
      <c r="K1872" s="12">
        <f>IF(OR(G1872="",F1872=""),"",(F1872*(1-Ayarlar!$B$6)-(F1872*(1-Ayarlar!$B$6)*Ayarlar!$B$7+Ayarlar!$B$8)-(G1872*Ayarlar!$B$3+Ayarlar!$B$4+Ayarlar!$B$5))/(F1872*(1-Ayarlar!$B$6)))</f>
        <v/>
      </c>
      <c r="L1872" s="9">
        <f>IF(G1872="","GRAM EKSİK",IF(F1872&gt;30000,"FİYAT ŞÜPHELİ",IF(K1872&lt;0,"ZARARDA",IF(F1872&lt;I1872,"RİSKLİ","ok"))))</f>
        <v/>
      </c>
      <c r="M1872" s="13" t="inlineStr">
        <is>
          <t>https://www.etsy.com/listing/1743489483</t>
        </is>
      </c>
    </row>
    <row r="1873">
      <c r="A1873" s="3" t="inlineStr">
        <is>
          <t>rings</t>
        </is>
      </c>
      <c r="B1873" s="3" t="inlineStr">
        <is>
          <t>10K Solid Yellow Gold Men's Ring with CZ Stone / Polished Fi</t>
        </is>
      </c>
      <c r="C1873" s="3" t="n">
        <v>1743489483</v>
      </c>
      <c r="D1873" s="3" t="inlineStr">
        <is>
          <t>RCZ1H-12.5</t>
        </is>
      </c>
      <c r="E1873" s="3" t="inlineStr">
        <is>
          <t>description</t>
        </is>
      </c>
      <c r="F1873" s="14" t="n">
        <v>436</v>
      </c>
      <c r="G1873" s="17" t="n">
        <v>3</v>
      </c>
      <c r="H1873" s="14">
        <f>IF(G1873="","",G1873*Ayarlar!$B$3+Ayarlar!$B$4+Ayarlar!$B$5)</f>
        <v/>
      </c>
      <c r="I1873" s="14">
        <f>IF(G1873="","",ROUNDUP(((G1873*Ayarlar!$B$3+Ayarlar!$B$4+Ayarlar!$B$5)+Ayarlar!$B$8)/((1-Ayarlar!$B$6)*(1-Ayarlar!$B$7)),0))</f>
        <v/>
      </c>
      <c r="J1873" s="14">
        <f>IF(G1873="","",ROUNDUP(((G1873*Ayarlar!$B$3+Ayarlar!$B$4+Ayarlar!$B$5)+Ayarlar!$B$8)/((1-Ayarlar!$B$6)*(1-Ayarlar!$B$7-Ayarlar!$B$9)),0))</f>
        <v/>
      </c>
      <c r="K1873" s="15">
        <f>IF(OR(G1873="",F1873=""),"",(F1873*(1-Ayarlar!$B$6)-(F1873*(1-Ayarlar!$B$6)*Ayarlar!$B$7+Ayarlar!$B$8)-(G1873*Ayarlar!$B$3+Ayarlar!$B$4+Ayarlar!$B$5))/(F1873*(1-Ayarlar!$B$6)))</f>
        <v/>
      </c>
      <c r="L1873" s="3">
        <f>IF(G1873="","GRAM EKSİK",IF(F1873&gt;30000,"FİYAT ŞÜPHELİ",IF(K1873&lt;0,"ZARARDA",IF(F1873&lt;I1873,"RİSKLİ","ok"))))</f>
        <v/>
      </c>
      <c r="M1873" s="16" t="inlineStr">
        <is>
          <t>https://www.etsy.com/listing/1743489483</t>
        </is>
      </c>
    </row>
    <row r="1874">
      <c r="A1874" s="9" t="inlineStr">
        <is>
          <t>rings</t>
        </is>
      </c>
      <c r="B1874" s="9" t="inlineStr">
        <is>
          <t>10K Solid Yellow Gold Men's Ring with CZ Stone / Polished Fi</t>
        </is>
      </c>
      <c r="C1874" s="9" t="n">
        <v>1743489483</v>
      </c>
      <c r="D1874" s="9" t="inlineStr">
        <is>
          <t>RCZ1H-6</t>
        </is>
      </c>
      <c r="E1874" s="9" t="inlineStr">
        <is>
          <t>description</t>
        </is>
      </c>
      <c r="F1874" s="10" t="n">
        <v>436</v>
      </c>
      <c r="G1874" s="18" t="n">
        <v>3</v>
      </c>
      <c r="H1874" s="10">
        <f>IF(G1874="","",G1874*Ayarlar!$B$3+Ayarlar!$B$4+Ayarlar!$B$5)</f>
        <v/>
      </c>
      <c r="I1874" s="10">
        <f>IF(G1874="","",ROUNDUP(((G1874*Ayarlar!$B$3+Ayarlar!$B$4+Ayarlar!$B$5)+Ayarlar!$B$8)/((1-Ayarlar!$B$6)*(1-Ayarlar!$B$7)),0))</f>
        <v/>
      </c>
      <c r="J1874" s="10">
        <f>IF(G1874="","",ROUNDUP(((G1874*Ayarlar!$B$3+Ayarlar!$B$4+Ayarlar!$B$5)+Ayarlar!$B$8)/((1-Ayarlar!$B$6)*(1-Ayarlar!$B$7-Ayarlar!$B$9)),0))</f>
        <v/>
      </c>
      <c r="K1874" s="12">
        <f>IF(OR(G1874="",F1874=""),"",(F1874*(1-Ayarlar!$B$6)-(F1874*(1-Ayarlar!$B$6)*Ayarlar!$B$7+Ayarlar!$B$8)-(G1874*Ayarlar!$B$3+Ayarlar!$B$4+Ayarlar!$B$5))/(F1874*(1-Ayarlar!$B$6)))</f>
        <v/>
      </c>
      <c r="L1874" s="9">
        <f>IF(G1874="","GRAM EKSİK",IF(F1874&gt;30000,"FİYAT ŞÜPHELİ",IF(K1874&lt;0,"ZARARDA",IF(F1874&lt;I1874,"RİSKLİ","ok"))))</f>
        <v/>
      </c>
      <c r="M1874" s="13" t="inlineStr">
        <is>
          <t>https://www.etsy.com/listing/1743489483</t>
        </is>
      </c>
    </row>
    <row r="1875">
      <c r="A1875" s="3" t="inlineStr">
        <is>
          <t>rings</t>
        </is>
      </c>
      <c r="B1875" s="3" t="inlineStr">
        <is>
          <t>10K Solid Yellow Gold Men's Ring with CZ Stone / Polished Fi</t>
        </is>
      </c>
      <c r="C1875" s="3" t="n">
        <v>1743489483</v>
      </c>
      <c r="D1875" s="3" t="inlineStr">
        <is>
          <t>RCZ1H-6.5</t>
        </is>
      </c>
      <c r="E1875" s="3" t="inlineStr">
        <is>
          <t>description</t>
        </is>
      </c>
      <c r="F1875" s="14" t="n">
        <v>436</v>
      </c>
      <c r="G1875" s="17" t="n">
        <v>3</v>
      </c>
      <c r="H1875" s="14">
        <f>IF(G1875="","",G1875*Ayarlar!$B$3+Ayarlar!$B$4+Ayarlar!$B$5)</f>
        <v/>
      </c>
      <c r="I1875" s="14">
        <f>IF(G1875="","",ROUNDUP(((G1875*Ayarlar!$B$3+Ayarlar!$B$4+Ayarlar!$B$5)+Ayarlar!$B$8)/((1-Ayarlar!$B$6)*(1-Ayarlar!$B$7)),0))</f>
        <v/>
      </c>
      <c r="J1875" s="14">
        <f>IF(G1875="","",ROUNDUP(((G1875*Ayarlar!$B$3+Ayarlar!$B$4+Ayarlar!$B$5)+Ayarlar!$B$8)/((1-Ayarlar!$B$6)*(1-Ayarlar!$B$7-Ayarlar!$B$9)),0))</f>
        <v/>
      </c>
      <c r="K1875" s="15">
        <f>IF(OR(G1875="",F1875=""),"",(F1875*(1-Ayarlar!$B$6)-(F1875*(1-Ayarlar!$B$6)*Ayarlar!$B$7+Ayarlar!$B$8)-(G1875*Ayarlar!$B$3+Ayarlar!$B$4+Ayarlar!$B$5))/(F1875*(1-Ayarlar!$B$6)))</f>
        <v/>
      </c>
      <c r="L1875" s="3">
        <f>IF(G1875="","GRAM EKSİK",IF(F1875&gt;30000,"FİYAT ŞÜPHELİ",IF(K1875&lt;0,"ZARARDA",IF(F1875&lt;I1875,"RİSKLİ","ok"))))</f>
        <v/>
      </c>
      <c r="M1875" s="16" t="inlineStr">
        <is>
          <t>https://www.etsy.com/listing/1743489483</t>
        </is>
      </c>
    </row>
    <row r="1876">
      <c r="A1876" s="9" t="inlineStr">
        <is>
          <t>rings</t>
        </is>
      </c>
      <c r="B1876" s="9" t="inlineStr">
        <is>
          <t>10K Solid Yellow Gold Men's Ring with CZ Stone / Polished Fi</t>
        </is>
      </c>
      <c r="C1876" s="9" t="n">
        <v>1743489483</v>
      </c>
      <c r="D1876" s="9" t="inlineStr">
        <is>
          <t>RCZ1H-7</t>
        </is>
      </c>
      <c r="E1876" s="9" t="inlineStr">
        <is>
          <t>description</t>
        </is>
      </c>
      <c r="F1876" s="10" t="n">
        <v>436</v>
      </c>
      <c r="G1876" s="18" t="n">
        <v>3</v>
      </c>
      <c r="H1876" s="10">
        <f>IF(G1876="","",G1876*Ayarlar!$B$3+Ayarlar!$B$4+Ayarlar!$B$5)</f>
        <v/>
      </c>
      <c r="I1876" s="10">
        <f>IF(G1876="","",ROUNDUP(((G1876*Ayarlar!$B$3+Ayarlar!$B$4+Ayarlar!$B$5)+Ayarlar!$B$8)/((1-Ayarlar!$B$6)*(1-Ayarlar!$B$7)),0))</f>
        <v/>
      </c>
      <c r="J1876" s="10">
        <f>IF(G1876="","",ROUNDUP(((G1876*Ayarlar!$B$3+Ayarlar!$B$4+Ayarlar!$B$5)+Ayarlar!$B$8)/((1-Ayarlar!$B$6)*(1-Ayarlar!$B$7-Ayarlar!$B$9)),0))</f>
        <v/>
      </c>
      <c r="K1876" s="12">
        <f>IF(OR(G1876="",F1876=""),"",(F1876*(1-Ayarlar!$B$6)-(F1876*(1-Ayarlar!$B$6)*Ayarlar!$B$7+Ayarlar!$B$8)-(G1876*Ayarlar!$B$3+Ayarlar!$B$4+Ayarlar!$B$5))/(F1876*(1-Ayarlar!$B$6)))</f>
        <v/>
      </c>
      <c r="L1876" s="9">
        <f>IF(G1876="","GRAM EKSİK",IF(F1876&gt;30000,"FİYAT ŞÜPHELİ",IF(K1876&lt;0,"ZARARDA",IF(F1876&lt;I1876,"RİSKLİ","ok"))))</f>
        <v/>
      </c>
      <c r="M1876" s="13" t="inlineStr">
        <is>
          <t>https://www.etsy.com/listing/1743489483</t>
        </is>
      </c>
    </row>
    <row r="1877">
      <c r="A1877" s="3" t="inlineStr">
        <is>
          <t>rings</t>
        </is>
      </c>
      <c r="B1877" s="3" t="inlineStr">
        <is>
          <t>10K Solid Yellow Gold Men's Ring with CZ Stone / Polished Fi</t>
        </is>
      </c>
      <c r="C1877" s="3" t="n">
        <v>1743489483</v>
      </c>
      <c r="D1877" s="3" t="inlineStr">
        <is>
          <t>RCZ1H-7.5</t>
        </is>
      </c>
      <c r="E1877" s="3" t="inlineStr">
        <is>
          <t>description</t>
        </is>
      </c>
      <c r="F1877" s="14" t="n">
        <v>436</v>
      </c>
      <c r="G1877" s="17" t="n">
        <v>3</v>
      </c>
      <c r="H1877" s="14">
        <f>IF(G1877="","",G1877*Ayarlar!$B$3+Ayarlar!$B$4+Ayarlar!$B$5)</f>
        <v/>
      </c>
      <c r="I1877" s="14">
        <f>IF(G1877="","",ROUNDUP(((G1877*Ayarlar!$B$3+Ayarlar!$B$4+Ayarlar!$B$5)+Ayarlar!$B$8)/((1-Ayarlar!$B$6)*(1-Ayarlar!$B$7)),0))</f>
        <v/>
      </c>
      <c r="J1877" s="14">
        <f>IF(G1877="","",ROUNDUP(((G1877*Ayarlar!$B$3+Ayarlar!$B$4+Ayarlar!$B$5)+Ayarlar!$B$8)/((1-Ayarlar!$B$6)*(1-Ayarlar!$B$7-Ayarlar!$B$9)),0))</f>
        <v/>
      </c>
      <c r="K1877" s="15">
        <f>IF(OR(G1877="",F1877=""),"",(F1877*(1-Ayarlar!$B$6)-(F1877*(1-Ayarlar!$B$6)*Ayarlar!$B$7+Ayarlar!$B$8)-(G1877*Ayarlar!$B$3+Ayarlar!$B$4+Ayarlar!$B$5))/(F1877*(1-Ayarlar!$B$6)))</f>
        <v/>
      </c>
      <c r="L1877" s="3">
        <f>IF(G1877="","GRAM EKSİK",IF(F1877&gt;30000,"FİYAT ŞÜPHELİ",IF(K1877&lt;0,"ZARARDA",IF(F1877&lt;I1877,"RİSKLİ","ok"))))</f>
        <v/>
      </c>
      <c r="M1877" s="16" t="inlineStr">
        <is>
          <t>https://www.etsy.com/listing/1743489483</t>
        </is>
      </c>
    </row>
    <row r="1878">
      <c r="A1878" s="9" t="inlineStr">
        <is>
          <t>rings</t>
        </is>
      </c>
      <c r="B1878" s="9" t="inlineStr">
        <is>
          <t>10K Solid Yellow Gold Men's Ring with CZ Stone / Polished Fi</t>
        </is>
      </c>
      <c r="C1878" s="9" t="n">
        <v>1743489483</v>
      </c>
      <c r="D1878" s="9" t="inlineStr">
        <is>
          <t>RCZ1H-8</t>
        </is>
      </c>
      <c r="E1878" s="9" t="inlineStr">
        <is>
          <t>description</t>
        </is>
      </c>
      <c r="F1878" s="10" t="n">
        <v>436</v>
      </c>
      <c r="G1878" s="18" t="n">
        <v>3</v>
      </c>
      <c r="H1878" s="10">
        <f>IF(G1878="","",G1878*Ayarlar!$B$3+Ayarlar!$B$4+Ayarlar!$B$5)</f>
        <v/>
      </c>
      <c r="I1878" s="10">
        <f>IF(G1878="","",ROUNDUP(((G1878*Ayarlar!$B$3+Ayarlar!$B$4+Ayarlar!$B$5)+Ayarlar!$B$8)/((1-Ayarlar!$B$6)*(1-Ayarlar!$B$7)),0))</f>
        <v/>
      </c>
      <c r="J1878" s="10">
        <f>IF(G1878="","",ROUNDUP(((G1878*Ayarlar!$B$3+Ayarlar!$B$4+Ayarlar!$B$5)+Ayarlar!$B$8)/((1-Ayarlar!$B$6)*(1-Ayarlar!$B$7-Ayarlar!$B$9)),0))</f>
        <v/>
      </c>
      <c r="K1878" s="12">
        <f>IF(OR(G1878="",F1878=""),"",(F1878*(1-Ayarlar!$B$6)-(F1878*(1-Ayarlar!$B$6)*Ayarlar!$B$7+Ayarlar!$B$8)-(G1878*Ayarlar!$B$3+Ayarlar!$B$4+Ayarlar!$B$5))/(F1878*(1-Ayarlar!$B$6)))</f>
        <v/>
      </c>
      <c r="L1878" s="9">
        <f>IF(G1878="","GRAM EKSİK",IF(F1878&gt;30000,"FİYAT ŞÜPHELİ",IF(K1878&lt;0,"ZARARDA",IF(F1878&lt;I1878,"RİSKLİ","ok"))))</f>
        <v/>
      </c>
      <c r="M1878" s="13" t="inlineStr">
        <is>
          <t>https://www.etsy.com/listing/1743489483</t>
        </is>
      </c>
    </row>
    <row r="1879">
      <c r="A1879" s="3" t="inlineStr">
        <is>
          <t>rings</t>
        </is>
      </c>
      <c r="B1879" s="3" t="inlineStr">
        <is>
          <t>10K Solid Yellow Gold Men's Ring with CZ Stone / Polished Fi</t>
        </is>
      </c>
      <c r="C1879" s="3" t="n">
        <v>1743489483</v>
      </c>
      <c r="D1879" s="3" t="inlineStr">
        <is>
          <t>RCZ1H-8.5</t>
        </is>
      </c>
      <c r="E1879" s="3" t="inlineStr">
        <is>
          <t>description</t>
        </is>
      </c>
      <c r="F1879" s="14" t="n">
        <v>436</v>
      </c>
      <c r="G1879" s="17" t="n">
        <v>3</v>
      </c>
      <c r="H1879" s="14">
        <f>IF(G1879="","",G1879*Ayarlar!$B$3+Ayarlar!$B$4+Ayarlar!$B$5)</f>
        <v/>
      </c>
      <c r="I1879" s="14">
        <f>IF(G1879="","",ROUNDUP(((G1879*Ayarlar!$B$3+Ayarlar!$B$4+Ayarlar!$B$5)+Ayarlar!$B$8)/((1-Ayarlar!$B$6)*(1-Ayarlar!$B$7)),0))</f>
        <v/>
      </c>
      <c r="J1879" s="14">
        <f>IF(G1879="","",ROUNDUP(((G1879*Ayarlar!$B$3+Ayarlar!$B$4+Ayarlar!$B$5)+Ayarlar!$B$8)/((1-Ayarlar!$B$6)*(1-Ayarlar!$B$7-Ayarlar!$B$9)),0))</f>
        <v/>
      </c>
      <c r="K1879" s="15">
        <f>IF(OR(G1879="",F1879=""),"",(F1879*(1-Ayarlar!$B$6)-(F1879*(1-Ayarlar!$B$6)*Ayarlar!$B$7+Ayarlar!$B$8)-(G1879*Ayarlar!$B$3+Ayarlar!$B$4+Ayarlar!$B$5))/(F1879*(1-Ayarlar!$B$6)))</f>
        <v/>
      </c>
      <c r="L1879" s="3">
        <f>IF(G1879="","GRAM EKSİK",IF(F1879&gt;30000,"FİYAT ŞÜPHELİ",IF(K1879&lt;0,"ZARARDA",IF(F1879&lt;I1879,"RİSKLİ","ok"))))</f>
        <v/>
      </c>
      <c r="M1879" s="16" t="inlineStr">
        <is>
          <t>https://www.etsy.com/listing/1743489483</t>
        </is>
      </c>
    </row>
    <row r="1880">
      <c r="A1880" s="9" t="inlineStr">
        <is>
          <t>rings</t>
        </is>
      </c>
      <c r="B1880" s="9" t="inlineStr">
        <is>
          <t>10K Solid Yellow Gold Men's Ring with CZ Stone / Polished Fi</t>
        </is>
      </c>
      <c r="C1880" s="9" t="n">
        <v>1743489483</v>
      </c>
      <c r="D1880" s="9" t="inlineStr">
        <is>
          <t>RCZ1H-9</t>
        </is>
      </c>
      <c r="E1880" s="9" t="inlineStr">
        <is>
          <t>description</t>
        </is>
      </c>
      <c r="F1880" s="10" t="n">
        <v>436</v>
      </c>
      <c r="G1880" s="18" t="n">
        <v>3</v>
      </c>
      <c r="H1880" s="10">
        <f>IF(G1880="","",G1880*Ayarlar!$B$3+Ayarlar!$B$4+Ayarlar!$B$5)</f>
        <v/>
      </c>
      <c r="I1880" s="10">
        <f>IF(G1880="","",ROUNDUP(((G1880*Ayarlar!$B$3+Ayarlar!$B$4+Ayarlar!$B$5)+Ayarlar!$B$8)/((1-Ayarlar!$B$6)*(1-Ayarlar!$B$7)),0))</f>
        <v/>
      </c>
      <c r="J1880" s="10">
        <f>IF(G1880="","",ROUNDUP(((G1880*Ayarlar!$B$3+Ayarlar!$B$4+Ayarlar!$B$5)+Ayarlar!$B$8)/((1-Ayarlar!$B$6)*(1-Ayarlar!$B$7-Ayarlar!$B$9)),0))</f>
        <v/>
      </c>
      <c r="K1880" s="12">
        <f>IF(OR(G1880="",F1880=""),"",(F1880*(1-Ayarlar!$B$6)-(F1880*(1-Ayarlar!$B$6)*Ayarlar!$B$7+Ayarlar!$B$8)-(G1880*Ayarlar!$B$3+Ayarlar!$B$4+Ayarlar!$B$5))/(F1880*(1-Ayarlar!$B$6)))</f>
        <v/>
      </c>
      <c r="L1880" s="9">
        <f>IF(G1880="","GRAM EKSİK",IF(F1880&gt;30000,"FİYAT ŞÜPHELİ",IF(K1880&lt;0,"ZARARDA",IF(F1880&lt;I1880,"RİSKLİ","ok"))))</f>
        <v/>
      </c>
      <c r="M1880" s="13" t="inlineStr">
        <is>
          <t>https://www.etsy.com/listing/1743489483</t>
        </is>
      </c>
    </row>
    <row r="1881">
      <c r="A1881" s="3" t="inlineStr">
        <is>
          <t>rings</t>
        </is>
      </c>
      <c r="B1881" s="3" t="inlineStr">
        <is>
          <t>10K Solid Yellow Gold Men's Ring with CZ Stone / Polished Fi</t>
        </is>
      </c>
      <c r="C1881" s="3" t="n">
        <v>1743489483</v>
      </c>
      <c r="D1881" s="3" t="inlineStr">
        <is>
          <t>RCZ1H-9.5</t>
        </is>
      </c>
      <c r="E1881" s="3" t="inlineStr">
        <is>
          <t>description</t>
        </is>
      </c>
      <c r="F1881" s="14" t="n">
        <v>436</v>
      </c>
      <c r="G1881" s="17" t="n">
        <v>3</v>
      </c>
      <c r="H1881" s="14">
        <f>IF(G1881="","",G1881*Ayarlar!$B$3+Ayarlar!$B$4+Ayarlar!$B$5)</f>
        <v/>
      </c>
      <c r="I1881" s="14">
        <f>IF(G1881="","",ROUNDUP(((G1881*Ayarlar!$B$3+Ayarlar!$B$4+Ayarlar!$B$5)+Ayarlar!$B$8)/((1-Ayarlar!$B$6)*(1-Ayarlar!$B$7)),0))</f>
        <v/>
      </c>
      <c r="J1881" s="14">
        <f>IF(G1881="","",ROUNDUP(((G1881*Ayarlar!$B$3+Ayarlar!$B$4+Ayarlar!$B$5)+Ayarlar!$B$8)/((1-Ayarlar!$B$6)*(1-Ayarlar!$B$7-Ayarlar!$B$9)),0))</f>
        <v/>
      </c>
      <c r="K1881" s="15">
        <f>IF(OR(G1881="",F1881=""),"",(F1881*(1-Ayarlar!$B$6)-(F1881*(1-Ayarlar!$B$6)*Ayarlar!$B$7+Ayarlar!$B$8)-(G1881*Ayarlar!$B$3+Ayarlar!$B$4+Ayarlar!$B$5))/(F1881*(1-Ayarlar!$B$6)))</f>
        <v/>
      </c>
      <c r="L1881" s="3">
        <f>IF(G1881="","GRAM EKSİK",IF(F1881&gt;30000,"FİYAT ŞÜPHELİ",IF(K1881&lt;0,"ZARARDA",IF(F1881&lt;I1881,"RİSKLİ","ok"))))</f>
        <v/>
      </c>
      <c r="M1881" s="16" t="inlineStr">
        <is>
          <t>https://www.etsy.com/listing/1743489483</t>
        </is>
      </c>
    </row>
    <row r="1882">
      <c r="A1882" s="9" t="inlineStr">
        <is>
          <t>rings</t>
        </is>
      </c>
      <c r="B1882" s="9" t="inlineStr">
        <is>
          <t>10K Solid Yellow Gold Men's Ring with CZ Stone / Polished Fi</t>
        </is>
      </c>
      <c r="C1882" s="9" t="n">
        <v>1743489483</v>
      </c>
      <c r="D1882" s="9" t="inlineStr">
        <is>
          <t>RCZ1R-10</t>
        </is>
      </c>
      <c r="E1882" s="9" t="inlineStr">
        <is>
          <t>description</t>
        </is>
      </c>
      <c r="F1882" s="10" t="n">
        <v>436</v>
      </c>
      <c r="G1882" s="18" t="n">
        <v>3</v>
      </c>
      <c r="H1882" s="10">
        <f>IF(G1882="","",G1882*Ayarlar!$B$3+Ayarlar!$B$4+Ayarlar!$B$5)</f>
        <v/>
      </c>
      <c r="I1882" s="10">
        <f>IF(G1882="","",ROUNDUP(((G1882*Ayarlar!$B$3+Ayarlar!$B$4+Ayarlar!$B$5)+Ayarlar!$B$8)/((1-Ayarlar!$B$6)*(1-Ayarlar!$B$7)),0))</f>
        <v/>
      </c>
      <c r="J1882" s="10">
        <f>IF(G1882="","",ROUNDUP(((G1882*Ayarlar!$B$3+Ayarlar!$B$4+Ayarlar!$B$5)+Ayarlar!$B$8)/((1-Ayarlar!$B$6)*(1-Ayarlar!$B$7-Ayarlar!$B$9)),0))</f>
        <v/>
      </c>
      <c r="K1882" s="12">
        <f>IF(OR(G1882="",F1882=""),"",(F1882*(1-Ayarlar!$B$6)-(F1882*(1-Ayarlar!$B$6)*Ayarlar!$B$7+Ayarlar!$B$8)-(G1882*Ayarlar!$B$3+Ayarlar!$B$4+Ayarlar!$B$5))/(F1882*(1-Ayarlar!$B$6)))</f>
        <v/>
      </c>
      <c r="L1882" s="9">
        <f>IF(G1882="","GRAM EKSİK",IF(F1882&gt;30000,"FİYAT ŞÜPHELİ",IF(K1882&lt;0,"ZARARDA",IF(F1882&lt;I1882,"RİSKLİ","ok"))))</f>
        <v/>
      </c>
      <c r="M1882" s="13" t="inlineStr">
        <is>
          <t>https://www.etsy.com/listing/1743489483</t>
        </is>
      </c>
    </row>
    <row r="1883">
      <c r="A1883" s="3" t="inlineStr">
        <is>
          <t>rings</t>
        </is>
      </c>
      <c r="B1883" s="3" t="inlineStr">
        <is>
          <t>10K Solid Yellow Gold Men's Ring with CZ Stone / Polished Fi</t>
        </is>
      </c>
      <c r="C1883" s="3" t="n">
        <v>1743489483</v>
      </c>
      <c r="D1883" s="3" t="inlineStr">
        <is>
          <t>RCZ1R-10.5</t>
        </is>
      </c>
      <c r="E1883" s="3" t="inlineStr">
        <is>
          <t>description</t>
        </is>
      </c>
      <c r="F1883" s="14" t="n">
        <v>436</v>
      </c>
      <c r="G1883" s="17" t="n">
        <v>3</v>
      </c>
      <c r="H1883" s="14">
        <f>IF(G1883="","",G1883*Ayarlar!$B$3+Ayarlar!$B$4+Ayarlar!$B$5)</f>
        <v/>
      </c>
      <c r="I1883" s="14">
        <f>IF(G1883="","",ROUNDUP(((G1883*Ayarlar!$B$3+Ayarlar!$B$4+Ayarlar!$B$5)+Ayarlar!$B$8)/((1-Ayarlar!$B$6)*(1-Ayarlar!$B$7)),0))</f>
        <v/>
      </c>
      <c r="J1883" s="14">
        <f>IF(G1883="","",ROUNDUP(((G1883*Ayarlar!$B$3+Ayarlar!$B$4+Ayarlar!$B$5)+Ayarlar!$B$8)/((1-Ayarlar!$B$6)*(1-Ayarlar!$B$7-Ayarlar!$B$9)),0))</f>
        <v/>
      </c>
      <c r="K1883" s="15">
        <f>IF(OR(G1883="",F1883=""),"",(F1883*(1-Ayarlar!$B$6)-(F1883*(1-Ayarlar!$B$6)*Ayarlar!$B$7+Ayarlar!$B$8)-(G1883*Ayarlar!$B$3+Ayarlar!$B$4+Ayarlar!$B$5))/(F1883*(1-Ayarlar!$B$6)))</f>
        <v/>
      </c>
      <c r="L1883" s="3">
        <f>IF(G1883="","GRAM EKSİK",IF(F1883&gt;30000,"FİYAT ŞÜPHELİ",IF(K1883&lt;0,"ZARARDA",IF(F1883&lt;I1883,"RİSKLİ","ok"))))</f>
        <v/>
      </c>
      <c r="M1883" s="16" t="inlineStr">
        <is>
          <t>https://www.etsy.com/listing/1743489483</t>
        </is>
      </c>
    </row>
    <row r="1884">
      <c r="A1884" s="9" t="inlineStr">
        <is>
          <t>rings</t>
        </is>
      </c>
      <c r="B1884" s="9" t="inlineStr">
        <is>
          <t>10K Solid Yellow Gold Men's Ring with CZ Stone / Polished Fi</t>
        </is>
      </c>
      <c r="C1884" s="9" t="n">
        <v>1743489483</v>
      </c>
      <c r="D1884" s="9" t="inlineStr">
        <is>
          <t>RCZ1R-11</t>
        </is>
      </c>
      <c r="E1884" s="9" t="inlineStr">
        <is>
          <t>shipstation</t>
        </is>
      </c>
      <c r="F1884" s="10" t="n">
        <v>439</v>
      </c>
      <c r="G1884" s="18" t="n">
        <v>3.52</v>
      </c>
      <c r="H1884" s="10">
        <f>IF(G1884="","",G1884*Ayarlar!$B$3+Ayarlar!$B$4+Ayarlar!$B$5)</f>
        <v/>
      </c>
      <c r="I1884" s="10">
        <f>IF(G1884="","",ROUNDUP(((G1884*Ayarlar!$B$3+Ayarlar!$B$4+Ayarlar!$B$5)+Ayarlar!$B$8)/((1-Ayarlar!$B$6)*(1-Ayarlar!$B$7)),0))</f>
        <v/>
      </c>
      <c r="J1884" s="10">
        <f>IF(G1884="","",ROUNDUP(((G1884*Ayarlar!$B$3+Ayarlar!$B$4+Ayarlar!$B$5)+Ayarlar!$B$8)/((1-Ayarlar!$B$6)*(1-Ayarlar!$B$7-Ayarlar!$B$9)),0))</f>
        <v/>
      </c>
      <c r="K1884" s="12">
        <f>IF(OR(G1884="",F1884=""),"",(F1884*(1-Ayarlar!$B$6)-(F1884*(1-Ayarlar!$B$6)*Ayarlar!$B$7+Ayarlar!$B$8)-(G1884*Ayarlar!$B$3+Ayarlar!$B$4+Ayarlar!$B$5))/(F1884*(1-Ayarlar!$B$6)))</f>
        <v/>
      </c>
      <c r="L1884" s="9">
        <f>IF(G1884="","GRAM EKSİK",IF(F1884&gt;30000,"FİYAT ŞÜPHELİ",IF(K1884&lt;0,"ZARARDA",IF(F1884&lt;I1884,"RİSKLİ","ok"))))</f>
        <v/>
      </c>
      <c r="M1884" s="13" t="inlineStr">
        <is>
          <t>https://www.etsy.com/listing/1743489483</t>
        </is>
      </c>
    </row>
    <row r="1885">
      <c r="A1885" s="3" t="inlineStr">
        <is>
          <t>rings</t>
        </is>
      </c>
      <c r="B1885" s="3" t="inlineStr">
        <is>
          <t>10K Solid Yellow Gold Men's Ring with CZ Stone / Polished Fi</t>
        </is>
      </c>
      <c r="C1885" s="3" t="n">
        <v>1743489483</v>
      </c>
      <c r="D1885" s="3" t="inlineStr">
        <is>
          <t>RCZ1R-11.5</t>
        </is>
      </c>
      <c r="E1885" s="3" t="inlineStr">
        <is>
          <t>description</t>
        </is>
      </c>
      <c r="F1885" s="14" t="n">
        <v>436</v>
      </c>
      <c r="G1885" s="17" t="n">
        <v>3</v>
      </c>
      <c r="H1885" s="14">
        <f>IF(G1885="","",G1885*Ayarlar!$B$3+Ayarlar!$B$4+Ayarlar!$B$5)</f>
        <v/>
      </c>
      <c r="I1885" s="14">
        <f>IF(G1885="","",ROUNDUP(((G1885*Ayarlar!$B$3+Ayarlar!$B$4+Ayarlar!$B$5)+Ayarlar!$B$8)/((1-Ayarlar!$B$6)*(1-Ayarlar!$B$7)),0))</f>
        <v/>
      </c>
      <c r="J1885" s="14">
        <f>IF(G1885="","",ROUNDUP(((G1885*Ayarlar!$B$3+Ayarlar!$B$4+Ayarlar!$B$5)+Ayarlar!$B$8)/((1-Ayarlar!$B$6)*(1-Ayarlar!$B$7-Ayarlar!$B$9)),0))</f>
        <v/>
      </c>
      <c r="K1885" s="15">
        <f>IF(OR(G1885="",F1885=""),"",(F1885*(1-Ayarlar!$B$6)-(F1885*(1-Ayarlar!$B$6)*Ayarlar!$B$7+Ayarlar!$B$8)-(G1885*Ayarlar!$B$3+Ayarlar!$B$4+Ayarlar!$B$5))/(F1885*(1-Ayarlar!$B$6)))</f>
        <v/>
      </c>
      <c r="L1885" s="3">
        <f>IF(G1885="","GRAM EKSİK",IF(F1885&gt;30000,"FİYAT ŞÜPHELİ",IF(K1885&lt;0,"ZARARDA",IF(F1885&lt;I1885,"RİSKLİ","ok"))))</f>
        <v/>
      </c>
      <c r="M1885" s="16" t="inlineStr">
        <is>
          <t>https://www.etsy.com/listing/1743489483</t>
        </is>
      </c>
    </row>
    <row r="1886">
      <c r="A1886" s="9" t="inlineStr">
        <is>
          <t>rings</t>
        </is>
      </c>
      <c r="B1886" s="9" t="inlineStr">
        <is>
          <t>10K Solid Yellow Gold Men's Ring with CZ Stone / Polished Fi</t>
        </is>
      </c>
      <c r="C1886" s="9" t="n">
        <v>1743489483</v>
      </c>
      <c r="D1886" s="9" t="inlineStr">
        <is>
          <t>RCZ1R-12</t>
        </is>
      </c>
      <c r="E1886" s="9" t="inlineStr">
        <is>
          <t>description</t>
        </is>
      </c>
      <c r="F1886" s="10" t="n">
        <v>436</v>
      </c>
      <c r="G1886" s="18" t="n">
        <v>3</v>
      </c>
      <c r="H1886" s="10">
        <f>IF(G1886="","",G1886*Ayarlar!$B$3+Ayarlar!$B$4+Ayarlar!$B$5)</f>
        <v/>
      </c>
      <c r="I1886" s="10">
        <f>IF(G1886="","",ROUNDUP(((G1886*Ayarlar!$B$3+Ayarlar!$B$4+Ayarlar!$B$5)+Ayarlar!$B$8)/((1-Ayarlar!$B$6)*(1-Ayarlar!$B$7)),0))</f>
        <v/>
      </c>
      <c r="J1886" s="10">
        <f>IF(G1886="","",ROUNDUP(((G1886*Ayarlar!$B$3+Ayarlar!$B$4+Ayarlar!$B$5)+Ayarlar!$B$8)/((1-Ayarlar!$B$6)*(1-Ayarlar!$B$7-Ayarlar!$B$9)),0))</f>
        <v/>
      </c>
      <c r="K1886" s="12">
        <f>IF(OR(G1886="",F1886=""),"",(F1886*(1-Ayarlar!$B$6)-(F1886*(1-Ayarlar!$B$6)*Ayarlar!$B$7+Ayarlar!$B$8)-(G1886*Ayarlar!$B$3+Ayarlar!$B$4+Ayarlar!$B$5))/(F1886*(1-Ayarlar!$B$6)))</f>
        <v/>
      </c>
      <c r="L1886" s="9">
        <f>IF(G1886="","GRAM EKSİK",IF(F1886&gt;30000,"FİYAT ŞÜPHELİ",IF(K1886&lt;0,"ZARARDA",IF(F1886&lt;I1886,"RİSKLİ","ok"))))</f>
        <v/>
      </c>
      <c r="M1886" s="13" t="inlineStr">
        <is>
          <t>https://www.etsy.com/listing/1743489483</t>
        </is>
      </c>
    </row>
    <row r="1887">
      <c r="A1887" s="3" t="inlineStr">
        <is>
          <t>rings</t>
        </is>
      </c>
      <c r="B1887" s="3" t="inlineStr">
        <is>
          <t>10K Solid Yellow Gold Men's Ring with CZ Stone / Polished Fi</t>
        </is>
      </c>
      <c r="C1887" s="3" t="n">
        <v>1743489483</v>
      </c>
      <c r="D1887" s="3" t="inlineStr">
        <is>
          <t>RCZ1R-12.5</t>
        </is>
      </c>
      <c r="E1887" s="3" t="inlineStr">
        <is>
          <t>description</t>
        </is>
      </c>
      <c r="F1887" s="14" t="n">
        <v>436</v>
      </c>
      <c r="G1887" s="17" t="n">
        <v>3</v>
      </c>
      <c r="H1887" s="14">
        <f>IF(G1887="","",G1887*Ayarlar!$B$3+Ayarlar!$B$4+Ayarlar!$B$5)</f>
        <v/>
      </c>
      <c r="I1887" s="14">
        <f>IF(G1887="","",ROUNDUP(((G1887*Ayarlar!$B$3+Ayarlar!$B$4+Ayarlar!$B$5)+Ayarlar!$B$8)/((1-Ayarlar!$B$6)*(1-Ayarlar!$B$7)),0))</f>
        <v/>
      </c>
      <c r="J1887" s="14">
        <f>IF(G1887="","",ROUNDUP(((G1887*Ayarlar!$B$3+Ayarlar!$B$4+Ayarlar!$B$5)+Ayarlar!$B$8)/((1-Ayarlar!$B$6)*(1-Ayarlar!$B$7-Ayarlar!$B$9)),0))</f>
        <v/>
      </c>
      <c r="K1887" s="15">
        <f>IF(OR(G1887="",F1887=""),"",(F1887*(1-Ayarlar!$B$6)-(F1887*(1-Ayarlar!$B$6)*Ayarlar!$B$7+Ayarlar!$B$8)-(G1887*Ayarlar!$B$3+Ayarlar!$B$4+Ayarlar!$B$5))/(F1887*(1-Ayarlar!$B$6)))</f>
        <v/>
      </c>
      <c r="L1887" s="3">
        <f>IF(G1887="","GRAM EKSİK",IF(F1887&gt;30000,"FİYAT ŞÜPHELİ",IF(K1887&lt;0,"ZARARDA",IF(F1887&lt;I1887,"RİSKLİ","ok"))))</f>
        <v/>
      </c>
      <c r="M1887" s="16" t="inlineStr">
        <is>
          <t>https://www.etsy.com/listing/1743489483</t>
        </is>
      </c>
    </row>
    <row r="1888">
      <c r="A1888" s="9" t="inlineStr">
        <is>
          <t>rings</t>
        </is>
      </c>
      <c r="B1888" s="9" t="inlineStr">
        <is>
          <t>10K Solid Yellow Gold Men's Ring with CZ Stone / Polished Fi</t>
        </is>
      </c>
      <c r="C1888" s="9" t="n">
        <v>1743489483</v>
      </c>
      <c r="D1888" s="9" t="inlineStr">
        <is>
          <t>RCZ1R-6</t>
        </is>
      </c>
      <c r="E1888" s="9" t="inlineStr">
        <is>
          <t>description</t>
        </is>
      </c>
      <c r="F1888" s="10" t="n">
        <v>436</v>
      </c>
      <c r="G1888" s="18" t="n">
        <v>3</v>
      </c>
      <c r="H1888" s="10">
        <f>IF(G1888="","",G1888*Ayarlar!$B$3+Ayarlar!$B$4+Ayarlar!$B$5)</f>
        <v/>
      </c>
      <c r="I1888" s="10">
        <f>IF(G1888="","",ROUNDUP(((G1888*Ayarlar!$B$3+Ayarlar!$B$4+Ayarlar!$B$5)+Ayarlar!$B$8)/((1-Ayarlar!$B$6)*(1-Ayarlar!$B$7)),0))</f>
        <v/>
      </c>
      <c r="J1888" s="10">
        <f>IF(G1888="","",ROUNDUP(((G1888*Ayarlar!$B$3+Ayarlar!$B$4+Ayarlar!$B$5)+Ayarlar!$B$8)/((1-Ayarlar!$B$6)*(1-Ayarlar!$B$7-Ayarlar!$B$9)),0))</f>
        <v/>
      </c>
      <c r="K1888" s="12">
        <f>IF(OR(G1888="",F1888=""),"",(F1888*(1-Ayarlar!$B$6)-(F1888*(1-Ayarlar!$B$6)*Ayarlar!$B$7+Ayarlar!$B$8)-(G1888*Ayarlar!$B$3+Ayarlar!$B$4+Ayarlar!$B$5))/(F1888*(1-Ayarlar!$B$6)))</f>
        <v/>
      </c>
      <c r="L1888" s="9">
        <f>IF(G1888="","GRAM EKSİK",IF(F1888&gt;30000,"FİYAT ŞÜPHELİ",IF(K1888&lt;0,"ZARARDA",IF(F1888&lt;I1888,"RİSKLİ","ok"))))</f>
        <v/>
      </c>
      <c r="M1888" s="13" t="inlineStr">
        <is>
          <t>https://www.etsy.com/listing/1743489483</t>
        </is>
      </c>
    </row>
    <row r="1889">
      <c r="A1889" s="3" t="inlineStr">
        <is>
          <t>rings</t>
        </is>
      </c>
      <c r="B1889" s="3" t="inlineStr">
        <is>
          <t>10K Solid Yellow Gold Men's Ring with CZ Stone / Polished Fi</t>
        </is>
      </c>
      <c r="C1889" s="3" t="n">
        <v>1743489483</v>
      </c>
      <c r="D1889" s="3" t="inlineStr">
        <is>
          <t>RCZ1R-6.5</t>
        </is>
      </c>
      <c r="E1889" s="3" t="inlineStr">
        <is>
          <t>description</t>
        </is>
      </c>
      <c r="F1889" s="14" t="n">
        <v>436</v>
      </c>
      <c r="G1889" s="17" t="n">
        <v>3</v>
      </c>
      <c r="H1889" s="14">
        <f>IF(G1889="","",G1889*Ayarlar!$B$3+Ayarlar!$B$4+Ayarlar!$B$5)</f>
        <v/>
      </c>
      <c r="I1889" s="14">
        <f>IF(G1889="","",ROUNDUP(((G1889*Ayarlar!$B$3+Ayarlar!$B$4+Ayarlar!$B$5)+Ayarlar!$B$8)/((1-Ayarlar!$B$6)*(1-Ayarlar!$B$7)),0))</f>
        <v/>
      </c>
      <c r="J1889" s="14">
        <f>IF(G1889="","",ROUNDUP(((G1889*Ayarlar!$B$3+Ayarlar!$B$4+Ayarlar!$B$5)+Ayarlar!$B$8)/((1-Ayarlar!$B$6)*(1-Ayarlar!$B$7-Ayarlar!$B$9)),0))</f>
        <v/>
      </c>
      <c r="K1889" s="15">
        <f>IF(OR(G1889="",F1889=""),"",(F1889*(1-Ayarlar!$B$6)-(F1889*(1-Ayarlar!$B$6)*Ayarlar!$B$7+Ayarlar!$B$8)-(G1889*Ayarlar!$B$3+Ayarlar!$B$4+Ayarlar!$B$5))/(F1889*(1-Ayarlar!$B$6)))</f>
        <v/>
      </c>
      <c r="L1889" s="3">
        <f>IF(G1889="","GRAM EKSİK",IF(F1889&gt;30000,"FİYAT ŞÜPHELİ",IF(K1889&lt;0,"ZARARDA",IF(F1889&lt;I1889,"RİSKLİ","ok"))))</f>
        <v/>
      </c>
      <c r="M1889" s="16" t="inlineStr">
        <is>
          <t>https://www.etsy.com/listing/1743489483</t>
        </is>
      </c>
    </row>
    <row r="1890">
      <c r="A1890" s="9" t="inlineStr">
        <is>
          <t>rings</t>
        </is>
      </c>
      <c r="B1890" s="9" t="inlineStr">
        <is>
          <t>10K Solid Yellow Gold Men's Ring with CZ Stone / Polished Fi</t>
        </is>
      </c>
      <c r="C1890" s="9" t="n">
        <v>1743489483</v>
      </c>
      <c r="D1890" s="9" t="inlineStr">
        <is>
          <t>RCZ1R-7</t>
        </is>
      </c>
      <c r="E1890" s="9" t="inlineStr">
        <is>
          <t>shipstation</t>
        </is>
      </c>
      <c r="F1890" s="10" t="n">
        <v>438</v>
      </c>
      <c r="G1890" s="18" t="n">
        <v>3.38</v>
      </c>
      <c r="H1890" s="10">
        <f>IF(G1890="","",G1890*Ayarlar!$B$3+Ayarlar!$B$4+Ayarlar!$B$5)</f>
        <v/>
      </c>
      <c r="I1890" s="10">
        <f>IF(G1890="","",ROUNDUP(((G1890*Ayarlar!$B$3+Ayarlar!$B$4+Ayarlar!$B$5)+Ayarlar!$B$8)/((1-Ayarlar!$B$6)*(1-Ayarlar!$B$7)),0))</f>
        <v/>
      </c>
      <c r="J1890" s="10">
        <f>IF(G1890="","",ROUNDUP(((G1890*Ayarlar!$B$3+Ayarlar!$B$4+Ayarlar!$B$5)+Ayarlar!$B$8)/((1-Ayarlar!$B$6)*(1-Ayarlar!$B$7-Ayarlar!$B$9)),0))</f>
        <v/>
      </c>
      <c r="K1890" s="12">
        <f>IF(OR(G1890="",F1890=""),"",(F1890*(1-Ayarlar!$B$6)-(F1890*(1-Ayarlar!$B$6)*Ayarlar!$B$7+Ayarlar!$B$8)-(G1890*Ayarlar!$B$3+Ayarlar!$B$4+Ayarlar!$B$5))/(F1890*(1-Ayarlar!$B$6)))</f>
        <v/>
      </c>
      <c r="L1890" s="9">
        <f>IF(G1890="","GRAM EKSİK",IF(F1890&gt;30000,"FİYAT ŞÜPHELİ",IF(K1890&lt;0,"ZARARDA",IF(F1890&lt;I1890,"RİSKLİ","ok"))))</f>
        <v/>
      </c>
      <c r="M1890" s="13" t="inlineStr">
        <is>
          <t>https://www.etsy.com/listing/1743489483</t>
        </is>
      </c>
    </row>
    <row r="1891">
      <c r="A1891" s="3" t="inlineStr">
        <is>
          <t>rings</t>
        </is>
      </c>
      <c r="B1891" s="3" t="inlineStr">
        <is>
          <t>10K Solid Yellow Gold Men's Ring with CZ Stone / Polished Fi</t>
        </is>
      </c>
      <c r="C1891" s="3" t="n">
        <v>1743489483</v>
      </c>
      <c r="D1891" s="3" t="inlineStr">
        <is>
          <t>RCZ1R-7.5</t>
        </is>
      </c>
      <c r="E1891" s="3" t="inlineStr">
        <is>
          <t>description</t>
        </is>
      </c>
      <c r="F1891" s="14" t="n">
        <v>436</v>
      </c>
      <c r="G1891" s="17" t="n">
        <v>3</v>
      </c>
      <c r="H1891" s="14">
        <f>IF(G1891="","",G1891*Ayarlar!$B$3+Ayarlar!$B$4+Ayarlar!$B$5)</f>
        <v/>
      </c>
      <c r="I1891" s="14">
        <f>IF(G1891="","",ROUNDUP(((G1891*Ayarlar!$B$3+Ayarlar!$B$4+Ayarlar!$B$5)+Ayarlar!$B$8)/((1-Ayarlar!$B$6)*(1-Ayarlar!$B$7)),0))</f>
        <v/>
      </c>
      <c r="J1891" s="14">
        <f>IF(G1891="","",ROUNDUP(((G1891*Ayarlar!$B$3+Ayarlar!$B$4+Ayarlar!$B$5)+Ayarlar!$B$8)/((1-Ayarlar!$B$6)*(1-Ayarlar!$B$7-Ayarlar!$B$9)),0))</f>
        <v/>
      </c>
      <c r="K1891" s="15">
        <f>IF(OR(G1891="",F1891=""),"",(F1891*(1-Ayarlar!$B$6)-(F1891*(1-Ayarlar!$B$6)*Ayarlar!$B$7+Ayarlar!$B$8)-(G1891*Ayarlar!$B$3+Ayarlar!$B$4+Ayarlar!$B$5))/(F1891*(1-Ayarlar!$B$6)))</f>
        <v/>
      </c>
      <c r="L1891" s="3">
        <f>IF(G1891="","GRAM EKSİK",IF(F1891&gt;30000,"FİYAT ŞÜPHELİ",IF(K1891&lt;0,"ZARARDA",IF(F1891&lt;I1891,"RİSKLİ","ok"))))</f>
        <v/>
      </c>
      <c r="M1891" s="16" t="inlineStr">
        <is>
          <t>https://www.etsy.com/listing/1743489483</t>
        </is>
      </c>
    </row>
    <row r="1892">
      <c r="A1892" s="9" t="inlineStr">
        <is>
          <t>rings</t>
        </is>
      </c>
      <c r="B1892" s="9" t="inlineStr">
        <is>
          <t>10K Solid Yellow Gold Men's Ring with CZ Stone / Polished Fi</t>
        </is>
      </c>
      <c r="C1892" s="9" t="n">
        <v>1743489483</v>
      </c>
      <c r="D1892" s="9" t="inlineStr">
        <is>
          <t>RCZ1R-8</t>
        </is>
      </c>
      <c r="E1892" s="9" t="inlineStr">
        <is>
          <t>description</t>
        </is>
      </c>
      <c r="F1892" s="10" t="n">
        <v>436</v>
      </c>
      <c r="G1892" s="18" t="n">
        <v>3</v>
      </c>
      <c r="H1892" s="10">
        <f>IF(G1892="","",G1892*Ayarlar!$B$3+Ayarlar!$B$4+Ayarlar!$B$5)</f>
        <v/>
      </c>
      <c r="I1892" s="10">
        <f>IF(G1892="","",ROUNDUP(((G1892*Ayarlar!$B$3+Ayarlar!$B$4+Ayarlar!$B$5)+Ayarlar!$B$8)/((1-Ayarlar!$B$6)*(1-Ayarlar!$B$7)),0))</f>
        <v/>
      </c>
      <c r="J1892" s="10">
        <f>IF(G1892="","",ROUNDUP(((G1892*Ayarlar!$B$3+Ayarlar!$B$4+Ayarlar!$B$5)+Ayarlar!$B$8)/((1-Ayarlar!$B$6)*(1-Ayarlar!$B$7-Ayarlar!$B$9)),0))</f>
        <v/>
      </c>
      <c r="K1892" s="12">
        <f>IF(OR(G1892="",F1892=""),"",(F1892*(1-Ayarlar!$B$6)-(F1892*(1-Ayarlar!$B$6)*Ayarlar!$B$7+Ayarlar!$B$8)-(G1892*Ayarlar!$B$3+Ayarlar!$B$4+Ayarlar!$B$5))/(F1892*(1-Ayarlar!$B$6)))</f>
        <v/>
      </c>
      <c r="L1892" s="9">
        <f>IF(G1892="","GRAM EKSİK",IF(F1892&gt;30000,"FİYAT ŞÜPHELİ",IF(K1892&lt;0,"ZARARDA",IF(F1892&lt;I1892,"RİSKLİ","ok"))))</f>
        <v/>
      </c>
      <c r="M1892" s="13" t="inlineStr">
        <is>
          <t>https://www.etsy.com/listing/1743489483</t>
        </is>
      </c>
    </row>
    <row r="1893">
      <c r="A1893" s="3" t="inlineStr">
        <is>
          <t>rings</t>
        </is>
      </c>
      <c r="B1893" s="3" t="inlineStr">
        <is>
          <t>10K Solid Yellow Gold Men's Ring with CZ Stone / Polished Fi</t>
        </is>
      </c>
      <c r="C1893" s="3" t="n">
        <v>1743489483</v>
      </c>
      <c r="D1893" s="3" t="inlineStr">
        <is>
          <t>RCZ1R-8.5</t>
        </is>
      </c>
      <c r="E1893" s="3" t="inlineStr">
        <is>
          <t>description</t>
        </is>
      </c>
      <c r="F1893" s="14" t="n">
        <v>436</v>
      </c>
      <c r="G1893" s="17" t="n">
        <v>3</v>
      </c>
      <c r="H1893" s="14">
        <f>IF(G1893="","",G1893*Ayarlar!$B$3+Ayarlar!$B$4+Ayarlar!$B$5)</f>
        <v/>
      </c>
      <c r="I1893" s="14">
        <f>IF(G1893="","",ROUNDUP(((G1893*Ayarlar!$B$3+Ayarlar!$B$4+Ayarlar!$B$5)+Ayarlar!$B$8)/((1-Ayarlar!$B$6)*(1-Ayarlar!$B$7)),0))</f>
        <v/>
      </c>
      <c r="J1893" s="14">
        <f>IF(G1893="","",ROUNDUP(((G1893*Ayarlar!$B$3+Ayarlar!$B$4+Ayarlar!$B$5)+Ayarlar!$B$8)/((1-Ayarlar!$B$6)*(1-Ayarlar!$B$7-Ayarlar!$B$9)),0))</f>
        <v/>
      </c>
      <c r="K1893" s="15">
        <f>IF(OR(G1893="",F1893=""),"",(F1893*(1-Ayarlar!$B$6)-(F1893*(1-Ayarlar!$B$6)*Ayarlar!$B$7+Ayarlar!$B$8)-(G1893*Ayarlar!$B$3+Ayarlar!$B$4+Ayarlar!$B$5))/(F1893*(1-Ayarlar!$B$6)))</f>
        <v/>
      </c>
      <c r="L1893" s="3">
        <f>IF(G1893="","GRAM EKSİK",IF(F1893&gt;30000,"FİYAT ŞÜPHELİ",IF(K1893&lt;0,"ZARARDA",IF(F1893&lt;I1893,"RİSKLİ","ok"))))</f>
        <v/>
      </c>
      <c r="M1893" s="16" t="inlineStr">
        <is>
          <t>https://www.etsy.com/listing/1743489483</t>
        </is>
      </c>
    </row>
    <row r="1894">
      <c r="A1894" s="9" t="inlineStr">
        <is>
          <t>rings</t>
        </is>
      </c>
      <c r="B1894" s="9" t="inlineStr">
        <is>
          <t>10K Solid Yellow Gold Men's Ring with CZ Stone / Polished Fi</t>
        </is>
      </c>
      <c r="C1894" s="9" t="n">
        <v>1743489483</v>
      </c>
      <c r="D1894" s="9" t="inlineStr">
        <is>
          <t>RCZ1R-9</t>
        </is>
      </c>
      <c r="E1894" s="9" t="inlineStr">
        <is>
          <t>description</t>
        </is>
      </c>
      <c r="F1894" s="10" t="n">
        <v>436</v>
      </c>
      <c r="G1894" s="18" t="n">
        <v>3</v>
      </c>
      <c r="H1894" s="10">
        <f>IF(G1894="","",G1894*Ayarlar!$B$3+Ayarlar!$B$4+Ayarlar!$B$5)</f>
        <v/>
      </c>
      <c r="I1894" s="10">
        <f>IF(G1894="","",ROUNDUP(((G1894*Ayarlar!$B$3+Ayarlar!$B$4+Ayarlar!$B$5)+Ayarlar!$B$8)/((1-Ayarlar!$B$6)*(1-Ayarlar!$B$7)),0))</f>
        <v/>
      </c>
      <c r="J1894" s="10">
        <f>IF(G1894="","",ROUNDUP(((G1894*Ayarlar!$B$3+Ayarlar!$B$4+Ayarlar!$B$5)+Ayarlar!$B$8)/((1-Ayarlar!$B$6)*(1-Ayarlar!$B$7-Ayarlar!$B$9)),0))</f>
        <v/>
      </c>
      <c r="K1894" s="12">
        <f>IF(OR(G1894="",F1894=""),"",(F1894*(1-Ayarlar!$B$6)-(F1894*(1-Ayarlar!$B$6)*Ayarlar!$B$7+Ayarlar!$B$8)-(G1894*Ayarlar!$B$3+Ayarlar!$B$4+Ayarlar!$B$5))/(F1894*(1-Ayarlar!$B$6)))</f>
        <v/>
      </c>
      <c r="L1894" s="9">
        <f>IF(G1894="","GRAM EKSİK",IF(F1894&gt;30000,"FİYAT ŞÜPHELİ",IF(K1894&lt;0,"ZARARDA",IF(F1894&lt;I1894,"RİSKLİ","ok"))))</f>
        <v/>
      </c>
      <c r="M1894" s="13" t="inlineStr">
        <is>
          <t>https://www.etsy.com/listing/1743489483</t>
        </is>
      </c>
    </row>
    <row r="1895">
      <c r="A1895" s="3" t="inlineStr">
        <is>
          <t>rings</t>
        </is>
      </c>
      <c r="B1895" s="3" t="inlineStr">
        <is>
          <t>10K Solid Yellow Gold Men's Ring with CZ Stone / Polished Fi</t>
        </is>
      </c>
      <c r="C1895" s="3" t="n">
        <v>1743489483</v>
      </c>
      <c r="D1895" s="3" t="inlineStr">
        <is>
          <t>RCZ1R-9.5</t>
        </is>
      </c>
      <c r="E1895" s="3" t="inlineStr">
        <is>
          <t>description</t>
        </is>
      </c>
      <c r="F1895" s="14" t="n">
        <v>436</v>
      </c>
      <c r="G1895" s="17" t="n">
        <v>3</v>
      </c>
      <c r="H1895" s="14">
        <f>IF(G1895="","",G1895*Ayarlar!$B$3+Ayarlar!$B$4+Ayarlar!$B$5)</f>
        <v/>
      </c>
      <c r="I1895" s="14">
        <f>IF(G1895="","",ROUNDUP(((G1895*Ayarlar!$B$3+Ayarlar!$B$4+Ayarlar!$B$5)+Ayarlar!$B$8)/((1-Ayarlar!$B$6)*(1-Ayarlar!$B$7)),0))</f>
        <v/>
      </c>
      <c r="J1895" s="14">
        <f>IF(G1895="","",ROUNDUP(((G1895*Ayarlar!$B$3+Ayarlar!$B$4+Ayarlar!$B$5)+Ayarlar!$B$8)/((1-Ayarlar!$B$6)*(1-Ayarlar!$B$7-Ayarlar!$B$9)),0))</f>
        <v/>
      </c>
      <c r="K1895" s="15">
        <f>IF(OR(G1895="",F1895=""),"",(F1895*(1-Ayarlar!$B$6)-(F1895*(1-Ayarlar!$B$6)*Ayarlar!$B$7+Ayarlar!$B$8)-(G1895*Ayarlar!$B$3+Ayarlar!$B$4+Ayarlar!$B$5))/(F1895*(1-Ayarlar!$B$6)))</f>
        <v/>
      </c>
      <c r="L1895" s="3">
        <f>IF(G1895="","GRAM EKSİK",IF(F1895&gt;30000,"FİYAT ŞÜPHELİ",IF(K1895&lt;0,"ZARARDA",IF(F1895&lt;I1895,"RİSKLİ","ok"))))</f>
        <v/>
      </c>
      <c r="M1895" s="16" t="inlineStr">
        <is>
          <t>https://www.etsy.com/listing/1743489483</t>
        </is>
      </c>
    </row>
    <row r="1896">
      <c r="A1896" s="9" t="inlineStr">
        <is>
          <t>rings</t>
        </is>
      </c>
      <c r="B1896" s="9" t="inlineStr">
        <is>
          <t>10K Solid Yellow Gold Men's Ring with CZ Stone / Polished Fi</t>
        </is>
      </c>
      <c r="C1896" s="9" t="n">
        <v>1743489483</v>
      </c>
      <c r="D1896" s="9" t="inlineStr">
        <is>
          <t>RCZ1SQ-10</t>
        </is>
      </c>
      <c r="E1896" s="9" t="inlineStr">
        <is>
          <t>shipstation</t>
        </is>
      </c>
      <c r="F1896" s="10" t="n">
        <v>436</v>
      </c>
      <c r="G1896" s="18" t="n">
        <v>3</v>
      </c>
      <c r="H1896" s="10">
        <f>IF(G1896="","",G1896*Ayarlar!$B$3+Ayarlar!$B$4+Ayarlar!$B$5)</f>
        <v/>
      </c>
      <c r="I1896" s="10">
        <f>IF(G1896="","",ROUNDUP(((G1896*Ayarlar!$B$3+Ayarlar!$B$4+Ayarlar!$B$5)+Ayarlar!$B$8)/((1-Ayarlar!$B$6)*(1-Ayarlar!$B$7)),0))</f>
        <v/>
      </c>
      <c r="J1896" s="10">
        <f>IF(G1896="","",ROUNDUP(((G1896*Ayarlar!$B$3+Ayarlar!$B$4+Ayarlar!$B$5)+Ayarlar!$B$8)/((1-Ayarlar!$B$6)*(1-Ayarlar!$B$7-Ayarlar!$B$9)),0))</f>
        <v/>
      </c>
      <c r="K1896" s="12">
        <f>IF(OR(G1896="",F1896=""),"",(F1896*(1-Ayarlar!$B$6)-(F1896*(1-Ayarlar!$B$6)*Ayarlar!$B$7+Ayarlar!$B$8)-(G1896*Ayarlar!$B$3+Ayarlar!$B$4+Ayarlar!$B$5))/(F1896*(1-Ayarlar!$B$6)))</f>
        <v/>
      </c>
      <c r="L1896" s="9">
        <f>IF(G1896="","GRAM EKSİK",IF(F1896&gt;30000,"FİYAT ŞÜPHELİ",IF(K1896&lt;0,"ZARARDA",IF(F1896&lt;I1896,"RİSKLİ","ok"))))</f>
        <v/>
      </c>
      <c r="M1896" s="13" t="inlineStr">
        <is>
          <t>https://www.etsy.com/listing/1743489483</t>
        </is>
      </c>
    </row>
    <row r="1897">
      <c r="A1897" s="3" t="inlineStr">
        <is>
          <t>rings</t>
        </is>
      </c>
      <c r="B1897" s="3" t="inlineStr">
        <is>
          <t>10K Solid Yellow Gold Men's Ring with CZ Stone / Polished Fi</t>
        </is>
      </c>
      <c r="C1897" s="3" t="n">
        <v>1743489483</v>
      </c>
      <c r="D1897" s="3" t="inlineStr">
        <is>
          <t>RCZ1SQ-10.5</t>
        </is>
      </c>
      <c r="E1897" s="3" t="inlineStr">
        <is>
          <t>description</t>
        </is>
      </c>
      <c r="F1897" s="14" t="n">
        <v>436</v>
      </c>
      <c r="G1897" s="17" t="n">
        <v>3</v>
      </c>
      <c r="H1897" s="14">
        <f>IF(G1897="","",G1897*Ayarlar!$B$3+Ayarlar!$B$4+Ayarlar!$B$5)</f>
        <v/>
      </c>
      <c r="I1897" s="14">
        <f>IF(G1897="","",ROUNDUP(((G1897*Ayarlar!$B$3+Ayarlar!$B$4+Ayarlar!$B$5)+Ayarlar!$B$8)/((1-Ayarlar!$B$6)*(1-Ayarlar!$B$7)),0))</f>
        <v/>
      </c>
      <c r="J1897" s="14">
        <f>IF(G1897="","",ROUNDUP(((G1897*Ayarlar!$B$3+Ayarlar!$B$4+Ayarlar!$B$5)+Ayarlar!$B$8)/((1-Ayarlar!$B$6)*(1-Ayarlar!$B$7-Ayarlar!$B$9)),0))</f>
        <v/>
      </c>
      <c r="K1897" s="15">
        <f>IF(OR(G1897="",F1897=""),"",(F1897*(1-Ayarlar!$B$6)-(F1897*(1-Ayarlar!$B$6)*Ayarlar!$B$7+Ayarlar!$B$8)-(G1897*Ayarlar!$B$3+Ayarlar!$B$4+Ayarlar!$B$5))/(F1897*(1-Ayarlar!$B$6)))</f>
        <v/>
      </c>
      <c r="L1897" s="3">
        <f>IF(G1897="","GRAM EKSİK",IF(F1897&gt;30000,"FİYAT ŞÜPHELİ",IF(K1897&lt;0,"ZARARDA",IF(F1897&lt;I1897,"RİSKLİ","ok"))))</f>
        <v/>
      </c>
      <c r="M1897" s="16" t="inlineStr">
        <is>
          <t>https://www.etsy.com/listing/1743489483</t>
        </is>
      </c>
    </row>
    <row r="1898">
      <c r="A1898" s="9" t="inlineStr">
        <is>
          <t>rings</t>
        </is>
      </c>
      <c r="B1898" s="9" t="inlineStr">
        <is>
          <t>10K Solid Yellow Gold Men's Ring with CZ Stone / Polished Fi</t>
        </is>
      </c>
      <c r="C1898" s="9" t="n">
        <v>1743489483</v>
      </c>
      <c r="D1898" s="9" t="inlineStr">
        <is>
          <t>RCZ1SQ-11</t>
        </is>
      </c>
      <c r="E1898" s="9" t="inlineStr">
        <is>
          <t>description</t>
        </is>
      </c>
      <c r="F1898" s="10" t="n">
        <v>436</v>
      </c>
      <c r="G1898" s="18" t="n">
        <v>3</v>
      </c>
      <c r="H1898" s="10">
        <f>IF(G1898="","",G1898*Ayarlar!$B$3+Ayarlar!$B$4+Ayarlar!$B$5)</f>
        <v/>
      </c>
      <c r="I1898" s="10">
        <f>IF(G1898="","",ROUNDUP(((G1898*Ayarlar!$B$3+Ayarlar!$B$4+Ayarlar!$B$5)+Ayarlar!$B$8)/((1-Ayarlar!$B$6)*(1-Ayarlar!$B$7)),0))</f>
        <v/>
      </c>
      <c r="J1898" s="10">
        <f>IF(G1898="","",ROUNDUP(((G1898*Ayarlar!$B$3+Ayarlar!$B$4+Ayarlar!$B$5)+Ayarlar!$B$8)/((1-Ayarlar!$B$6)*(1-Ayarlar!$B$7-Ayarlar!$B$9)),0))</f>
        <v/>
      </c>
      <c r="K1898" s="12">
        <f>IF(OR(G1898="",F1898=""),"",(F1898*(1-Ayarlar!$B$6)-(F1898*(1-Ayarlar!$B$6)*Ayarlar!$B$7+Ayarlar!$B$8)-(G1898*Ayarlar!$B$3+Ayarlar!$B$4+Ayarlar!$B$5))/(F1898*(1-Ayarlar!$B$6)))</f>
        <v/>
      </c>
      <c r="L1898" s="9">
        <f>IF(G1898="","GRAM EKSİK",IF(F1898&gt;30000,"FİYAT ŞÜPHELİ",IF(K1898&lt;0,"ZARARDA",IF(F1898&lt;I1898,"RİSKLİ","ok"))))</f>
        <v/>
      </c>
      <c r="M1898" s="13" t="inlineStr">
        <is>
          <t>https://www.etsy.com/listing/1743489483</t>
        </is>
      </c>
    </row>
    <row r="1899">
      <c r="A1899" s="3" t="inlineStr">
        <is>
          <t>rings</t>
        </is>
      </c>
      <c r="B1899" s="3" t="inlineStr">
        <is>
          <t>10K Solid Yellow Gold Men's Ring with CZ Stone / Polished Fi</t>
        </is>
      </c>
      <c r="C1899" s="3" t="n">
        <v>1743489483</v>
      </c>
      <c r="D1899" s="3" t="inlineStr">
        <is>
          <t>RCZ1SQ-11.5</t>
        </is>
      </c>
      <c r="E1899" s="3" t="inlineStr">
        <is>
          <t>shipstation</t>
        </is>
      </c>
      <c r="F1899" s="14" t="n">
        <v>436</v>
      </c>
      <c r="G1899" s="17" t="n">
        <v>3</v>
      </c>
      <c r="H1899" s="14">
        <f>IF(G1899="","",G1899*Ayarlar!$B$3+Ayarlar!$B$4+Ayarlar!$B$5)</f>
        <v/>
      </c>
      <c r="I1899" s="14">
        <f>IF(G1899="","",ROUNDUP(((G1899*Ayarlar!$B$3+Ayarlar!$B$4+Ayarlar!$B$5)+Ayarlar!$B$8)/((1-Ayarlar!$B$6)*(1-Ayarlar!$B$7)),0))</f>
        <v/>
      </c>
      <c r="J1899" s="14">
        <f>IF(G1899="","",ROUNDUP(((G1899*Ayarlar!$B$3+Ayarlar!$B$4+Ayarlar!$B$5)+Ayarlar!$B$8)/((1-Ayarlar!$B$6)*(1-Ayarlar!$B$7-Ayarlar!$B$9)),0))</f>
        <v/>
      </c>
      <c r="K1899" s="15">
        <f>IF(OR(G1899="",F1899=""),"",(F1899*(1-Ayarlar!$B$6)-(F1899*(1-Ayarlar!$B$6)*Ayarlar!$B$7+Ayarlar!$B$8)-(G1899*Ayarlar!$B$3+Ayarlar!$B$4+Ayarlar!$B$5))/(F1899*(1-Ayarlar!$B$6)))</f>
        <v/>
      </c>
      <c r="L1899" s="3">
        <f>IF(G1899="","GRAM EKSİK",IF(F1899&gt;30000,"FİYAT ŞÜPHELİ",IF(K1899&lt;0,"ZARARDA",IF(F1899&lt;I1899,"RİSKLİ","ok"))))</f>
        <v/>
      </c>
      <c r="M1899" s="16" t="inlineStr">
        <is>
          <t>https://www.etsy.com/listing/1743489483</t>
        </is>
      </c>
    </row>
    <row r="1900">
      <c r="A1900" s="9" t="inlineStr">
        <is>
          <t>rings</t>
        </is>
      </c>
      <c r="B1900" s="9" t="inlineStr">
        <is>
          <t>10K Solid Yellow Gold Men's Ring with CZ Stone / Polished Fi</t>
        </is>
      </c>
      <c r="C1900" s="9" t="n">
        <v>1743489483</v>
      </c>
      <c r="D1900" s="9" t="inlineStr">
        <is>
          <t>RCZ1SQ-12</t>
        </is>
      </c>
      <c r="E1900" s="9" t="inlineStr">
        <is>
          <t>description</t>
        </is>
      </c>
      <c r="F1900" s="10" t="n">
        <v>436</v>
      </c>
      <c r="G1900" s="18" t="n">
        <v>3</v>
      </c>
      <c r="H1900" s="10">
        <f>IF(G1900="","",G1900*Ayarlar!$B$3+Ayarlar!$B$4+Ayarlar!$B$5)</f>
        <v/>
      </c>
      <c r="I1900" s="10">
        <f>IF(G1900="","",ROUNDUP(((G1900*Ayarlar!$B$3+Ayarlar!$B$4+Ayarlar!$B$5)+Ayarlar!$B$8)/((1-Ayarlar!$B$6)*(1-Ayarlar!$B$7)),0))</f>
        <v/>
      </c>
      <c r="J1900" s="10">
        <f>IF(G1900="","",ROUNDUP(((G1900*Ayarlar!$B$3+Ayarlar!$B$4+Ayarlar!$B$5)+Ayarlar!$B$8)/((1-Ayarlar!$B$6)*(1-Ayarlar!$B$7-Ayarlar!$B$9)),0))</f>
        <v/>
      </c>
      <c r="K1900" s="12">
        <f>IF(OR(G1900="",F1900=""),"",(F1900*(1-Ayarlar!$B$6)-(F1900*(1-Ayarlar!$B$6)*Ayarlar!$B$7+Ayarlar!$B$8)-(G1900*Ayarlar!$B$3+Ayarlar!$B$4+Ayarlar!$B$5))/(F1900*(1-Ayarlar!$B$6)))</f>
        <v/>
      </c>
      <c r="L1900" s="9">
        <f>IF(G1900="","GRAM EKSİK",IF(F1900&gt;30000,"FİYAT ŞÜPHELİ",IF(K1900&lt;0,"ZARARDA",IF(F1900&lt;I1900,"RİSKLİ","ok"))))</f>
        <v/>
      </c>
      <c r="M1900" s="13" t="inlineStr">
        <is>
          <t>https://www.etsy.com/listing/1743489483</t>
        </is>
      </c>
    </row>
    <row r="1901">
      <c r="A1901" s="3" t="inlineStr">
        <is>
          <t>rings</t>
        </is>
      </c>
      <c r="B1901" s="3" t="inlineStr">
        <is>
          <t>10K Solid Yellow Gold Men's Ring with CZ Stone / Polished Fi</t>
        </is>
      </c>
      <c r="C1901" s="3" t="n">
        <v>1743489483</v>
      </c>
      <c r="D1901" s="3" t="inlineStr">
        <is>
          <t>RCZ1SQ-12.5</t>
        </is>
      </c>
      <c r="E1901" s="3" t="inlineStr">
        <is>
          <t>description</t>
        </is>
      </c>
      <c r="F1901" s="14" t="n">
        <v>436</v>
      </c>
      <c r="G1901" s="17" t="n">
        <v>3</v>
      </c>
      <c r="H1901" s="14">
        <f>IF(G1901="","",G1901*Ayarlar!$B$3+Ayarlar!$B$4+Ayarlar!$B$5)</f>
        <v/>
      </c>
      <c r="I1901" s="14">
        <f>IF(G1901="","",ROUNDUP(((G1901*Ayarlar!$B$3+Ayarlar!$B$4+Ayarlar!$B$5)+Ayarlar!$B$8)/((1-Ayarlar!$B$6)*(1-Ayarlar!$B$7)),0))</f>
        <v/>
      </c>
      <c r="J1901" s="14">
        <f>IF(G1901="","",ROUNDUP(((G1901*Ayarlar!$B$3+Ayarlar!$B$4+Ayarlar!$B$5)+Ayarlar!$B$8)/((1-Ayarlar!$B$6)*(1-Ayarlar!$B$7-Ayarlar!$B$9)),0))</f>
        <v/>
      </c>
      <c r="K1901" s="15">
        <f>IF(OR(G1901="",F1901=""),"",(F1901*(1-Ayarlar!$B$6)-(F1901*(1-Ayarlar!$B$6)*Ayarlar!$B$7+Ayarlar!$B$8)-(G1901*Ayarlar!$B$3+Ayarlar!$B$4+Ayarlar!$B$5))/(F1901*(1-Ayarlar!$B$6)))</f>
        <v/>
      </c>
      <c r="L1901" s="3">
        <f>IF(G1901="","GRAM EKSİK",IF(F1901&gt;30000,"FİYAT ŞÜPHELİ",IF(K1901&lt;0,"ZARARDA",IF(F1901&lt;I1901,"RİSKLİ","ok"))))</f>
        <v/>
      </c>
      <c r="M1901" s="16" t="inlineStr">
        <is>
          <t>https://www.etsy.com/listing/1743489483</t>
        </is>
      </c>
    </row>
    <row r="1902">
      <c r="A1902" s="9" t="inlineStr">
        <is>
          <t>rings</t>
        </is>
      </c>
      <c r="B1902" s="9" t="inlineStr">
        <is>
          <t>10K Solid Yellow Gold Men's Ring with CZ Stone / Polished Fi</t>
        </is>
      </c>
      <c r="C1902" s="9" t="n">
        <v>1743489483</v>
      </c>
      <c r="D1902" s="9" t="inlineStr">
        <is>
          <t>RCZ1SQ-6</t>
        </is>
      </c>
      <c r="E1902" s="9" t="inlineStr">
        <is>
          <t>description</t>
        </is>
      </c>
      <c r="F1902" s="10" t="n">
        <v>436</v>
      </c>
      <c r="G1902" s="18" t="n">
        <v>3</v>
      </c>
      <c r="H1902" s="10">
        <f>IF(G1902="","",G1902*Ayarlar!$B$3+Ayarlar!$B$4+Ayarlar!$B$5)</f>
        <v/>
      </c>
      <c r="I1902" s="10">
        <f>IF(G1902="","",ROUNDUP(((G1902*Ayarlar!$B$3+Ayarlar!$B$4+Ayarlar!$B$5)+Ayarlar!$B$8)/((1-Ayarlar!$B$6)*(1-Ayarlar!$B$7)),0))</f>
        <v/>
      </c>
      <c r="J1902" s="10">
        <f>IF(G1902="","",ROUNDUP(((G1902*Ayarlar!$B$3+Ayarlar!$B$4+Ayarlar!$B$5)+Ayarlar!$B$8)/((1-Ayarlar!$B$6)*(1-Ayarlar!$B$7-Ayarlar!$B$9)),0))</f>
        <v/>
      </c>
      <c r="K1902" s="12">
        <f>IF(OR(G1902="",F1902=""),"",(F1902*(1-Ayarlar!$B$6)-(F1902*(1-Ayarlar!$B$6)*Ayarlar!$B$7+Ayarlar!$B$8)-(G1902*Ayarlar!$B$3+Ayarlar!$B$4+Ayarlar!$B$5))/(F1902*(1-Ayarlar!$B$6)))</f>
        <v/>
      </c>
      <c r="L1902" s="9">
        <f>IF(G1902="","GRAM EKSİK",IF(F1902&gt;30000,"FİYAT ŞÜPHELİ",IF(K1902&lt;0,"ZARARDA",IF(F1902&lt;I1902,"RİSKLİ","ok"))))</f>
        <v/>
      </c>
      <c r="M1902" s="13" t="inlineStr">
        <is>
          <t>https://www.etsy.com/listing/1743489483</t>
        </is>
      </c>
    </row>
    <row r="1903">
      <c r="A1903" s="3" t="inlineStr">
        <is>
          <t>rings</t>
        </is>
      </c>
      <c r="B1903" s="3" t="inlineStr">
        <is>
          <t>10K Solid Yellow Gold Men's Ring with CZ Stone / Polished Fi</t>
        </is>
      </c>
      <c r="C1903" s="3" t="n">
        <v>1743489483</v>
      </c>
      <c r="D1903" s="3" t="inlineStr">
        <is>
          <t>RCZ1SQ-6.5</t>
        </is>
      </c>
      <c r="E1903" s="3" t="inlineStr">
        <is>
          <t>description</t>
        </is>
      </c>
      <c r="F1903" s="14" t="n">
        <v>436</v>
      </c>
      <c r="G1903" s="17" t="n">
        <v>3</v>
      </c>
      <c r="H1903" s="14">
        <f>IF(G1903="","",G1903*Ayarlar!$B$3+Ayarlar!$B$4+Ayarlar!$B$5)</f>
        <v/>
      </c>
      <c r="I1903" s="14">
        <f>IF(G1903="","",ROUNDUP(((G1903*Ayarlar!$B$3+Ayarlar!$B$4+Ayarlar!$B$5)+Ayarlar!$B$8)/((1-Ayarlar!$B$6)*(1-Ayarlar!$B$7)),0))</f>
        <v/>
      </c>
      <c r="J1903" s="14">
        <f>IF(G1903="","",ROUNDUP(((G1903*Ayarlar!$B$3+Ayarlar!$B$4+Ayarlar!$B$5)+Ayarlar!$B$8)/((1-Ayarlar!$B$6)*(1-Ayarlar!$B$7-Ayarlar!$B$9)),0))</f>
        <v/>
      </c>
      <c r="K1903" s="15">
        <f>IF(OR(G1903="",F1903=""),"",(F1903*(1-Ayarlar!$B$6)-(F1903*(1-Ayarlar!$B$6)*Ayarlar!$B$7+Ayarlar!$B$8)-(G1903*Ayarlar!$B$3+Ayarlar!$B$4+Ayarlar!$B$5))/(F1903*(1-Ayarlar!$B$6)))</f>
        <v/>
      </c>
      <c r="L1903" s="3">
        <f>IF(G1903="","GRAM EKSİK",IF(F1903&gt;30000,"FİYAT ŞÜPHELİ",IF(K1903&lt;0,"ZARARDA",IF(F1903&lt;I1903,"RİSKLİ","ok"))))</f>
        <v/>
      </c>
      <c r="M1903" s="16" t="inlineStr">
        <is>
          <t>https://www.etsy.com/listing/1743489483</t>
        </is>
      </c>
    </row>
    <row r="1904">
      <c r="A1904" s="9" t="inlineStr">
        <is>
          <t>rings</t>
        </is>
      </c>
      <c r="B1904" s="9" t="inlineStr">
        <is>
          <t>10K Solid Yellow Gold Men's Ring with CZ Stone / Polished Fi</t>
        </is>
      </c>
      <c r="C1904" s="9" t="n">
        <v>1743489483</v>
      </c>
      <c r="D1904" s="9" t="inlineStr">
        <is>
          <t>RCZ1SQ-7</t>
        </is>
      </c>
      <c r="E1904" s="9" t="inlineStr">
        <is>
          <t>description</t>
        </is>
      </c>
      <c r="F1904" s="10" t="n">
        <v>436</v>
      </c>
      <c r="G1904" s="18" t="n">
        <v>3</v>
      </c>
      <c r="H1904" s="10">
        <f>IF(G1904="","",G1904*Ayarlar!$B$3+Ayarlar!$B$4+Ayarlar!$B$5)</f>
        <v/>
      </c>
      <c r="I1904" s="10">
        <f>IF(G1904="","",ROUNDUP(((G1904*Ayarlar!$B$3+Ayarlar!$B$4+Ayarlar!$B$5)+Ayarlar!$B$8)/((1-Ayarlar!$B$6)*(1-Ayarlar!$B$7)),0))</f>
        <v/>
      </c>
      <c r="J1904" s="10">
        <f>IF(G1904="","",ROUNDUP(((G1904*Ayarlar!$B$3+Ayarlar!$B$4+Ayarlar!$B$5)+Ayarlar!$B$8)/((1-Ayarlar!$B$6)*(1-Ayarlar!$B$7-Ayarlar!$B$9)),0))</f>
        <v/>
      </c>
      <c r="K1904" s="12">
        <f>IF(OR(G1904="",F1904=""),"",(F1904*(1-Ayarlar!$B$6)-(F1904*(1-Ayarlar!$B$6)*Ayarlar!$B$7+Ayarlar!$B$8)-(G1904*Ayarlar!$B$3+Ayarlar!$B$4+Ayarlar!$B$5))/(F1904*(1-Ayarlar!$B$6)))</f>
        <v/>
      </c>
      <c r="L1904" s="9">
        <f>IF(G1904="","GRAM EKSİK",IF(F1904&gt;30000,"FİYAT ŞÜPHELİ",IF(K1904&lt;0,"ZARARDA",IF(F1904&lt;I1904,"RİSKLİ","ok"))))</f>
        <v/>
      </c>
      <c r="M1904" s="13" t="inlineStr">
        <is>
          <t>https://www.etsy.com/listing/1743489483</t>
        </is>
      </c>
    </row>
    <row r="1905">
      <c r="A1905" s="3" t="inlineStr">
        <is>
          <t>rings</t>
        </is>
      </c>
      <c r="B1905" s="3" t="inlineStr">
        <is>
          <t>10K Solid Yellow Gold Men's Ring with CZ Stone / Polished Fi</t>
        </is>
      </c>
      <c r="C1905" s="3" t="n">
        <v>1743489483</v>
      </c>
      <c r="D1905" s="3" t="inlineStr">
        <is>
          <t>RCZ1SQ-7.5</t>
        </is>
      </c>
      <c r="E1905" s="3" t="inlineStr">
        <is>
          <t>description</t>
        </is>
      </c>
      <c r="F1905" s="14" t="n">
        <v>436</v>
      </c>
      <c r="G1905" s="17" t="n">
        <v>3</v>
      </c>
      <c r="H1905" s="14">
        <f>IF(G1905="","",G1905*Ayarlar!$B$3+Ayarlar!$B$4+Ayarlar!$B$5)</f>
        <v/>
      </c>
      <c r="I1905" s="14">
        <f>IF(G1905="","",ROUNDUP(((G1905*Ayarlar!$B$3+Ayarlar!$B$4+Ayarlar!$B$5)+Ayarlar!$B$8)/((1-Ayarlar!$B$6)*(1-Ayarlar!$B$7)),0))</f>
        <v/>
      </c>
      <c r="J1905" s="14">
        <f>IF(G1905="","",ROUNDUP(((G1905*Ayarlar!$B$3+Ayarlar!$B$4+Ayarlar!$B$5)+Ayarlar!$B$8)/((1-Ayarlar!$B$6)*(1-Ayarlar!$B$7-Ayarlar!$B$9)),0))</f>
        <v/>
      </c>
      <c r="K1905" s="15">
        <f>IF(OR(G1905="",F1905=""),"",(F1905*(1-Ayarlar!$B$6)-(F1905*(1-Ayarlar!$B$6)*Ayarlar!$B$7+Ayarlar!$B$8)-(G1905*Ayarlar!$B$3+Ayarlar!$B$4+Ayarlar!$B$5))/(F1905*(1-Ayarlar!$B$6)))</f>
        <v/>
      </c>
      <c r="L1905" s="3">
        <f>IF(G1905="","GRAM EKSİK",IF(F1905&gt;30000,"FİYAT ŞÜPHELİ",IF(K1905&lt;0,"ZARARDA",IF(F1905&lt;I1905,"RİSKLİ","ok"))))</f>
        <v/>
      </c>
      <c r="M1905" s="16" t="inlineStr">
        <is>
          <t>https://www.etsy.com/listing/1743489483</t>
        </is>
      </c>
    </row>
    <row r="1906">
      <c r="A1906" s="9" t="inlineStr">
        <is>
          <t>rings</t>
        </is>
      </c>
      <c r="B1906" s="9" t="inlineStr">
        <is>
          <t>10K Solid Yellow Gold Men's Ring with CZ Stone / Polished Fi</t>
        </is>
      </c>
      <c r="C1906" s="9" t="n">
        <v>1743489483</v>
      </c>
      <c r="D1906" s="9" t="inlineStr">
        <is>
          <t>RCZ1SQ-8</t>
        </is>
      </c>
      <c r="E1906" s="9" t="inlineStr">
        <is>
          <t>description</t>
        </is>
      </c>
      <c r="F1906" s="10" t="n">
        <v>436</v>
      </c>
      <c r="G1906" s="18" t="n">
        <v>3</v>
      </c>
      <c r="H1906" s="10">
        <f>IF(G1906="","",G1906*Ayarlar!$B$3+Ayarlar!$B$4+Ayarlar!$B$5)</f>
        <v/>
      </c>
      <c r="I1906" s="10">
        <f>IF(G1906="","",ROUNDUP(((G1906*Ayarlar!$B$3+Ayarlar!$B$4+Ayarlar!$B$5)+Ayarlar!$B$8)/((1-Ayarlar!$B$6)*(1-Ayarlar!$B$7)),0))</f>
        <v/>
      </c>
      <c r="J1906" s="10">
        <f>IF(G1906="","",ROUNDUP(((G1906*Ayarlar!$B$3+Ayarlar!$B$4+Ayarlar!$B$5)+Ayarlar!$B$8)/((1-Ayarlar!$B$6)*(1-Ayarlar!$B$7-Ayarlar!$B$9)),0))</f>
        <v/>
      </c>
      <c r="K1906" s="12">
        <f>IF(OR(G1906="",F1906=""),"",(F1906*(1-Ayarlar!$B$6)-(F1906*(1-Ayarlar!$B$6)*Ayarlar!$B$7+Ayarlar!$B$8)-(G1906*Ayarlar!$B$3+Ayarlar!$B$4+Ayarlar!$B$5))/(F1906*(1-Ayarlar!$B$6)))</f>
        <v/>
      </c>
      <c r="L1906" s="9">
        <f>IF(G1906="","GRAM EKSİK",IF(F1906&gt;30000,"FİYAT ŞÜPHELİ",IF(K1906&lt;0,"ZARARDA",IF(F1906&lt;I1906,"RİSKLİ","ok"))))</f>
        <v/>
      </c>
      <c r="M1906" s="13" t="inlineStr">
        <is>
          <t>https://www.etsy.com/listing/1743489483</t>
        </is>
      </c>
    </row>
    <row r="1907">
      <c r="A1907" s="3" t="inlineStr">
        <is>
          <t>rings</t>
        </is>
      </c>
      <c r="B1907" s="3" t="inlineStr">
        <is>
          <t>10K Solid Yellow Gold Men's Ring with CZ Stone / Polished Fi</t>
        </is>
      </c>
      <c r="C1907" s="3" t="n">
        <v>1743489483</v>
      </c>
      <c r="D1907" s="3" t="inlineStr">
        <is>
          <t>RCZ1SQ-8.5</t>
        </is>
      </c>
      <c r="E1907" s="3" t="inlineStr">
        <is>
          <t>description</t>
        </is>
      </c>
      <c r="F1907" s="14" t="n">
        <v>436</v>
      </c>
      <c r="G1907" s="17" t="n">
        <v>3</v>
      </c>
      <c r="H1907" s="14">
        <f>IF(G1907="","",G1907*Ayarlar!$B$3+Ayarlar!$B$4+Ayarlar!$B$5)</f>
        <v/>
      </c>
      <c r="I1907" s="14">
        <f>IF(G1907="","",ROUNDUP(((G1907*Ayarlar!$B$3+Ayarlar!$B$4+Ayarlar!$B$5)+Ayarlar!$B$8)/((1-Ayarlar!$B$6)*(1-Ayarlar!$B$7)),0))</f>
        <v/>
      </c>
      <c r="J1907" s="14">
        <f>IF(G1907="","",ROUNDUP(((G1907*Ayarlar!$B$3+Ayarlar!$B$4+Ayarlar!$B$5)+Ayarlar!$B$8)/((1-Ayarlar!$B$6)*(1-Ayarlar!$B$7-Ayarlar!$B$9)),0))</f>
        <v/>
      </c>
      <c r="K1907" s="15">
        <f>IF(OR(G1907="",F1907=""),"",(F1907*(1-Ayarlar!$B$6)-(F1907*(1-Ayarlar!$B$6)*Ayarlar!$B$7+Ayarlar!$B$8)-(G1907*Ayarlar!$B$3+Ayarlar!$B$4+Ayarlar!$B$5))/(F1907*(1-Ayarlar!$B$6)))</f>
        <v/>
      </c>
      <c r="L1907" s="3">
        <f>IF(G1907="","GRAM EKSİK",IF(F1907&gt;30000,"FİYAT ŞÜPHELİ",IF(K1907&lt;0,"ZARARDA",IF(F1907&lt;I1907,"RİSKLİ","ok"))))</f>
        <v/>
      </c>
      <c r="M1907" s="16" t="inlineStr">
        <is>
          <t>https://www.etsy.com/listing/1743489483</t>
        </is>
      </c>
    </row>
    <row r="1908">
      <c r="A1908" s="9" t="inlineStr">
        <is>
          <t>rings</t>
        </is>
      </c>
      <c r="B1908" s="9" t="inlineStr">
        <is>
          <t>10K Solid Yellow Gold Men's Ring with CZ Stone / Polished Fi</t>
        </is>
      </c>
      <c r="C1908" s="9" t="n">
        <v>1743489483</v>
      </c>
      <c r="D1908" s="9" t="inlineStr">
        <is>
          <t>RCZ1SQ-9</t>
        </is>
      </c>
      <c r="E1908" s="9" t="inlineStr">
        <is>
          <t>description</t>
        </is>
      </c>
      <c r="F1908" s="10" t="n">
        <v>436</v>
      </c>
      <c r="G1908" s="18" t="n">
        <v>3</v>
      </c>
      <c r="H1908" s="10">
        <f>IF(G1908="","",G1908*Ayarlar!$B$3+Ayarlar!$B$4+Ayarlar!$B$5)</f>
        <v/>
      </c>
      <c r="I1908" s="10">
        <f>IF(G1908="","",ROUNDUP(((G1908*Ayarlar!$B$3+Ayarlar!$B$4+Ayarlar!$B$5)+Ayarlar!$B$8)/((1-Ayarlar!$B$6)*(1-Ayarlar!$B$7)),0))</f>
        <v/>
      </c>
      <c r="J1908" s="10">
        <f>IF(G1908="","",ROUNDUP(((G1908*Ayarlar!$B$3+Ayarlar!$B$4+Ayarlar!$B$5)+Ayarlar!$B$8)/((1-Ayarlar!$B$6)*(1-Ayarlar!$B$7-Ayarlar!$B$9)),0))</f>
        <v/>
      </c>
      <c r="K1908" s="12">
        <f>IF(OR(G1908="",F1908=""),"",(F1908*(1-Ayarlar!$B$6)-(F1908*(1-Ayarlar!$B$6)*Ayarlar!$B$7+Ayarlar!$B$8)-(G1908*Ayarlar!$B$3+Ayarlar!$B$4+Ayarlar!$B$5))/(F1908*(1-Ayarlar!$B$6)))</f>
        <v/>
      </c>
      <c r="L1908" s="9">
        <f>IF(G1908="","GRAM EKSİK",IF(F1908&gt;30000,"FİYAT ŞÜPHELİ",IF(K1908&lt;0,"ZARARDA",IF(F1908&lt;I1908,"RİSKLİ","ok"))))</f>
        <v/>
      </c>
      <c r="M1908" s="13" t="inlineStr">
        <is>
          <t>https://www.etsy.com/listing/1743489483</t>
        </is>
      </c>
    </row>
    <row r="1909">
      <c r="A1909" s="3" t="inlineStr">
        <is>
          <t>rings</t>
        </is>
      </c>
      <c r="B1909" s="3" t="inlineStr">
        <is>
          <t>10K Solid Yellow Gold Men's Ring with CZ Stone / Polished Fi</t>
        </is>
      </c>
      <c r="C1909" s="3" t="n">
        <v>1743489483</v>
      </c>
      <c r="D1909" s="3" t="inlineStr">
        <is>
          <t>RCZ1SQ-9.5</t>
        </is>
      </c>
      <c r="E1909" s="3" t="inlineStr">
        <is>
          <t>shipstation</t>
        </is>
      </c>
      <c r="F1909" s="14" t="n">
        <v>436</v>
      </c>
      <c r="G1909" s="17" t="n">
        <v>3</v>
      </c>
      <c r="H1909" s="14">
        <f>IF(G1909="","",G1909*Ayarlar!$B$3+Ayarlar!$B$4+Ayarlar!$B$5)</f>
        <v/>
      </c>
      <c r="I1909" s="14">
        <f>IF(G1909="","",ROUNDUP(((G1909*Ayarlar!$B$3+Ayarlar!$B$4+Ayarlar!$B$5)+Ayarlar!$B$8)/((1-Ayarlar!$B$6)*(1-Ayarlar!$B$7)),0))</f>
        <v/>
      </c>
      <c r="J1909" s="14">
        <f>IF(G1909="","",ROUNDUP(((G1909*Ayarlar!$B$3+Ayarlar!$B$4+Ayarlar!$B$5)+Ayarlar!$B$8)/((1-Ayarlar!$B$6)*(1-Ayarlar!$B$7-Ayarlar!$B$9)),0))</f>
        <v/>
      </c>
      <c r="K1909" s="15">
        <f>IF(OR(G1909="",F1909=""),"",(F1909*(1-Ayarlar!$B$6)-(F1909*(1-Ayarlar!$B$6)*Ayarlar!$B$7+Ayarlar!$B$8)-(G1909*Ayarlar!$B$3+Ayarlar!$B$4+Ayarlar!$B$5))/(F1909*(1-Ayarlar!$B$6)))</f>
        <v/>
      </c>
      <c r="L1909" s="3">
        <f>IF(G1909="","GRAM EKSİK",IF(F1909&gt;30000,"FİYAT ŞÜPHELİ",IF(K1909&lt;0,"ZARARDA",IF(F1909&lt;I1909,"RİSKLİ","ok"))))</f>
        <v/>
      </c>
      <c r="M1909" s="16" t="inlineStr">
        <is>
          <t>https://www.etsy.com/listing/1743489483</t>
        </is>
      </c>
    </row>
    <row r="1910">
      <c r="A1910" s="9" t="inlineStr">
        <is>
          <t>rings</t>
        </is>
      </c>
      <c r="B1910" s="9" t="inlineStr">
        <is>
          <t>10K Solid Yellow Gold Wedding Band – Minimalist Unisex Ring</t>
        </is>
      </c>
      <c r="C1910" s="9" t="n">
        <v>1865969006</v>
      </c>
      <c r="D1910" s="9" t="inlineStr">
        <is>
          <t>RWB2-10</t>
        </is>
      </c>
      <c r="E1910" s="9" t="inlineStr">
        <is>
          <t>description</t>
        </is>
      </c>
      <c r="F1910" s="10" t="n">
        <v>201</v>
      </c>
      <c r="G1910" s="18" t="n">
        <v>1.66</v>
      </c>
      <c r="H1910" s="10">
        <f>IF(G1910="","",G1910*Ayarlar!$B$3+Ayarlar!$B$4+Ayarlar!$B$5)</f>
        <v/>
      </c>
      <c r="I1910" s="10">
        <f>IF(G1910="","",ROUNDUP(((G1910*Ayarlar!$B$3+Ayarlar!$B$4+Ayarlar!$B$5)+Ayarlar!$B$8)/((1-Ayarlar!$B$6)*(1-Ayarlar!$B$7)),0))</f>
        <v/>
      </c>
      <c r="J1910" s="10">
        <f>IF(G1910="","",ROUNDUP(((G1910*Ayarlar!$B$3+Ayarlar!$B$4+Ayarlar!$B$5)+Ayarlar!$B$8)/((1-Ayarlar!$B$6)*(1-Ayarlar!$B$7-Ayarlar!$B$9)),0))</f>
        <v/>
      </c>
      <c r="K1910" s="12">
        <f>IF(OR(G1910="",F1910=""),"",(F1910*(1-Ayarlar!$B$6)-(F1910*(1-Ayarlar!$B$6)*Ayarlar!$B$7+Ayarlar!$B$8)-(G1910*Ayarlar!$B$3+Ayarlar!$B$4+Ayarlar!$B$5))/(F1910*(1-Ayarlar!$B$6)))</f>
        <v/>
      </c>
      <c r="L1910" s="9">
        <f>IF(G1910="","GRAM EKSİK",IF(F1910&gt;30000,"FİYAT ŞÜPHELİ",IF(K1910&lt;0,"ZARARDA",IF(F1910&lt;I1910,"RİSKLİ","ok"))))</f>
        <v/>
      </c>
      <c r="M1910" s="13" t="inlineStr">
        <is>
          <t>https://www.etsy.com/listing/1865969006</t>
        </is>
      </c>
    </row>
    <row r="1911">
      <c r="A1911" s="3" t="inlineStr">
        <is>
          <t>rings</t>
        </is>
      </c>
      <c r="B1911" s="3" t="inlineStr">
        <is>
          <t>10K Solid Yellow Gold Wedding Band – Minimalist Unisex Ring</t>
        </is>
      </c>
      <c r="C1911" s="3" t="n">
        <v>1865969006</v>
      </c>
      <c r="D1911" s="3" t="inlineStr">
        <is>
          <t>RWB2-5</t>
        </is>
      </c>
      <c r="E1911" s="3" t="inlineStr">
        <is>
          <t>description</t>
        </is>
      </c>
      <c r="F1911" s="14" t="n">
        <v>190</v>
      </c>
      <c r="G1911" s="17" t="n">
        <v>1.66</v>
      </c>
      <c r="H1911" s="14">
        <f>IF(G1911="","",G1911*Ayarlar!$B$3+Ayarlar!$B$4+Ayarlar!$B$5)</f>
        <v/>
      </c>
      <c r="I1911" s="14">
        <f>IF(G1911="","",ROUNDUP(((G1911*Ayarlar!$B$3+Ayarlar!$B$4+Ayarlar!$B$5)+Ayarlar!$B$8)/((1-Ayarlar!$B$6)*(1-Ayarlar!$B$7)),0))</f>
        <v/>
      </c>
      <c r="J1911" s="14">
        <f>IF(G1911="","",ROUNDUP(((G1911*Ayarlar!$B$3+Ayarlar!$B$4+Ayarlar!$B$5)+Ayarlar!$B$8)/((1-Ayarlar!$B$6)*(1-Ayarlar!$B$7-Ayarlar!$B$9)),0))</f>
        <v/>
      </c>
      <c r="K1911" s="15">
        <f>IF(OR(G1911="",F1911=""),"",(F1911*(1-Ayarlar!$B$6)-(F1911*(1-Ayarlar!$B$6)*Ayarlar!$B$7+Ayarlar!$B$8)-(G1911*Ayarlar!$B$3+Ayarlar!$B$4+Ayarlar!$B$5))/(F1911*(1-Ayarlar!$B$6)))</f>
        <v/>
      </c>
      <c r="L1911" s="3">
        <f>IF(G1911="","GRAM EKSİK",IF(F1911&gt;30000,"FİYAT ŞÜPHELİ",IF(K1911&lt;0,"ZARARDA",IF(F1911&lt;I1911,"RİSKLİ","ok"))))</f>
        <v/>
      </c>
      <c r="M1911" s="16" t="inlineStr">
        <is>
          <t>https://www.etsy.com/listing/1865969006</t>
        </is>
      </c>
    </row>
    <row r="1912">
      <c r="A1912" s="9" t="inlineStr">
        <is>
          <t>rings</t>
        </is>
      </c>
      <c r="B1912" s="9" t="inlineStr">
        <is>
          <t>10K Solid Yellow Gold Wedding Band – Minimalist Unisex Ring</t>
        </is>
      </c>
      <c r="C1912" s="9" t="n">
        <v>1865969006</v>
      </c>
      <c r="D1912" s="9" t="inlineStr">
        <is>
          <t>RWB2-6</t>
        </is>
      </c>
      <c r="E1912" s="9" t="inlineStr">
        <is>
          <t>shipstation</t>
        </is>
      </c>
      <c r="F1912" s="10" t="n">
        <v>201</v>
      </c>
      <c r="G1912" s="18" t="n">
        <v>1.49</v>
      </c>
      <c r="H1912" s="10">
        <f>IF(G1912="","",G1912*Ayarlar!$B$3+Ayarlar!$B$4+Ayarlar!$B$5)</f>
        <v/>
      </c>
      <c r="I1912" s="10">
        <f>IF(G1912="","",ROUNDUP(((G1912*Ayarlar!$B$3+Ayarlar!$B$4+Ayarlar!$B$5)+Ayarlar!$B$8)/((1-Ayarlar!$B$6)*(1-Ayarlar!$B$7)),0))</f>
        <v/>
      </c>
      <c r="J1912" s="10">
        <f>IF(G1912="","",ROUNDUP(((G1912*Ayarlar!$B$3+Ayarlar!$B$4+Ayarlar!$B$5)+Ayarlar!$B$8)/((1-Ayarlar!$B$6)*(1-Ayarlar!$B$7-Ayarlar!$B$9)),0))</f>
        <v/>
      </c>
      <c r="K1912" s="12">
        <f>IF(OR(G1912="",F1912=""),"",(F1912*(1-Ayarlar!$B$6)-(F1912*(1-Ayarlar!$B$6)*Ayarlar!$B$7+Ayarlar!$B$8)-(G1912*Ayarlar!$B$3+Ayarlar!$B$4+Ayarlar!$B$5))/(F1912*(1-Ayarlar!$B$6)))</f>
        <v/>
      </c>
      <c r="L1912" s="9">
        <f>IF(G1912="","GRAM EKSİK",IF(F1912&gt;30000,"FİYAT ŞÜPHELİ",IF(K1912&lt;0,"ZARARDA",IF(F1912&lt;I1912,"RİSKLİ","ok"))))</f>
        <v/>
      </c>
      <c r="M1912" s="13" t="inlineStr">
        <is>
          <t>https://www.etsy.com/listing/1865969006</t>
        </is>
      </c>
    </row>
    <row r="1913">
      <c r="A1913" s="3" t="inlineStr">
        <is>
          <t>rings</t>
        </is>
      </c>
      <c r="B1913" s="3" t="inlineStr">
        <is>
          <t>10K Solid Yellow Gold Wedding Band – Minimalist Unisex Ring</t>
        </is>
      </c>
      <c r="C1913" s="3" t="n">
        <v>1865969006</v>
      </c>
      <c r="D1913" s="3" t="inlineStr">
        <is>
          <t>RWB2-7</t>
        </is>
      </c>
      <c r="E1913" s="3" t="inlineStr">
        <is>
          <t>description</t>
        </is>
      </c>
      <c r="F1913" s="14" t="n">
        <v>212</v>
      </c>
      <c r="G1913" s="17" t="n">
        <v>1.66</v>
      </c>
      <c r="H1913" s="14">
        <f>IF(G1913="","",G1913*Ayarlar!$B$3+Ayarlar!$B$4+Ayarlar!$B$5)</f>
        <v/>
      </c>
      <c r="I1913" s="14">
        <f>IF(G1913="","",ROUNDUP(((G1913*Ayarlar!$B$3+Ayarlar!$B$4+Ayarlar!$B$5)+Ayarlar!$B$8)/((1-Ayarlar!$B$6)*(1-Ayarlar!$B$7)),0))</f>
        <v/>
      </c>
      <c r="J1913" s="14">
        <f>IF(G1913="","",ROUNDUP(((G1913*Ayarlar!$B$3+Ayarlar!$B$4+Ayarlar!$B$5)+Ayarlar!$B$8)/((1-Ayarlar!$B$6)*(1-Ayarlar!$B$7-Ayarlar!$B$9)),0))</f>
        <v/>
      </c>
      <c r="K1913" s="15">
        <f>IF(OR(G1913="",F1913=""),"",(F1913*(1-Ayarlar!$B$6)-(F1913*(1-Ayarlar!$B$6)*Ayarlar!$B$7+Ayarlar!$B$8)-(G1913*Ayarlar!$B$3+Ayarlar!$B$4+Ayarlar!$B$5))/(F1913*(1-Ayarlar!$B$6)))</f>
        <v/>
      </c>
      <c r="L1913" s="3">
        <f>IF(G1913="","GRAM EKSİK",IF(F1913&gt;30000,"FİYAT ŞÜPHELİ",IF(K1913&lt;0,"ZARARDA",IF(F1913&lt;I1913,"RİSKLİ","ok"))))</f>
        <v/>
      </c>
      <c r="M1913" s="16" t="inlineStr">
        <is>
          <t>https://www.etsy.com/listing/1865969006</t>
        </is>
      </c>
    </row>
    <row r="1914">
      <c r="A1914" s="9" t="inlineStr">
        <is>
          <t>rings</t>
        </is>
      </c>
      <c r="B1914" s="9" t="inlineStr">
        <is>
          <t>10K Solid Yellow Gold Wedding Band – Minimalist Unisex Ring</t>
        </is>
      </c>
      <c r="C1914" s="9" t="n">
        <v>1865969006</v>
      </c>
      <c r="D1914" s="9" t="inlineStr">
        <is>
          <t>RWB2-8</t>
        </is>
      </c>
      <c r="E1914" s="9" t="inlineStr">
        <is>
          <t>description</t>
        </is>
      </c>
      <c r="F1914" s="10" t="n">
        <v>223</v>
      </c>
      <c r="G1914" s="18" t="n">
        <v>1.66</v>
      </c>
      <c r="H1914" s="10">
        <f>IF(G1914="","",G1914*Ayarlar!$B$3+Ayarlar!$B$4+Ayarlar!$B$5)</f>
        <v/>
      </c>
      <c r="I1914" s="10">
        <f>IF(G1914="","",ROUNDUP(((G1914*Ayarlar!$B$3+Ayarlar!$B$4+Ayarlar!$B$5)+Ayarlar!$B$8)/((1-Ayarlar!$B$6)*(1-Ayarlar!$B$7)),0))</f>
        <v/>
      </c>
      <c r="J1914" s="10">
        <f>IF(G1914="","",ROUNDUP(((G1914*Ayarlar!$B$3+Ayarlar!$B$4+Ayarlar!$B$5)+Ayarlar!$B$8)/((1-Ayarlar!$B$6)*(1-Ayarlar!$B$7-Ayarlar!$B$9)),0))</f>
        <v/>
      </c>
      <c r="K1914" s="12">
        <f>IF(OR(G1914="",F1914=""),"",(F1914*(1-Ayarlar!$B$6)-(F1914*(1-Ayarlar!$B$6)*Ayarlar!$B$7+Ayarlar!$B$8)-(G1914*Ayarlar!$B$3+Ayarlar!$B$4+Ayarlar!$B$5))/(F1914*(1-Ayarlar!$B$6)))</f>
        <v/>
      </c>
      <c r="L1914" s="9">
        <f>IF(G1914="","GRAM EKSİK",IF(F1914&gt;30000,"FİYAT ŞÜPHELİ",IF(K1914&lt;0,"ZARARDA",IF(F1914&lt;I1914,"RİSKLİ","ok"))))</f>
        <v/>
      </c>
      <c r="M1914" s="13" t="inlineStr">
        <is>
          <t>https://www.etsy.com/listing/1865969006</t>
        </is>
      </c>
    </row>
    <row r="1915">
      <c r="A1915" s="3" t="inlineStr">
        <is>
          <t>rings</t>
        </is>
      </c>
      <c r="B1915" s="3" t="inlineStr">
        <is>
          <t>10K Solid Yellow Gold Wedding Band – Minimalist Unisex Ring</t>
        </is>
      </c>
      <c r="C1915" s="3" t="n">
        <v>1865969006</v>
      </c>
      <c r="D1915" s="3" t="inlineStr">
        <is>
          <t>RWB2-9</t>
        </is>
      </c>
      <c r="E1915" s="3" t="inlineStr">
        <is>
          <t>description</t>
        </is>
      </c>
      <c r="F1915" s="14" t="n">
        <v>201</v>
      </c>
      <c r="G1915" s="17" t="n">
        <v>1.66</v>
      </c>
      <c r="H1915" s="14">
        <f>IF(G1915="","",G1915*Ayarlar!$B$3+Ayarlar!$B$4+Ayarlar!$B$5)</f>
        <v/>
      </c>
      <c r="I1915" s="14">
        <f>IF(G1915="","",ROUNDUP(((G1915*Ayarlar!$B$3+Ayarlar!$B$4+Ayarlar!$B$5)+Ayarlar!$B$8)/((1-Ayarlar!$B$6)*(1-Ayarlar!$B$7)),0))</f>
        <v/>
      </c>
      <c r="J1915" s="14">
        <f>IF(G1915="","",ROUNDUP(((G1915*Ayarlar!$B$3+Ayarlar!$B$4+Ayarlar!$B$5)+Ayarlar!$B$8)/((1-Ayarlar!$B$6)*(1-Ayarlar!$B$7-Ayarlar!$B$9)),0))</f>
        <v/>
      </c>
      <c r="K1915" s="15">
        <f>IF(OR(G1915="",F1915=""),"",(F1915*(1-Ayarlar!$B$6)-(F1915*(1-Ayarlar!$B$6)*Ayarlar!$B$7+Ayarlar!$B$8)-(G1915*Ayarlar!$B$3+Ayarlar!$B$4+Ayarlar!$B$5))/(F1915*(1-Ayarlar!$B$6)))</f>
        <v/>
      </c>
      <c r="L1915" s="3">
        <f>IF(G1915="","GRAM EKSİK",IF(F1915&gt;30000,"FİYAT ŞÜPHELİ",IF(K1915&lt;0,"ZARARDA",IF(F1915&lt;I1915,"RİSKLİ","ok"))))</f>
        <v/>
      </c>
      <c r="M1915" s="16" t="inlineStr">
        <is>
          <t>https://www.etsy.com/listing/1865969006</t>
        </is>
      </c>
    </row>
    <row r="1916">
      <c r="A1916" s="9" t="inlineStr">
        <is>
          <t>rings</t>
        </is>
      </c>
      <c r="B1916" s="9" t="inlineStr">
        <is>
          <t>10K Solid Yellow Gold Wedding Band – Minimalist Unisex Ring</t>
        </is>
      </c>
      <c r="C1916" s="9" t="n">
        <v>1865969006</v>
      </c>
      <c r="D1916" s="9" t="inlineStr">
        <is>
          <t>RWB3-10</t>
        </is>
      </c>
      <c r="E1916" s="9" t="inlineStr">
        <is>
          <t>description</t>
        </is>
      </c>
      <c r="F1916" s="10" t="n">
        <v>291</v>
      </c>
      <c r="G1916" s="18" t="n">
        <v>2.42</v>
      </c>
      <c r="H1916" s="10">
        <f>IF(G1916="","",G1916*Ayarlar!$B$3+Ayarlar!$B$4+Ayarlar!$B$5)</f>
        <v/>
      </c>
      <c r="I1916" s="10">
        <f>IF(G1916="","",ROUNDUP(((G1916*Ayarlar!$B$3+Ayarlar!$B$4+Ayarlar!$B$5)+Ayarlar!$B$8)/((1-Ayarlar!$B$6)*(1-Ayarlar!$B$7)),0))</f>
        <v/>
      </c>
      <c r="J1916" s="10">
        <f>IF(G1916="","",ROUNDUP(((G1916*Ayarlar!$B$3+Ayarlar!$B$4+Ayarlar!$B$5)+Ayarlar!$B$8)/((1-Ayarlar!$B$6)*(1-Ayarlar!$B$7-Ayarlar!$B$9)),0))</f>
        <v/>
      </c>
      <c r="K1916" s="12">
        <f>IF(OR(G1916="",F1916=""),"",(F1916*(1-Ayarlar!$B$6)-(F1916*(1-Ayarlar!$B$6)*Ayarlar!$B$7+Ayarlar!$B$8)-(G1916*Ayarlar!$B$3+Ayarlar!$B$4+Ayarlar!$B$5))/(F1916*(1-Ayarlar!$B$6)))</f>
        <v/>
      </c>
      <c r="L1916" s="9">
        <f>IF(G1916="","GRAM EKSİK",IF(F1916&gt;30000,"FİYAT ŞÜPHELİ",IF(K1916&lt;0,"ZARARDA",IF(F1916&lt;I1916,"RİSKLİ","ok"))))</f>
        <v/>
      </c>
      <c r="M1916" s="13" t="inlineStr">
        <is>
          <t>https://www.etsy.com/listing/1865969006</t>
        </is>
      </c>
    </row>
    <row r="1917">
      <c r="A1917" s="3" t="inlineStr">
        <is>
          <t>rings</t>
        </is>
      </c>
      <c r="B1917" s="3" t="inlineStr">
        <is>
          <t>10K Solid Yellow Gold Wedding Band – Minimalist Unisex Ring</t>
        </is>
      </c>
      <c r="C1917" s="3" t="n">
        <v>1865969006</v>
      </c>
      <c r="D1917" s="3" t="inlineStr">
        <is>
          <t>RWB3-5</t>
        </is>
      </c>
      <c r="E1917" s="3" t="inlineStr">
        <is>
          <t>description</t>
        </is>
      </c>
      <c r="F1917" s="14" t="n">
        <v>259</v>
      </c>
      <c r="G1917" s="17" t="n">
        <v>2.42</v>
      </c>
      <c r="H1917" s="14">
        <f>IF(G1917="","",G1917*Ayarlar!$B$3+Ayarlar!$B$4+Ayarlar!$B$5)</f>
        <v/>
      </c>
      <c r="I1917" s="14">
        <f>IF(G1917="","",ROUNDUP(((G1917*Ayarlar!$B$3+Ayarlar!$B$4+Ayarlar!$B$5)+Ayarlar!$B$8)/((1-Ayarlar!$B$6)*(1-Ayarlar!$B$7)),0))</f>
        <v/>
      </c>
      <c r="J1917" s="14">
        <f>IF(G1917="","",ROUNDUP(((G1917*Ayarlar!$B$3+Ayarlar!$B$4+Ayarlar!$B$5)+Ayarlar!$B$8)/((1-Ayarlar!$B$6)*(1-Ayarlar!$B$7-Ayarlar!$B$9)),0))</f>
        <v/>
      </c>
      <c r="K1917" s="15">
        <f>IF(OR(G1917="",F1917=""),"",(F1917*(1-Ayarlar!$B$6)-(F1917*(1-Ayarlar!$B$6)*Ayarlar!$B$7+Ayarlar!$B$8)-(G1917*Ayarlar!$B$3+Ayarlar!$B$4+Ayarlar!$B$5))/(F1917*(1-Ayarlar!$B$6)))</f>
        <v/>
      </c>
      <c r="L1917" s="3">
        <f>IF(G1917="","GRAM EKSİK",IF(F1917&gt;30000,"FİYAT ŞÜPHELİ",IF(K1917&lt;0,"ZARARDA",IF(F1917&lt;I1917,"RİSKLİ","ok"))))</f>
        <v/>
      </c>
      <c r="M1917" s="16" t="inlineStr">
        <is>
          <t>https://www.etsy.com/listing/1865969006</t>
        </is>
      </c>
    </row>
    <row r="1918">
      <c r="A1918" s="9" t="inlineStr">
        <is>
          <t>rings</t>
        </is>
      </c>
      <c r="B1918" s="9" t="inlineStr">
        <is>
          <t>10K Solid Yellow Gold Wedding Band – Minimalist Unisex Ring</t>
        </is>
      </c>
      <c r="C1918" s="9" t="n">
        <v>1865969006</v>
      </c>
      <c r="D1918" s="9" t="inlineStr">
        <is>
          <t>RWB3-6</t>
        </is>
      </c>
      <c r="E1918" s="9" t="inlineStr">
        <is>
          <t>description</t>
        </is>
      </c>
      <c r="F1918" s="10" t="n">
        <v>259</v>
      </c>
      <c r="G1918" s="18" t="n">
        <v>2.42</v>
      </c>
      <c r="H1918" s="10">
        <f>IF(G1918="","",G1918*Ayarlar!$B$3+Ayarlar!$B$4+Ayarlar!$B$5)</f>
        <v/>
      </c>
      <c r="I1918" s="10">
        <f>IF(G1918="","",ROUNDUP(((G1918*Ayarlar!$B$3+Ayarlar!$B$4+Ayarlar!$B$5)+Ayarlar!$B$8)/((1-Ayarlar!$B$6)*(1-Ayarlar!$B$7)),0))</f>
        <v/>
      </c>
      <c r="J1918" s="10">
        <f>IF(G1918="","",ROUNDUP(((G1918*Ayarlar!$B$3+Ayarlar!$B$4+Ayarlar!$B$5)+Ayarlar!$B$8)/((1-Ayarlar!$B$6)*(1-Ayarlar!$B$7-Ayarlar!$B$9)),0))</f>
        <v/>
      </c>
      <c r="K1918" s="12">
        <f>IF(OR(G1918="",F1918=""),"",(F1918*(1-Ayarlar!$B$6)-(F1918*(1-Ayarlar!$B$6)*Ayarlar!$B$7+Ayarlar!$B$8)-(G1918*Ayarlar!$B$3+Ayarlar!$B$4+Ayarlar!$B$5))/(F1918*(1-Ayarlar!$B$6)))</f>
        <v/>
      </c>
      <c r="L1918" s="9">
        <f>IF(G1918="","GRAM EKSİK",IF(F1918&gt;30000,"FİYAT ŞÜPHELİ",IF(K1918&lt;0,"ZARARDA",IF(F1918&lt;I1918,"RİSKLİ","ok"))))</f>
        <v/>
      </c>
      <c r="M1918" s="13" t="inlineStr">
        <is>
          <t>https://www.etsy.com/listing/1865969006</t>
        </is>
      </c>
    </row>
    <row r="1919">
      <c r="A1919" s="3" t="inlineStr">
        <is>
          <t>rings</t>
        </is>
      </c>
      <c r="B1919" s="3" t="inlineStr">
        <is>
          <t>10K Solid Yellow Gold Wedding Band – Minimalist Unisex Ring</t>
        </is>
      </c>
      <c r="C1919" s="3" t="n">
        <v>1865969006</v>
      </c>
      <c r="D1919" s="3" t="inlineStr">
        <is>
          <t>RWB3-7</t>
        </is>
      </c>
      <c r="E1919" s="3" t="inlineStr">
        <is>
          <t>description</t>
        </is>
      </c>
      <c r="F1919" s="14" t="n">
        <v>281</v>
      </c>
      <c r="G1919" s="17" t="n">
        <v>2.42</v>
      </c>
      <c r="H1919" s="14">
        <f>IF(G1919="","",G1919*Ayarlar!$B$3+Ayarlar!$B$4+Ayarlar!$B$5)</f>
        <v/>
      </c>
      <c r="I1919" s="14">
        <f>IF(G1919="","",ROUNDUP(((G1919*Ayarlar!$B$3+Ayarlar!$B$4+Ayarlar!$B$5)+Ayarlar!$B$8)/((1-Ayarlar!$B$6)*(1-Ayarlar!$B$7)),0))</f>
        <v/>
      </c>
      <c r="J1919" s="14">
        <f>IF(G1919="","",ROUNDUP(((G1919*Ayarlar!$B$3+Ayarlar!$B$4+Ayarlar!$B$5)+Ayarlar!$B$8)/((1-Ayarlar!$B$6)*(1-Ayarlar!$B$7-Ayarlar!$B$9)),0))</f>
        <v/>
      </c>
      <c r="K1919" s="15">
        <f>IF(OR(G1919="",F1919=""),"",(F1919*(1-Ayarlar!$B$6)-(F1919*(1-Ayarlar!$B$6)*Ayarlar!$B$7+Ayarlar!$B$8)-(G1919*Ayarlar!$B$3+Ayarlar!$B$4+Ayarlar!$B$5))/(F1919*(1-Ayarlar!$B$6)))</f>
        <v/>
      </c>
      <c r="L1919" s="3">
        <f>IF(G1919="","GRAM EKSİK",IF(F1919&gt;30000,"FİYAT ŞÜPHELİ",IF(K1919&lt;0,"ZARARDA",IF(F1919&lt;I1919,"RİSKLİ","ok"))))</f>
        <v/>
      </c>
      <c r="M1919" s="16" t="inlineStr">
        <is>
          <t>https://www.etsy.com/listing/1865969006</t>
        </is>
      </c>
    </row>
    <row r="1920">
      <c r="A1920" s="9" t="inlineStr">
        <is>
          <t>rings</t>
        </is>
      </c>
      <c r="B1920" s="9" t="inlineStr">
        <is>
          <t>10K Solid Yellow Gold Wedding Band – Minimalist Unisex Ring</t>
        </is>
      </c>
      <c r="C1920" s="9" t="n">
        <v>1865969006</v>
      </c>
      <c r="D1920" s="9" t="inlineStr">
        <is>
          <t>RWB3-8</t>
        </is>
      </c>
      <c r="E1920" s="9" t="inlineStr">
        <is>
          <t>description</t>
        </is>
      </c>
      <c r="F1920" s="10" t="n">
        <v>281</v>
      </c>
      <c r="G1920" s="18" t="n">
        <v>2.42</v>
      </c>
      <c r="H1920" s="10">
        <f>IF(G1920="","",G1920*Ayarlar!$B$3+Ayarlar!$B$4+Ayarlar!$B$5)</f>
        <v/>
      </c>
      <c r="I1920" s="10">
        <f>IF(G1920="","",ROUNDUP(((G1920*Ayarlar!$B$3+Ayarlar!$B$4+Ayarlar!$B$5)+Ayarlar!$B$8)/((1-Ayarlar!$B$6)*(1-Ayarlar!$B$7)),0))</f>
        <v/>
      </c>
      <c r="J1920" s="10">
        <f>IF(G1920="","",ROUNDUP(((G1920*Ayarlar!$B$3+Ayarlar!$B$4+Ayarlar!$B$5)+Ayarlar!$B$8)/((1-Ayarlar!$B$6)*(1-Ayarlar!$B$7-Ayarlar!$B$9)),0))</f>
        <v/>
      </c>
      <c r="K1920" s="12">
        <f>IF(OR(G1920="",F1920=""),"",(F1920*(1-Ayarlar!$B$6)-(F1920*(1-Ayarlar!$B$6)*Ayarlar!$B$7+Ayarlar!$B$8)-(G1920*Ayarlar!$B$3+Ayarlar!$B$4+Ayarlar!$B$5))/(F1920*(1-Ayarlar!$B$6)))</f>
        <v/>
      </c>
      <c r="L1920" s="9">
        <f>IF(G1920="","GRAM EKSİK",IF(F1920&gt;30000,"FİYAT ŞÜPHELİ",IF(K1920&lt;0,"ZARARDA",IF(F1920&lt;I1920,"RİSKLİ","ok"))))</f>
        <v/>
      </c>
      <c r="M1920" s="13" t="inlineStr">
        <is>
          <t>https://www.etsy.com/listing/1865969006</t>
        </is>
      </c>
    </row>
    <row r="1921">
      <c r="A1921" s="3" t="inlineStr">
        <is>
          <t>rings</t>
        </is>
      </c>
      <c r="B1921" s="3" t="inlineStr">
        <is>
          <t>10K Solid Yellow Gold Wedding Band – Minimalist Unisex Ring</t>
        </is>
      </c>
      <c r="C1921" s="3" t="n">
        <v>1865969006</v>
      </c>
      <c r="D1921" s="3" t="inlineStr">
        <is>
          <t>RWB3-9</t>
        </is>
      </c>
      <c r="E1921" s="3" t="inlineStr">
        <is>
          <t>description</t>
        </is>
      </c>
      <c r="F1921" s="14" t="n">
        <v>281</v>
      </c>
      <c r="G1921" s="17" t="n">
        <v>2.42</v>
      </c>
      <c r="H1921" s="14">
        <f>IF(G1921="","",G1921*Ayarlar!$B$3+Ayarlar!$B$4+Ayarlar!$B$5)</f>
        <v/>
      </c>
      <c r="I1921" s="14">
        <f>IF(G1921="","",ROUNDUP(((G1921*Ayarlar!$B$3+Ayarlar!$B$4+Ayarlar!$B$5)+Ayarlar!$B$8)/((1-Ayarlar!$B$6)*(1-Ayarlar!$B$7)),0))</f>
        <v/>
      </c>
      <c r="J1921" s="14">
        <f>IF(G1921="","",ROUNDUP(((G1921*Ayarlar!$B$3+Ayarlar!$B$4+Ayarlar!$B$5)+Ayarlar!$B$8)/((1-Ayarlar!$B$6)*(1-Ayarlar!$B$7-Ayarlar!$B$9)),0))</f>
        <v/>
      </c>
      <c r="K1921" s="15">
        <f>IF(OR(G1921="",F1921=""),"",(F1921*(1-Ayarlar!$B$6)-(F1921*(1-Ayarlar!$B$6)*Ayarlar!$B$7+Ayarlar!$B$8)-(G1921*Ayarlar!$B$3+Ayarlar!$B$4+Ayarlar!$B$5))/(F1921*(1-Ayarlar!$B$6)))</f>
        <v/>
      </c>
      <c r="L1921" s="3">
        <f>IF(G1921="","GRAM EKSİK",IF(F1921&gt;30000,"FİYAT ŞÜPHELİ",IF(K1921&lt;0,"ZARARDA",IF(F1921&lt;I1921,"RİSKLİ","ok"))))</f>
        <v/>
      </c>
      <c r="M1921" s="16" t="inlineStr">
        <is>
          <t>https://www.etsy.com/listing/1865969006</t>
        </is>
      </c>
    </row>
    <row r="1922">
      <c r="A1922" s="9" t="inlineStr">
        <is>
          <t>rings</t>
        </is>
      </c>
      <c r="B1922" s="9" t="inlineStr">
        <is>
          <t>10K Solid Yellow Gold Wedding Band – Minimalist Unisex Ring</t>
        </is>
      </c>
      <c r="C1922" s="9" t="n">
        <v>1865969006</v>
      </c>
      <c r="D1922" s="9" t="inlineStr">
        <is>
          <t>RWB4-10</t>
        </is>
      </c>
      <c r="E1922" s="9" t="inlineStr">
        <is>
          <t>description</t>
        </is>
      </c>
      <c r="F1922" s="10" t="n">
        <v>392</v>
      </c>
      <c r="G1922" s="18" t="n">
        <v>3.08</v>
      </c>
      <c r="H1922" s="10">
        <f>IF(G1922="","",G1922*Ayarlar!$B$3+Ayarlar!$B$4+Ayarlar!$B$5)</f>
        <v/>
      </c>
      <c r="I1922" s="10">
        <f>IF(G1922="","",ROUNDUP(((G1922*Ayarlar!$B$3+Ayarlar!$B$4+Ayarlar!$B$5)+Ayarlar!$B$8)/((1-Ayarlar!$B$6)*(1-Ayarlar!$B$7)),0))</f>
        <v/>
      </c>
      <c r="J1922" s="10">
        <f>IF(G1922="","",ROUNDUP(((G1922*Ayarlar!$B$3+Ayarlar!$B$4+Ayarlar!$B$5)+Ayarlar!$B$8)/((1-Ayarlar!$B$6)*(1-Ayarlar!$B$7-Ayarlar!$B$9)),0))</f>
        <v/>
      </c>
      <c r="K1922" s="12">
        <f>IF(OR(G1922="",F1922=""),"",(F1922*(1-Ayarlar!$B$6)-(F1922*(1-Ayarlar!$B$6)*Ayarlar!$B$7+Ayarlar!$B$8)-(G1922*Ayarlar!$B$3+Ayarlar!$B$4+Ayarlar!$B$5))/(F1922*(1-Ayarlar!$B$6)))</f>
        <v/>
      </c>
      <c r="L1922" s="9">
        <f>IF(G1922="","GRAM EKSİK",IF(F1922&gt;30000,"FİYAT ŞÜPHELİ",IF(K1922&lt;0,"ZARARDA",IF(F1922&lt;I1922,"RİSKLİ","ok"))))</f>
        <v/>
      </c>
      <c r="M1922" s="13" t="inlineStr">
        <is>
          <t>https://www.etsy.com/listing/1865969006</t>
        </is>
      </c>
    </row>
    <row r="1923">
      <c r="A1923" s="3" t="inlineStr">
        <is>
          <t>rings</t>
        </is>
      </c>
      <c r="B1923" s="3" t="inlineStr">
        <is>
          <t>10K Solid Yellow Gold Wedding Band – Minimalist Unisex Ring</t>
        </is>
      </c>
      <c r="C1923" s="3" t="n">
        <v>1865969006</v>
      </c>
      <c r="D1923" s="3" t="inlineStr">
        <is>
          <t>RWB4-5</t>
        </is>
      </c>
      <c r="E1923" s="3" t="inlineStr">
        <is>
          <t>description</t>
        </is>
      </c>
      <c r="F1923" s="14" t="n">
        <v>290</v>
      </c>
      <c r="G1923" s="17" t="n">
        <v>3.08</v>
      </c>
      <c r="H1923" s="14">
        <f>IF(G1923="","",G1923*Ayarlar!$B$3+Ayarlar!$B$4+Ayarlar!$B$5)</f>
        <v/>
      </c>
      <c r="I1923" s="14">
        <f>IF(G1923="","",ROUNDUP(((G1923*Ayarlar!$B$3+Ayarlar!$B$4+Ayarlar!$B$5)+Ayarlar!$B$8)/((1-Ayarlar!$B$6)*(1-Ayarlar!$B$7)),0))</f>
        <v/>
      </c>
      <c r="J1923" s="14">
        <f>IF(G1923="","",ROUNDUP(((G1923*Ayarlar!$B$3+Ayarlar!$B$4+Ayarlar!$B$5)+Ayarlar!$B$8)/((1-Ayarlar!$B$6)*(1-Ayarlar!$B$7-Ayarlar!$B$9)),0))</f>
        <v/>
      </c>
      <c r="K1923" s="15">
        <f>IF(OR(G1923="",F1923=""),"",(F1923*(1-Ayarlar!$B$6)-(F1923*(1-Ayarlar!$B$6)*Ayarlar!$B$7+Ayarlar!$B$8)-(G1923*Ayarlar!$B$3+Ayarlar!$B$4+Ayarlar!$B$5))/(F1923*(1-Ayarlar!$B$6)))</f>
        <v/>
      </c>
      <c r="L1923" s="3">
        <f>IF(G1923="","GRAM EKSİK",IF(F1923&gt;30000,"FİYAT ŞÜPHELİ",IF(K1923&lt;0,"ZARARDA",IF(F1923&lt;I1923,"RİSKLİ","ok"))))</f>
        <v/>
      </c>
      <c r="M1923" s="16" t="inlineStr">
        <is>
          <t>https://www.etsy.com/listing/1865969006</t>
        </is>
      </c>
    </row>
    <row r="1924">
      <c r="A1924" s="9" t="inlineStr">
        <is>
          <t>rings</t>
        </is>
      </c>
      <c r="B1924" s="9" t="inlineStr">
        <is>
          <t>10K Solid Yellow Gold Wedding Band – Minimalist Unisex Ring</t>
        </is>
      </c>
      <c r="C1924" s="9" t="n">
        <v>1865969006</v>
      </c>
      <c r="D1924" s="9" t="inlineStr">
        <is>
          <t>RWB4-6</t>
        </is>
      </c>
      <c r="E1924" s="9" t="inlineStr">
        <is>
          <t>description</t>
        </is>
      </c>
      <c r="F1924" s="10" t="n">
        <v>317</v>
      </c>
      <c r="G1924" s="18" t="n">
        <v>3.08</v>
      </c>
      <c r="H1924" s="10">
        <f>IF(G1924="","",G1924*Ayarlar!$B$3+Ayarlar!$B$4+Ayarlar!$B$5)</f>
        <v/>
      </c>
      <c r="I1924" s="10">
        <f>IF(G1924="","",ROUNDUP(((G1924*Ayarlar!$B$3+Ayarlar!$B$4+Ayarlar!$B$5)+Ayarlar!$B$8)/((1-Ayarlar!$B$6)*(1-Ayarlar!$B$7)),0))</f>
        <v/>
      </c>
      <c r="J1924" s="10">
        <f>IF(G1924="","",ROUNDUP(((G1924*Ayarlar!$B$3+Ayarlar!$B$4+Ayarlar!$B$5)+Ayarlar!$B$8)/((1-Ayarlar!$B$6)*(1-Ayarlar!$B$7-Ayarlar!$B$9)),0))</f>
        <v/>
      </c>
      <c r="K1924" s="12">
        <f>IF(OR(G1924="",F1924=""),"",(F1924*(1-Ayarlar!$B$6)-(F1924*(1-Ayarlar!$B$6)*Ayarlar!$B$7+Ayarlar!$B$8)-(G1924*Ayarlar!$B$3+Ayarlar!$B$4+Ayarlar!$B$5))/(F1924*(1-Ayarlar!$B$6)))</f>
        <v/>
      </c>
      <c r="L1924" s="9">
        <f>IF(G1924="","GRAM EKSİK",IF(F1924&gt;30000,"FİYAT ŞÜPHELİ",IF(K1924&lt;0,"ZARARDA",IF(F1924&lt;I1924,"RİSKLİ","ok"))))</f>
        <v/>
      </c>
      <c r="M1924" s="13" t="inlineStr">
        <is>
          <t>https://www.etsy.com/listing/1865969006</t>
        </is>
      </c>
    </row>
    <row r="1925">
      <c r="A1925" s="3" t="inlineStr">
        <is>
          <t>rings</t>
        </is>
      </c>
      <c r="B1925" s="3" t="inlineStr">
        <is>
          <t>10K Solid Yellow Gold Wedding Band – Minimalist Unisex Ring</t>
        </is>
      </c>
      <c r="C1925" s="3" t="n">
        <v>1865969006</v>
      </c>
      <c r="D1925" s="3" t="inlineStr">
        <is>
          <t>RWB4-7</t>
        </is>
      </c>
      <c r="E1925" s="3" t="inlineStr">
        <is>
          <t>shipstation</t>
        </is>
      </c>
      <c r="F1925" s="14" t="n">
        <v>341</v>
      </c>
      <c r="G1925" s="17" t="n">
        <v>2.93</v>
      </c>
      <c r="H1925" s="14">
        <f>IF(G1925="","",G1925*Ayarlar!$B$3+Ayarlar!$B$4+Ayarlar!$B$5)</f>
        <v/>
      </c>
      <c r="I1925" s="14">
        <f>IF(G1925="","",ROUNDUP(((G1925*Ayarlar!$B$3+Ayarlar!$B$4+Ayarlar!$B$5)+Ayarlar!$B$8)/((1-Ayarlar!$B$6)*(1-Ayarlar!$B$7)),0))</f>
        <v/>
      </c>
      <c r="J1925" s="14">
        <f>IF(G1925="","",ROUNDUP(((G1925*Ayarlar!$B$3+Ayarlar!$B$4+Ayarlar!$B$5)+Ayarlar!$B$8)/((1-Ayarlar!$B$6)*(1-Ayarlar!$B$7-Ayarlar!$B$9)),0))</f>
        <v/>
      </c>
      <c r="K1925" s="15">
        <f>IF(OR(G1925="",F1925=""),"",(F1925*(1-Ayarlar!$B$6)-(F1925*(1-Ayarlar!$B$6)*Ayarlar!$B$7+Ayarlar!$B$8)-(G1925*Ayarlar!$B$3+Ayarlar!$B$4+Ayarlar!$B$5))/(F1925*(1-Ayarlar!$B$6)))</f>
        <v/>
      </c>
      <c r="L1925" s="3">
        <f>IF(G1925="","GRAM EKSİK",IF(F1925&gt;30000,"FİYAT ŞÜPHELİ",IF(K1925&lt;0,"ZARARDA",IF(F1925&lt;I1925,"RİSKLİ","ok"))))</f>
        <v/>
      </c>
      <c r="M1925" s="16" t="inlineStr">
        <is>
          <t>https://www.etsy.com/listing/1865969006</t>
        </is>
      </c>
    </row>
    <row r="1926">
      <c r="A1926" s="9" t="inlineStr">
        <is>
          <t>rings</t>
        </is>
      </c>
      <c r="B1926" s="9" t="inlineStr">
        <is>
          <t>10K Solid Yellow Gold Wedding Band – Minimalist Unisex Ring</t>
        </is>
      </c>
      <c r="C1926" s="9" t="n">
        <v>1865969006</v>
      </c>
      <c r="D1926" s="9" t="inlineStr">
        <is>
          <t>RWB4-8</t>
        </is>
      </c>
      <c r="E1926" s="9" t="inlineStr">
        <is>
          <t>description</t>
        </is>
      </c>
      <c r="F1926" s="10" t="n">
        <v>370</v>
      </c>
      <c r="G1926" s="18" t="n">
        <v>3.08</v>
      </c>
      <c r="H1926" s="10">
        <f>IF(G1926="","",G1926*Ayarlar!$B$3+Ayarlar!$B$4+Ayarlar!$B$5)</f>
        <v/>
      </c>
      <c r="I1926" s="10">
        <f>IF(G1926="","",ROUNDUP(((G1926*Ayarlar!$B$3+Ayarlar!$B$4+Ayarlar!$B$5)+Ayarlar!$B$8)/((1-Ayarlar!$B$6)*(1-Ayarlar!$B$7)),0))</f>
        <v/>
      </c>
      <c r="J1926" s="10">
        <f>IF(G1926="","",ROUNDUP(((G1926*Ayarlar!$B$3+Ayarlar!$B$4+Ayarlar!$B$5)+Ayarlar!$B$8)/((1-Ayarlar!$B$6)*(1-Ayarlar!$B$7-Ayarlar!$B$9)),0))</f>
        <v/>
      </c>
      <c r="K1926" s="12">
        <f>IF(OR(G1926="",F1926=""),"",(F1926*(1-Ayarlar!$B$6)-(F1926*(1-Ayarlar!$B$6)*Ayarlar!$B$7+Ayarlar!$B$8)-(G1926*Ayarlar!$B$3+Ayarlar!$B$4+Ayarlar!$B$5))/(F1926*(1-Ayarlar!$B$6)))</f>
        <v/>
      </c>
      <c r="L1926" s="9">
        <f>IF(G1926="","GRAM EKSİK",IF(F1926&gt;30000,"FİYAT ŞÜPHELİ",IF(K1926&lt;0,"ZARARDA",IF(F1926&lt;I1926,"RİSKLİ","ok"))))</f>
        <v/>
      </c>
      <c r="M1926" s="13" t="inlineStr">
        <is>
          <t>https://www.etsy.com/listing/1865969006</t>
        </is>
      </c>
    </row>
    <row r="1927">
      <c r="A1927" s="3" t="inlineStr">
        <is>
          <t>rings</t>
        </is>
      </c>
      <c r="B1927" s="3" t="inlineStr">
        <is>
          <t>10K Solid Yellow Gold Wedding Band – Minimalist Unisex Ring</t>
        </is>
      </c>
      <c r="C1927" s="3" t="n">
        <v>1865969006</v>
      </c>
      <c r="D1927" s="3" t="inlineStr">
        <is>
          <t>RWB4-9</t>
        </is>
      </c>
      <c r="E1927" s="3" t="inlineStr">
        <is>
          <t>description</t>
        </is>
      </c>
      <c r="F1927" s="14" t="n">
        <v>392</v>
      </c>
      <c r="G1927" s="17" t="n">
        <v>3.08</v>
      </c>
      <c r="H1927" s="14">
        <f>IF(G1927="","",G1927*Ayarlar!$B$3+Ayarlar!$B$4+Ayarlar!$B$5)</f>
        <v/>
      </c>
      <c r="I1927" s="14">
        <f>IF(G1927="","",ROUNDUP(((G1927*Ayarlar!$B$3+Ayarlar!$B$4+Ayarlar!$B$5)+Ayarlar!$B$8)/((1-Ayarlar!$B$6)*(1-Ayarlar!$B$7)),0))</f>
        <v/>
      </c>
      <c r="J1927" s="14">
        <f>IF(G1927="","",ROUNDUP(((G1927*Ayarlar!$B$3+Ayarlar!$B$4+Ayarlar!$B$5)+Ayarlar!$B$8)/((1-Ayarlar!$B$6)*(1-Ayarlar!$B$7-Ayarlar!$B$9)),0))</f>
        <v/>
      </c>
      <c r="K1927" s="15">
        <f>IF(OR(G1927="",F1927=""),"",(F1927*(1-Ayarlar!$B$6)-(F1927*(1-Ayarlar!$B$6)*Ayarlar!$B$7+Ayarlar!$B$8)-(G1927*Ayarlar!$B$3+Ayarlar!$B$4+Ayarlar!$B$5))/(F1927*(1-Ayarlar!$B$6)))</f>
        <v/>
      </c>
      <c r="L1927" s="3">
        <f>IF(G1927="","GRAM EKSİK",IF(F1927&gt;30000,"FİYAT ŞÜPHELİ",IF(K1927&lt;0,"ZARARDA",IF(F1927&lt;I1927,"RİSKLİ","ok"))))</f>
        <v/>
      </c>
      <c r="M1927" s="16" t="inlineStr">
        <is>
          <t>https://www.etsy.com/listing/1865969006</t>
        </is>
      </c>
    </row>
    <row r="1928">
      <c r="A1928" s="9" t="inlineStr">
        <is>
          <t>rings</t>
        </is>
      </c>
      <c r="B1928" s="9" t="inlineStr">
        <is>
          <t>10K Solid Yellow Gold Wedding Band – Minimalist Unisex Ring</t>
        </is>
      </c>
      <c r="C1928" s="9" t="n">
        <v>1865969006</v>
      </c>
      <c r="D1928" s="9" t="inlineStr">
        <is>
          <t>RWB5-10</t>
        </is>
      </c>
      <c r="E1928" s="9" t="inlineStr">
        <is>
          <t>shipstation</t>
        </is>
      </c>
      <c r="F1928" s="10" t="n">
        <v>504</v>
      </c>
      <c r="G1928" s="18" t="n">
        <v>4.2</v>
      </c>
      <c r="H1928" s="10">
        <f>IF(G1928="","",G1928*Ayarlar!$B$3+Ayarlar!$B$4+Ayarlar!$B$5)</f>
        <v/>
      </c>
      <c r="I1928" s="10">
        <f>IF(G1928="","",ROUNDUP(((G1928*Ayarlar!$B$3+Ayarlar!$B$4+Ayarlar!$B$5)+Ayarlar!$B$8)/((1-Ayarlar!$B$6)*(1-Ayarlar!$B$7)),0))</f>
        <v/>
      </c>
      <c r="J1928" s="10">
        <f>IF(G1928="","",ROUNDUP(((G1928*Ayarlar!$B$3+Ayarlar!$B$4+Ayarlar!$B$5)+Ayarlar!$B$8)/((1-Ayarlar!$B$6)*(1-Ayarlar!$B$7-Ayarlar!$B$9)),0))</f>
        <v/>
      </c>
      <c r="K1928" s="12">
        <f>IF(OR(G1928="",F1928=""),"",(F1928*(1-Ayarlar!$B$6)-(F1928*(1-Ayarlar!$B$6)*Ayarlar!$B$7+Ayarlar!$B$8)-(G1928*Ayarlar!$B$3+Ayarlar!$B$4+Ayarlar!$B$5))/(F1928*(1-Ayarlar!$B$6)))</f>
        <v/>
      </c>
      <c r="L1928" s="9">
        <f>IF(G1928="","GRAM EKSİK",IF(F1928&gt;30000,"FİYAT ŞÜPHELİ",IF(K1928&lt;0,"ZARARDA",IF(F1928&lt;I1928,"RİSKLİ","ok"))))</f>
        <v/>
      </c>
      <c r="M1928" s="13" t="inlineStr">
        <is>
          <t>https://www.etsy.com/listing/1865969006</t>
        </is>
      </c>
    </row>
    <row r="1929">
      <c r="A1929" s="3" t="inlineStr">
        <is>
          <t>rings</t>
        </is>
      </c>
      <c r="B1929" s="3" t="inlineStr">
        <is>
          <t>10K Solid Yellow Gold Wedding Band – Minimalist Unisex Ring</t>
        </is>
      </c>
      <c r="C1929" s="3" t="n">
        <v>1865969006</v>
      </c>
      <c r="D1929" s="3" t="inlineStr">
        <is>
          <t>RWB5-5</t>
        </is>
      </c>
      <c r="E1929" s="3" t="inlineStr">
        <is>
          <t>description</t>
        </is>
      </c>
      <c r="F1929" s="14" t="n">
        <v>340</v>
      </c>
      <c r="G1929" s="17" t="n">
        <v>3.82</v>
      </c>
      <c r="H1929" s="14">
        <f>IF(G1929="","",G1929*Ayarlar!$B$3+Ayarlar!$B$4+Ayarlar!$B$5)</f>
        <v/>
      </c>
      <c r="I1929" s="14">
        <f>IF(G1929="","",ROUNDUP(((G1929*Ayarlar!$B$3+Ayarlar!$B$4+Ayarlar!$B$5)+Ayarlar!$B$8)/((1-Ayarlar!$B$6)*(1-Ayarlar!$B$7)),0))</f>
        <v/>
      </c>
      <c r="J1929" s="14">
        <f>IF(G1929="","",ROUNDUP(((G1929*Ayarlar!$B$3+Ayarlar!$B$4+Ayarlar!$B$5)+Ayarlar!$B$8)/((1-Ayarlar!$B$6)*(1-Ayarlar!$B$7-Ayarlar!$B$9)),0))</f>
        <v/>
      </c>
      <c r="K1929" s="15">
        <f>IF(OR(G1929="",F1929=""),"",(F1929*(1-Ayarlar!$B$6)-(F1929*(1-Ayarlar!$B$6)*Ayarlar!$B$7+Ayarlar!$B$8)-(G1929*Ayarlar!$B$3+Ayarlar!$B$4+Ayarlar!$B$5))/(F1929*(1-Ayarlar!$B$6)))</f>
        <v/>
      </c>
      <c r="L1929" s="3">
        <f>IF(G1929="","GRAM EKSİK",IF(F1929&gt;30000,"FİYAT ŞÜPHELİ",IF(K1929&lt;0,"ZARARDA",IF(F1929&lt;I1929,"RİSKLİ","ok"))))</f>
        <v/>
      </c>
      <c r="M1929" s="16" t="inlineStr">
        <is>
          <t>https://www.etsy.com/listing/1865969006</t>
        </is>
      </c>
    </row>
    <row r="1930">
      <c r="A1930" s="9" t="inlineStr">
        <is>
          <t>rings</t>
        </is>
      </c>
      <c r="B1930" s="9" t="inlineStr">
        <is>
          <t>10K Solid Yellow Gold Wedding Band – Minimalist Unisex Ring</t>
        </is>
      </c>
      <c r="C1930" s="9" t="n">
        <v>1865969006</v>
      </c>
      <c r="D1930" s="9" t="inlineStr">
        <is>
          <t>RWB5-6</t>
        </is>
      </c>
      <c r="E1930" s="9" t="inlineStr">
        <is>
          <t>description</t>
        </is>
      </c>
      <c r="F1930" s="10" t="n">
        <v>372</v>
      </c>
      <c r="G1930" s="18" t="n">
        <v>3.82</v>
      </c>
      <c r="H1930" s="10">
        <f>IF(G1930="","",G1930*Ayarlar!$B$3+Ayarlar!$B$4+Ayarlar!$B$5)</f>
        <v/>
      </c>
      <c r="I1930" s="10">
        <f>IF(G1930="","",ROUNDUP(((G1930*Ayarlar!$B$3+Ayarlar!$B$4+Ayarlar!$B$5)+Ayarlar!$B$8)/((1-Ayarlar!$B$6)*(1-Ayarlar!$B$7)),0))</f>
        <v/>
      </c>
      <c r="J1930" s="10">
        <f>IF(G1930="","",ROUNDUP(((G1930*Ayarlar!$B$3+Ayarlar!$B$4+Ayarlar!$B$5)+Ayarlar!$B$8)/((1-Ayarlar!$B$6)*(1-Ayarlar!$B$7-Ayarlar!$B$9)),0))</f>
        <v/>
      </c>
      <c r="K1930" s="12">
        <f>IF(OR(G1930="",F1930=""),"",(F1930*(1-Ayarlar!$B$6)-(F1930*(1-Ayarlar!$B$6)*Ayarlar!$B$7+Ayarlar!$B$8)-(G1930*Ayarlar!$B$3+Ayarlar!$B$4+Ayarlar!$B$5))/(F1930*(1-Ayarlar!$B$6)))</f>
        <v/>
      </c>
      <c r="L1930" s="9">
        <f>IF(G1930="","GRAM EKSİK",IF(F1930&gt;30000,"FİYAT ŞÜPHELİ",IF(K1930&lt;0,"ZARARDA",IF(F1930&lt;I1930,"RİSKLİ","ok"))))</f>
        <v/>
      </c>
      <c r="M1930" s="13" t="inlineStr">
        <is>
          <t>https://www.etsy.com/listing/1865969006</t>
        </is>
      </c>
    </row>
    <row r="1931">
      <c r="A1931" s="3" t="inlineStr">
        <is>
          <t>rings</t>
        </is>
      </c>
      <c r="B1931" s="3" t="inlineStr">
        <is>
          <t>10K Solid Yellow Gold Wedding Band – Minimalist Unisex Ring</t>
        </is>
      </c>
      <c r="C1931" s="3" t="n">
        <v>1865969006</v>
      </c>
      <c r="D1931" s="3" t="inlineStr">
        <is>
          <t>RWB5-7</t>
        </is>
      </c>
      <c r="E1931" s="3" t="inlineStr">
        <is>
          <t>description</t>
        </is>
      </c>
      <c r="F1931" s="14" t="n">
        <v>405</v>
      </c>
      <c r="G1931" s="17" t="n">
        <v>3.82</v>
      </c>
      <c r="H1931" s="14">
        <f>IF(G1931="","",G1931*Ayarlar!$B$3+Ayarlar!$B$4+Ayarlar!$B$5)</f>
        <v/>
      </c>
      <c r="I1931" s="14">
        <f>IF(G1931="","",ROUNDUP(((G1931*Ayarlar!$B$3+Ayarlar!$B$4+Ayarlar!$B$5)+Ayarlar!$B$8)/((1-Ayarlar!$B$6)*(1-Ayarlar!$B$7)),0))</f>
        <v/>
      </c>
      <c r="J1931" s="14">
        <f>IF(G1931="","",ROUNDUP(((G1931*Ayarlar!$B$3+Ayarlar!$B$4+Ayarlar!$B$5)+Ayarlar!$B$8)/((1-Ayarlar!$B$6)*(1-Ayarlar!$B$7-Ayarlar!$B$9)),0))</f>
        <v/>
      </c>
      <c r="K1931" s="15">
        <f>IF(OR(G1931="",F1931=""),"",(F1931*(1-Ayarlar!$B$6)-(F1931*(1-Ayarlar!$B$6)*Ayarlar!$B$7+Ayarlar!$B$8)-(G1931*Ayarlar!$B$3+Ayarlar!$B$4+Ayarlar!$B$5))/(F1931*(1-Ayarlar!$B$6)))</f>
        <v/>
      </c>
      <c r="L1931" s="3">
        <f>IF(G1931="","GRAM EKSİK",IF(F1931&gt;30000,"FİYAT ŞÜPHELİ",IF(K1931&lt;0,"ZARARDA",IF(F1931&lt;I1931,"RİSKLİ","ok"))))</f>
        <v/>
      </c>
      <c r="M1931" s="16" t="inlineStr">
        <is>
          <t>https://www.etsy.com/listing/1865969006</t>
        </is>
      </c>
    </row>
    <row r="1932">
      <c r="A1932" s="9" t="inlineStr">
        <is>
          <t>rings</t>
        </is>
      </c>
      <c r="B1932" s="9" t="inlineStr">
        <is>
          <t>10K Solid Yellow Gold Wedding Band – Minimalist Unisex Ring</t>
        </is>
      </c>
      <c r="C1932" s="9" t="n">
        <v>1865969006</v>
      </c>
      <c r="D1932" s="9" t="inlineStr">
        <is>
          <t>RWB5-8</t>
        </is>
      </c>
      <c r="E1932" s="9" t="inlineStr">
        <is>
          <t>description</t>
        </is>
      </c>
      <c r="F1932" s="10" t="n">
        <v>437</v>
      </c>
      <c r="G1932" s="18" t="n">
        <v>3.82</v>
      </c>
      <c r="H1932" s="10">
        <f>IF(G1932="","",G1932*Ayarlar!$B$3+Ayarlar!$B$4+Ayarlar!$B$5)</f>
        <v/>
      </c>
      <c r="I1932" s="10">
        <f>IF(G1932="","",ROUNDUP(((G1932*Ayarlar!$B$3+Ayarlar!$B$4+Ayarlar!$B$5)+Ayarlar!$B$8)/((1-Ayarlar!$B$6)*(1-Ayarlar!$B$7)),0))</f>
        <v/>
      </c>
      <c r="J1932" s="10">
        <f>IF(G1932="","",ROUNDUP(((G1932*Ayarlar!$B$3+Ayarlar!$B$4+Ayarlar!$B$5)+Ayarlar!$B$8)/((1-Ayarlar!$B$6)*(1-Ayarlar!$B$7-Ayarlar!$B$9)),0))</f>
        <v/>
      </c>
      <c r="K1932" s="12">
        <f>IF(OR(G1932="",F1932=""),"",(F1932*(1-Ayarlar!$B$6)-(F1932*(1-Ayarlar!$B$6)*Ayarlar!$B$7+Ayarlar!$B$8)-(G1932*Ayarlar!$B$3+Ayarlar!$B$4+Ayarlar!$B$5))/(F1932*(1-Ayarlar!$B$6)))</f>
        <v/>
      </c>
      <c r="L1932" s="9">
        <f>IF(G1932="","GRAM EKSİK",IF(F1932&gt;30000,"FİYAT ŞÜPHELİ",IF(K1932&lt;0,"ZARARDA",IF(F1932&lt;I1932,"RİSKLİ","ok"))))</f>
        <v/>
      </c>
      <c r="M1932" s="13" t="inlineStr">
        <is>
          <t>https://www.etsy.com/listing/1865969006</t>
        </is>
      </c>
    </row>
    <row r="1933">
      <c r="A1933" s="3" t="inlineStr">
        <is>
          <t>rings</t>
        </is>
      </c>
      <c r="B1933" s="3" t="inlineStr">
        <is>
          <t>10K Solid Yellow Gold Wedding Band – Minimalist Unisex Ring</t>
        </is>
      </c>
      <c r="C1933" s="3" t="n">
        <v>1865969006</v>
      </c>
      <c r="D1933" s="3" t="inlineStr">
        <is>
          <t>RWB5-9</t>
        </is>
      </c>
      <c r="E1933" s="3" t="inlineStr">
        <is>
          <t>description</t>
        </is>
      </c>
      <c r="F1933" s="14" t="n">
        <v>469</v>
      </c>
      <c r="G1933" s="17" t="n">
        <v>3.82</v>
      </c>
      <c r="H1933" s="14">
        <f>IF(G1933="","",G1933*Ayarlar!$B$3+Ayarlar!$B$4+Ayarlar!$B$5)</f>
        <v/>
      </c>
      <c r="I1933" s="14">
        <f>IF(G1933="","",ROUNDUP(((G1933*Ayarlar!$B$3+Ayarlar!$B$4+Ayarlar!$B$5)+Ayarlar!$B$8)/((1-Ayarlar!$B$6)*(1-Ayarlar!$B$7)),0))</f>
        <v/>
      </c>
      <c r="J1933" s="14">
        <f>IF(G1933="","",ROUNDUP(((G1933*Ayarlar!$B$3+Ayarlar!$B$4+Ayarlar!$B$5)+Ayarlar!$B$8)/((1-Ayarlar!$B$6)*(1-Ayarlar!$B$7-Ayarlar!$B$9)),0))</f>
        <v/>
      </c>
      <c r="K1933" s="15">
        <f>IF(OR(G1933="",F1933=""),"",(F1933*(1-Ayarlar!$B$6)-(F1933*(1-Ayarlar!$B$6)*Ayarlar!$B$7+Ayarlar!$B$8)-(G1933*Ayarlar!$B$3+Ayarlar!$B$4+Ayarlar!$B$5))/(F1933*(1-Ayarlar!$B$6)))</f>
        <v/>
      </c>
      <c r="L1933" s="3">
        <f>IF(G1933="","GRAM EKSİK",IF(F1933&gt;30000,"FİYAT ŞÜPHELİ",IF(K1933&lt;0,"ZARARDA",IF(F1933&lt;I1933,"RİSKLİ","ok"))))</f>
        <v/>
      </c>
      <c r="M1933" s="16" t="inlineStr">
        <is>
          <t>https://www.etsy.com/listing/1865969006</t>
        </is>
      </c>
    </row>
    <row r="1934">
      <c r="A1934" s="9" t="inlineStr">
        <is>
          <t>rings</t>
        </is>
      </c>
      <c r="B1934" s="9" t="inlineStr">
        <is>
          <t>10K Solid Yellow Gold Wedding Band – Minimalist Unisex Ring</t>
        </is>
      </c>
      <c r="C1934" s="9" t="n">
        <v>1865969006</v>
      </c>
      <c r="D1934" s="9" t="inlineStr">
        <is>
          <t>RWB6-10</t>
        </is>
      </c>
      <c r="E1934" s="9" t="inlineStr">
        <is>
          <t>description</t>
        </is>
      </c>
      <c r="F1934" s="10" t="n">
        <v>560</v>
      </c>
      <c r="G1934" s="18" t="n">
        <v>4.65</v>
      </c>
      <c r="H1934" s="10">
        <f>IF(G1934="","",G1934*Ayarlar!$B$3+Ayarlar!$B$4+Ayarlar!$B$5)</f>
        <v/>
      </c>
      <c r="I1934" s="10">
        <f>IF(G1934="","",ROUNDUP(((G1934*Ayarlar!$B$3+Ayarlar!$B$4+Ayarlar!$B$5)+Ayarlar!$B$8)/((1-Ayarlar!$B$6)*(1-Ayarlar!$B$7)),0))</f>
        <v/>
      </c>
      <c r="J1934" s="10">
        <f>IF(G1934="","",ROUNDUP(((G1934*Ayarlar!$B$3+Ayarlar!$B$4+Ayarlar!$B$5)+Ayarlar!$B$8)/((1-Ayarlar!$B$6)*(1-Ayarlar!$B$7-Ayarlar!$B$9)),0))</f>
        <v/>
      </c>
      <c r="K1934" s="12">
        <f>IF(OR(G1934="",F1934=""),"",(F1934*(1-Ayarlar!$B$6)-(F1934*(1-Ayarlar!$B$6)*Ayarlar!$B$7+Ayarlar!$B$8)-(G1934*Ayarlar!$B$3+Ayarlar!$B$4+Ayarlar!$B$5))/(F1934*(1-Ayarlar!$B$6)))</f>
        <v/>
      </c>
      <c r="L1934" s="9">
        <f>IF(G1934="","GRAM EKSİK",IF(F1934&gt;30000,"FİYAT ŞÜPHELİ",IF(K1934&lt;0,"ZARARDA",IF(F1934&lt;I1934,"RİSKLİ","ok"))))</f>
        <v/>
      </c>
      <c r="M1934" s="13" t="inlineStr">
        <is>
          <t>https://www.etsy.com/listing/1865969006</t>
        </is>
      </c>
    </row>
    <row r="1935">
      <c r="A1935" s="3" t="inlineStr">
        <is>
          <t>rings</t>
        </is>
      </c>
      <c r="B1935" s="3" t="inlineStr">
        <is>
          <t>10K Solid Yellow Gold Wedding Band – Minimalist Unisex Ring</t>
        </is>
      </c>
      <c r="C1935" s="3" t="n">
        <v>1865969006</v>
      </c>
      <c r="D1935" s="3" t="inlineStr">
        <is>
          <t>RWB6-5</t>
        </is>
      </c>
      <c r="E1935" s="3" t="inlineStr">
        <is>
          <t>description</t>
        </is>
      </c>
      <c r="F1935" s="14" t="n">
        <v>392</v>
      </c>
      <c r="G1935" s="17" t="n">
        <v>4.65</v>
      </c>
      <c r="H1935" s="14">
        <f>IF(G1935="","",G1935*Ayarlar!$B$3+Ayarlar!$B$4+Ayarlar!$B$5)</f>
        <v/>
      </c>
      <c r="I1935" s="14">
        <f>IF(G1935="","",ROUNDUP(((G1935*Ayarlar!$B$3+Ayarlar!$B$4+Ayarlar!$B$5)+Ayarlar!$B$8)/((1-Ayarlar!$B$6)*(1-Ayarlar!$B$7)),0))</f>
        <v/>
      </c>
      <c r="J1935" s="14">
        <f>IF(G1935="","",ROUNDUP(((G1935*Ayarlar!$B$3+Ayarlar!$B$4+Ayarlar!$B$5)+Ayarlar!$B$8)/((1-Ayarlar!$B$6)*(1-Ayarlar!$B$7-Ayarlar!$B$9)),0))</f>
        <v/>
      </c>
      <c r="K1935" s="15">
        <f>IF(OR(G1935="",F1935=""),"",(F1935*(1-Ayarlar!$B$6)-(F1935*(1-Ayarlar!$B$6)*Ayarlar!$B$7+Ayarlar!$B$8)-(G1935*Ayarlar!$B$3+Ayarlar!$B$4+Ayarlar!$B$5))/(F1935*(1-Ayarlar!$B$6)))</f>
        <v/>
      </c>
      <c r="L1935" s="3">
        <f>IF(G1935="","GRAM EKSİK",IF(F1935&gt;30000,"FİYAT ŞÜPHELİ",IF(K1935&lt;0,"ZARARDA",IF(F1935&lt;I1935,"RİSKLİ","ok"))))</f>
        <v/>
      </c>
      <c r="M1935" s="16" t="inlineStr">
        <is>
          <t>https://www.etsy.com/listing/1865969006</t>
        </is>
      </c>
    </row>
    <row r="1936">
      <c r="A1936" s="9" t="inlineStr">
        <is>
          <t>rings</t>
        </is>
      </c>
      <c r="B1936" s="9" t="inlineStr">
        <is>
          <t>10K Solid Yellow Gold Wedding Band – Minimalist Unisex Ring</t>
        </is>
      </c>
      <c r="C1936" s="9" t="n">
        <v>1865969006</v>
      </c>
      <c r="D1936" s="9" t="inlineStr">
        <is>
          <t>RWB6-6</t>
        </is>
      </c>
      <c r="E1936" s="9" t="inlineStr">
        <is>
          <t>description</t>
        </is>
      </c>
      <c r="F1936" s="10" t="n">
        <v>398</v>
      </c>
      <c r="G1936" s="18" t="n">
        <v>4.65</v>
      </c>
      <c r="H1936" s="10">
        <f>IF(G1936="","",G1936*Ayarlar!$B$3+Ayarlar!$B$4+Ayarlar!$B$5)</f>
        <v/>
      </c>
      <c r="I1936" s="10">
        <f>IF(G1936="","",ROUNDUP(((G1936*Ayarlar!$B$3+Ayarlar!$B$4+Ayarlar!$B$5)+Ayarlar!$B$8)/((1-Ayarlar!$B$6)*(1-Ayarlar!$B$7)),0))</f>
        <v/>
      </c>
      <c r="J1936" s="10">
        <f>IF(G1936="","",ROUNDUP(((G1936*Ayarlar!$B$3+Ayarlar!$B$4+Ayarlar!$B$5)+Ayarlar!$B$8)/((1-Ayarlar!$B$6)*(1-Ayarlar!$B$7-Ayarlar!$B$9)),0))</f>
        <v/>
      </c>
      <c r="K1936" s="12">
        <f>IF(OR(G1936="",F1936=""),"",(F1936*(1-Ayarlar!$B$6)-(F1936*(1-Ayarlar!$B$6)*Ayarlar!$B$7+Ayarlar!$B$8)-(G1936*Ayarlar!$B$3+Ayarlar!$B$4+Ayarlar!$B$5))/(F1936*(1-Ayarlar!$B$6)))</f>
        <v/>
      </c>
      <c r="L1936" s="9">
        <f>IF(G1936="","GRAM EKSİK",IF(F1936&gt;30000,"FİYAT ŞÜPHELİ",IF(K1936&lt;0,"ZARARDA",IF(F1936&lt;I1936,"RİSKLİ","ok"))))</f>
        <v/>
      </c>
      <c r="M1936" s="13" t="inlineStr">
        <is>
          <t>https://www.etsy.com/listing/1865969006</t>
        </is>
      </c>
    </row>
    <row r="1937">
      <c r="A1937" s="3" t="inlineStr">
        <is>
          <t>rings</t>
        </is>
      </c>
      <c r="B1937" s="3" t="inlineStr">
        <is>
          <t>10K Solid Yellow Gold Wedding Band – Minimalist Unisex Ring</t>
        </is>
      </c>
      <c r="C1937" s="3" t="n">
        <v>1865969006</v>
      </c>
      <c r="D1937" s="3" t="inlineStr">
        <is>
          <t>RWB6-7</t>
        </is>
      </c>
      <c r="E1937" s="3" t="inlineStr">
        <is>
          <t>description</t>
        </is>
      </c>
      <c r="F1937" s="14" t="n">
        <v>414</v>
      </c>
      <c r="G1937" s="17" t="n">
        <v>4.65</v>
      </c>
      <c r="H1937" s="14">
        <f>IF(G1937="","",G1937*Ayarlar!$B$3+Ayarlar!$B$4+Ayarlar!$B$5)</f>
        <v/>
      </c>
      <c r="I1937" s="14">
        <f>IF(G1937="","",ROUNDUP(((G1937*Ayarlar!$B$3+Ayarlar!$B$4+Ayarlar!$B$5)+Ayarlar!$B$8)/((1-Ayarlar!$B$6)*(1-Ayarlar!$B$7)),0))</f>
        <v/>
      </c>
      <c r="J1937" s="14">
        <f>IF(G1937="","",ROUNDUP(((G1937*Ayarlar!$B$3+Ayarlar!$B$4+Ayarlar!$B$5)+Ayarlar!$B$8)/((1-Ayarlar!$B$6)*(1-Ayarlar!$B$7-Ayarlar!$B$9)),0))</f>
        <v/>
      </c>
      <c r="K1937" s="15">
        <f>IF(OR(G1937="",F1937=""),"",(F1937*(1-Ayarlar!$B$6)-(F1937*(1-Ayarlar!$B$6)*Ayarlar!$B$7+Ayarlar!$B$8)-(G1937*Ayarlar!$B$3+Ayarlar!$B$4+Ayarlar!$B$5))/(F1937*(1-Ayarlar!$B$6)))</f>
        <v/>
      </c>
      <c r="L1937" s="3">
        <f>IF(G1937="","GRAM EKSİK",IF(F1937&gt;30000,"FİYAT ŞÜPHELİ",IF(K1937&lt;0,"ZARARDA",IF(F1937&lt;I1937,"RİSKLİ","ok"))))</f>
        <v/>
      </c>
      <c r="M1937" s="16" t="inlineStr">
        <is>
          <t>https://www.etsy.com/listing/1865969006</t>
        </is>
      </c>
    </row>
    <row r="1938">
      <c r="A1938" s="9" t="inlineStr">
        <is>
          <t>rings</t>
        </is>
      </c>
      <c r="B1938" s="9" t="inlineStr">
        <is>
          <t>10K Solid Yellow Gold Wedding Band – Minimalist Unisex Ring</t>
        </is>
      </c>
      <c r="C1938" s="9" t="n">
        <v>1865969006</v>
      </c>
      <c r="D1938" s="9" t="inlineStr">
        <is>
          <t>RWB6-8</t>
        </is>
      </c>
      <c r="E1938" s="9" t="inlineStr">
        <is>
          <t>description</t>
        </is>
      </c>
      <c r="F1938" s="10" t="n">
        <v>506</v>
      </c>
      <c r="G1938" s="18" t="n">
        <v>4.65</v>
      </c>
      <c r="H1938" s="10">
        <f>IF(G1938="","",G1938*Ayarlar!$B$3+Ayarlar!$B$4+Ayarlar!$B$5)</f>
        <v/>
      </c>
      <c r="I1938" s="10">
        <f>IF(G1938="","",ROUNDUP(((G1938*Ayarlar!$B$3+Ayarlar!$B$4+Ayarlar!$B$5)+Ayarlar!$B$8)/((1-Ayarlar!$B$6)*(1-Ayarlar!$B$7)),0))</f>
        <v/>
      </c>
      <c r="J1938" s="10">
        <f>IF(G1938="","",ROUNDUP(((G1938*Ayarlar!$B$3+Ayarlar!$B$4+Ayarlar!$B$5)+Ayarlar!$B$8)/((1-Ayarlar!$B$6)*(1-Ayarlar!$B$7-Ayarlar!$B$9)),0))</f>
        <v/>
      </c>
      <c r="K1938" s="12">
        <f>IF(OR(G1938="",F1938=""),"",(F1938*(1-Ayarlar!$B$6)-(F1938*(1-Ayarlar!$B$6)*Ayarlar!$B$7+Ayarlar!$B$8)-(G1938*Ayarlar!$B$3+Ayarlar!$B$4+Ayarlar!$B$5))/(F1938*(1-Ayarlar!$B$6)))</f>
        <v/>
      </c>
      <c r="L1938" s="9">
        <f>IF(G1938="","GRAM EKSİK",IF(F1938&gt;30000,"FİYAT ŞÜPHELİ",IF(K1938&lt;0,"ZARARDA",IF(F1938&lt;I1938,"RİSKLİ","ok"))))</f>
        <v/>
      </c>
      <c r="M1938" s="13" t="inlineStr">
        <is>
          <t>https://www.etsy.com/listing/1865969006</t>
        </is>
      </c>
    </row>
    <row r="1939">
      <c r="A1939" s="3" t="inlineStr">
        <is>
          <t>rings</t>
        </is>
      </c>
      <c r="B1939" s="3" t="inlineStr">
        <is>
          <t>10K Solid Yellow Gold Wedding Band – Minimalist Unisex Ring</t>
        </is>
      </c>
      <c r="C1939" s="3" t="n">
        <v>1865969006</v>
      </c>
      <c r="D1939" s="3" t="inlineStr">
        <is>
          <t>RWB6-9</t>
        </is>
      </c>
      <c r="E1939" s="3" t="inlineStr">
        <is>
          <t>description</t>
        </is>
      </c>
      <c r="F1939" s="14" t="n">
        <v>543</v>
      </c>
      <c r="G1939" s="17" t="n">
        <v>4.65</v>
      </c>
      <c r="H1939" s="14">
        <f>IF(G1939="","",G1939*Ayarlar!$B$3+Ayarlar!$B$4+Ayarlar!$B$5)</f>
        <v/>
      </c>
      <c r="I1939" s="14">
        <f>IF(G1939="","",ROUNDUP(((G1939*Ayarlar!$B$3+Ayarlar!$B$4+Ayarlar!$B$5)+Ayarlar!$B$8)/((1-Ayarlar!$B$6)*(1-Ayarlar!$B$7)),0))</f>
        <v/>
      </c>
      <c r="J1939" s="14">
        <f>IF(G1939="","",ROUNDUP(((G1939*Ayarlar!$B$3+Ayarlar!$B$4+Ayarlar!$B$5)+Ayarlar!$B$8)/((1-Ayarlar!$B$6)*(1-Ayarlar!$B$7-Ayarlar!$B$9)),0))</f>
        <v/>
      </c>
      <c r="K1939" s="15">
        <f>IF(OR(G1939="",F1939=""),"",(F1939*(1-Ayarlar!$B$6)-(F1939*(1-Ayarlar!$B$6)*Ayarlar!$B$7+Ayarlar!$B$8)-(G1939*Ayarlar!$B$3+Ayarlar!$B$4+Ayarlar!$B$5))/(F1939*(1-Ayarlar!$B$6)))</f>
        <v/>
      </c>
      <c r="L1939" s="3">
        <f>IF(G1939="","GRAM EKSİK",IF(F1939&gt;30000,"FİYAT ŞÜPHELİ",IF(K1939&lt;0,"ZARARDA",IF(F1939&lt;I1939,"RİSKLİ","ok"))))</f>
        <v/>
      </c>
      <c r="M1939" s="16" t="inlineStr">
        <is>
          <t>https://www.etsy.com/listing/1865969006</t>
        </is>
      </c>
    </row>
    <row r="1940">
      <c r="A1940" s="9" t="inlineStr">
        <is>
          <t>rings</t>
        </is>
      </c>
      <c r="B1940" s="9" t="inlineStr">
        <is>
          <t xml:space="preserve">Dainty 925 Sterling Silver Tennis Bracelet, Round CZ Stone, </t>
        </is>
      </c>
      <c r="C1940" s="9" t="n">
        <v>1454572095</v>
      </c>
      <c r="D1940" s="9" t="inlineStr">
        <is>
          <t>BSTEN1-6.5</t>
        </is>
      </c>
      <c r="E1940" s="9" t="inlineStr">
        <is>
          <t>description</t>
        </is>
      </c>
      <c r="F1940" s="10" t="n">
        <v>34.39</v>
      </c>
      <c r="G1940" s="18" t="n">
        <v>9.41</v>
      </c>
      <c r="H1940" s="10">
        <f>IF(G1940="","",G1940*Ayarlar!$B$3+Ayarlar!$B$4+Ayarlar!$B$5)</f>
        <v/>
      </c>
      <c r="I1940" s="10">
        <f>IF(G1940="","",ROUNDUP(((G1940*Ayarlar!$B$3+Ayarlar!$B$4+Ayarlar!$B$5)+Ayarlar!$B$8)/((1-Ayarlar!$B$6)*(1-Ayarlar!$B$7)),0))</f>
        <v/>
      </c>
      <c r="J1940" s="10">
        <f>IF(G1940="","",ROUNDUP(((G1940*Ayarlar!$B$3+Ayarlar!$B$4+Ayarlar!$B$5)+Ayarlar!$B$8)/((1-Ayarlar!$B$6)*(1-Ayarlar!$B$7-Ayarlar!$B$9)),0))</f>
        <v/>
      </c>
      <c r="K1940" s="12">
        <f>IF(OR(G1940="",F1940=""),"",(F1940*(1-Ayarlar!$B$6)-(F1940*(1-Ayarlar!$B$6)*Ayarlar!$B$7+Ayarlar!$B$8)-(G1940*Ayarlar!$B$3+Ayarlar!$B$4+Ayarlar!$B$5))/(F1940*(1-Ayarlar!$B$6)))</f>
        <v/>
      </c>
      <c r="L1940" s="9">
        <f>IF(G1940="","GRAM EKSİK",IF(F1940&gt;30000,"FİYAT ŞÜPHELİ",IF(K1940&lt;0,"ZARARDA",IF(F1940&lt;I1940,"RİSKLİ","ok"))))</f>
        <v/>
      </c>
      <c r="M1940" s="13" t="inlineStr">
        <is>
          <t>https://www.etsy.com/listing/1454572095</t>
        </is>
      </c>
    </row>
    <row r="1941">
      <c r="A1941" s="3" t="inlineStr">
        <is>
          <t>rings</t>
        </is>
      </c>
      <c r="B1941" s="3" t="inlineStr">
        <is>
          <t xml:space="preserve">Dainty 925 Sterling Silver Tennis Bracelet, Round CZ Stone, </t>
        </is>
      </c>
      <c r="C1941" s="3" t="n">
        <v>1454572095</v>
      </c>
      <c r="D1941" s="3" t="inlineStr">
        <is>
          <t>BSTEN1-7</t>
        </is>
      </c>
      <c r="E1941" s="3" t="inlineStr">
        <is>
          <t>description</t>
        </is>
      </c>
      <c r="F1941" s="14" t="n">
        <v>36.54</v>
      </c>
      <c r="G1941" s="17" t="n">
        <v>9.41</v>
      </c>
      <c r="H1941" s="14">
        <f>IF(G1941="","",G1941*Ayarlar!$B$3+Ayarlar!$B$4+Ayarlar!$B$5)</f>
        <v/>
      </c>
      <c r="I1941" s="14">
        <f>IF(G1941="","",ROUNDUP(((G1941*Ayarlar!$B$3+Ayarlar!$B$4+Ayarlar!$B$5)+Ayarlar!$B$8)/((1-Ayarlar!$B$6)*(1-Ayarlar!$B$7)),0))</f>
        <v/>
      </c>
      <c r="J1941" s="14">
        <f>IF(G1941="","",ROUNDUP(((G1941*Ayarlar!$B$3+Ayarlar!$B$4+Ayarlar!$B$5)+Ayarlar!$B$8)/((1-Ayarlar!$B$6)*(1-Ayarlar!$B$7-Ayarlar!$B$9)),0))</f>
        <v/>
      </c>
      <c r="K1941" s="15">
        <f>IF(OR(G1941="",F1941=""),"",(F1941*(1-Ayarlar!$B$6)-(F1941*(1-Ayarlar!$B$6)*Ayarlar!$B$7+Ayarlar!$B$8)-(G1941*Ayarlar!$B$3+Ayarlar!$B$4+Ayarlar!$B$5))/(F1941*(1-Ayarlar!$B$6)))</f>
        <v/>
      </c>
      <c r="L1941" s="3">
        <f>IF(G1941="","GRAM EKSİK",IF(F1941&gt;30000,"FİYAT ŞÜPHELİ",IF(K1941&lt;0,"ZARARDA",IF(F1941&lt;I1941,"RİSKLİ","ok"))))</f>
        <v/>
      </c>
      <c r="M1941" s="16" t="inlineStr">
        <is>
          <t>https://www.etsy.com/listing/1454572095</t>
        </is>
      </c>
    </row>
    <row r="1942">
      <c r="A1942" s="9" t="inlineStr">
        <is>
          <t>rings</t>
        </is>
      </c>
      <c r="B1942" s="9" t="inlineStr">
        <is>
          <t xml:space="preserve">Dainty 925 Sterling Silver Tennis Bracelet, Round CZ Stone, </t>
        </is>
      </c>
      <c r="C1942" s="9" t="n">
        <v>1454572095</v>
      </c>
      <c r="D1942" s="9" t="inlineStr">
        <is>
          <t>BSTEN1-8</t>
        </is>
      </c>
      <c r="E1942" s="9" t="inlineStr">
        <is>
          <t>description</t>
        </is>
      </c>
      <c r="F1942" s="10" t="n">
        <v>38.69</v>
      </c>
      <c r="G1942" s="18" t="n">
        <v>9.41</v>
      </c>
      <c r="H1942" s="10">
        <f>IF(G1942="","",G1942*Ayarlar!$B$3+Ayarlar!$B$4+Ayarlar!$B$5)</f>
        <v/>
      </c>
      <c r="I1942" s="10">
        <f>IF(G1942="","",ROUNDUP(((G1942*Ayarlar!$B$3+Ayarlar!$B$4+Ayarlar!$B$5)+Ayarlar!$B$8)/((1-Ayarlar!$B$6)*(1-Ayarlar!$B$7)),0))</f>
        <v/>
      </c>
      <c r="J1942" s="10">
        <f>IF(G1942="","",ROUNDUP(((G1942*Ayarlar!$B$3+Ayarlar!$B$4+Ayarlar!$B$5)+Ayarlar!$B$8)/((1-Ayarlar!$B$6)*(1-Ayarlar!$B$7-Ayarlar!$B$9)),0))</f>
        <v/>
      </c>
      <c r="K1942" s="12">
        <f>IF(OR(G1942="",F1942=""),"",(F1942*(1-Ayarlar!$B$6)-(F1942*(1-Ayarlar!$B$6)*Ayarlar!$B$7+Ayarlar!$B$8)-(G1942*Ayarlar!$B$3+Ayarlar!$B$4+Ayarlar!$B$5))/(F1942*(1-Ayarlar!$B$6)))</f>
        <v/>
      </c>
      <c r="L1942" s="9">
        <f>IF(G1942="","GRAM EKSİK",IF(F1942&gt;30000,"FİYAT ŞÜPHELİ",IF(K1942&lt;0,"ZARARDA",IF(F1942&lt;I1942,"RİSKLİ","ok"))))</f>
        <v/>
      </c>
      <c r="M1942" s="13" t="inlineStr">
        <is>
          <t>https://www.etsy.com/listing/1454572095</t>
        </is>
      </c>
    </row>
    <row r="1943">
      <c r="A1943" s="3" t="inlineStr">
        <is>
          <t>rings</t>
        </is>
      </c>
      <c r="B1943" s="3" t="inlineStr">
        <is>
          <t xml:space="preserve">Dainty 925 Sterling Silver Tennis Bracelet, Round CZ Stone, </t>
        </is>
      </c>
      <c r="C1943" s="3" t="n">
        <v>1454572095</v>
      </c>
      <c r="D1943" s="3" t="inlineStr">
        <is>
          <t>BSTEN2-6.5</t>
        </is>
      </c>
      <c r="E1943" s="3" t="inlineStr">
        <is>
          <t>description</t>
        </is>
      </c>
      <c r="F1943" s="14" t="n">
        <v>34.39</v>
      </c>
      <c r="G1943" s="17" t="n">
        <v>9.41</v>
      </c>
      <c r="H1943" s="14">
        <f>IF(G1943="","",G1943*Ayarlar!$B$3+Ayarlar!$B$4+Ayarlar!$B$5)</f>
        <v/>
      </c>
      <c r="I1943" s="14">
        <f>IF(G1943="","",ROUNDUP(((G1943*Ayarlar!$B$3+Ayarlar!$B$4+Ayarlar!$B$5)+Ayarlar!$B$8)/((1-Ayarlar!$B$6)*(1-Ayarlar!$B$7)),0))</f>
        <v/>
      </c>
      <c r="J1943" s="14">
        <f>IF(G1943="","",ROUNDUP(((G1943*Ayarlar!$B$3+Ayarlar!$B$4+Ayarlar!$B$5)+Ayarlar!$B$8)/((1-Ayarlar!$B$6)*(1-Ayarlar!$B$7-Ayarlar!$B$9)),0))</f>
        <v/>
      </c>
      <c r="K1943" s="15">
        <f>IF(OR(G1943="",F1943=""),"",(F1943*(1-Ayarlar!$B$6)-(F1943*(1-Ayarlar!$B$6)*Ayarlar!$B$7+Ayarlar!$B$8)-(G1943*Ayarlar!$B$3+Ayarlar!$B$4+Ayarlar!$B$5))/(F1943*(1-Ayarlar!$B$6)))</f>
        <v/>
      </c>
      <c r="L1943" s="3">
        <f>IF(G1943="","GRAM EKSİK",IF(F1943&gt;30000,"FİYAT ŞÜPHELİ",IF(K1943&lt;0,"ZARARDA",IF(F1943&lt;I1943,"RİSKLİ","ok"))))</f>
        <v/>
      </c>
      <c r="M1943" s="16" t="inlineStr">
        <is>
          <t>https://www.etsy.com/listing/1454572095</t>
        </is>
      </c>
    </row>
    <row r="1944">
      <c r="A1944" s="9" t="inlineStr">
        <is>
          <t>rings</t>
        </is>
      </c>
      <c r="B1944" s="9" t="inlineStr">
        <is>
          <t xml:space="preserve">Dainty 925 Sterling Silver Tennis Bracelet, Round CZ Stone, </t>
        </is>
      </c>
      <c r="C1944" s="9" t="n">
        <v>1454572095</v>
      </c>
      <c r="D1944" s="9" t="inlineStr">
        <is>
          <t>BSTEN2-7</t>
        </is>
      </c>
      <c r="E1944" s="9" t="inlineStr">
        <is>
          <t>description</t>
        </is>
      </c>
      <c r="F1944" s="10" t="n">
        <v>36.54</v>
      </c>
      <c r="G1944" s="18" t="n">
        <v>9.41</v>
      </c>
      <c r="H1944" s="10">
        <f>IF(G1944="","",G1944*Ayarlar!$B$3+Ayarlar!$B$4+Ayarlar!$B$5)</f>
        <v/>
      </c>
      <c r="I1944" s="10">
        <f>IF(G1944="","",ROUNDUP(((G1944*Ayarlar!$B$3+Ayarlar!$B$4+Ayarlar!$B$5)+Ayarlar!$B$8)/((1-Ayarlar!$B$6)*(1-Ayarlar!$B$7)),0))</f>
        <v/>
      </c>
      <c r="J1944" s="10">
        <f>IF(G1944="","",ROUNDUP(((G1944*Ayarlar!$B$3+Ayarlar!$B$4+Ayarlar!$B$5)+Ayarlar!$B$8)/((1-Ayarlar!$B$6)*(1-Ayarlar!$B$7-Ayarlar!$B$9)),0))</f>
        <v/>
      </c>
      <c r="K1944" s="12">
        <f>IF(OR(G1944="",F1944=""),"",(F1944*(1-Ayarlar!$B$6)-(F1944*(1-Ayarlar!$B$6)*Ayarlar!$B$7+Ayarlar!$B$8)-(G1944*Ayarlar!$B$3+Ayarlar!$B$4+Ayarlar!$B$5))/(F1944*(1-Ayarlar!$B$6)))</f>
        <v/>
      </c>
      <c r="L1944" s="9">
        <f>IF(G1944="","GRAM EKSİK",IF(F1944&gt;30000,"FİYAT ŞÜPHELİ",IF(K1944&lt;0,"ZARARDA",IF(F1944&lt;I1944,"RİSKLİ","ok"))))</f>
        <v/>
      </c>
      <c r="M1944" s="13" t="inlineStr">
        <is>
          <t>https://www.etsy.com/listing/1454572095</t>
        </is>
      </c>
    </row>
    <row r="1945">
      <c r="A1945" s="3" t="inlineStr">
        <is>
          <t>rings</t>
        </is>
      </c>
      <c r="B1945" s="3" t="inlineStr">
        <is>
          <t xml:space="preserve">Dainty 925 Sterling Silver Tennis Bracelet, Round CZ Stone, </t>
        </is>
      </c>
      <c r="C1945" s="3" t="n">
        <v>1454572095</v>
      </c>
      <c r="D1945" s="3" t="inlineStr">
        <is>
          <t>BSTEN2-8</t>
        </is>
      </c>
      <c r="E1945" s="3" t="inlineStr">
        <is>
          <t>description</t>
        </is>
      </c>
      <c r="F1945" s="14" t="n">
        <v>38.69</v>
      </c>
      <c r="G1945" s="17" t="n">
        <v>9.41</v>
      </c>
      <c r="H1945" s="14">
        <f>IF(G1945="","",G1945*Ayarlar!$B$3+Ayarlar!$B$4+Ayarlar!$B$5)</f>
        <v/>
      </c>
      <c r="I1945" s="14">
        <f>IF(G1945="","",ROUNDUP(((G1945*Ayarlar!$B$3+Ayarlar!$B$4+Ayarlar!$B$5)+Ayarlar!$B$8)/((1-Ayarlar!$B$6)*(1-Ayarlar!$B$7)),0))</f>
        <v/>
      </c>
      <c r="J1945" s="14">
        <f>IF(G1945="","",ROUNDUP(((G1945*Ayarlar!$B$3+Ayarlar!$B$4+Ayarlar!$B$5)+Ayarlar!$B$8)/((1-Ayarlar!$B$6)*(1-Ayarlar!$B$7-Ayarlar!$B$9)),0))</f>
        <v/>
      </c>
      <c r="K1945" s="15">
        <f>IF(OR(G1945="",F1945=""),"",(F1945*(1-Ayarlar!$B$6)-(F1945*(1-Ayarlar!$B$6)*Ayarlar!$B$7+Ayarlar!$B$8)-(G1945*Ayarlar!$B$3+Ayarlar!$B$4+Ayarlar!$B$5))/(F1945*(1-Ayarlar!$B$6)))</f>
        <v/>
      </c>
      <c r="L1945" s="3">
        <f>IF(G1945="","GRAM EKSİK",IF(F1945&gt;30000,"FİYAT ŞÜPHELİ",IF(K1945&lt;0,"ZARARDA",IF(F1945&lt;I1945,"RİSKLİ","ok"))))</f>
        <v/>
      </c>
      <c r="M1945" s="16" t="inlineStr">
        <is>
          <t>https://www.etsy.com/listing/1454572095</t>
        </is>
      </c>
    </row>
  </sheetData>
  <autoFilter ref="A1:M1945"/>
  <conditionalFormatting sqref="L2:L1945">
    <cfRule type="cellIs" priority="1" operator="equal" dxfId="0">
      <formula>"ZARARDA"</formula>
    </cfRule>
    <cfRule type="cellIs" priority="2" operator="equal" dxfId="0">
      <formula>"FİYAT ŞÜPHELİ"</formula>
    </cfRule>
    <cfRule type="cellIs" priority="3" operator="equal" dxfId="1">
      <formula>"RİSKLİ"</formula>
    </cfRule>
    <cfRule type="cellIs" priority="4" operator="equal" dxfId="2">
      <formula>"ok"</formula>
    </cfRule>
    <cfRule type="cellIs" priority="5" operator="equal" dxfId="3">
      <formula>"GRAM EKSİK"</formula>
    </cfRule>
  </conditionalFormatting>
  <conditionalFormatting sqref="K2:K1945">
    <cfRule type="colorScale" priority="6">
      <colorScale>
        <cfvo type="num" val="-0.3"/>
        <cfvo type="num" val="0.1"/>
        <cfvo type="num" val="0.4"/>
        <color rgb="00F5C6CB"/>
        <color rgb="00F2EFE6"/>
        <color rgb="00CFE3D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F4A44"/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42" customWidth="1" min="9" max="9"/>
  </cols>
  <sheetData>
    <row r="1" ht="30" customHeight="1">
      <c r="A1" s="8" t="inlineStr">
        <is>
          <t>Bölüm</t>
        </is>
      </c>
      <c r="B1" s="8" t="inlineStr">
        <is>
          <t>Listing</t>
        </is>
      </c>
      <c r="C1" s="8" t="inlineStr">
        <is>
          <t>Etsy ID</t>
        </is>
      </c>
      <c r="D1" s="8" t="inlineStr">
        <is>
          <t>Varyant</t>
        </is>
      </c>
      <c r="E1" s="8" t="inlineStr">
        <is>
          <t>Gramsız</t>
        </is>
      </c>
      <c r="F1" s="8" t="inlineStr">
        <is>
          <t>Min Fiyat $</t>
        </is>
      </c>
      <c r="G1" s="8" t="inlineStr">
        <is>
          <t>Max Fiyat $</t>
        </is>
      </c>
      <c r="H1" s="8" t="inlineStr">
        <is>
          <t>Durum</t>
        </is>
      </c>
      <c r="I1" s="8" t="inlineStr">
        <is>
          <t>Etsy Linki</t>
        </is>
      </c>
    </row>
    <row r="2">
      <c r="A2" s="9" t="inlineStr">
        <is>
          <t>legacy</t>
        </is>
      </c>
      <c r="B2" s="9" t="inlineStr">
        <is>
          <t>Solid 14K Yellow Gold Miami Cuban Link Chain Necklace, Heavy</t>
        </is>
      </c>
      <c r="C2" s="9" t="n">
        <v>1615728651</v>
      </c>
      <c r="D2" s="18" t="n">
        <v>45</v>
      </c>
      <c r="E2" s="19" t="n">
        <v>35</v>
      </c>
      <c r="F2" s="10" t="n">
        <v>430</v>
      </c>
      <c r="G2" s="10" t="n">
        <v>49999.99</v>
      </c>
      <c r="H2" s="9" t="inlineStr">
        <is>
          <t>kısmen eksik</t>
        </is>
      </c>
      <c r="I2" s="13" t="inlineStr">
        <is>
          <t>https://www.etsy.com/listing/1615728651</t>
        </is>
      </c>
    </row>
    <row r="3">
      <c r="A3" s="3" t="inlineStr">
        <is>
          <t>legacy</t>
        </is>
      </c>
      <c r="B3" s="3" t="inlineStr">
        <is>
          <t>14K Real Gold Mariner Link Chain / Puffed Anchor Necklace</t>
        </is>
      </c>
      <c r="C3" s="3" t="n">
        <v>1390701590</v>
      </c>
      <c r="D3" s="17" t="n">
        <v>30</v>
      </c>
      <c r="E3" s="20" t="n">
        <v>20</v>
      </c>
      <c r="F3" s="14" t="n">
        <v>1941.5</v>
      </c>
      <c r="G3" s="14" t="n">
        <v>7729</v>
      </c>
      <c r="H3" s="3" t="inlineStr">
        <is>
          <t>kısmen eksik</t>
        </is>
      </c>
      <c r="I3" s="16" t="inlineStr">
        <is>
          <t>https://www.etsy.com/listing/1390701590</t>
        </is>
      </c>
    </row>
    <row r="4">
      <c r="A4" s="9" t="inlineStr">
        <is>
          <t>legacy</t>
        </is>
      </c>
      <c r="B4" s="9" t="inlineStr">
        <is>
          <t>14K Gold Two-Tone Pave Curb Cuban Bracelet</t>
        </is>
      </c>
      <c r="C4" s="9" t="n">
        <v>1877707029</v>
      </c>
      <c r="D4" s="18" t="n">
        <v>30</v>
      </c>
      <c r="E4" s="19" t="n">
        <v>17</v>
      </c>
      <c r="F4" s="10" t="n">
        <v>542</v>
      </c>
      <c r="G4" s="10" t="n">
        <v>3607</v>
      </c>
      <c r="H4" s="9" t="inlineStr">
        <is>
          <t>kısmen eksik</t>
        </is>
      </c>
      <c r="I4" s="13" t="inlineStr">
        <is>
          <t>https://www.etsy.com/listing/1877707029</t>
        </is>
      </c>
    </row>
    <row r="5">
      <c r="A5" s="3" t="inlineStr">
        <is>
          <t>chains</t>
        </is>
      </c>
      <c r="B5" s="3" t="inlineStr">
        <is>
          <t>14K Gold Necklace, Solid White Bead Ball Chain Design</t>
        </is>
      </c>
      <c r="C5" s="3" t="n">
        <v>4546907749</v>
      </c>
      <c r="D5" s="17" t="n">
        <v>15</v>
      </c>
      <c r="E5" s="20" t="n">
        <v>15</v>
      </c>
      <c r="F5" s="14" t="n">
        <v>812.7</v>
      </c>
      <c r="G5" s="14" t="n">
        <v>4295.7</v>
      </c>
      <c r="H5" s="3" t="inlineStr">
        <is>
          <t>TÜMÜ EKSİK</t>
        </is>
      </c>
      <c r="I5" s="16" t="inlineStr">
        <is>
          <t>https://www.etsy.com/listing/4546907749</t>
        </is>
      </c>
    </row>
    <row r="6">
      <c r="A6" s="9" t="inlineStr">
        <is>
          <t>legacy</t>
        </is>
      </c>
      <c r="B6" s="9" t="inlineStr">
        <is>
          <t>Ice Out Bracelet in 10K Gold, Two Tone Diamond Cut Link</t>
        </is>
      </c>
      <c r="C6" s="9" t="n">
        <v>1363498864</v>
      </c>
      <c r="D6" s="18" t="n">
        <v>12</v>
      </c>
      <c r="E6" s="19" t="n">
        <v>6</v>
      </c>
      <c r="F6" s="10" t="n">
        <v>532</v>
      </c>
      <c r="G6" s="10" t="n">
        <v>1300</v>
      </c>
      <c r="H6" s="9" t="inlineStr">
        <is>
          <t>kısmen eksik</t>
        </is>
      </c>
      <c r="I6" s="13" t="inlineStr">
        <is>
          <t>https://www.etsy.com/listing/1363498864</t>
        </is>
      </c>
    </row>
    <row r="7">
      <c r="A7" s="3" t="inlineStr">
        <is>
          <t>earrings</t>
        </is>
      </c>
      <c r="B7" s="3" t="inlineStr">
        <is>
          <t>10K Yellow Gold Hoop Earrings, Diamond Cut, All Sizes</t>
        </is>
      </c>
      <c r="C7" s="3" t="n">
        <v>1225508465</v>
      </c>
      <c r="D7" s="17" t="n">
        <v>7</v>
      </c>
      <c r="E7" s="20" t="n">
        <v>3</v>
      </c>
      <c r="F7" s="14" t="n">
        <v>155.87</v>
      </c>
      <c r="G7" s="14" t="n">
        <v>505.25</v>
      </c>
      <c r="H7" s="3" t="inlineStr">
        <is>
          <t>kısmen eksik</t>
        </is>
      </c>
      <c r="I7" s="16" t="inlineStr">
        <is>
          <t>https://www.etsy.com/listing/1225508465</t>
        </is>
      </c>
    </row>
    <row r="8">
      <c r="A8" s="9" t="inlineStr">
        <is>
          <t>protection</t>
        </is>
      </c>
      <c r="B8" s="9" t="inlineStr">
        <is>
          <t>10K Gold Italian Horn Cornicello Pendant Necklace / Miami Cu</t>
        </is>
      </c>
      <c r="C8" s="9" t="n">
        <v>1435050061</v>
      </c>
      <c r="D8" s="18" t="n">
        <v>18</v>
      </c>
      <c r="E8" s="19" t="n">
        <v>3</v>
      </c>
      <c r="F8" s="10" t="n">
        <v>78.34999999999999</v>
      </c>
      <c r="G8" s="10" t="n">
        <v>573</v>
      </c>
      <c r="H8" s="9" t="inlineStr">
        <is>
          <t>kısmen eksik</t>
        </is>
      </c>
      <c r="I8" s="13" t="inlineStr">
        <is>
          <t>https://www.etsy.com/listing/1435050061</t>
        </is>
      </c>
    </row>
    <row r="9">
      <c r="A9" s="3" t="inlineStr">
        <is>
          <t>chains</t>
        </is>
      </c>
      <c r="B9" s="3" t="inlineStr">
        <is>
          <t>Chunky 14K Yellow Gold Rope Bracelet / Unisex Statement Jewe</t>
        </is>
      </c>
      <c r="C9" s="3" t="n">
        <v>4296776011</v>
      </c>
      <c r="D9" s="17" t="n">
        <v>12</v>
      </c>
      <c r="E9" s="20" t="n">
        <v>2</v>
      </c>
      <c r="F9" s="14" t="n">
        <v>1431</v>
      </c>
      <c r="G9" s="14" t="n">
        <v>2031.75</v>
      </c>
      <c r="H9" s="3" t="inlineStr">
        <is>
          <t>kısmen eksik</t>
        </is>
      </c>
      <c r="I9" s="16" t="inlineStr">
        <is>
          <t>https://www.etsy.com/listing/4296776011</t>
        </is>
      </c>
    </row>
    <row r="10">
      <c r="A10" s="9" t="inlineStr">
        <is>
          <t>earrings</t>
        </is>
      </c>
      <c r="B10" s="9" t="inlineStr">
        <is>
          <t>10K Solid Gold Nugget Stud Earrings, Diamond Cut</t>
        </is>
      </c>
      <c r="C10" s="9" t="n">
        <v>1475151914</v>
      </c>
      <c r="D10" s="18" t="n">
        <v>4</v>
      </c>
      <c r="E10" s="19" t="n">
        <v>2</v>
      </c>
      <c r="F10" s="10" t="n">
        <v>145</v>
      </c>
      <c r="G10" s="10" t="n">
        <v>418</v>
      </c>
      <c r="H10" s="9" t="inlineStr">
        <is>
          <t>kısmen eksik</t>
        </is>
      </c>
      <c r="I10" s="13" t="inlineStr">
        <is>
          <t>https://www.etsy.com/listing/1475151914</t>
        </is>
      </c>
    </row>
    <row r="11">
      <c r="A11" s="3" t="inlineStr">
        <is>
          <t>legacy</t>
        </is>
      </c>
      <c r="B11" s="3" t="inlineStr">
        <is>
          <t>10K Real Yellow Gold Miami Cuban Link Bracelet - Unisex</t>
        </is>
      </c>
      <c r="C11" s="3" t="n">
        <v>1195581074</v>
      </c>
      <c r="D11" s="17" t="n">
        <v>27</v>
      </c>
      <c r="E11" s="20" t="n">
        <v>2</v>
      </c>
      <c r="F11" s="14" t="n">
        <v>158</v>
      </c>
      <c r="G11" s="14" t="n">
        <v>2918</v>
      </c>
      <c r="H11" s="3" t="inlineStr">
        <is>
          <t>kısmen eksik</t>
        </is>
      </c>
      <c r="I11" s="16" t="inlineStr">
        <is>
          <t>https://www.etsy.com/listing/1195581074</t>
        </is>
      </c>
    </row>
    <row r="12">
      <c r="A12" s="9" t="inlineStr">
        <is>
          <t>legacy</t>
        </is>
      </c>
      <c r="B12" s="9" t="inlineStr">
        <is>
          <t>Real 14K Gold Miami Cuban Link Bracelet - Unisex Chain Jewel</t>
        </is>
      </c>
      <c r="C12" s="9" t="n">
        <v>4320364926</v>
      </c>
      <c r="D12" s="18" t="n">
        <v>21</v>
      </c>
      <c r="E12" s="19" t="n">
        <v>2</v>
      </c>
      <c r="F12" s="10" t="n">
        <v>195</v>
      </c>
      <c r="G12" s="10" t="n">
        <v>3634</v>
      </c>
      <c r="H12" s="9" t="inlineStr">
        <is>
          <t>kısmen eksik</t>
        </is>
      </c>
      <c r="I12" s="13" t="inlineStr">
        <is>
          <t>https://www.etsy.com/listing/4320364926</t>
        </is>
      </c>
    </row>
    <row r="13">
      <c r="A13" s="3" t="inlineStr">
        <is>
          <t>protection</t>
        </is>
      </c>
      <c r="B13" s="3" t="inlineStr">
        <is>
          <t>14K Gold Cornicello Necklace, Miami Cuban Chain, Italian Hor</t>
        </is>
      </c>
      <c r="C13" s="3" t="n">
        <v>1537611621</v>
      </c>
      <c r="D13" s="17" t="n">
        <v>48</v>
      </c>
      <c r="E13" s="20" t="n">
        <v>2</v>
      </c>
      <c r="F13" s="14" t="n">
        <v>116.1</v>
      </c>
      <c r="G13" s="14" t="n">
        <v>8192</v>
      </c>
      <c r="H13" s="3" t="inlineStr">
        <is>
          <t>kısmen eksik</t>
        </is>
      </c>
      <c r="I13" s="16" t="inlineStr">
        <is>
          <t>https://www.etsy.com/listing/1537611621</t>
        </is>
      </c>
    </row>
    <row r="14">
      <c r="A14" s="9" t="inlineStr">
        <is>
          <t>protection</t>
        </is>
      </c>
      <c r="B14" s="9" t="inlineStr">
        <is>
          <t>14K Gold Teddy Bear CZ Pendant Necklace, Miami Cuban Chain</t>
        </is>
      </c>
      <c r="C14" s="9" t="n">
        <v>1595078873</v>
      </c>
      <c r="D14" s="18" t="n">
        <v>24</v>
      </c>
      <c r="E14" s="19" t="n">
        <v>2</v>
      </c>
      <c r="F14" s="10" t="n">
        <v>211.76</v>
      </c>
      <c r="G14" s="10" t="n">
        <v>2758</v>
      </c>
      <c r="H14" s="9" t="inlineStr">
        <is>
          <t>kısmen eksik</t>
        </is>
      </c>
      <c r="I14" s="13" t="inlineStr">
        <is>
          <t>https://www.etsy.com/listing/1595078873</t>
        </is>
      </c>
    </row>
    <row r="15">
      <c r="A15" s="3" t="inlineStr">
        <is>
          <t>chains</t>
        </is>
      </c>
      <c r="B15" s="3" t="inlineStr">
        <is>
          <t>10K Gold Rope Chain Necklace – Twisted Diamond Cut</t>
        </is>
      </c>
      <c r="C15" s="3" t="n">
        <v>1862428966</v>
      </c>
      <c r="D15" s="17" t="n">
        <v>1</v>
      </c>
      <c r="E15" s="20" t="n">
        <v>1</v>
      </c>
      <c r="F15" s="14" t="n">
        <v>226.39</v>
      </c>
      <c r="G15" s="14" t="n">
        <v>226.39</v>
      </c>
      <c r="H15" s="3" t="inlineStr">
        <is>
          <t>TÜMÜ EKSİK</t>
        </is>
      </c>
      <c r="I15" s="16" t="inlineStr">
        <is>
          <t>https://www.etsy.com/listing/1862428966</t>
        </is>
      </c>
    </row>
    <row r="16">
      <c r="A16" s="9" t="inlineStr">
        <is>
          <t>chains</t>
        </is>
      </c>
      <c r="B16" s="9" t="inlineStr">
        <is>
          <t>10K Solid Gold Herringbone Necklace, High Polish Snake Chain</t>
        </is>
      </c>
      <c r="C16" s="9" t="n">
        <v>1294201622</v>
      </c>
      <c r="D16" s="18" t="n">
        <v>1</v>
      </c>
      <c r="E16" s="19" t="n">
        <v>1</v>
      </c>
      <c r="F16" s="10" t="n">
        <v>86.27</v>
      </c>
      <c r="G16" s="10" t="n">
        <v>86.27</v>
      </c>
      <c r="H16" s="9" t="inlineStr">
        <is>
          <t>TÜMÜ EKSİK</t>
        </is>
      </c>
      <c r="I16" s="13" t="inlineStr">
        <is>
          <t>https://www.etsy.com/listing/1294201622</t>
        </is>
      </c>
    </row>
    <row r="17">
      <c r="A17" s="3" t="inlineStr">
        <is>
          <t>chains</t>
        </is>
      </c>
      <c r="B17" s="3" t="inlineStr">
        <is>
          <t>14K Yellow Gold Box Chain Bracelet / Unisex Design</t>
        </is>
      </c>
      <c r="C17" s="3" t="n">
        <v>1523519158</v>
      </c>
      <c r="D17" s="17" t="n">
        <v>1</v>
      </c>
      <c r="E17" s="20" t="n">
        <v>1</v>
      </c>
      <c r="F17" s="14" t="n">
        <v>238.15</v>
      </c>
      <c r="G17" s="14" t="n">
        <v>238.15</v>
      </c>
      <c r="H17" s="3" t="inlineStr">
        <is>
          <t>TÜMÜ EKSİK</t>
        </is>
      </c>
      <c r="I17" s="16" t="inlineStr">
        <is>
          <t>https://www.etsy.com/listing/1523519158</t>
        </is>
      </c>
    </row>
    <row r="18">
      <c r="A18" s="9" t="inlineStr">
        <is>
          <t>earrings</t>
        </is>
      </c>
      <c r="B18" s="9" t="inlineStr">
        <is>
          <t>10K Gold Small Hoop Earrings / Shiny Polished Finish</t>
        </is>
      </c>
      <c r="C18" s="9" t="n">
        <v>1205110402</v>
      </c>
      <c r="D18" s="18" t="n">
        <v>6</v>
      </c>
      <c r="E18" s="19" t="n">
        <v>1</v>
      </c>
      <c r="F18" s="10" t="n">
        <v>75.23999999999999</v>
      </c>
      <c r="G18" s="10" t="n">
        <v>390</v>
      </c>
      <c r="H18" s="9" t="inlineStr">
        <is>
          <t>kısmen eksik</t>
        </is>
      </c>
      <c r="I18" s="13" t="inlineStr">
        <is>
          <t>https://www.etsy.com/listing/1205110402</t>
        </is>
      </c>
    </row>
    <row r="19">
      <c r="A19" s="3" t="inlineStr">
        <is>
          <t>faith</t>
        </is>
      </c>
      <c r="B19" s="3" t="inlineStr">
        <is>
          <t>10K Solid Gold Jesus Head Pendant / Two-Tone Men's Necklace</t>
        </is>
      </c>
      <c r="C19" s="3" t="n">
        <v>1753363056</v>
      </c>
      <c r="D19" s="17" t="n">
        <v>1</v>
      </c>
      <c r="E19" s="20" t="n">
        <v>1</v>
      </c>
      <c r="F19" s="14" t="n">
        <v>626.9400000000001</v>
      </c>
      <c r="G19" s="14" t="n">
        <v>626.9400000000001</v>
      </c>
      <c r="H19" s="3" t="inlineStr">
        <is>
          <t>TÜMÜ EKSİK</t>
        </is>
      </c>
      <c r="I19" s="16" t="inlineStr">
        <is>
          <t>https://www.etsy.com/listing/1753363056</t>
        </is>
      </c>
    </row>
    <row r="20">
      <c r="A20" s="9" t="inlineStr">
        <is>
          <t>legacy</t>
        </is>
      </c>
      <c r="B20" s="9" t="inlineStr">
        <is>
          <t>10K Gold Cuban Curb Link Bracelet - Yellow Gold Chain</t>
        </is>
      </c>
      <c r="C20" s="9" t="n">
        <v>1820404194</v>
      </c>
      <c r="D20" s="18" t="n">
        <v>1</v>
      </c>
      <c r="E20" s="19" t="n">
        <v>1</v>
      </c>
      <c r="F20" s="10" t="n">
        <v>174.15</v>
      </c>
      <c r="G20" s="10" t="n">
        <v>174.15</v>
      </c>
      <c r="H20" s="9" t="inlineStr">
        <is>
          <t>TÜMÜ EKSİK</t>
        </is>
      </c>
      <c r="I20" s="13" t="inlineStr">
        <is>
          <t>https://www.etsy.com/listing/1820404194</t>
        </is>
      </c>
    </row>
    <row r="21">
      <c r="A21" s="3" t="inlineStr">
        <is>
          <t>legacy</t>
        </is>
      </c>
      <c r="B21" s="3" t="inlineStr">
        <is>
          <t>10K Gold Puffed Mariner Anchor Chain Necklace – Real Texture</t>
        </is>
      </c>
      <c r="C21" s="3" t="n">
        <v>1320317404</v>
      </c>
      <c r="D21" s="17" t="n">
        <v>1</v>
      </c>
      <c r="E21" s="20" t="n">
        <v>1</v>
      </c>
      <c r="F21" s="14" t="n">
        <v>1857.6</v>
      </c>
      <c r="G21" s="14" t="n">
        <v>1857.6</v>
      </c>
      <c r="H21" s="3" t="inlineStr">
        <is>
          <t>TÜMÜ EKSİK</t>
        </is>
      </c>
      <c r="I21" s="16" t="inlineStr">
        <is>
          <t>https://www.etsy.com/listing/1320317404</t>
        </is>
      </c>
    </row>
    <row r="22">
      <c r="A22" s="9" t="inlineStr">
        <is>
          <t>legacy</t>
        </is>
      </c>
      <c r="B22" s="9" t="inlineStr">
        <is>
          <t>14k Gold Miami Cuban Link Chain / Italian Curb Necklace</t>
        </is>
      </c>
      <c r="C22" s="9" t="n">
        <v>1430538853</v>
      </c>
      <c r="D22" s="18" t="n">
        <v>1</v>
      </c>
      <c r="E22" s="19" t="n">
        <v>1</v>
      </c>
      <c r="F22" s="10" t="n">
        <v>168.34</v>
      </c>
      <c r="G22" s="10" t="n">
        <v>168.34</v>
      </c>
      <c r="H22" s="9" t="inlineStr">
        <is>
          <t>TÜMÜ EKSİK</t>
        </is>
      </c>
      <c r="I22" s="13" t="inlineStr">
        <is>
          <t>https://www.etsy.com/listing/1430538853</t>
        </is>
      </c>
    </row>
    <row r="23">
      <c r="A23" s="3" t="inlineStr">
        <is>
          <t>love</t>
        </is>
      </c>
      <c r="B23" s="3" t="inlineStr">
        <is>
          <t>10K Gold Heart Hoop Earrings / Diamond Cut, Puffed Design</t>
        </is>
      </c>
      <c r="C23" s="3" t="n">
        <v>1232906923</v>
      </c>
      <c r="D23" s="17" t="n">
        <v>2</v>
      </c>
      <c r="E23" s="20" t="n">
        <v>1</v>
      </c>
      <c r="F23" s="14" t="n">
        <v>956.74</v>
      </c>
      <c r="G23" s="14" t="n">
        <v>1497</v>
      </c>
      <c r="H23" s="3" t="inlineStr">
        <is>
          <t>kısmen eksik</t>
        </is>
      </c>
      <c r="I23" s="16" t="inlineStr">
        <is>
          <t>https://www.etsy.com/listing/1232906923</t>
        </is>
      </c>
    </row>
    <row r="24">
      <c r="A24" s="9" t="inlineStr">
        <is>
          <t>love</t>
        </is>
      </c>
      <c r="B24" s="9" t="inlineStr">
        <is>
          <t>10K Yellow Gold Graduated Heart Hoop Earrings / Diamond Cut</t>
        </is>
      </c>
      <c r="C24" s="9" t="n">
        <v>1230866961</v>
      </c>
      <c r="D24" s="18" t="n">
        <v>3</v>
      </c>
      <c r="E24" s="19" t="n">
        <v>1</v>
      </c>
      <c r="F24" s="10" t="n">
        <v>124.98</v>
      </c>
      <c r="G24" s="10" t="n">
        <v>671</v>
      </c>
      <c r="H24" s="9" t="inlineStr">
        <is>
          <t>kısmen eksik</t>
        </is>
      </c>
      <c r="I24" s="13" t="inlineStr">
        <is>
          <t>https://www.etsy.com/listing/1230866961</t>
        </is>
      </c>
    </row>
    <row r="25">
      <c r="A25" s="3" t="inlineStr">
        <is>
          <t>chains</t>
        </is>
      </c>
      <c r="B25" s="3" t="inlineStr">
        <is>
          <t>10K Gold Rope Chain Necklace – Twisted Diamond Cut, Men or W</t>
        </is>
      </c>
      <c r="C25" s="3" t="n">
        <v>1849022518</v>
      </c>
      <c r="D25" s="17" t="n">
        <v>25</v>
      </c>
      <c r="E25" s="17" t="n">
        <v>0</v>
      </c>
      <c r="F25" s="14" t="n">
        <v>1575</v>
      </c>
      <c r="G25" s="14" t="n">
        <v>5075</v>
      </c>
      <c r="H25" s="3" t="inlineStr">
        <is>
          <t>tam</t>
        </is>
      </c>
      <c r="I25" s="16" t="inlineStr">
        <is>
          <t>https://www.etsy.com/listing/1849022518</t>
        </is>
      </c>
    </row>
    <row r="26">
      <c r="A26" s="9" t="inlineStr">
        <is>
          <t>chains</t>
        </is>
      </c>
      <c r="B26" s="9" t="inlineStr">
        <is>
          <t>10K Real Gold Rope Bracelet - Unisex Twisted Diamond Cut</t>
        </is>
      </c>
      <c r="C26" s="9" t="n">
        <v>4297100272</v>
      </c>
      <c r="D26" s="18" t="n">
        <v>24</v>
      </c>
      <c r="E26" s="18" t="n">
        <v>0</v>
      </c>
      <c r="F26" s="10" t="n">
        <v>156</v>
      </c>
      <c r="G26" s="10" t="n">
        <v>650</v>
      </c>
      <c r="H26" s="9" t="inlineStr">
        <is>
          <t>tam</t>
        </is>
      </c>
      <c r="I26" s="13" t="inlineStr">
        <is>
          <t>https://www.etsy.com/listing/4297100272</t>
        </is>
      </c>
    </row>
    <row r="27">
      <c r="A27" s="3" t="inlineStr">
        <is>
          <t>chains</t>
        </is>
      </c>
      <c r="B27" s="3" t="inlineStr">
        <is>
          <t>10K Solid Gold Bead Ball Chain Necklace - Diamond Cut</t>
        </is>
      </c>
      <c r="C27" s="3" t="n">
        <v>1296858064</v>
      </c>
      <c r="D27" s="17" t="n">
        <v>20</v>
      </c>
      <c r="E27" s="17" t="n">
        <v>0</v>
      </c>
      <c r="F27" s="14" t="n">
        <v>626</v>
      </c>
      <c r="G27" s="14" t="n">
        <v>4331</v>
      </c>
      <c r="H27" s="3" t="inlineStr">
        <is>
          <t>tam</t>
        </is>
      </c>
      <c r="I27" s="16" t="inlineStr">
        <is>
          <t>https://www.etsy.com/listing/1296858064</t>
        </is>
      </c>
    </row>
    <row r="28">
      <c r="A28" s="9" t="inlineStr">
        <is>
          <t>chains</t>
        </is>
      </c>
      <c r="B28" s="9" t="inlineStr">
        <is>
          <t>10K White Gold Rope Bracelet – Unisex Solid Chain</t>
        </is>
      </c>
      <c r="C28" s="9" t="n">
        <v>4375720322</v>
      </c>
      <c r="D28" s="18" t="n">
        <v>28</v>
      </c>
      <c r="E28" s="18" t="n">
        <v>0</v>
      </c>
      <c r="F28" s="10" t="n">
        <v>421</v>
      </c>
      <c r="G28" s="10" t="n">
        <v>4694</v>
      </c>
      <c r="H28" s="9" t="inlineStr">
        <is>
          <t>tam</t>
        </is>
      </c>
      <c r="I28" s="13" t="inlineStr">
        <is>
          <t>https://www.etsy.com/listing/4375720322</t>
        </is>
      </c>
    </row>
    <row r="29">
      <c r="A29" s="3" t="inlineStr">
        <is>
          <t>chains</t>
        </is>
      </c>
      <c r="B29" s="3" t="inlineStr">
        <is>
          <t>10K Yellow Gold Figaro Link Chain / Polished Finish</t>
        </is>
      </c>
      <c r="C29" s="3" t="n">
        <v>1849001180</v>
      </c>
      <c r="D29" s="17" t="n">
        <v>30</v>
      </c>
      <c r="E29" s="17" t="n">
        <v>0</v>
      </c>
      <c r="F29" s="14" t="n">
        <v>156</v>
      </c>
      <c r="G29" s="14" t="n">
        <v>2561</v>
      </c>
      <c r="H29" s="3" t="inlineStr">
        <is>
          <t>tam</t>
        </is>
      </c>
      <c r="I29" s="16" t="inlineStr">
        <is>
          <t>https://www.etsy.com/listing/1849001180</t>
        </is>
      </c>
    </row>
    <row r="30">
      <c r="A30" s="9" t="inlineStr">
        <is>
          <t>chains</t>
        </is>
      </c>
      <c r="B30" s="9" t="inlineStr">
        <is>
          <t>14K Gold Bracelet, Round Box Chain Design in Yellow</t>
        </is>
      </c>
      <c r="C30" s="9" t="n">
        <v>1863553142</v>
      </c>
      <c r="D30" s="18" t="n">
        <v>15</v>
      </c>
      <c r="E30" s="18" t="n">
        <v>0</v>
      </c>
      <c r="F30" s="10" t="n">
        <v>196</v>
      </c>
      <c r="G30" s="10" t="n">
        <v>1118</v>
      </c>
      <c r="H30" s="9" t="inlineStr">
        <is>
          <t>tam</t>
        </is>
      </c>
      <c r="I30" s="13" t="inlineStr">
        <is>
          <t>https://www.etsy.com/listing/1863553142</t>
        </is>
      </c>
    </row>
    <row r="31">
      <c r="A31" s="3" t="inlineStr">
        <is>
          <t>chains</t>
        </is>
      </c>
      <c r="B31" s="3" t="inlineStr">
        <is>
          <t>14K Gold Rope Bracelet – Twisted Diamond Cut, Unisex Luxury</t>
        </is>
      </c>
      <c r="C31" s="3" t="n">
        <v>1296896712</v>
      </c>
      <c r="D31" s="17" t="n">
        <v>24</v>
      </c>
      <c r="E31" s="17" t="n">
        <v>0</v>
      </c>
      <c r="F31" s="14" t="n">
        <v>181</v>
      </c>
      <c r="G31" s="14" t="n">
        <v>962</v>
      </c>
      <c r="H31" s="3" t="inlineStr">
        <is>
          <t>tam</t>
        </is>
      </c>
      <c r="I31" s="16" t="inlineStr">
        <is>
          <t>https://www.etsy.com/listing/1296896712</t>
        </is>
      </c>
    </row>
    <row r="32">
      <c r="A32" s="9" t="inlineStr">
        <is>
          <t>chains</t>
        </is>
      </c>
      <c r="B32" s="9" t="inlineStr">
        <is>
          <t>14K Real Gold Paperclip Chain Bracelet – Italian Link</t>
        </is>
      </c>
      <c r="C32" s="9" t="n">
        <v>1195517566</v>
      </c>
      <c r="D32" s="18" t="n">
        <v>18</v>
      </c>
      <c r="E32" s="18" t="n">
        <v>0</v>
      </c>
      <c r="F32" s="10" t="n">
        <v>382</v>
      </c>
      <c r="G32" s="10" t="n">
        <v>666</v>
      </c>
      <c r="H32" s="9" t="inlineStr">
        <is>
          <t>tam</t>
        </is>
      </c>
      <c r="I32" s="13" t="inlineStr">
        <is>
          <t>https://www.etsy.com/listing/1195517566</t>
        </is>
      </c>
    </row>
    <row r="33">
      <c r="A33" s="3" t="inlineStr">
        <is>
          <t>chains</t>
        </is>
      </c>
      <c r="B33" s="3" t="inlineStr">
        <is>
          <t>14K Real Gold Paperclip Chain Necklace, Rectangle Link Jewel</t>
        </is>
      </c>
      <c r="C33" s="3" t="n">
        <v>1199715763</v>
      </c>
      <c r="D33" s="17" t="n">
        <v>20</v>
      </c>
      <c r="E33" s="17" t="n">
        <v>0</v>
      </c>
      <c r="F33" s="14" t="n">
        <v>395</v>
      </c>
      <c r="G33" s="14" t="n">
        <v>1994</v>
      </c>
      <c r="H33" s="3" t="inlineStr">
        <is>
          <t>tam</t>
        </is>
      </c>
      <c r="I33" s="16" t="inlineStr">
        <is>
          <t>https://www.etsy.com/listing/1199715763</t>
        </is>
      </c>
    </row>
    <row r="34">
      <c r="A34" s="9" t="inlineStr">
        <is>
          <t>chains</t>
        </is>
      </c>
      <c r="B34" s="9" t="inlineStr">
        <is>
          <t>14K Real Gold Rope Chain Bracelet / Unisex Twisted Jewelry</t>
        </is>
      </c>
      <c r="C34" s="9" t="n">
        <v>1199260535</v>
      </c>
      <c r="D34" s="18" t="n">
        <v>45</v>
      </c>
      <c r="E34" s="18" t="n">
        <v>0</v>
      </c>
      <c r="F34" s="10" t="n">
        <v>360</v>
      </c>
      <c r="G34" s="10" t="n">
        <v>3004</v>
      </c>
      <c r="H34" s="9" t="inlineStr">
        <is>
          <t>tam</t>
        </is>
      </c>
      <c r="I34" s="13" t="inlineStr">
        <is>
          <t>https://www.etsy.com/listing/1199260535</t>
        </is>
      </c>
    </row>
    <row r="35">
      <c r="A35" s="3" t="inlineStr">
        <is>
          <t>chains</t>
        </is>
      </c>
      <c r="B35" s="3" t="inlineStr">
        <is>
          <t>14K Real Rose Gold Box Chain Bracelet / Unisex</t>
        </is>
      </c>
      <c r="C35" s="3" t="n">
        <v>1806007852</v>
      </c>
      <c r="D35" s="17" t="n">
        <v>9</v>
      </c>
      <c r="E35" s="17" t="n">
        <v>0</v>
      </c>
      <c r="F35" s="14" t="n">
        <v>850</v>
      </c>
      <c r="G35" s="14" t="n">
        <v>1290</v>
      </c>
      <c r="H35" s="3" t="inlineStr">
        <is>
          <t>tam</t>
        </is>
      </c>
      <c r="I35" s="16" t="inlineStr">
        <is>
          <t>https://www.etsy.com/listing/1806007852</t>
        </is>
      </c>
    </row>
    <row r="36">
      <c r="A36" s="9" t="inlineStr">
        <is>
          <t>chains</t>
        </is>
      </c>
      <c r="B36" s="9" t="inlineStr">
        <is>
          <t>14K Rose Gold Round Box Chain Necklace - Women and Men</t>
        </is>
      </c>
      <c r="C36" s="9" t="n">
        <v>1862661659</v>
      </c>
      <c r="D36" s="18" t="n">
        <v>30</v>
      </c>
      <c r="E36" s="18" t="n">
        <v>0</v>
      </c>
      <c r="F36" s="10" t="n">
        <v>517</v>
      </c>
      <c r="G36" s="10" t="n">
        <v>5061</v>
      </c>
      <c r="H36" s="9" t="inlineStr">
        <is>
          <t>tam</t>
        </is>
      </c>
      <c r="I36" s="13" t="inlineStr">
        <is>
          <t>https://www.etsy.com/listing/1862661659</t>
        </is>
      </c>
    </row>
    <row r="37">
      <c r="A37" s="3" t="inlineStr">
        <is>
          <t>chains</t>
        </is>
      </c>
      <c r="B37" s="3" t="inlineStr">
        <is>
          <t>14K Solid Gold Beaded Ball Chain Necklace, Diamond Cut</t>
        </is>
      </c>
      <c r="C37" s="3" t="n">
        <v>1485089843</v>
      </c>
      <c r="D37" s="17" t="n">
        <v>25</v>
      </c>
      <c r="E37" s="17" t="n">
        <v>0</v>
      </c>
      <c r="F37" s="14" t="n">
        <v>14</v>
      </c>
      <c r="G37" s="14" t="n">
        <v>4454</v>
      </c>
      <c r="H37" s="3" t="inlineStr">
        <is>
          <t>tam</t>
        </is>
      </c>
      <c r="I37" s="16" t="inlineStr">
        <is>
          <t>https://www.etsy.com/listing/1485089843</t>
        </is>
      </c>
    </row>
    <row r="38">
      <c r="A38" s="9" t="inlineStr">
        <is>
          <t>chains</t>
        </is>
      </c>
      <c r="B38" s="9" t="inlineStr">
        <is>
          <t>14K Solid Gold Diamond Cut Valentino Bracelet / Tri Color Li</t>
        </is>
      </c>
      <c r="C38" s="9" t="n">
        <v>1355681376</v>
      </c>
      <c r="D38" s="18" t="n">
        <v>21</v>
      </c>
      <c r="E38" s="18" t="n">
        <v>0</v>
      </c>
      <c r="F38" s="10" t="n">
        <v>268</v>
      </c>
      <c r="G38" s="10" t="n">
        <v>1392</v>
      </c>
      <c r="H38" s="9" t="inlineStr">
        <is>
          <t>tam</t>
        </is>
      </c>
      <c r="I38" s="13" t="inlineStr">
        <is>
          <t>https://www.etsy.com/listing/1355681376</t>
        </is>
      </c>
    </row>
    <row r="39">
      <c r="A39" s="3" t="inlineStr">
        <is>
          <t>chains</t>
        </is>
      </c>
      <c r="B39" s="3" t="inlineStr">
        <is>
          <t xml:space="preserve">14K Solid Gold Paperclip Chain Necklace – Dainty Minimalist </t>
        </is>
      </c>
      <c r="C39" s="3" t="n">
        <v>1863543744</v>
      </c>
      <c r="D39" s="17" t="n">
        <v>10</v>
      </c>
      <c r="E39" s="17" t="n">
        <v>0</v>
      </c>
      <c r="F39" s="14" t="n">
        <v>1565</v>
      </c>
      <c r="G39" s="14" t="n">
        <v>5059</v>
      </c>
      <c r="H39" s="3" t="inlineStr">
        <is>
          <t>tam</t>
        </is>
      </c>
      <c r="I39" s="16" t="inlineStr">
        <is>
          <t>https://www.etsy.com/listing/1863543744</t>
        </is>
      </c>
    </row>
    <row r="40">
      <c r="A40" s="9" t="inlineStr">
        <is>
          <t>chains</t>
        </is>
      </c>
      <c r="B40" s="9" t="inlineStr">
        <is>
          <t>14K Solid Gold Valentino Link Chain Necklace / Diamond Cut T</t>
        </is>
      </c>
      <c r="C40" s="9" t="n">
        <v>1442796773</v>
      </c>
      <c r="D40" s="18" t="n">
        <v>30</v>
      </c>
      <c r="E40" s="18" t="n">
        <v>0</v>
      </c>
      <c r="F40" s="10" t="n">
        <v>426</v>
      </c>
      <c r="G40" s="10" t="n">
        <v>7596</v>
      </c>
      <c r="H40" s="9" t="inlineStr">
        <is>
          <t>tam</t>
        </is>
      </c>
      <c r="I40" s="13" t="inlineStr">
        <is>
          <t>https://www.etsy.com/listing/1442796773</t>
        </is>
      </c>
    </row>
    <row r="41">
      <c r="A41" s="3" t="inlineStr">
        <is>
          <t>chains</t>
        </is>
      </c>
      <c r="B41" s="3" t="inlineStr">
        <is>
          <t>14K Solid Yellow Gold Rolo Bracelet - Dainty Unisex Chain</t>
        </is>
      </c>
      <c r="C41" s="3" t="n">
        <v>4348088289</v>
      </c>
      <c r="D41" s="17" t="n">
        <v>21</v>
      </c>
      <c r="E41" s="17" t="n">
        <v>0</v>
      </c>
      <c r="F41" s="14" t="n">
        <v>545</v>
      </c>
      <c r="G41" s="14" t="n">
        <v>3160</v>
      </c>
      <c r="H41" s="3" t="inlineStr">
        <is>
          <t>tam</t>
        </is>
      </c>
      <c r="I41" s="16" t="inlineStr">
        <is>
          <t>https://www.etsy.com/listing/4348088289</t>
        </is>
      </c>
    </row>
    <row r="42">
      <c r="A42" s="9" t="inlineStr">
        <is>
          <t>chains</t>
        </is>
      </c>
      <c r="B42" s="9" t="inlineStr">
        <is>
          <t>14K White Gold Rolo Link Bracelet - Unisex Chain Jewelry</t>
        </is>
      </c>
      <c r="C42" s="9" t="n">
        <v>4348066009</v>
      </c>
      <c r="D42" s="18" t="n">
        <v>21</v>
      </c>
      <c r="E42" s="18" t="n">
        <v>0</v>
      </c>
      <c r="F42" s="10" t="n">
        <v>435</v>
      </c>
      <c r="G42" s="10" t="n">
        <v>2503</v>
      </c>
      <c r="H42" s="9" t="inlineStr">
        <is>
          <t>tam</t>
        </is>
      </c>
      <c r="I42" s="13" t="inlineStr">
        <is>
          <t>https://www.etsy.com/listing/4348066009</t>
        </is>
      </c>
    </row>
    <row r="43">
      <c r="A43" s="3" t="inlineStr">
        <is>
          <t>chains</t>
        </is>
      </c>
      <c r="B43" s="3" t="inlineStr">
        <is>
          <t>14K White Gold Round Box Chain Necklace - Women and Men</t>
        </is>
      </c>
      <c r="C43" s="3" t="n">
        <v>1862671943</v>
      </c>
      <c r="D43" s="17" t="n">
        <v>25</v>
      </c>
      <c r="E43" s="17" t="n">
        <v>0</v>
      </c>
      <c r="F43" s="14" t="n">
        <v>337</v>
      </c>
      <c r="G43" s="14" t="n">
        <v>2552</v>
      </c>
      <c r="H43" s="3" t="inlineStr">
        <is>
          <t>tam</t>
        </is>
      </c>
      <c r="I43" s="16" t="inlineStr">
        <is>
          <t>https://www.etsy.com/listing/1862671943</t>
        </is>
      </c>
    </row>
    <row r="44">
      <c r="A44" s="9" t="inlineStr">
        <is>
          <t>chains</t>
        </is>
      </c>
      <c r="B44" s="9" t="inlineStr">
        <is>
          <t>14K Yellow Gold Figaro Link Chain / Elegant Everyday Necklac</t>
        </is>
      </c>
      <c r="C44" s="9" t="n">
        <v>1868666012</v>
      </c>
      <c r="D44" s="18" t="n">
        <v>20</v>
      </c>
      <c r="E44" s="18" t="n">
        <v>0</v>
      </c>
      <c r="F44" s="10" t="n">
        <v>1449</v>
      </c>
      <c r="G44" s="10" t="n">
        <v>2992</v>
      </c>
      <c r="H44" s="9" t="inlineStr">
        <is>
          <t>tam</t>
        </is>
      </c>
      <c r="I44" s="13" t="inlineStr">
        <is>
          <t>https://www.etsy.com/listing/1868666012</t>
        </is>
      </c>
    </row>
    <row r="45">
      <c r="A45" s="3" t="inlineStr">
        <is>
          <t>chains</t>
        </is>
      </c>
      <c r="B45" s="3" t="inlineStr">
        <is>
          <t>14K Yellow Gold Figaro Link Chain / Women's, Men's Jewelry</t>
        </is>
      </c>
      <c r="C45" s="3" t="n">
        <v>1863505492</v>
      </c>
      <c r="D45" s="17" t="n">
        <v>25</v>
      </c>
      <c r="E45" s="17" t="n">
        <v>0</v>
      </c>
      <c r="F45" s="14" t="n">
        <v>223</v>
      </c>
      <c r="G45" s="14" t="n">
        <v>1801</v>
      </c>
      <c r="H45" s="3" t="inlineStr">
        <is>
          <t>tam</t>
        </is>
      </c>
      <c r="I45" s="16" t="inlineStr">
        <is>
          <t>https://www.etsy.com/listing/1863505492</t>
        </is>
      </c>
    </row>
    <row r="46">
      <c r="A46" s="9" t="inlineStr">
        <is>
          <t>chains</t>
        </is>
      </c>
      <c r="B46" s="9" t="inlineStr">
        <is>
          <t>14K Yellow Gold Paperclip Chain Necklace / Solid Gold</t>
        </is>
      </c>
      <c r="C46" s="9" t="n">
        <v>1862635763</v>
      </c>
      <c r="D46" s="18" t="n">
        <v>15</v>
      </c>
      <c r="E46" s="18" t="n">
        <v>0</v>
      </c>
      <c r="F46" s="10" t="n">
        <v>2170</v>
      </c>
      <c r="G46" s="10" t="n">
        <v>3923</v>
      </c>
      <c r="H46" s="9" t="inlineStr">
        <is>
          <t>tam</t>
        </is>
      </c>
      <c r="I46" s="13" t="inlineStr">
        <is>
          <t>https://www.etsy.com/listing/1862635763</t>
        </is>
      </c>
    </row>
    <row r="47">
      <c r="A47" s="3" t="inlineStr">
        <is>
          <t>chains</t>
        </is>
      </c>
      <c r="B47" s="3" t="inlineStr">
        <is>
          <t>14K Yellow Gold Round Box Chain Necklace – Unisex</t>
        </is>
      </c>
      <c r="C47" s="3" t="n">
        <v>1522860530</v>
      </c>
      <c r="D47" s="17" t="n">
        <v>25</v>
      </c>
      <c r="E47" s="17" t="n">
        <v>0</v>
      </c>
      <c r="F47" s="14" t="n">
        <v>241</v>
      </c>
      <c r="G47" s="14" t="n">
        <v>3008</v>
      </c>
      <c r="H47" s="3" t="inlineStr">
        <is>
          <t>tam</t>
        </is>
      </c>
      <c r="I47" s="16" t="inlineStr">
        <is>
          <t>https://www.etsy.com/listing/1522860530</t>
        </is>
      </c>
    </row>
    <row r="48">
      <c r="A48" s="9" t="inlineStr">
        <is>
          <t>earrings</t>
        </is>
      </c>
      <c r="B48" s="9" t="inlineStr">
        <is>
          <t>10K Gold Diamond Cut Hoop Earrings / Shiny Yellow Gold</t>
        </is>
      </c>
      <c r="C48" s="9" t="n">
        <v>1215771723</v>
      </c>
      <c r="D48" s="18" t="n">
        <v>7</v>
      </c>
      <c r="E48" s="18" t="n">
        <v>0</v>
      </c>
      <c r="F48" s="10" t="n">
        <v>222</v>
      </c>
      <c r="G48" s="10" t="n">
        <v>502</v>
      </c>
      <c r="H48" s="9" t="inlineStr">
        <is>
          <t>tam</t>
        </is>
      </c>
      <c r="I48" s="13" t="inlineStr">
        <is>
          <t>https://www.etsy.com/listing/1215771723</t>
        </is>
      </c>
    </row>
    <row r="49">
      <c r="A49" s="3" t="inlineStr">
        <is>
          <t>earrings</t>
        </is>
      </c>
      <c r="B49" s="3" t="inlineStr">
        <is>
          <t>10K Gold Earrings, Graduated Yellow Hoop with Diamond Cut</t>
        </is>
      </c>
      <c r="C49" s="3" t="n">
        <v>1481715945</v>
      </c>
      <c r="D49" s="17" t="n">
        <v>6</v>
      </c>
      <c r="E49" s="17" t="n">
        <v>0</v>
      </c>
      <c r="F49" s="14" t="n">
        <v>179</v>
      </c>
      <c r="G49" s="14" t="n">
        <v>1005</v>
      </c>
      <c r="H49" s="3" t="inlineStr">
        <is>
          <t>tam</t>
        </is>
      </c>
      <c r="I49" s="16" t="inlineStr">
        <is>
          <t>https://www.etsy.com/listing/1481715945</t>
        </is>
      </c>
    </row>
    <row r="50">
      <c r="A50" s="9" t="inlineStr">
        <is>
          <t>earrings</t>
        </is>
      </c>
      <c r="B50" s="9" t="inlineStr">
        <is>
          <t>10K Gold Earrings, Large Diamond Cut Bamboo Hoops in Yellow</t>
        </is>
      </c>
      <c r="C50" s="9" t="n">
        <v>1469384188</v>
      </c>
      <c r="D50" s="18" t="n">
        <v>6</v>
      </c>
      <c r="E50" s="18" t="n">
        <v>0</v>
      </c>
      <c r="F50" s="10" t="n">
        <v>280</v>
      </c>
      <c r="G50" s="10" t="n">
        <v>1117</v>
      </c>
      <c r="H50" s="9" t="inlineStr">
        <is>
          <t>tam</t>
        </is>
      </c>
      <c r="I50" s="13" t="inlineStr">
        <is>
          <t>https://www.etsy.com/listing/1469384188</t>
        </is>
      </c>
    </row>
    <row r="51">
      <c r="A51" s="3" t="inlineStr">
        <is>
          <t>earrings</t>
        </is>
      </c>
      <c r="B51" s="3" t="inlineStr">
        <is>
          <t>14K Gold CZ Hoop Earrings, Small Huggie Style (15mm)</t>
        </is>
      </c>
      <c r="C51" s="3" t="n">
        <v>1222574043</v>
      </c>
      <c r="D51" s="17" t="n">
        <v>1</v>
      </c>
      <c r="E51" s="17" t="n">
        <v>0</v>
      </c>
      <c r="F51" s="14" t="n">
        <v>316</v>
      </c>
      <c r="G51" s="14" t="n">
        <v>316</v>
      </c>
      <c r="H51" s="3" t="inlineStr">
        <is>
          <t>tam</t>
        </is>
      </c>
      <c r="I51" s="16" t="inlineStr">
        <is>
          <t>https://www.etsy.com/listing/1222574043</t>
        </is>
      </c>
    </row>
    <row r="52">
      <c r="A52" s="9" t="inlineStr">
        <is>
          <t>earrings</t>
        </is>
      </c>
      <c r="B52" s="9" t="inlineStr">
        <is>
          <t>14K Real Gold Diamond Cut Hoop Earrings - Shiny Gold Hoops</t>
        </is>
      </c>
      <c r="C52" s="9" t="n">
        <v>1201031517</v>
      </c>
      <c r="D52" s="18" t="n">
        <v>6</v>
      </c>
      <c r="E52" s="18" t="n">
        <v>0</v>
      </c>
      <c r="F52" s="10" t="n">
        <v>134</v>
      </c>
      <c r="G52" s="10" t="n">
        <v>624</v>
      </c>
      <c r="H52" s="9" t="inlineStr">
        <is>
          <t>tam</t>
        </is>
      </c>
      <c r="I52" s="13" t="inlineStr">
        <is>
          <t>https://www.etsy.com/listing/1201031517</t>
        </is>
      </c>
    </row>
    <row r="53">
      <c r="A53" s="3" t="inlineStr">
        <is>
          <t>earrings</t>
        </is>
      </c>
      <c r="B53" s="3" t="inlineStr">
        <is>
          <t xml:space="preserve">14K Solid Gold Diamond Cut Stud Earrings / Sparkling Yellow </t>
        </is>
      </c>
      <c r="C53" s="3" t="n">
        <v>1710206336</v>
      </c>
      <c r="D53" s="17" t="n">
        <v>2</v>
      </c>
      <c r="E53" s="17" t="n">
        <v>0</v>
      </c>
      <c r="F53" s="14" t="n">
        <v>200</v>
      </c>
      <c r="G53" s="14" t="n">
        <v>361</v>
      </c>
      <c r="H53" s="3" t="inlineStr">
        <is>
          <t>tam</t>
        </is>
      </c>
      <c r="I53" s="16" t="inlineStr">
        <is>
          <t>https://www.etsy.com/listing/1710206336</t>
        </is>
      </c>
    </row>
    <row r="54">
      <c r="A54" s="9" t="inlineStr">
        <is>
          <t>earrings</t>
        </is>
      </c>
      <c r="B54" s="9" t="inlineStr">
        <is>
          <t xml:space="preserve">14K Yellow Gold Chunky Twisted Hoop Earrings / Puffed Round </t>
        </is>
      </c>
      <c r="C54" s="9" t="n">
        <v>1820425868</v>
      </c>
      <c r="D54" s="18" t="n">
        <v>1</v>
      </c>
      <c r="E54" s="18" t="n">
        <v>0</v>
      </c>
      <c r="F54" s="10" t="n">
        <v>2571</v>
      </c>
      <c r="G54" s="10" t="n">
        <v>2571</v>
      </c>
      <c r="H54" s="9" t="inlineStr">
        <is>
          <t>tam</t>
        </is>
      </c>
      <c r="I54" s="13" t="inlineStr">
        <is>
          <t>https://www.etsy.com/listing/1820425868</t>
        </is>
      </c>
    </row>
    <row r="55">
      <c r="A55" s="3" t="inlineStr">
        <is>
          <t>earrings</t>
        </is>
      </c>
      <c r="B55" s="3" t="inlineStr">
        <is>
          <t>14K Yellow Gold Puffed Hoop Earrings / Chunky Graduated Desi</t>
        </is>
      </c>
      <c r="C55" s="3" t="n">
        <v>1820418158</v>
      </c>
      <c r="D55" s="17" t="n">
        <v>1</v>
      </c>
      <c r="E55" s="17" t="n">
        <v>0</v>
      </c>
      <c r="F55" s="14" t="n">
        <v>1677</v>
      </c>
      <c r="G55" s="14" t="n">
        <v>1677</v>
      </c>
      <c r="H55" s="3" t="inlineStr">
        <is>
          <t>tam</t>
        </is>
      </c>
      <c r="I55" s="16" t="inlineStr">
        <is>
          <t>https://www.etsy.com/listing/1820418158</t>
        </is>
      </c>
    </row>
    <row r="56">
      <c r="A56" s="9" t="inlineStr">
        <is>
          <t>faith</t>
        </is>
      </c>
      <c r="B56" s="9" t="inlineStr">
        <is>
          <t>10K Gold Jesus Crucifix Pendant / Religious Christian Jewelr</t>
        </is>
      </c>
      <c r="C56" s="9" t="n">
        <v>1226252485</v>
      </c>
      <c r="D56" s="18" t="n">
        <v>1</v>
      </c>
      <c r="E56" s="18" t="n">
        <v>0</v>
      </c>
      <c r="F56" s="10" t="n">
        <v>213</v>
      </c>
      <c r="G56" s="10" t="n">
        <v>213</v>
      </c>
      <c r="H56" s="9" t="inlineStr">
        <is>
          <t>tam</t>
        </is>
      </c>
      <c r="I56" s="13" t="inlineStr">
        <is>
          <t>https://www.etsy.com/listing/1226252485</t>
        </is>
      </c>
    </row>
    <row r="57">
      <c r="A57" s="3" t="inlineStr">
        <is>
          <t>faith</t>
        </is>
      </c>
      <c r="B57" s="3" t="inlineStr">
        <is>
          <t>10K Gold Jesus Head Nugget Ring / Religious CZ Stone</t>
        </is>
      </c>
      <c r="C57" s="3" t="n">
        <v>1743457413</v>
      </c>
      <c r="D57" s="17" t="n">
        <v>1</v>
      </c>
      <c r="E57" s="17" t="n">
        <v>0</v>
      </c>
      <c r="F57" s="14" t="n">
        <v>979</v>
      </c>
      <c r="G57" s="14" t="n">
        <v>979</v>
      </c>
      <c r="H57" s="3" t="inlineStr">
        <is>
          <t>tam</t>
        </is>
      </c>
      <c r="I57" s="16" t="inlineStr">
        <is>
          <t>https://www.etsy.com/listing/1743457413</t>
        </is>
      </c>
    </row>
    <row r="58">
      <c r="A58" s="9" t="inlineStr">
        <is>
          <t>faith</t>
        </is>
      </c>
      <c r="B58" s="9" t="inlineStr">
        <is>
          <t xml:space="preserve">10K Gold Jesus Praying Hand CZ Ring / Men's Two-Tone Nugget </t>
        </is>
      </c>
      <c r="C58" s="9" t="n">
        <v>1725092482</v>
      </c>
      <c r="D58" s="18" t="n">
        <v>20</v>
      </c>
      <c r="E58" s="18" t="n">
        <v>0</v>
      </c>
      <c r="F58" s="10" t="n">
        <v>778</v>
      </c>
      <c r="G58" s="10" t="n">
        <v>928</v>
      </c>
      <c r="H58" s="9" t="inlineStr">
        <is>
          <t>tam</t>
        </is>
      </c>
      <c r="I58" s="13" t="inlineStr">
        <is>
          <t>https://www.etsy.com/listing/1725092482</t>
        </is>
      </c>
    </row>
    <row r="59">
      <c r="A59" s="3" t="inlineStr">
        <is>
          <t>faith</t>
        </is>
      </c>
      <c r="B59" s="3" t="inlineStr">
        <is>
          <t>10K Gold Last Supper Medallion Pendant, Miami Curb Border</t>
        </is>
      </c>
      <c r="C59" s="3" t="n">
        <v>1770702803</v>
      </c>
      <c r="D59" s="17" t="n">
        <v>48</v>
      </c>
      <c r="E59" s="17" t="n">
        <v>0</v>
      </c>
      <c r="F59" s="14" t="n">
        <v>366</v>
      </c>
      <c r="G59" s="14" t="n">
        <v>4370</v>
      </c>
      <c r="H59" s="3" t="inlineStr">
        <is>
          <t>tam</t>
        </is>
      </c>
      <c r="I59" s="16" t="inlineStr">
        <is>
          <t>https://www.etsy.com/listing/1770702803</t>
        </is>
      </c>
    </row>
    <row r="60">
      <c r="A60" s="9" t="inlineStr">
        <is>
          <t>faith</t>
        </is>
      </c>
      <c r="B60" s="9" t="inlineStr">
        <is>
          <t>10K Gold Last Supper Pendant Necklace, Miami Cuban Chain</t>
        </is>
      </c>
      <c r="C60" s="9" t="n">
        <v>1520386344</v>
      </c>
      <c r="D60" s="18" t="n">
        <v>24</v>
      </c>
      <c r="E60" s="18" t="n">
        <v>0</v>
      </c>
      <c r="F60" s="10" t="n">
        <v>216</v>
      </c>
      <c r="G60" s="10" t="n">
        <v>2027</v>
      </c>
      <c r="H60" s="9" t="inlineStr">
        <is>
          <t>tam</t>
        </is>
      </c>
      <c r="I60" s="13" t="inlineStr">
        <is>
          <t>https://www.etsy.com/listing/1520386344</t>
        </is>
      </c>
    </row>
    <row r="61">
      <c r="A61" s="3" t="inlineStr">
        <is>
          <t>faith</t>
        </is>
      </c>
      <c r="B61" s="3" t="inlineStr">
        <is>
          <t>10K Gold Lion &amp; Eagle Pendant – Diamond Cut Two-Tone Necklac</t>
        </is>
      </c>
      <c r="C61" s="3" t="n">
        <v>1768689465</v>
      </c>
      <c r="D61" s="17" t="n">
        <v>22</v>
      </c>
      <c r="E61" s="17" t="n">
        <v>0</v>
      </c>
      <c r="F61" s="14" t="n">
        <v>666</v>
      </c>
      <c r="G61" s="14" t="n">
        <v>2232</v>
      </c>
      <c r="H61" s="3" t="inlineStr">
        <is>
          <t>tam</t>
        </is>
      </c>
      <c r="I61" s="16" t="inlineStr">
        <is>
          <t>https://www.etsy.com/listing/1768689465</t>
        </is>
      </c>
    </row>
    <row r="62">
      <c r="A62" s="9" t="inlineStr">
        <is>
          <t>faith</t>
        </is>
      </c>
      <c r="B62" s="9" t="inlineStr">
        <is>
          <t>10K Gold Religious Medallion Pendant – St. Jude, Last Supper</t>
        </is>
      </c>
      <c r="C62" s="9" t="n">
        <v>1753972282</v>
      </c>
      <c r="D62" s="18" t="n">
        <v>5</v>
      </c>
      <c r="E62" s="18" t="n">
        <v>0</v>
      </c>
      <c r="F62" s="10" t="n">
        <v>675</v>
      </c>
      <c r="G62" s="10" t="n">
        <v>675</v>
      </c>
      <c r="H62" s="9" t="inlineStr">
        <is>
          <t>tam</t>
        </is>
      </c>
      <c r="I62" s="13" t="inlineStr">
        <is>
          <t>https://www.etsy.com/listing/1753972282</t>
        </is>
      </c>
    </row>
    <row r="63">
      <c r="A63" s="3" t="inlineStr">
        <is>
          <t>faith</t>
        </is>
      </c>
      <c r="B63" s="3" t="inlineStr">
        <is>
          <t>10K Gold Saint Barbara Diamond Cut Ruby Pendant</t>
        </is>
      </c>
      <c r="C63" s="3" t="n">
        <v>1768580839</v>
      </c>
      <c r="D63" s="17" t="n">
        <v>7</v>
      </c>
      <c r="E63" s="17" t="n">
        <v>0</v>
      </c>
      <c r="F63" s="14" t="n">
        <v>260</v>
      </c>
      <c r="G63" s="14" t="n">
        <v>2973</v>
      </c>
      <c r="H63" s="3" t="inlineStr">
        <is>
          <t>tam</t>
        </is>
      </c>
      <c r="I63" s="16" t="inlineStr">
        <is>
          <t>https://www.etsy.com/listing/1768580839</t>
        </is>
      </c>
    </row>
    <row r="64">
      <c r="A64" s="9" t="inlineStr">
        <is>
          <t>faith</t>
        </is>
      </c>
      <c r="B64" s="9" t="inlineStr">
        <is>
          <t>10K Solid Gold Jesus Head Ring with Cubic Zirconia Stones</t>
        </is>
      </c>
      <c r="C64" s="9" t="n">
        <v>1724930320</v>
      </c>
      <c r="D64" s="18" t="n">
        <v>30</v>
      </c>
      <c r="E64" s="18" t="n">
        <v>0</v>
      </c>
      <c r="F64" s="10" t="n">
        <v>684</v>
      </c>
      <c r="G64" s="10" t="n">
        <v>1038</v>
      </c>
      <c r="H64" s="9" t="inlineStr">
        <is>
          <t>tam</t>
        </is>
      </c>
      <c r="I64" s="13" t="inlineStr">
        <is>
          <t>https://www.etsy.com/listing/1724930320</t>
        </is>
      </c>
    </row>
    <row r="65">
      <c r="A65" s="3" t="inlineStr">
        <is>
          <t>faith</t>
        </is>
      </c>
      <c r="B65" s="3" t="inlineStr">
        <is>
          <t>10K Solid Gold Jesus Pendant / Two-Tone Religious Necklace</t>
        </is>
      </c>
      <c r="C65" s="3" t="n">
        <v>1767404547</v>
      </c>
      <c r="D65" s="17" t="n">
        <v>22</v>
      </c>
      <c r="E65" s="17" t="n">
        <v>0</v>
      </c>
      <c r="F65" s="14" t="n">
        <v>1147</v>
      </c>
      <c r="G65" s="14" t="n">
        <v>3638</v>
      </c>
      <c r="H65" s="3" t="inlineStr">
        <is>
          <t>tam</t>
        </is>
      </c>
      <c r="I65" s="16" t="inlineStr">
        <is>
          <t>https://www.etsy.com/listing/1767404547</t>
        </is>
      </c>
    </row>
    <row r="66">
      <c r="A66" s="9" t="inlineStr">
        <is>
          <t>faith</t>
        </is>
      </c>
      <c r="B66" s="9" t="inlineStr">
        <is>
          <t>10K Solid Gold Last Supper Ring / Diamond Cut Religious Jewe</t>
        </is>
      </c>
      <c r="C66" s="9" t="n">
        <v>1740336135</v>
      </c>
      <c r="D66" s="18" t="n">
        <v>36</v>
      </c>
      <c r="E66" s="18" t="n">
        <v>0</v>
      </c>
      <c r="F66" s="10" t="n">
        <v>896</v>
      </c>
      <c r="G66" s="10" t="n">
        <v>1146</v>
      </c>
      <c r="H66" s="9" t="inlineStr">
        <is>
          <t>tam</t>
        </is>
      </c>
      <c r="I66" s="13" t="inlineStr">
        <is>
          <t>https://www.etsy.com/listing/1740336135</t>
        </is>
      </c>
    </row>
    <row r="67">
      <c r="A67" s="3" t="inlineStr">
        <is>
          <t>faith</t>
        </is>
      </c>
      <c r="B67" s="3" t="inlineStr">
        <is>
          <t>10K Solid Gold Men's Jesus Ring / Nugget CZ Religious Ring</t>
        </is>
      </c>
      <c r="C67" s="3" t="n">
        <v>1729232602</v>
      </c>
      <c r="D67" s="17" t="n">
        <v>1</v>
      </c>
      <c r="E67" s="17" t="n">
        <v>0</v>
      </c>
      <c r="F67" s="14" t="n">
        <v>896</v>
      </c>
      <c r="G67" s="14" t="n">
        <v>896</v>
      </c>
      <c r="H67" s="3" t="inlineStr">
        <is>
          <t>tam</t>
        </is>
      </c>
      <c r="I67" s="16" t="inlineStr">
        <is>
          <t>https://www.etsy.com/listing/1729232602</t>
        </is>
      </c>
    </row>
    <row r="68">
      <c r="A68" s="9" t="inlineStr">
        <is>
          <t>faith</t>
        </is>
      </c>
      <c r="B68" s="9" t="inlineStr">
        <is>
          <t>14K Gold Jesus Crucifix Pendant / Two-Tone Religious Jewelry</t>
        </is>
      </c>
      <c r="C68" s="9" t="n">
        <v>1848404088</v>
      </c>
      <c r="D68" s="18" t="n">
        <v>2</v>
      </c>
      <c r="E68" s="18" t="n">
        <v>0</v>
      </c>
      <c r="F68" s="10" t="n">
        <v>177</v>
      </c>
      <c r="G68" s="10" t="n">
        <v>353</v>
      </c>
      <c r="H68" s="9" t="inlineStr">
        <is>
          <t>tam</t>
        </is>
      </c>
      <c r="I68" s="13" t="inlineStr">
        <is>
          <t>https://www.etsy.com/listing/1848404088</t>
        </is>
      </c>
    </row>
    <row r="69">
      <c r="A69" s="3" t="inlineStr">
        <is>
          <t>faith</t>
        </is>
      </c>
      <c r="B69" s="3" t="inlineStr">
        <is>
          <t>14K Solid Gold Rosary Necklace – Diamond Cut Cross Crucifix,</t>
        </is>
      </c>
      <c r="C69" s="3" t="n">
        <v>1329785553</v>
      </c>
      <c r="D69" s="17" t="n">
        <v>4</v>
      </c>
      <c r="E69" s="17" t="n">
        <v>0</v>
      </c>
      <c r="F69" s="14" t="n">
        <v>1330</v>
      </c>
      <c r="G69" s="14" t="n">
        <v>2241</v>
      </c>
      <c r="H69" s="3" t="inlineStr">
        <is>
          <t>tam</t>
        </is>
      </c>
      <c r="I69" s="16" t="inlineStr">
        <is>
          <t>https://www.etsy.com/listing/1329785553</t>
        </is>
      </c>
    </row>
    <row r="70">
      <c r="A70" s="9" t="inlineStr">
        <is>
          <t>faith</t>
        </is>
      </c>
      <c r="B70" s="9" t="inlineStr">
        <is>
          <t>14K Yellow Gold Baby Angel Pendant – CZ Stone Religious Char</t>
        </is>
      </c>
      <c r="C70" s="9" t="n">
        <v>1448825748</v>
      </c>
      <c r="D70" s="18" t="n">
        <v>2</v>
      </c>
      <c r="E70" s="18" t="n">
        <v>0</v>
      </c>
      <c r="F70" s="10" t="n">
        <v>312</v>
      </c>
      <c r="G70" s="10" t="n">
        <v>661</v>
      </c>
      <c r="H70" s="9" t="inlineStr">
        <is>
          <t>tam</t>
        </is>
      </c>
      <c r="I70" s="13" t="inlineStr">
        <is>
          <t>https://www.etsy.com/listing/1448825748</t>
        </is>
      </c>
    </row>
    <row r="71">
      <c r="A71" s="3" t="inlineStr">
        <is>
          <t>faith</t>
        </is>
      </c>
      <c r="B71" s="3" t="inlineStr">
        <is>
          <t>Gold Jesus Pendant in 14K Tri-Color with Rope Chain</t>
        </is>
      </c>
      <c r="C71" s="3" t="n">
        <v>1864218405</v>
      </c>
      <c r="D71" s="17" t="n">
        <v>6</v>
      </c>
      <c r="E71" s="17" t="n">
        <v>0</v>
      </c>
      <c r="F71" s="14" t="n">
        <v>583</v>
      </c>
      <c r="G71" s="14" t="n">
        <v>1218</v>
      </c>
      <c r="H71" s="3" t="inlineStr">
        <is>
          <t>tam</t>
        </is>
      </c>
      <c r="I71" s="16" t="inlineStr">
        <is>
          <t>https://www.etsy.com/listing/1864218405</t>
        </is>
      </c>
    </row>
    <row r="72">
      <c r="A72" s="9" t="inlineStr">
        <is>
          <t>legacy</t>
        </is>
      </c>
      <c r="B72" s="9" t="inlineStr">
        <is>
          <t>10K Gold Miami Cuban Bracelet with CZ Box Lock</t>
        </is>
      </c>
      <c r="C72" s="9" t="n">
        <v>1763961937</v>
      </c>
      <c r="D72" s="18" t="n">
        <v>9</v>
      </c>
      <c r="E72" s="18" t="n">
        <v>0</v>
      </c>
      <c r="F72" s="10" t="n">
        <v>1501</v>
      </c>
      <c r="G72" s="10" t="n">
        <v>3356</v>
      </c>
      <c r="H72" s="9" t="inlineStr">
        <is>
          <t>tam</t>
        </is>
      </c>
      <c r="I72" s="13" t="inlineStr">
        <is>
          <t>https://www.etsy.com/listing/1763961937</t>
        </is>
      </c>
    </row>
    <row r="73">
      <c r="A73" s="3" t="inlineStr">
        <is>
          <t>legacy</t>
        </is>
      </c>
      <c r="B73" s="3" t="inlineStr">
        <is>
          <t>10K Gold Miami Cuban Link Chain Necklace</t>
        </is>
      </c>
      <c r="C73" s="3" t="n">
        <v>1283581532</v>
      </c>
      <c r="D73" s="17" t="n">
        <v>40</v>
      </c>
      <c r="E73" s="17" t="n">
        <v>0</v>
      </c>
      <c r="F73" s="14" t="n">
        <v>304</v>
      </c>
      <c r="G73" s="14" t="n">
        <v>7675</v>
      </c>
      <c r="H73" s="3" t="inlineStr">
        <is>
          <t>tam</t>
        </is>
      </c>
      <c r="I73" s="16" t="inlineStr">
        <is>
          <t>https://www.etsy.com/listing/1283581532</t>
        </is>
      </c>
    </row>
    <row r="74">
      <c r="A74" s="9" t="inlineStr">
        <is>
          <t>legacy</t>
        </is>
      </c>
      <c r="B74" s="9" t="inlineStr">
        <is>
          <t>10K Gold Miami Cuban Link Chain, CZ Box Lock</t>
        </is>
      </c>
      <c r="C74" s="9" t="n">
        <v>1764133503</v>
      </c>
      <c r="D74" s="18" t="n">
        <v>15</v>
      </c>
      <c r="E74" s="18" t="n">
        <v>0</v>
      </c>
      <c r="F74" s="10" t="n">
        <v>2980</v>
      </c>
      <c r="G74" s="10" t="n">
        <v>7235</v>
      </c>
      <c r="H74" s="9" t="inlineStr">
        <is>
          <t>tam</t>
        </is>
      </c>
      <c r="I74" s="13" t="inlineStr">
        <is>
          <t>https://www.etsy.com/listing/1764133503</t>
        </is>
      </c>
    </row>
    <row r="75">
      <c r="A75" s="3" t="inlineStr">
        <is>
          <t>legacy</t>
        </is>
      </c>
      <c r="B75" s="3" t="inlineStr">
        <is>
          <t>10K Real Yellow Gold Franco Chain – Unisex Necklace, All Siz</t>
        </is>
      </c>
      <c r="C75" s="3" t="n">
        <v>1891642136</v>
      </c>
      <c r="D75" s="17" t="n">
        <v>25</v>
      </c>
      <c r="E75" s="17" t="n">
        <v>0</v>
      </c>
      <c r="F75" s="14" t="n">
        <v>330</v>
      </c>
      <c r="G75" s="14" t="n">
        <v>2164</v>
      </c>
      <c r="H75" s="3" t="inlineStr">
        <is>
          <t>tam</t>
        </is>
      </c>
      <c r="I75" s="16" t="inlineStr">
        <is>
          <t>https://www.etsy.com/listing/1891642136</t>
        </is>
      </c>
    </row>
    <row r="76">
      <c r="A76" s="9" t="inlineStr">
        <is>
          <t>legacy</t>
        </is>
      </c>
      <c r="B76" s="9" t="inlineStr">
        <is>
          <t>10K Solid Gold Mariner Link Bracelet / Unisex Flat Anchor Ch</t>
        </is>
      </c>
      <c r="C76" s="9" t="n">
        <v>1355524756</v>
      </c>
      <c r="D76" s="18" t="n">
        <v>8</v>
      </c>
      <c r="E76" s="18" t="n">
        <v>0</v>
      </c>
      <c r="F76" s="10" t="n">
        <v>193</v>
      </c>
      <c r="G76" s="10" t="n">
        <v>1451</v>
      </c>
      <c r="H76" s="9" t="inlineStr">
        <is>
          <t>tam</t>
        </is>
      </c>
      <c r="I76" s="13" t="inlineStr">
        <is>
          <t>https://www.etsy.com/listing/1355524756</t>
        </is>
      </c>
    </row>
    <row r="77">
      <c r="A77" s="3" t="inlineStr">
        <is>
          <t>legacy</t>
        </is>
      </c>
      <c r="B77" s="3" t="inlineStr">
        <is>
          <t>14K Franco Chain Necklace, Authentic Yellow Gold Jewelry</t>
        </is>
      </c>
      <c r="C77" s="3" t="n">
        <v>1905857313</v>
      </c>
      <c r="D77" s="17" t="n">
        <v>25</v>
      </c>
      <c r="E77" s="17" t="n">
        <v>0</v>
      </c>
      <c r="F77" s="14" t="n">
        <v>506</v>
      </c>
      <c r="G77" s="14" t="n">
        <v>4089</v>
      </c>
      <c r="H77" s="3" t="inlineStr">
        <is>
          <t>tam</t>
        </is>
      </c>
      <c r="I77" s="16" t="inlineStr">
        <is>
          <t>https://www.etsy.com/listing/1905857313</t>
        </is>
      </c>
    </row>
    <row r="78">
      <c r="A78" s="9" t="inlineStr">
        <is>
          <t>legacy</t>
        </is>
      </c>
      <c r="B78" s="9" t="inlineStr">
        <is>
          <t>14K Gold Ice Out Bracelet / Two Tone Diamond Cut Chain</t>
        </is>
      </c>
      <c r="C78" s="9" t="n">
        <v>1816649280</v>
      </c>
      <c r="D78" s="18" t="n">
        <v>12</v>
      </c>
      <c r="E78" s="18" t="n">
        <v>0</v>
      </c>
      <c r="F78" s="10" t="n">
        <v>599</v>
      </c>
      <c r="G78" s="10" t="n">
        <v>1912</v>
      </c>
      <c r="H78" s="9" t="inlineStr">
        <is>
          <t>tam</t>
        </is>
      </c>
      <c r="I78" s="13" t="inlineStr">
        <is>
          <t>https://www.etsy.com/listing/1816649280</t>
        </is>
      </c>
    </row>
    <row r="79">
      <c r="A79" s="3" t="inlineStr">
        <is>
          <t>legacy</t>
        </is>
      </c>
      <c r="B79" s="3" t="inlineStr">
        <is>
          <t>14K Gold Miami Cuban Link Chain – Shiny CZ Box Lock Curb Cha</t>
        </is>
      </c>
      <c r="C79" s="3" t="n">
        <v>1877080307</v>
      </c>
      <c r="D79" s="17" t="n">
        <v>15</v>
      </c>
      <c r="E79" s="17" t="n">
        <v>0</v>
      </c>
      <c r="F79" s="14" t="n">
        <v>1809</v>
      </c>
      <c r="G79" s="14" t="n">
        <v>5788</v>
      </c>
      <c r="H79" s="3" t="inlineStr">
        <is>
          <t>tam</t>
        </is>
      </c>
      <c r="I79" s="16" t="inlineStr">
        <is>
          <t>https://www.etsy.com/listing/1877080307</t>
        </is>
      </c>
    </row>
    <row r="80">
      <c r="A80" s="9" t="inlineStr">
        <is>
          <t>legacy</t>
        </is>
      </c>
      <c r="B80" s="9" t="inlineStr">
        <is>
          <t>14K Solid Gold Curb Bracelet – Miami Cuban Chain Link</t>
        </is>
      </c>
      <c r="C80" s="9" t="n">
        <v>1359195369</v>
      </c>
      <c r="D80" s="18" t="n">
        <v>12</v>
      </c>
      <c r="E80" s="18" t="n">
        <v>0</v>
      </c>
      <c r="F80" s="10" t="n">
        <v>1409</v>
      </c>
      <c r="G80" s="10" t="n">
        <v>4816</v>
      </c>
      <c r="H80" s="9" t="inlineStr">
        <is>
          <t>tam</t>
        </is>
      </c>
      <c r="I80" s="13" t="inlineStr">
        <is>
          <t>https://www.etsy.com/listing/1359195369</t>
        </is>
      </c>
    </row>
    <row r="81">
      <c r="A81" s="3" t="inlineStr">
        <is>
          <t>legacy</t>
        </is>
      </c>
      <c r="B81" s="3" t="inlineStr">
        <is>
          <t>14K Solid Gold Ice Out Chain / Two Tone Diamond Cut Cylinder</t>
        </is>
      </c>
      <c r="C81" s="3" t="n">
        <v>1862675181</v>
      </c>
      <c r="D81" s="17" t="n">
        <v>25</v>
      </c>
      <c r="E81" s="17" t="n">
        <v>0</v>
      </c>
      <c r="F81" s="14" t="n">
        <v>1514</v>
      </c>
      <c r="G81" s="14" t="n">
        <v>5684</v>
      </c>
      <c r="H81" s="3" t="inlineStr">
        <is>
          <t>tam</t>
        </is>
      </c>
      <c r="I81" s="16" t="inlineStr">
        <is>
          <t>https://www.etsy.com/listing/1862675181</t>
        </is>
      </c>
    </row>
    <row r="82">
      <c r="A82" s="9" t="inlineStr">
        <is>
          <t>legacy</t>
        </is>
      </c>
      <c r="B82" s="9" t="inlineStr">
        <is>
          <t>14K White Gold Franco Box Chain / Solid Gold Necklace</t>
        </is>
      </c>
      <c r="C82" s="9" t="n">
        <v>1756910876</v>
      </c>
      <c r="D82" s="18" t="n">
        <v>35</v>
      </c>
      <c r="E82" s="18" t="n">
        <v>0</v>
      </c>
      <c r="F82" s="10" t="n">
        <v>540</v>
      </c>
      <c r="G82" s="10" t="n">
        <v>17186</v>
      </c>
      <c r="H82" s="9" t="inlineStr">
        <is>
          <t>tam</t>
        </is>
      </c>
      <c r="I82" s="13" t="inlineStr">
        <is>
          <t>https://www.etsy.com/listing/1756910876</t>
        </is>
      </c>
    </row>
    <row r="83">
      <c r="A83" s="3" t="inlineStr">
        <is>
          <t>legacy</t>
        </is>
      </c>
      <c r="B83" s="3" t="inlineStr">
        <is>
          <t>14K White Gold Ice Out Chain / Diamond Cut Cylinder Link</t>
        </is>
      </c>
      <c r="C83" s="3" t="n">
        <v>1863059407</v>
      </c>
      <c r="D83" s="17" t="n">
        <v>20</v>
      </c>
      <c r="E83" s="17" t="n">
        <v>0</v>
      </c>
      <c r="F83" s="14" t="n">
        <v>1512</v>
      </c>
      <c r="G83" s="14" t="n">
        <v>5684</v>
      </c>
      <c r="H83" s="3" t="inlineStr">
        <is>
          <t>tam</t>
        </is>
      </c>
      <c r="I83" s="16" t="inlineStr">
        <is>
          <t>https://www.etsy.com/listing/1863059407</t>
        </is>
      </c>
    </row>
    <row r="84">
      <c r="A84" s="9" t="inlineStr">
        <is>
          <t>legacy</t>
        </is>
      </c>
      <c r="B84" s="9" t="inlineStr">
        <is>
          <t>14K White Gold Iced Out Bracelet / Diamond Cut Cylinder Chai</t>
        </is>
      </c>
      <c r="C84" s="9" t="n">
        <v>1816642536</v>
      </c>
      <c r="D84" s="18" t="n">
        <v>15</v>
      </c>
      <c r="E84" s="18" t="n">
        <v>0</v>
      </c>
      <c r="F84" s="10" t="n">
        <v>599</v>
      </c>
      <c r="G84" s="10" t="n">
        <v>2204</v>
      </c>
      <c r="H84" s="9" t="inlineStr">
        <is>
          <t>tam</t>
        </is>
      </c>
      <c r="I84" s="13" t="inlineStr">
        <is>
          <t>https://www.etsy.com/listing/1816642536</t>
        </is>
      </c>
    </row>
    <row r="85">
      <c r="A85" s="3" t="inlineStr">
        <is>
          <t>legacy</t>
        </is>
      </c>
      <c r="B85" s="3" t="inlineStr">
        <is>
          <t>14K Yellow Gold Franco Bracelet – Minimalist Fine Jewelry Gi</t>
        </is>
      </c>
      <c r="C85" s="3" t="n">
        <v>1336346678</v>
      </c>
      <c r="D85" s="17" t="n">
        <v>30</v>
      </c>
      <c r="E85" s="17" t="n">
        <v>0</v>
      </c>
      <c r="F85" s="14" t="n">
        <v>1006</v>
      </c>
      <c r="G85" s="14" t="n">
        <v>6383</v>
      </c>
      <c r="H85" s="3" t="inlineStr">
        <is>
          <t>tam</t>
        </is>
      </c>
      <c r="I85" s="16" t="inlineStr">
        <is>
          <t>https://www.etsy.com/listing/1336346678</t>
        </is>
      </c>
    </row>
    <row r="86">
      <c r="A86" s="9" t="inlineStr">
        <is>
          <t>legacy</t>
        </is>
      </c>
      <c r="B86" s="9" t="inlineStr">
        <is>
          <t>14K Yellow Gold Miami Cuban Link Chain – CZ Box Lock</t>
        </is>
      </c>
      <c r="C86" s="9" t="n">
        <v>1876638143</v>
      </c>
      <c r="D86" s="18" t="n">
        <v>15</v>
      </c>
      <c r="E86" s="18" t="n">
        <v>0</v>
      </c>
      <c r="F86" s="10" t="n">
        <v>2335</v>
      </c>
      <c r="G86" s="10" t="n">
        <v>10578</v>
      </c>
      <c r="H86" s="9" t="inlineStr">
        <is>
          <t>tam</t>
        </is>
      </c>
      <c r="I86" s="13" t="inlineStr">
        <is>
          <t>https://www.etsy.com/listing/1876638143</t>
        </is>
      </c>
    </row>
    <row r="87">
      <c r="A87" s="3" t="inlineStr">
        <is>
          <t>legacy</t>
        </is>
      </c>
      <c r="B87" s="3" t="inlineStr">
        <is>
          <t>Solid 14K White Gold Franco Chain Bracelet / Unisex Real Gol</t>
        </is>
      </c>
      <c r="C87" s="3" t="n">
        <v>1771229327</v>
      </c>
      <c r="D87" s="17" t="n">
        <v>15</v>
      </c>
      <c r="E87" s="17" t="n">
        <v>0</v>
      </c>
      <c r="F87" s="14" t="n">
        <v>606</v>
      </c>
      <c r="G87" s="14" t="n">
        <v>4020</v>
      </c>
      <c r="H87" s="3" t="inlineStr">
        <is>
          <t>tam</t>
        </is>
      </c>
      <c r="I87" s="16" t="inlineStr">
        <is>
          <t>https://www.etsy.com/listing/1771229327</t>
        </is>
      </c>
    </row>
    <row r="88">
      <c r="A88" s="9" t="inlineStr">
        <is>
          <t>love</t>
        </is>
      </c>
      <c r="B88" s="9" t="inlineStr">
        <is>
          <t>10K Gold Graduated Hoop Earrings / Diamond Cut Jewelry</t>
        </is>
      </c>
      <c r="C88" s="9" t="n">
        <v>1467444368</v>
      </c>
      <c r="D88" s="18" t="n">
        <v>4</v>
      </c>
      <c r="E88" s="18" t="n">
        <v>0</v>
      </c>
      <c r="F88" s="10" t="n">
        <v>168</v>
      </c>
      <c r="G88" s="10" t="n">
        <v>552</v>
      </c>
      <c r="H88" s="9" t="inlineStr">
        <is>
          <t>tam</t>
        </is>
      </c>
      <c r="I88" s="13" t="inlineStr">
        <is>
          <t>https://www.etsy.com/listing/1467444368</t>
        </is>
      </c>
    </row>
    <row r="89">
      <c r="A89" s="3" t="inlineStr">
        <is>
          <t>love</t>
        </is>
      </c>
      <c r="B89" s="3" t="inlineStr">
        <is>
          <t>10K Gold Heart Nugget Earrings / Solid Yellow Gold</t>
        </is>
      </c>
      <c r="C89" s="3" t="n">
        <v>1821803697</v>
      </c>
      <c r="D89" s="17" t="n">
        <v>3</v>
      </c>
      <c r="E89" s="17" t="n">
        <v>0</v>
      </c>
      <c r="F89" s="14" t="n">
        <v>145</v>
      </c>
      <c r="G89" s="14" t="n">
        <v>380</v>
      </c>
      <c r="H89" s="3" t="inlineStr">
        <is>
          <t>tam</t>
        </is>
      </c>
      <c r="I89" s="16" t="inlineStr">
        <is>
          <t>https://www.etsy.com/listing/1821803697</t>
        </is>
      </c>
    </row>
    <row r="90">
      <c r="A90" s="9" t="inlineStr">
        <is>
          <t>love</t>
        </is>
      </c>
      <c r="B90" s="9" t="inlineStr">
        <is>
          <t>10K Gold Heart Nugget Ring / Solid Yellow Gold</t>
        </is>
      </c>
      <c r="C90" s="9" t="n">
        <v>1739245557</v>
      </c>
      <c r="D90" s="18" t="n">
        <v>40</v>
      </c>
      <c r="E90" s="18" t="n">
        <v>0</v>
      </c>
      <c r="F90" s="10" t="n">
        <v>217</v>
      </c>
      <c r="G90" s="10" t="n">
        <v>643</v>
      </c>
      <c r="H90" s="9" t="inlineStr">
        <is>
          <t>tam</t>
        </is>
      </c>
      <c r="I90" s="13" t="inlineStr">
        <is>
          <t>https://www.etsy.com/listing/1739245557</t>
        </is>
      </c>
    </row>
    <row r="91">
      <c r="A91" s="3" t="inlineStr">
        <is>
          <t>love</t>
        </is>
      </c>
      <c r="B91" s="3" t="inlineStr">
        <is>
          <t>10K Gold Nugget Heart Pendant Necklace / Diamond Cut Rope Ch</t>
        </is>
      </c>
      <c r="C91" s="3" t="n">
        <v>1713308864</v>
      </c>
      <c r="D91" s="17" t="n">
        <v>48</v>
      </c>
      <c r="E91" s="17" t="n">
        <v>0</v>
      </c>
      <c r="F91" s="14" t="n">
        <v>144</v>
      </c>
      <c r="G91" s="14" t="n">
        <v>1103</v>
      </c>
      <c r="H91" s="3" t="inlineStr">
        <is>
          <t>tam</t>
        </is>
      </c>
      <c r="I91" s="16" t="inlineStr">
        <is>
          <t>https://www.etsy.com/listing/1713308864</t>
        </is>
      </c>
    </row>
    <row r="92">
      <c r="A92" s="9" t="inlineStr">
        <is>
          <t>love</t>
        </is>
      </c>
      <c r="B92" s="9" t="inlineStr">
        <is>
          <t>10K Gold Teddy Bear Bracelet / Diamond Cut Charm, 7.5"</t>
        </is>
      </c>
      <c r="C92" s="9" t="n">
        <v>1726181962</v>
      </c>
      <c r="D92" s="18" t="n">
        <v>1</v>
      </c>
      <c r="E92" s="18" t="n">
        <v>0</v>
      </c>
      <c r="F92" s="10" t="n">
        <v>758</v>
      </c>
      <c r="G92" s="10" t="n">
        <v>758</v>
      </c>
      <c r="H92" s="9" t="inlineStr">
        <is>
          <t>tam</t>
        </is>
      </c>
      <c r="I92" s="13" t="inlineStr">
        <is>
          <t>https://www.etsy.com/listing/1726181962</t>
        </is>
      </c>
    </row>
    <row r="93">
      <c r="A93" s="3" t="inlineStr">
        <is>
          <t>love</t>
        </is>
      </c>
      <c r="B93" s="3" t="inlineStr">
        <is>
          <t>14K Gold Heart Bamboo Hoop Earrings / Diamond Cut Jewelry</t>
        </is>
      </c>
      <c r="C93" s="3" t="n">
        <v>1652142260</v>
      </c>
      <c r="D93" s="17" t="n">
        <v>3</v>
      </c>
      <c r="E93" s="17" t="n">
        <v>0</v>
      </c>
      <c r="F93" s="14" t="n">
        <v>301</v>
      </c>
      <c r="G93" s="14" t="n">
        <v>925</v>
      </c>
      <c r="H93" s="3" t="inlineStr">
        <is>
          <t>tam</t>
        </is>
      </c>
      <c r="I93" s="16" t="inlineStr">
        <is>
          <t>https://www.etsy.com/listing/1652142260</t>
        </is>
      </c>
    </row>
    <row r="94">
      <c r="A94" s="9" t="inlineStr">
        <is>
          <t>love</t>
        </is>
      </c>
      <c r="B94" s="9" t="inlineStr">
        <is>
          <t>14K Gold Puffed Hoop Earrings / Diamond Cut, Shiny Yellow Go</t>
        </is>
      </c>
      <c r="C94" s="9" t="n">
        <v>1834635671</v>
      </c>
      <c r="D94" s="18" t="n">
        <v>2</v>
      </c>
      <c r="E94" s="18" t="n">
        <v>0</v>
      </c>
      <c r="F94" s="10" t="n">
        <v>558</v>
      </c>
      <c r="G94" s="10" t="n">
        <v>1002</v>
      </c>
      <c r="H94" s="9" t="inlineStr">
        <is>
          <t>tam</t>
        </is>
      </c>
      <c r="I94" s="13" t="inlineStr">
        <is>
          <t>https://www.etsy.com/listing/1834635671</t>
        </is>
      </c>
    </row>
    <row r="95">
      <c r="A95" s="3" t="inlineStr">
        <is>
          <t>love</t>
        </is>
      </c>
      <c r="B95" s="3" t="inlineStr">
        <is>
          <t>14K Solid Gold Butterfly Charm with CZ Diamond, 30mm Pendant</t>
        </is>
      </c>
      <c r="C95" s="3" t="n">
        <v>1448783390</v>
      </c>
      <c r="D95" s="17" t="n">
        <v>1</v>
      </c>
      <c r="E95" s="17" t="n">
        <v>0</v>
      </c>
      <c r="F95" s="14" t="n">
        <v>546</v>
      </c>
      <c r="G95" s="14" t="n">
        <v>546</v>
      </c>
      <c r="H95" s="3" t="inlineStr">
        <is>
          <t>tam</t>
        </is>
      </c>
      <c r="I95" s="16" t="inlineStr">
        <is>
          <t>https://www.etsy.com/listing/1448783390</t>
        </is>
      </c>
    </row>
    <row r="96">
      <c r="A96" s="9" t="inlineStr">
        <is>
          <t>love</t>
        </is>
      </c>
      <c r="B96" s="9" t="inlineStr">
        <is>
          <t>14K Yellow Gold Puffed Heart Hoop Earrings / Chunky Jewelry</t>
        </is>
      </c>
      <c r="C96" s="9" t="n">
        <v>1656788008</v>
      </c>
      <c r="D96" s="18" t="n">
        <v>2</v>
      </c>
      <c r="E96" s="18" t="n">
        <v>0</v>
      </c>
      <c r="F96" s="10" t="n">
        <v>1051</v>
      </c>
      <c r="G96" s="10" t="n">
        <v>1676</v>
      </c>
      <c r="H96" s="9" t="inlineStr">
        <is>
          <t>tam</t>
        </is>
      </c>
      <c r="I96" s="13" t="inlineStr">
        <is>
          <t>https://www.etsy.com/listing/1656788008</t>
        </is>
      </c>
    </row>
    <row r="97">
      <c r="A97" s="3" t="inlineStr">
        <is>
          <t>protection</t>
        </is>
      </c>
      <c r="B97" s="3" t="inlineStr">
        <is>
          <t>10K Gold Hamsa Necklace / CZ Stone Evil Eye Pendant, Rope Ch</t>
        </is>
      </c>
      <c r="C97" s="3" t="n">
        <v>1731430357</v>
      </c>
      <c r="D97" s="17" t="n">
        <v>64</v>
      </c>
      <c r="E97" s="17" t="n">
        <v>0</v>
      </c>
      <c r="F97" s="14" t="n">
        <v>343</v>
      </c>
      <c r="G97" s="14" t="n">
        <v>2166</v>
      </c>
      <c r="H97" s="3" t="inlineStr">
        <is>
          <t>tam</t>
        </is>
      </c>
      <c r="I97" s="16" t="inlineStr">
        <is>
          <t>https://www.etsy.com/listing/1731430357</t>
        </is>
      </c>
    </row>
    <row r="98">
      <c r="A98" s="9" t="inlineStr">
        <is>
          <t>protection</t>
        </is>
      </c>
      <c r="B98" s="9" t="inlineStr">
        <is>
          <t>10K Gold Hamsa Pendant Necklace / CZ Stone Evil Eye, Rope Ch</t>
        </is>
      </c>
      <c r="C98" s="9" t="n">
        <v>1717808152</v>
      </c>
      <c r="D98" s="18" t="n">
        <v>64</v>
      </c>
      <c r="E98" s="18" t="n">
        <v>0</v>
      </c>
      <c r="F98" s="10" t="n">
        <v>413</v>
      </c>
      <c r="G98" s="10" t="n">
        <v>2202</v>
      </c>
      <c r="H98" s="9" t="inlineStr">
        <is>
          <t>tam</t>
        </is>
      </c>
      <c r="I98" s="13" t="inlineStr">
        <is>
          <t>https://www.etsy.com/listing/1717808152</t>
        </is>
      </c>
    </row>
    <row r="99">
      <c r="A99" s="3" t="inlineStr">
        <is>
          <t>protection</t>
        </is>
      </c>
      <c r="B99" s="3" t="inlineStr">
        <is>
          <t>10K Gold Pharaoh Pendant Necklace / CZ &amp; Ruby, Egyptian King</t>
        </is>
      </c>
      <c r="C99" s="3" t="n">
        <v>1735786221</v>
      </c>
      <c r="D99" s="17" t="n">
        <v>84</v>
      </c>
      <c r="E99" s="17" t="n">
        <v>0</v>
      </c>
      <c r="F99" s="14" t="n">
        <v>410</v>
      </c>
      <c r="G99" s="14" t="n">
        <v>3592</v>
      </c>
      <c r="H99" s="3" t="inlineStr">
        <is>
          <t>tam</t>
        </is>
      </c>
      <c r="I99" s="16" t="inlineStr">
        <is>
          <t>https://www.etsy.com/listing/1735786221</t>
        </is>
      </c>
    </row>
    <row r="100">
      <c r="A100" s="9" t="inlineStr">
        <is>
          <t>protection</t>
        </is>
      </c>
      <c r="B100" s="9" t="inlineStr">
        <is>
          <t>14K Gold CZ Hoop Huggie Earrings, Evil Eye Charms</t>
        </is>
      </c>
      <c r="C100" s="9" t="n">
        <v>1480904845</v>
      </c>
      <c r="D100" s="18" t="n">
        <v>7</v>
      </c>
      <c r="E100" s="18" t="n">
        <v>0</v>
      </c>
      <c r="F100" s="10" t="n">
        <v>484</v>
      </c>
      <c r="G100" s="10" t="n">
        <v>484</v>
      </c>
      <c r="H100" s="9" t="inlineStr">
        <is>
          <t>tam</t>
        </is>
      </c>
      <c r="I100" s="13" t="inlineStr">
        <is>
          <t>https://www.etsy.com/listing/1480904845</t>
        </is>
      </c>
    </row>
    <row r="101">
      <c r="A101" s="3" t="inlineStr">
        <is>
          <t>protection</t>
        </is>
      </c>
      <c r="B101" s="3" t="inlineStr">
        <is>
          <t>14K Gold Diamond Cut Hamsa Hand Pendant / Blue Navy Red Evil</t>
        </is>
      </c>
      <c r="C101" s="3" t="n">
        <v>1228157956</v>
      </c>
      <c r="D101" s="17" t="n">
        <v>3</v>
      </c>
      <c r="E101" s="17" t="n">
        <v>0</v>
      </c>
      <c r="F101" s="14" t="n">
        <v>148</v>
      </c>
      <c r="G101" s="14" t="n">
        <v>148</v>
      </c>
      <c r="H101" s="3" t="inlineStr">
        <is>
          <t>tam</t>
        </is>
      </c>
      <c r="I101" s="16" t="inlineStr">
        <is>
          <t>https://www.etsy.com/listing/1228157956</t>
        </is>
      </c>
    </row>
    <row r="102">
      <c r="A102" s="9" t="inlineStr">
        <is>
          <t>protection</t>
        </is>
      </c>
      <c r="B102" s="9" t="inlineStr">
        <is>
          <t>14K Gold Diamonique CZ Hamsa Hand Evil Eye Dangle Earrings</t>
        </is>
      </c>
      <c r="C102" s="9" t="n">
        <v>1206377232</v>
      </c>
      <c r="D102" s="18" t="n">
        <v>1</v>
      </c>
      <c r="E102" s="18" t="n">
        <v>0</v>
      </c>
      <c r="F102" s="10" t="n">
        <v>443</v>
      </c>
      <c r="G102" s="10" t="n">
        <v>443</v>
      </c>
      <c r="H102" s="9" t="inlineStr">
        <is>
          <t>tam</t>
        </is>
      </c>
      <c r="I102" s="13" t="inlineStr">
        <is>
          <t>https://www.etsy.com/listing/1206377232</t>
        </is>
      </c>
    </row>
    <row r="103">
      <c r="A103" s="3" t="inlineStr">
        <is>
          <t>protection</t>
        </is>
      </c>
      <c r="B103" s="3" t="inlineStr">
        <is>
          <t>14K Gold Evil Eye Bracelet, Good Luck Charm Jewelry</t>
        </is>
      </c>
      <c r="C103" s="3" t="n">
        <v>1525338848</v>
      </c>
      <c r="D103" s="17" t="n">
        <v>6</v>
      </c>
      <c r="E103" s="17" t="n">
        <v>0</v>
      </c>
      <c r="F103" s="14" t="n">
        <v>256</v>
      </c>
      <c r="G103" s="14" t="n">
        <v>256</v>
      </c>
      <c r="H103" s="3" t="inlineStr">
        <is>
          <t>tam</t>
        </is>
      </c>
      <c r="I103" s="16" t="inlineStr">
        <is>
          <t>https://www.etsy.com/listing/1525338848</t>
        </is>
      </c>
    </row>
    <row r="104">
      <c r="A104" s="9" t="inlineStr">
        <is>
          <t>protection</t>
        </is>
      </c>
      <c r="B104" s="9" t="inlineStr">
        <is>
          <t>14K Gold Evil Eye Pendant / Dark Blue Protection Charm</t>
        </is>
      </c>
      <c r="C104" s="9" t="n">
        <v>1203090834</v>
      </c>
      <c r="D104" s="18" t="n">
        <v>4</v>
      </c>
      <c r="E104" s="18" t="n">
        <v>0</v>
      </c>
      <c r="F104" s="10" t="n">
        <v>69</v>
      </c>
      <c r="G104" s="10" t="n">
        <v>69</v>
      </c>
      <c r="H104" s="9" t="inlineStr">
        <is>
          <t>tam</t>
        </is>
      </c>
      <c r="I104" s="13" t="inlineStr">
        <is>
          <t>https://www.etsy.com/listing/1203090834</t>
        </is>
      </c>
    </row>
    <row r="105">
      <c r="A105" s="3" t="inlineStr">
        <is>
          <t>protection</t>
        </is>
      </c>
      <c r="B105" s="3" t="inlineStr">
        <is>
          <t>14K Gold Evil Eye Pendant, Ocean Blue Protection Charm</t>
        </is>
      </c>
      <c r="C105" s="3" t="n">
        <v>1216728323</v>
      </c>
      <c r="D105" s="17" t="n">
        <v>1</v>
      </c>
      <c r="E105" s="17" t="n">
        <v>0</v>
      </c>
      <c r="F105" s="14" t="n">
        <v>160</v>
      </c>
      <c r="G105" s="14" t="n">
        <v>160</v>
      </c>
      <c r="H105" s="3" t="inlineStr">
        <is>
          <t>tam</t>
        </is>
      </c>
      <c r="I105" s="16" t="inlineStr">
        <is>
          <t>https://www.etsy.com/listing/1216728323</t>
        </is>
      </c>
    </row>
    <row r="106">
      <c r="A106" s="9" t="inlineStr">
        <is>
          <t>protection</t>
        </is>
      </c>
      <c r="B106" s="9" t="inlineStr">
        <is>
          <t>14K Gold Puffed Evil Eye Pendant / Diamond Cut Protection Ch</t>
        </is>
      </c>
      <c r="C106" s="9" t="n">
        <v>1228152002</v>
      </c>
      <c r="D106" s="18" t="n">
        <v>2</v>
      </c>
      <c r="E106" s="18" t="n">
        <v>0</v>
      </c>
      <c r="F106" s="10" t="n">
        <v>206</v>
      </c>
      <c r="G106" s="10" t="n">
        <v>206</v>
      </c>
      <c r="H106" s="9" t="inlineStr">
        <is>
          <t>tam</t>
        </is>
      </c>
      <c r="I106" s="13" t="inlineStr">
        <is>
          <t>https://www.etsy.com/listing/1228152002</t>
        </is>
      </c>
    </row>
    <row r="107">
      <c r="A107" s="3" t="inlineStr">
        <is>
          <t>protection</t>
        </is>
      </c>
      <c r="B107" s="3" t="inlineStr">
        <is>
          <t>14K Gold Puffed Evil Eye Pendant / Ocean Blue Good Luck Char</t>
        </is>
      </c>
      <c r="C107" s="3" t="n">
        <v>1228150776</v>
      </c>
      <c r="D107" s="17" t="n">
        <v>2</v>
      </c>
      <c r="E107" s="17" t="n">
        <v>0</v>
      </c>
      <c r="F107" s="14" t="n">
        <v>206</v>
      </c>
      <c r="G107" s="14" t="n">
        <v>206</v>
      </c>
      <c r="H107" s="3" t="inlineStr">
        <is>
          <t>tam</t>
        </is>
      </c>
      <c r="I107" s="16" t="inlineStr">
        <is>
          <t>https://www.etsy.com/listing/1228150776</t>
        </is>
      </c>
    </row>
    <row r="108">
      <c r="A108" s="9" t="inlineStr">
        <is>
          <t>protection</t>
        </is>
      </c>
      <c r="B108" s="9" t="inlineStr">
        <is>
          <t>14K Solid Gold Diamond Panther Pendant, Emerald Eye Charm wi</t>
        </is>
      </c>
      <c r="C108" s="9" t="n">
        <v>1436080231</v>
      </c>
      <c r="D108" s="18" t="n">
        <v>7</v>
      </c>
      <c r="E108" s="18" t="n">
        <v>0</v>
      </c>
      <c r="F108" s="10" t="n">
        <v>1123</v>
      </c>
      <c r="G108" s="10" t="n">
        <v>1649</v>
      </c>
      <c r="H108" s="9" t="inlineStr">
        <is>
          <t>tam</t>
        </is>
      </c>
      <c r="I108" s="13" t="inlineStr">
        <is>
          <t>https://www.etsy.com/listing/1436080231</t>
        </is>
      </c>
    </row>
    <row r="109">
      <c r="A109" s="3" t="inlineStr">
        <is>
          <t>protection</t>
        </is>
      </c>
      <c r="B109" s="3" t="inlineStr">
        <is>
          <t>Gold Elephant Charm in 14K Solid with CZ Diamonds</t>
        </is>
      </c>
      <c r="C109" s="3" t="n">
        <v>1448764844</v>
      </c>
      <c r="D109" s="17" t="n">
        <v>1</v>
      </c>
      <c r="E109" s="17" t="n">
        <v>0</v>
      </c>
      <c r="F109" s="14" t="n">
        <v>695</v>
      </c>
      <c r="G109" s="14" t="n">
        <v>695</v>
      </c>
      <c r="H109" s="3" t="inlineStr">
        <is>
          <t>tam</t>
        </is>
      </c>
      <c r="I109" s="16" t="inlineStr">
        <is>
          <t>https://www.etsy.com/listing/1448764844</t>
        </is>
      </c>
    </row>
    <row r="110">
      <c r="A110" s="9" t="inlineStr">
        <is>
          <t>rings</t>
        </is>
      </c>
      <c r="B110" s="9" t="inlineStr">
        <is>
          <t>10K Gold Nugget Ring / Men's Square Band in Yellow</t>
        </is>
      </c>
      <c r="C110" s="9" t="n">
        <v>1219136707</v>
      </c>
      <c r="D110" s="18" t="n">
        <v>60</v>
      </c>
      <c r="E110" s="18" t="n">
        <v>0</v>
      </c>
      <c r="F110" s="10" t="n">
        <v>147</v>
      </c>
      <c r="G110" s="10" t="n">
        <v>645</v>
      </c>
      <c r="H110" s="9" t="inlineStr">
        <is>
          <t>tam</t>
        </is>
      </c>
      <c r="I110" s="13" t="inlineStr">
        <is>
          <t>https://www.etsy.com/listing/1219136707</t>
        </is>
      </c>
    </row>
    <row r="111">
      <c r="A111" s="3" t="inlineStr">
        <is>
          <t>rings</t>
        </is>
      </c>
      <c r="B111" s="3" t="inlineStr">
        <is>
          <t>10K Solid Gold CZ Stone Men's Ring / Statement Jewelry</t>
        </is>
      </c>
      <c r="C111" s="3" t="n">
        <v>1743975353</v>
      </c>
      <c r="D111" s="17" t="n">
        <v>42</v>
      </c>
      <c r="E111" s="17" t="n">
        <v>0</v>
      </c>
      <c r="F111" s="14" t="n">
        <v>408</v>
      </c>
      <c r="G111" s="14" t="n">
        <v>474</v>
      </c>
      <c r="H111" s="3" t="inlineStr">
        <is>
          <t>tam</t>
        </is>
      </c>
      <c r="I111" s="16" t="inlineStr">
        <is>
          <t>https://www.etsy.com/listing/1743975353</t>
        </is>
      </c>
    </row>
    <row r="112">
      <c r="A112" s="9" t="inlineStr">
        <is>
          <t>rings</t>
        </is>
      </c>
      <c r="B112" s="9" t="inlineStr">
        <is>
          <t>10K Solid Yellow Gold Men's Ring with CZ Stone / Polished Fi</t>
        </is>
      </c>
      <c r="C112" s="9" t="n">
        <v>1743489483</v>
      </c>
      <c r="D112" s="18" t="n">
        <v>42</v>
      </c>
      <c r="E112" s="18" t="n">
        <v>0</v>
      </c>
      <c r="F112" s="10" t="n">
        <v>435</v>
      </c>
      <c r="G112" s="10" t="n">
        <v>439</v>
      </c>
      <c r="H112" s="9" t="inlineStr">
        <is>
          <t>tam</t>
        </is>
      </c>
      <c r="I112" s="13" t="inlineStr">
        <is>
          <t>https://www.etsy.com/listing/1743489483</t>
        </is>
      </c>
    </row>
    <row r="113">
      <c r="A113" s="3" t="inlineStr">
        <is>
          <t>rings</t>
        </is>
      </c>
      <c r="B113" s="3" t="inlineStr">
        <is>
          <t>10K Solid Yellow Gold Wedding Band – Minimalist Unisex Ring</t>
        </is>
      </c>
      <c r="C113" s="3" t="n">
        <v>1865969006</v>
      </c>
      <c r="D113" s="17" t="n">
        <v>30</v>
      </c>
      <c r="E113" s="17" t="n">
        <v>0</v>
      </c>
      <c r="F113" s="14" t="n">
        <v>190</v>
      </c>
      <c r="G113" s="14" t="n">
        <v>560</v>
      </c>
      <c r="H113" s="3" t="inlineStr">
        <is>
          <t>tam</t>
        </is>
      </c>
      <c r="I113" s="16" t="inlineStr">
        <is>
          <t>https://www.etsy.com/listing/1865969006</t>
        </is>
      </c>
    </row>
    <row r="114">
      <c r="A114" s="9" t="inlineStr">
        <is>
          <t>rings</t>
        </is>
      </c>
      <c r="B114" s="9" t="inlineStr">
        <is>
          <t xml:space="preserve">Dainty 925 Sterling Silver Tennis Bracelet, Round CZ Stone, </t>
        </is>
      </c>
      <c r="C114" s="9" t="n">
        <v>1454572095</v>
      </c>
      <c r="D114" s="18" t="n">
        <v>6</v>
      </c>
      <c r="E114" s="18" t="n">
        <v>0</v>
      </c>
      <c r="F114" s="10" t="n">
        <v>34.39</v>
      </c>
      <c r="G114" s="10" t="n">
        <v>38.69</v>
      </c>
      <c r="H114" s="9" t="inlineStr">
        <is>
          <t>tam</t>
        </is>
      </c>
      <c r="I114" s="13" t="inlineStr">
        <is>
          <t>https://www.etsy.com/listing/1454572095</t>
        </is>
      </c>
    </row>
  </sheetData>
  <autoFilter ref="A1:I114"/>
  <conditionalFormatting sqref="H2:H114">
    <cfRule type="cellIs" priority="1" operator="equal" dxfId="0">
      <formula>"TÜMÜ EKSİK"</formula>
    </cfRule>
    <cfRule type="cellIs" priority="2" operator="equal" dxfId="1">
      <formula>"kısmen eksik"</formula>
    </cfRule>
    <cfRule type="cellIs" priority="3" operator="equal" dxfId="2">
      <formula>"tam"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2026-08-15T18:44:13Z</dcterms:created>
  <dcterms:modified xsi:type="dcterms:W3CDTF">2026-08-15T18:44:13Z</dcterms:modified>
</cp:coreProperties>
</file>