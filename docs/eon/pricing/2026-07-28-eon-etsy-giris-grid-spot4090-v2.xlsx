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M" sheetId="1" state="visible" r:id="rId3"/>
    <sheet name="GIRIS-SIRASI" sheetId="2" state="visible" r:id="rId4"/>
    <sheet name="10K" sheetId="3" state="visible" r:id="rId5"/>
    <sheet name="14K" sheetId="4" state="visible" r:id="rId6"/>
    <sheet name="18K" sheetId="5" state="visible" r:id="rId7"/>
    <sheet name="MILGRAIN-14K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<sst xmlns="http://schemas.openxmlformats.org/spreadsheetml/2006/main" count="79" uniqueCount="49">
  <si>
    <t xml:space="preserve">Parametre</t>
  </si>
  <si>
    <t xml:space="preserve">Deger</t>
  </si>
  <si>
    <t xml:space="preserve">Not</t>
  </si>
  <si>
    <t xml:space="preserve">Spot USD/ozt</t>
  </si>
  <si>
    <t xml:space="preserve">2026-07-27 kapanis. Spot degisince SADECE bu hucreyi guncelle.</t>
  </si>
  <si>
    <t xml:space="preserve">Fire</t>
  </si>
  <si>
    <t xml:space="preserve">yuzde 7</t>
  </si>
  <si>
    <t xml:space="preserve">Iscilik USD</t>
  </si>
  <si>
    <t xml:space="preserve">Paket USD</t>
  </si>
  <si>
    <t xml:space="preserve">Kargo USD</t>
  </si>
  <si>
    <t xml:space="preserve">Carpan</t>
  </si>
  <si>
    <t xml:space="preserve">Husam onayi, 60. gunde revizyon</t>
  </si>
  <si>
    <t xml:space="preserve">Spot USD/gram</t>
  </si>
  <si>
    <t xml:space="preserve">Etsy kesinti orani</t>
  </si>
  <si>
    <t xml:space="preserve">yuzde 10.5 + 0.45 sabit</t>
  </si>
  <si>
    <t xml:space="preserve">Offsite Ads</t>
  </si>
  <si>
    <t xml:space="preserve">yuzde 15</t>
  </si>
  <si>
    <t xml:space="preserve">Saflik 10K</t>
  </si>
  <si>
    <t xml:space="preserve">Saflik 14K</t>
  </si>
  <si>
    <t xml:space="preserve">Saflik 18K</t>
  </si>
  <si>
    <t xml:space="preserve">Kalinlik</t>
  </si>
  <si>
    <t xml:space="preserve">2.0mm</t>
  </si>
  <si>
    <t xml:space="preserve">STANDART. 1.5mm bu dosyada yok.</t>
  </si>
  <si>
    <t xml:space="preserve">Kaynak</t>
  </si>
  <si>
    <t xml:space="preserve">Gramlar: partner dome tablosu (2026-07-16). Dogrulama: floor-prices-spot4090 Sheet, 44/44 satir.</t>
  </si>
  <si>
    <t xml:space="preserve">Iscilik Milgrain USD</t>
  </si>
  <si>
    <t xml:space="preserve">Hammered/milgrain iscilik istisnasi. Husam karari 2026-07-28.</t>
  </si>
  <si>
    <t xml:space="preserve">ETSY FIYAT GIRISI - SIRA VE KURALLAR (v2)</t>
  </si>
  <si>
    <t xml:space="preserve">1. Evelyn satisinin geldigi 5mm listing: karat sekmesinde Genislik=5 satirlari</t>
  </si>
  <si>
    <t xml:space="preserve">2. McCartney satisinin geldigi 2mm listing: Genislik=2 satirlari</t>
  </si>
  <si>
    <t xml:space="preserve">3. Dome ailesinin kalani (10K, 14K, 18K tum genislikler)</t>
  </si>
  <si>
    <t xml:space="preserve">4. Flat, Beveled, Knife: gram dome ile AYNI (Husam karari 2026-07-28). Kendi karat sekmesinden genislik satirini kullan. Flat 3-7, Knife 3-7, Beveled 6 ve 8.</t>
  </si>
  <si>
    <t xml:space="preserve">5. Dome Milgrain (hammered): MILGRAIN-14K sekmesi. Iscilik 40, digerlerinden farkli olan tek sey bu.</t>
  </si>
  <si>
    <t xml:space="preserve">KURALLAR</t>
  </si>
  <si>
    <t xml:space="preserve">Etsy LISTE = girilecek fiyat. Motor / 0.75, yukari 5 USD katina yuvarli.</t>
  </si>
  <si>
    <t xml:space="preserve">Magaza geneli KALICI yuzde 25 sale acik kalir. Gorunen sale fiyati = Liste x 0.75 (motor hedefinin ustunde).</t>
  </si>
  <si>
    <t xml:space="preserve">Gorunen sale asla Floor altina inmez. KONTROL kolonu her satirda OK olmali.</t>
  </si>
  <si>
    <t xml:space="preserve">Offsite Ad siparisinde alt sinir Offsite Floor kolonudur.</t>
  </si>
  <si>
    <t xml:space="preserve">Dogrulama gecti: 10K 5mm US7 motor 580 (liste 775) ve 14K 6mm US7 motor 1022 (liste 1365).</t>
  </si>
  <si>
    <t xml:space="preserve">Genislik mm</t>
  </si>
  <si>
    <t xml:space="preserve">Beden US</t>
  </si>
  <si>
    <t xml:space="preserve">Gram 2.0mm</t>
  </si>
  <si>
    <t xml:space="preserve">Landed USD</t>
  </si>
  <si>
    <t xml:space="preserve">Motor USD</t>
  </si>
  <si>
    <t xml:space="preserve">ETSY LISTE USD</t>
  </si>
  <si>
    <t xml:space="preserve">Gorunen Sale USD</t>
  </si>
  <si>
    <t xml:space="preserve">Floor USD</t>
  </si>
  <si>
    <t xml:space="preserve">Offsite Floor USD</t>
  </si>
  <si>
    <t xml:space="preserve">KONTROL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</si>
</sst>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9C45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FFF2CC"/>
        <bgColor rgb="FFE8F0EB"/>
      </patternFill>
    </fill>
    <fill>
      <patternFill patternType="solid">
        <fgColor rgb="FFE8F0EB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8F0E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C45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2"/>
    <col collapsed="false" customWidth="true" hidden="false" outlineLevel="0" max="3" min="3" style="1" width="70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true" outlineLevel="0" collapsed="false">
      <c r="A2" s="3" t="s">
        <v>3</v>
      </c>
      <c r="B2" s="4" t="n">
        <v>4090</v>
      </c>
      <c r="C2" s="3" t="s">
        <v>4</v>
      </c>
    </row>
    <row r="3" customFormat="false" ht="15" hidden="false" customHeight="true" outlineLevel="0" collapsed="false">
      <c r="A3" s="3" t="s">
        <v>5</v>
      </c>
      <c r="B3" s="5" t="n">
        <v>0.07</v>
      </c>
      <c r="C3" s="3" t="s">
        <v>6</v>
      </c>
    </row>
    <row r="4" customFormat="false" ht="15" hidden="false" customHeight="true" outlineLevel="0" collapsed="false">
      <c r="A4" s="3" t="s">
        <v>7</v>
      </c>
      <c r="B4" s="5" t="n">
        <v>30</v>
      </c>
      <c r="C4" s="3"/>
    </row>
    <row r="5" customFormat="false" ht="15" hidden="false" customHeight="true" outlineLevel="0" collapsed="false">
      <c r="A5" s="3" t="s">
        <v>8</v>
      </c>
      <c r="B5" s="5" t="n">
        <v>8</v>
      </c>
      <c r="C5" s="3"/>
    </row>
    <row r="6" customFormat="false" ht="15" hidden="false" customHeight="true" outlineLevel="0" collapsed="false">
      <c r="A6" s="3" t="s">
        <v>9</v>
      </c>
      <c r="B6" s="5" t="n">
        <v>22</v>
      </c>
      <c r="C6" s="3"/>
    </row>
    <row r="7" customFormat="false" ht="15" hidden="false" customHeight="true" outlineLevel="0" collapsed="false">
      <c r="A7" s="3" t="s">
        <v>10</v>
      </c>
      <c r="B7" s="4" t="n">
        <v>1.55</v>
      </c>
      <c r="C7" s="3" t="s">
        <v>11</v>
      </c>
    </row>
    <row r="8" customFormat="false" ht="15" hidden="false" customHeight="true" outlineLevel="0" collapsed="false">
      <c r="A8" s="3" t="s">
        <v>12</v>
      </c>
      <c r="B8" s="5" t="n">
        <f aca="false">B2/31.1035</f>
        <v>131.496455382835</v>
      </c>
      <c r="C8" s="3"/>
    </row>
    <row r="9" customFormat="false" ht="15" hidden="false" customHeight="true" outlineLevel="0" collapsed="false">
      <c r="A9" s="3" t="s">
        <v>13</v>
      </c>
      <c r="B9" s="5" t="n">
        <v>0.105</v>
      </c>
      <c r="C9" s="3" t="s">
        <v>14</v>
      </c>
    </row>
    <row r="10" customFormat="false" ht="15" hidden="false" customHeight="true" outlineLevel="0" collapsed="false">
      <c r="A10" s="3" t="s">
        <v>15</v>
      </c>
      <c r="B10" s="5" t="n">
        <v>0.15</v>
      </c>
      <c r="C10" s="3" t="s">
        <v>16</v>
      </c>
    </row>
    <row r="11" customFormat="false" ht="15" hidden="false" customHeight="true" outlineLevel="0" collapsed="false">
      <c r="A11" s="3" t="s">
        <v>17</v>
      </c>
      <c r="B11" s="5" t="n">
        <v>0.417</v>
      </c>
      <c r="C11" s="3"/>
    </row>
    <row r="12" customFormat="false" ht="15" hidden="false" customHeight="true" outlineLevel="0" collapsed="false">
      <c r="A12" s="3" t="s">
        <v>18</v>
      </c>
      <c r="B12" s="5" t="n">
        <v>0.583</v>
      </c>
      <c r="C12" s="3"/>
    </row>
    <row r="13" customFormat="false" ht="15" hidden="false" customHeight="true" outlineLevel="0" collapsed="false">
      <c r="A13" s="3" t="s">
        <v>19</v>
      </c>
      <c r="B13" s="5" t="n">
        <v>0.75</v>
      </c>
      <c r="C13" s="3"/>
    </row>
    <row r="14" customFormat="false" ht="15" hidden="false" customHeight="true" outlineLevel="0" collapsed="false">
      <c r="A14" s="3" t="s">
        <v>20</v>
      </c>
      <c r="B14" s="5" t="s">
        <v>21</v>
      </c>
      <c r="C14" s="3" t="s">
        <v>22</v>
      </c>
    </row>
    <row r="15" customFormat="false" ht="15" hidden="false" customHeight="true" outlineLevel="0" collapsed="false">
      <c r="A15" s="3" t="s">
        <v>23</v>
      </c>
      <c r="B15" s="5"/>
      <c r="C15" s="3" t="s">
        <v>24</v>
      </c>
    </row>
    <row r="16" customFormat="false" ht="15" hidden="false" customHeight="false" outlineLevel="0" collapsed="false">
      <c r="A16" s="6" t="s">
        <v>25</v>
      </c>
      <c r="B16" s="7" t="n">
        <v>40</v>
      </c>
      <c r="C16" s="6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15" hidden="false" customHeight="true" outlineLevel="0" collapsed="false">
      <c r="A1" s="8" t="s">
        <v>27</v>
      </c>
    </row>
    <row r="2" customFormat="false" ht="15" hidden="false" customHeight="true" outlineLevel="0" collapsed="false">
      <c r="A2" s="3" t="s">
        <v>28</v>
      </c>
    </row>
    <row r="3" customFormat="false" ht="15" hidden="false" customHeight="true" outlineLevel="0" collapsed="false">
      <c r="A3" s="3" t="s">
        <v>29</v>
      </c>
    </row>
    <row r="4" customFormat="false" ht="15" hidden="false" customHeight="true" outlineLevel="0" collapsed="false">
      <c r="A4" s="3" t="s">
        <v>30</v>
      </c>
    </row>
    <row r="5" customFormat="false" ht="15" hidden="false" customHeight="true" outlineLevel="0" collapsed="false">
      <c r="A5" s="3" t="s">
        <v>31</v>
      </c>
    </row>
    <row r="6" customFormat="false" ht="15" hidden="false" customHeight="true" outlineLevel="0" collapsed="false">
      <c r="A6" s="3" t="s">
        <v>32</v>
      </c>
    </row>
    <row r="7" customFormat="false" ht="15" hidden="false" customHeight="true" outlineLevel="0" collapsed="false">
      <c r="A7" s="3"/>
    </row>
    <row r="8" customFormat="false" ht="15" hidden="false" customHeight="true" outlineLevel="0" collapsed="false">
      <c r="A8" s="8" t="s">
        <v>33</v>
      </c>
    </row>
    <row r="9" customFormat="false" ht="15" hidden="false" customHeight="true" outlineLevel="0" collapsed="false">
      <c r="A9" s="3" t="s">
        <v>34</v>
      </c>
    </row>
    <row r="10" customFormat="false" ht="15" hidden="false" customHeight="true" outlineLevel="0" collapsed="false">
      <c r="A10" s="3" t="s">
        <v>35</v>
      </c>
    </row>
    <row r="11" customFormat="false" ht="15" hidden="false" customHeight="true" outlineLevel="0" collapsed="false">
      <c r="A11" s="3" t="s">
        <v>36</v>
      </c>
    </row>
    <row r="12" customFormat="false" ht="15" hidden="false" customHeight="true" outlineLevel="0" collapsed="false">
      <c r="A12" s="3" t="s">
        <v>37</v>
      </c>
    </row>
    <row r="13" customFormat="false" ht="15" hidden="false" customHeight="false" outlineLevel="0" collapsed="false">
      <c r="A13" s="6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9"/>
    <col collapsed="false" customWidth="true" hidden="false" outlineLevel="0" max="4" min="3" style="1" width="11"/>
    <col collapsed="false" customWidth="true" hidden="false" outlineLevel="0" max="5" min="5" style="1" width="10"/>
    <col collapsed="false" customWidth="true" hidden="false" outlineLevel="0" max="6" min="6" style="1" width="15"/>
    <col collapsed="false" customWidth="true" hidden="false" outlineLevel="0" max="7" min="7" style="1" width="14"/>
    <col collapsed="false" customWidth="true" hidden="false" outlineLevel="0" max="8" min="8" style="1" width="10"/>
    <col collapsed="false" customWidth="true" hidden="false" outlineLevel="0" max="9" min="9" style="1" width="14"/>
    <col collapsed="false" customWidth="true" hidden="false" outlineLevel="0" max="10" min="10" style="1" width="12"/>
  </cols>
  <sheetData>
    <row r="1" customFormat="false" ht="23.25" hidden="false" customHeight="true" outlineLevel="0" collapsed="false">
      <c r="A1" s="9" t="s">
        <v>39</v>
      </c>
      <c r="B1" s="9" t="s">
        <v>40</v>
      </c>
      <c r="C1" s="9" t="s">
        <v>41</v>
      </c>
      <c r="D1" s="9" t="s">
        <v>42</v>
      </c>
      <c r="E1" s="9" t="s">
        <v>43</v>
      </c>
      <c r="F1" s="9" t="s">
        <v>44</v>
      </c>
      <c r="G1" s="9" t="s">
        <v>45</v>
      </c>
      <c r="H1" s="9" t="s">
        <v>46</v>
      </c>
      <c r="I1" s="9" t="s">
        <v>47</v>
      </c>
      <c r="J1" s="9" t="s">
        <v>48</v>
      </c>
    </row>
    <row r="2" customFormat="false" ht="15" hidden="false" customHeight="true" outlineLevel="0" collapsed="false">
      <c r="A2" s="10" t="n">
        <v>2</v>
      </c>
      <c r="B2" s="10" t="n">
        <v>4</v>
      </c>
      <c r="C2" s="11" t="n">
        <v>1.88</v>
      </c>
      <c r="D2" s="12" t="n">
        <f aca="false">ROUND(C2*ASM!$B$8*ASM!$B$11*(1+ASM!$B$3)+ASM!$B$4+ASM!$B$5+ASM!$B$6,2)</f>
        <v>170.3</v>
      </c>
      <c r="E2" s="10" t="n">
        <f aca="false">ROUND(D2*ASM!$B$7,0)</f>
        <v>264</v>
      </c>
      <c r="F2" s="13" t="n">
        <f aca="false">CEILING(E2/0.75,5)</f>
        <v>355</v>
      </c>
      <c r="G2" s="12" t="n">
        <f aca="false">F2*0.75</f>
        <v>266.25</v>
      </c>
      <c r="H2" s="10" t="n">
        <f aca="false">ROUND((D2+0.45)/(1-ASM!$B$9),0)</f>
        <v>191</v>
      </c>
      <c r="I2" s="10" t="n">
        <f aca="false">ROUND((D2+0.45)/(1-ASM!$B$9-ASM!$B$10),0)</f>
        <v>229</v>
      </c>
      <c r="J2" s="10" t="str">
        <f aca="false">IF(G2&gt;=H2,"OK","FLOOR ALTI")</f>
        <v>OK</v>
      </c>
    </row>
    <row r="3" customFormat="false" ht="15" hidden="false" customHeight="true" outlineLevel="0" collapsed="false">
      <c r="A3" s="10" t="n">
        <v>2</v>
      </c>
      <c r="B3" s="10" t="n">
        <v>5</v>
      </c>
      <c r="C3" s="11" t="n">
        <v>1.97</v>
      </c>
      <c r="D3" s="12" t="n">
        <f aca="false">ROUND(C3*ASM!$B$8*ASM!$B$11*(1+ASM!$B$3)+ASM!$B$4+ASM!$B$5+ASM!$B$6,2)</f>
        <v>175.58</v>
      </c>
      <c r="E3" s="10" t="n">
        <f aca="false">ROUND(D3*ASM!$B$7,0)</f>
        <v>272</v>
      </c>
      <c r="F3" s="13" t="n">
        <f aca="false">CEILING(E3/0.75,5)</f>
        <v>365</v>
      </c>
      <c r="G3" s="12" t="n">
        <f aca="false">F3*0.75</f>
        <v>273.75</v>
      </c>
      <c r="H3" s="10" t="n">
        <f aca="false">ROUND((D3+0.45)/(1-ASM!$B$9),0)</f>
        <v>197</v>
      </c>
      <c r="I3" s="10" t="n">
        <f aca="false">ROUND((D3+0.45)/(1-ASM!$B$9-ASM!$B$10),0)</f>
        <v>236</v>
      </c>
      <c r="J3" s="10" t="str">
        <f aca="false">IF(G3&gt;=H3,"OK","FLOOR ALTI")</f>
        <v>OK</v>
      </c>
    </row>
    <row r="4" customFormat="false" ht="15" hidden="false" customHeight="true" outlineLevel="0" collapsed="false">
      <c r="A4" s="10" t="n">
        <v>2</v>
      </c>
      <c r="B4" s="10" t="n">
        <v>6</v>
      </c>
      <c r="C4" s="11" t="n">
        <v>2.06</v>
      </c>
      <c r="D4" s="12" t="n">
        <f aca="false">ROUND(C4*ASM!$B$8*ASM!$B$11*(1+ASM!$B$3)+ASM!$B$4+ASM!$B$5+ASM!$B$6,2)</f>
        <v>180.87</v>
      </c>
      <c r="E4" s="10" t="n">
        <f aca="false">ROUND(D4*ASM!$B$7,0)</f>
        <v>280</v>
      </c>
      <c r="F4" s="13" t="n">
        <f aca="false">CEILING(E4/0.75,5)</f>
        <v>375</v>
      </c>
      <c r="G4" s="12" t="n">
        <f aca="false">F4*0.75</f>
        <v>281.25</v>
      </c>
      <c r="H4" s="10" t="n">
        <f aca="false">ROUND((D4+0.45)/(1-ASM!$B$9),0)</f>
        <v>203</v>
      </c>
      <c r="I4" s="10" t="n">
        <f aca="false">ROUND((D4+0.45)/(1-ASM!$B$9-ASM!$B$10),0)</f>
        <v>243</v>
      </c>
      <c r="J4" s="10" t="str">
        <f aca="false">IF(G4&gt;=H4,"OK","FLOOR ALTI")</f>
        <v>OK</v>
      </c>
    </row>
    <row r="5" customFormat="false" ht="15" hidden="false" customHeight="true" outlineLevel="0" collapsed="false">
      <c r="A5" s="10" t="n">
        <v>2</v>
      </c>
      <c r="B5" s="10" t="n">
        <v>7</v>
      </c>
      <c r="C5" s="11" t="n">
        <v>2.15</v>
      </c>
      <c r="D5" s="12" t="n">
        <f aca="false">ROUND(C5*ASM!$B$8*ASM!$B$11*(1+ASM!$B$3)+ASM!$B$4+ASM!$B$5+ASM!$B$6,2)</f>
        <v>186.15</v>
      </c>
      <c r="E5" s="10" t="n">
        <f aca="false">ROUND(D5*ASM!$B$7,0)</f>
        <v>289</v>
      </c>
      <c r="F5" s="13" t="n">
        <f aca="false">CEILING(E5/0.75,5)</f>
        <v>390</v>
      </c>
      <c r="G5" s="12" t="n">
        <f aca="false">F5*0.75</f>
        <v>292.5</v>
      </c>
      <c r="H5" s="10" t="n">
        <f aca="false">ROUND((D5+0.45)/(1-ASM!$B$9),0)</f>
        <v>208</v>
      </c>
      <c r="I5" s="10" t="n">
        <f aca="false">ROUND((D5+0.45)/(1-ASM!$B$9-ASM!$B$10),0)</f>
        <v>250</v>
      </c>
      <c r="J5" s="10" t="str">
        <f aca="false">IF(G5&gt;=H5,"OK","FLOOR ALTI")</f>
        <v>OK</v>
      </c>
    </row>
    <row r="6" customFormat="false" ht="15" hidden="false" customHeight="true" outlineLevel="0" collapsed="false">
      <c r="A6" s="10" t="n">
        <v>2</v>
      </c>
      <c r="B6" s="10" t="n">
        <v>8</v>
      </c>
      <c r="C6" s="11" t="n">
        <v>2.23</v>
      </c>
      <c r="D6" s="12" t="n">
        <f aca="false">ROUND(C6*ASM!$B$8*ASM!$B$11*(1+ASM!$B$3)+ASM!$B$4+ASM!$B$5+ASM!$B$6,2)</f>
        <v>190.84</v>
      </c>
      <c r="E6" s="10" t="n">
        <f aca="false">ROUND(D6*ASM!$B$7,0)</f>
        <v>296</v>
      </c>
      <c r="F6" s="13" t="n">
        <f aca="false">CEILING(E6/0.75,5)</f>
        <v>395</v>
      </c>
      <c r="G6" s="12" t="n">
        <f aca="false">F6*0.75</f>
        <v>296.25</v>
      </c>
      <c r="H6" s="10" t="n">
        <f aca="false">ROUND((D6+0.45)/(1-ASM!$B$9),0)</f>
        <v>214</v>
      </c>
      <c r="I6" s="10" t="n">
        <f aca="false">ROUND((D6+0.45)/(1-ASM!$B$9-ASM!$B$10),0)</f>
        <v>257</v>
      </c>
      <c r="J6" s="10" t="str">
        <f aca="false">IF(G6&gt;=H6,"OK","FLOOR ALTI")</f>
        <v>OK</v>
      </c>
    </row>
    <row r="7" customFormat="false" ht="15" hidden="false" customHeight="true" outlineLevel="0" collapsed="false">
      <c r="A7" s="10" t="n">
        <v>2</v>
      </c>
      <c r="B7" s="10" t="n">
        <v>9</v>
      </c>
      <c r="C7" s="11" t="n">
        <v>2.32</v>
      </c>
      <c r="D7" s="12" t="n">
        <f aca="false">ROUND(C7*ASM!$B$8*ASM!$B$11*(1+ASM!$B$3)+ASM!$B$4+ASM!$B$5+ASM!$B$6,2)</f>
        <v>196.12</v>
      </c>
      <c r="E7" s="10" t="n">
        <f aca="false">ROUND(D7*ASM!$B$7,0)</f>
        <v>304</v>
      </c>
      <c r="F7" s="13" t="n">
        <f aca="false">CEILING(E7/0.75,5)</f>
        <v>410</v>
      </c>
      <c r="G7" s="12" t="n">
        <f aca="false">F7*0.75</f>
        <v>307.5</v>
      </c>
      <c r="H7" s="10" t="n">
        <f aca="false">ROUND((D7+0.45)/(1-ASM!$B$9),0)</f>
        <v>220</v>
      </c>
      <c r="I7" s="10" t="n">
        <f aca="false">ROUND((D7+0.45)/(1-ASM!$B$9-ASM!$B$10),0)</f>
        <v>264</v>
      </c>
      <c r="J7" s="10" t="str">
        <f aca="false">IF(G7&gt;=H7,"OK","FLOOR ALTI")</f>
        <v>OK</v>
      </c>
    </row>
    <row r="8" customFormat="false" ht="15" hidden="false" customHeight="true" outlineLevel="0" collapsed="false">
      <c r="A8" s="10" t="n">
        <v>2</v>
      </c>
      <c r="B8" s="10" t="n">
        <v>10</v>
      </c>
      <c r="C8" s="11" t="n">
        <v>2.41</v>
      </c>
      <c r="D8" s="12" t="n">
        <f aca="false">ROUND(C8*ASM!$B$8*ASM!$B$11*(1+ASM!$B$3)+ASM!$B$4+ASM!$B$5+ASM!$B$6,2)</f>
        <v>201.4</v>
      </c>
      <c r="E8" s="10" t="n">
        <f aca="false">ROUND(D8*ASM!$B$7,0)</f>
        <v>312</v>
      </c>
      <c r="F8" s="13" t="n">
        <f aca="false">CEILING(E8/0.75,5)</f>
        <v>420</v>
      </c>
      <c r="G8" s="12" t="n">
        <f aca="false">F8*0.75</f>
        <v>315</v>
      </c>
      <c r="H8" s="10" t="n">
        <f aca="false">ROUND((D8+0.45)/(1-ASM!$B$9),0)</f>
        <v>226</v>
      </c>
      <c r="I8" s="10" t="n">
        <f aca="false">ROUND((D8+0.45)/(1-ASM!$B$9-ASM!$B$10),0)</f>
        <v>271</v>
      </c>
      <c r="J8" s="10" t="str">
        <f aca="false">IF(G8&gt;=H8,"OK","FLOOR ALTI")</f>
        <v>OK</v>
      </c>
    </row>
    <row r="9" customFormat="false" ht="15" hidden="false" customHeight="true" outlineLevel="0" collapsed="false">
      <c r="A9" s="10" t="n">
        <v>2</v>
      </c>
      <c r="B9" s="10" t="n">
        <v>11</v>
      </c>
      <c r="C9" s="11" t="n">
        <v>2.5</v>
      </c>
      <c r="D9" s="12" t="n">
        <f aca="false">ROUND(C9*ASM!$B$8*ASM!$B$11*(1+ASM!$B$3)+ASM!$B$4+ASM!$B$5+ASM!$B$6,2)</f>
        <v>206.68</v>
      </c>
      <c r="E9" s="10" t="n">
        <f aca="false">ROUND(D9*ASM!$B$7,0)</f>
        <v>320</v>
      </c>
      <c r="F9" s="13" t="n">
        <f aca="false">CEILING(E9/0.75,5)</f>
        <v>430</v>
      </c>
      <c r="G9" s="12" t="n">
        <f aca="false">F9*0.75</f>
        <v>322.5</v>
      </c>
      <c r="H9" s="10" t="n">
        <f aca="false">ROUND((D9+0.45)/(1-ASM!$B$9),0)</f>
        <v>231</v>
      </c>
      <c r="I9" s="10" t="n">
        <f aca="false">ROUND((D9+0.45)/(1-ASM!$B$9-ASM!$B$10),0)</f>
        <v>278</v>
      </c>
      <c r="J9" s="10" t="str">
        <f aca="false">IF(G9&gt;=H9,"OK","FLOOR ALTI")</f>
        <v>OK</v>
      </c>
    </row>
    <row r="10" customFormat="false" ht="15" hidden="false" customHeight="true" outlineLevel="0" collapsed="false">
      <c r="A10" s="10" t="n">
        <v>2</v>
      </c>
      <c r="B10" s="10" t="n">
        <v>12</v>
      </c>
      <c r="C10" s="11" t="n">
        <v>2.59</v>
      </c>
      <c r="D10" s="12" t="n">
        <f aca="false">ROUND(C10*ASM!$B$8*ASM!$B$11*(1+ASM!$B$3)+ASM!$B$4+ASM!$B$5+ASM!$B$6,2)</f>
        <v>211.96</v>
      </c>
      <c r="E10" s="10" t="n">
        <f aca="false">ROUND(D10*ASM!$B$7,0)</f>
        <v>329</v>
      </c>
      <c r="F10" s="13" t="n">
        <f aca="false">CEILING(E10/0.75,5)</f>
        <v>440</v>
      </c>
      <c r="G10" s="12" t="n">
        <f aca="false">F10*0.75</f>
        <v>330</v>
      </c>
      <c r="H10" s="10" t="n">
        <f aca="false">ROUND((D10+0.45)/(1-ASM!$B$9),0)</f>
        <v>237</v>
      </c>
      <c r="I10" s="10" t="n">
        <f aca="false">ROUND((D10+0.45)/(1-ASM!$B$9-ASM!$B$10),0)</f>
        <v>285</v>
      </c>
      <c r="J10" s="10" t="str">
        <f aca="false">IF(G10&gt;=H10,"OK","FLOOR ALTI")</f>
        <v>OK</v>
      </c>
    </row>
    <row r="11" customFormat="false" ht="15" hidden="false" customHeight="true" outlineLevel="0" collapsed="false">
      <c r="A11" s="10" t="n">
        <v>2</v>
      </c>
      <c r="B11" s="10" t="n">
        <v>13</v>
      </c>
      <c r="C11" s="11" t="n">
        <v>2.68</v>
      </c>
      <c r="D11" s="12" t="n">
        <f aca="false">ROUND(C11*ASM!$B$8*ASM!$B$11*(1+ASM!$B$3)+ASM!$B$4+ASM!$B$5+ASM!$B$6,2)</f>
        <v>217.24</v>
      </c>
      <c r="E11" s="10" t="n">
        <f aca="false">ROUND(D11*ASM!$B$7,0)</f>
        <v>337</v>
      </c>
      <c r="F11" s="13" t="n">
        <f aca="false">CEILING(E11/0.75,5)</f>
        <v>450</v>
      </c>
      <c r="G11" s="12" t="n">
        <f aca="false">F11*0.75</f>
        <v>337.5</v>
      </c>
      <c r="H11" s="10" t="n">
        <f aca="false">ROUND((D11+0.45)/(1-ASM!$B$9),0)</f>
        <v>243</v>
      </c>
      <c r="I11" s="10" t="n">
        <f aca="false">ROUND((D11+0.45)/(1-ASM!$B$9-ASM!$B$10),0)</f>
        <v>292</v>
      </c>
      <c r="J11" s="10" t="str">
        <f aca="false">IF(G11&gt;=H11,"OK","FLOOR ALTI")</f>
        <v>OK</v>
      </c>
    </row>
    <row r="12" customFormat="false" ht="15" hidden="false" customHeight="true" outlineLevel="0" collapsed="false">
      <c r="A12" s="10" t="n">
        <v>2</v>
      </c>
      <c r="B12" s="10" t="n">
        <v>14</v>
      </c>
      <c r="C12" s="11" t="n">
        <v>2.76</v>
      </c>
      <c r="D12" s="12" t="n">
        <f aca="false">ROUND(C12*ASM!$B$8*ASM!$B$11*(1+ASM!$B$3)+ASM!$B$4+ASM!$B$5+ASM!$B$6,2)</f>
        <v>221.94</v>
      </c>
      <c r="E12" s="10" t="n">
        <f aca="false">ROUND(D12*ASM!$B$7,0)</f>
        <v>344</v>
      </c>
      <c r="F12" s="13" t="n">
        <f aca="false">CEILING(E12/0.75,5)</f>
        <v>460</v>
      </c>
      <c r="G12" s="12" t="n">
        <f aca="false">F12*0.75</f>
        <v>345</v>
      </c>
      <c r="H12" s="10" t="n">
        <f aca="false">ROUND((D12+0.45)/(1-ASM!$B$9),0)</f>
        <v>248</v>
      </c>
      <c r="I12" s="10" t="n">
        <f aca="false">ROUND((D12+0.45)/(1-ASM!$B$9-ASM!$B$10),0)</f>
        <v>299</v>
      </c>
      <c r="J12" s="10" t="str">
        <f aca="false">IF(G12&gt;=H12,"OK","FLOOR ALTI")</f>
        <v>OK</v>
      </c>
    </row>
    <row r="13" customFormat="false" ht="15" hidden="false" customHeight="true" outlineLevel="0" collapsed="false">
      <c r="A13" s="10" t="n">
        <v>2</v>
      </c>
      <c r="B13" s="10" t="n">
        <v>15</v>
      </c>
      <c r="C13" s="11" t="n">
        <v>2.85</v>
      </c>
      <c r="D13" s="12" t="n">
        <f aca="false">ROUND(C13*ASM!$B$8*ASM!$B$11*(1+ASM!$B$3)+ASM!$B$4+ASM!$B$5+ASM!$B$6,2)</f>
        <v>227.22</v>
      </c>
      <c r="E13" s="10" t="n">
        <f aca="false">ROUND(D13*ASM!$B$7,0)</f>
        <v>352</v>
      </c>
      <c r="F13" s="13" t="n">
        <f aca="false">CEILING(E13/0.75,5)</f>
        <v>470</v>
      </c>
      <c r="G13" s="12" t="n">
        <f aca="false">F13*0.75</f>
        <v>352.5</v>
      </c>
      <c r="H13" s="10" t="n">
        <f aca="false">ROUND((D13+0.45)/(1-ASM!$B$9),0)</f>
        <v>254</v>
      </c>
      <c r="I13" s="10" t="n">
        <f aca="false">ROUND((D13+0.45)/(1-ASM!$B$9-ASM!$B$10),0)</f>
        <v>306</v>
      </c>
      <c r="J13" s="10" t="str">
        <f aca="false">IF(G13&gt;=H13,"OK","FLOOR ALTI")</f>
        <v>OK</v>
      </c>
    </row>
    <row r="14" customFormat="false" ht="15" hidden="false" customHeight="true" outlineLevel="0" collapsed="false">
      <c r="A14" s="10" t="n">
        <v>2</v>
      </c>
      <c r="B14" s="10" t="n">
        <v>16</v>
      </c>
      <c r="C14" s="11" t="n">
        <v>2.94</v>
      </c>
      <c r="D14" s="12" t="n">
        <f aca="false">ROUND(C14*ASM!$B$8*ASM!$B$11*(1+ASM!$B$3)+ASM!$B$4+ASM!$B$5+ASM!$B$6,2)</f>
        <v>232.5</v>
      </c>
      <c r="E14" s="10" t="n">
        <f aca="false">ROUND(D14*ASM!$B$7,0)</f>
        <v>360</v>
      </c>
      <c r="F14" s="13" t="n">
        <f aca="false">CEILING(E14/0.75,5)</f>
        <v>480</v>
      </c>
      <c r="G14" s="12" t="n">
        <f aca="false">F14*0.75</f>
        <v>360</v>
      </c>
      <c r="H14" s="10" t="n">
        <f aca="false">ROUND((D14+0.45)/(1-ASM!$B$9),0)</f>
        <v>260</v>
      </c>
      <c r="I14" s="10" t="n">
        <f aca="false">ROUND((D14+0.45)/(1-ASM!$B$9-ASM!$B$10),0)</f>
        <v>313</v>
      </c>
      <c r="J14" s="10" t="str">
        <f aca="false">IF(G14&gt;=H14,"OK","FLOOR ALTI")</f>
        <v>OK</v>
      </c>
    </row>
    <row r="15" customFormat="false" ht="15" hidden="false" customHeight="true" outlineLevel="0" collapsed="false">
      <c r="A15" s="10" t="n">
        <v>3</v>
      </c>
      <c r="B15" s="10" t="n">
        <v>4</v>
      </c>
      <c r="C15" s="11" t="n">
        <v>2.82</v>
      </c>
      <c r="D15" s="12" t="n">
        <f aca="false">ROUND(C15*ASM!$B$8*ASM!$B$11*(1+ASM!$B$3)+ASM!$B$4+ASM!$B$5+ASM!$B$6,2)</f>
        <v>225.46</v>
      </c>
      <c r="E15" s="10" t="n">
        <f aca="false">ROUND(D15*ASM!$B$7,0)</f>
        <v>349</v>
      </c>
      <c r="F15" s="13" t="n">
        <f aca="false">CEILING(E15/0.75,5)</f>
        <v>470</v>
      </c>
      <c r="G15" s="12" t="n">
        <f aca="false">F15*0.75</f>
        <v>352.5</v>
      </c>
      <c r="H15" s="10" t="n">
        <f aca="false">ROUND((D15+0.45)/(1-ASM!$B$9),0)</f>
        <v>252</v>
      </c>
      <c r="I15" s="10" t="n">
        <f aca="false">ROUND((D15+0.45)/(1-ASM!$B$9-ASM!$B$10),0)</f>
        <v>303</v>
      </c>
      <c r="J15" s="10" t="str">
        <f aca="false">IF(G15&gt;=H15,"OK","FLOOR ALTI")</f>
        <v>OK</v>
      </c>
    </row>
    <row r="16" customFormat="false" ht="15" hidden="false" customHeight="true" outlineLevel="0" collapsed="false">
      <c r="A16" s="10" t="n">
        <v>3</v>
      </c>
      <c r="B16" s="10" t="n">
        <v>5</v>
      </c>
      <c r="C16" s="11" t="n">
        <v>2.95</v>
      </c>
      <c r="D16" s="12" t="n">
        <f aca="false">ROUND(C16*ASM!$B$8*ASM!$B$11*(1+ASM!$B$3)+ASM!$B$4+ASM!$B$5+ASM!$B$6,2)</f>
        <v>233.08</v>
      </c>
      <c r="E16" s="10" t="n">
        <f aca="false">ROUND(D16*ASM!$B$7,0)</f>
        <v>361</v>
      </c>
      <c r="F16" s="13" t="n">
        <f aca="false">CEILING(E16/0.75,5)</f>
        <v>485</v>
      </c>
      <c r="G16" s="12" t="n">
        <f aca="false">F16*0.75</f>
        <v>363.75</v>
      </c>
      <c r="H16" s="10" t="n">
        <f aca="false">ROUND((D16+0.45)/(1-ASM!$B$9),0)</f>
        <v>261</v>
      </c>
      <c r="I16" s="10" t="n">
        <f aca="false">ROUND((D16+0.45)/(1-ASM!$B$9-ASM!$B$10),0)</f>
        <v>313</v>
      </c>
      <c r="J16" s="10" t="str">
        <f aca="false">IF(G16&gt;=H16,"OK","FLOOR ALTI")</f>
        <v>OK</v>
      </c>
    </row>
    <row r="17" customFormat="false" ht="15" hidden="false" customHeight="true" outlineLevel="0" collapsed="false">
      <c r="A17" s="10" t="n">
        <v>3</v>
      </c>
      <c r="B17" s="10" t="n">
        <v>6</v>
      </c>
      <c r="C17" s="11" t="n">
        <v>3.09</v>
      </c>
      <c r="D17" s="12" t="n">
        <f aca="false">ROUND(C17*ASM!$B$8*ASM!$B$11*(1+ASM!$B$3)+ASM!$B$4+ASM!$B$5+ASM!$B$6,2)</f>
        <v>241.3</v>
      </c>
      <c r="E17" s="10" t="n">
        <f aca="false">ROUND(D17*ASM!$B$7,0)</f>
        <v>374</v>
      </c>
      <c r="F17" s="13" t="n">
        <f aca="false">CEILING(E17/0.75,5)</f>
        <v>500</v>
      </c>
      <c r="G17" s="12" t="n">
        <f aca="false">F17*0.75</f>
        <v>375</v>
      </c>
      <c r="H17" s="10" t="n">
        <f aca="false">ROUND((D17+0.45)/(1-ASM!$B$9),0)</f>
        <v>270</v>
      </c>
      <c r="I17" s="10" t="n">
        <f aca="false">ROUND((D17+0.45)/(1-ASM!$B$9-ASM!$B$10),0)</f>
        <v>324</v>
      </c>
      <c r="J17" s="10" t="str">
        <f aca="false">IF(G17&gt;=H17,"OK","FLOOR ALTI")</f>
        <v>OK</v>
      </c>
    </row>
    <row r="18" customFormat="false" ht="15" hidden="false" customHeight="true" outlineLevel="0" collapsed="false">
      <c r="A18" s="10" t="n">
        <v>3</v>
      </c>
      <c r="B18" s="10" t="n">
        <v>7</v>
      </c>
      <c r="C18" s="11" t="n">
        <v>3.22</v>
      </c>
      <c r="D18" s="12" t="n">
        <f aca="false">ROUND(C18*ASM!$B$8*ASM!$B$11*(1+ASM!$B$3)+ASM!$B$4+ASM!$B$5+ASM!$B$6,2)</f>
        <v>248.93</v>
      </c>
      <c r="E18" s="10" t="n">
        <f aca="false">ROUND(D18*ASM!$B$7,0)</f>
        <v>386</v>
      </c>
      <c r="F18" s="13" t="n">
        <f aca="false">CEILING(E18/0.75,5)</f>
        <v>515</v>
      </c>
      <c r="G18" s="12" t="n">
        <f aca="false">F18*0.75</f>
        <v>386.25</v>
      </c>
      <c r="H18" s="10" t="n">
        <f aca="false">ROUND((D18+0.45)/(1-ASM!$B$9),0)</f>
        <v>279</v>
      </c>
      <c r="I18" s="10" t="n">
        <f aca="false">ROUND((D18+0.45)/(1-ASM!$B$9-ASM!$B$10),0)</f>
        <v>335</v>
      </c>
      <c r="J18" s="10" t="str">
        <f aca="false">IF(G18&gt;=H18,"OK","FLOOR ALTI")</f>
        <v>OK</v>
      </c>
    </row>
    <row r="19" customFormat="false" ht="15" hidden="false" customHeight="true" outlineLevel="0" collapsed="false">
      <c r="A19" s="10" t="n">
        <v>3</v>
      </c>
      <c r="B19" s="10" t="n">
        <v>8</v>
      </c>
      <c r="C19" s="11" t="n">
        <v>3.35</v>
      </c>
      <c r="D19" s="12" t="n">
        <f aca="false">ROUND(C19*ASM!$B$8*ASM!$B$11*(1+ASM!$B$3)+ASM!$B$4+ASM!$B$5+ASM!$B$6,2)</f>
        <v>256.55</v>
      </c>
      <c r="E19" s="10" t="n">
        <f aca="false">ROUND(D19*ASM!$B$7,0)</f>
        <v>398</v>
      </c>
      <c r="F19" s="13" t="n">
        <f aca="false">CEILING(E19/0.75,5)</f>
        <v>535</v>
      </c>
      <c r="G19" s="12" t="n">
        <f aca="false">F19*0.75</f>
        <v>401.25</v>
      </c>
      <c r="H19" s="10" t="n">
        <f aca="false">ROUND((D19+0.45)/(1-ASM!$B$9),0)</f>
        <v>287</v>
      </c>
      <c r="I19" s="10" t="n">
        <f aca="false">ROUND((D19+0.45)/(1-ASM!$B$9-ASM!$B$10),0)</f>
        <v>345</v>
      </c>
      <c r="J19" s="10" t="str">
        <f aca="false">IF(G19&gt;=H19,"OK","FLOOR ALTI")</f>
        <v>OK</v>
      </c>
    </row>
    <row r="20" customFormat="false" ht="15" hidden="false" customHeight="true" outlineLevel="0" collapsed="false">
      <c r="A20" s="10" t="n">
        <v>3</v>
      </c>
      <c r="B20" s="10" t="n">
        <v>9</v>
      </c>
      <c r="C20" s="11" t="n">
        <v>3.48</v>
      </c>
      <c r="D20" s="12" t="n">
        <f aca="false">ROUND(C20*ASM!$B$8*ASM!$B$11*(1+ASM!$B$3)+ASM!$B$4+ASM!$B$5+ASM!$B$6,2)</f>
        <v>264.18</v>
      </c>
      <c r="E20" s="10" t="n">
        <f aca="false">ROUND(D20*ASM!$B$7,0)</f>
        <v>409</v>
      </c>
      <c r="F20" s="13" t="n">
        <f aca="false">CEILING(E20/0.75,5)</f>
        <v>550</v>
      </c>
      <c r="G20" s="12" t="n">
        <f aca="false">F20*0.75</f>
        <v>412.5</v>
      </c>
      <c r="H20" s="10" t="n">
        <f aca="false">ROUND((D20+0.45)/(1-ASM!$B$9),0)</f>
        <v>296</v>
      </c>
      <c r="I20" s="10" t="n">
        <f aca="false">ROUND((D20+0.45)/(1-ASM!$B$9-ASM!$B$10),0)</f>
        <v>355</v>
      </c>
      <c r="J20" s="10" t="str">
        <f aca="false">IF(G20&gt;=H20,"OK","FLOOR ALTI")</f>
        <v>OK</v>
      </c>
    </row>
    <row r="21" customFormat="false" ht="15" hidden="false" customHeight="true" outlineLevel="0" collapsed="false">
      <c r="A21" s="10" t="n">
        <v>3</v>
      </c>
      <c r="B21" s="10" t="n">
        <v>10</v>
      </c>
      <c r="C21" s="11" t="n">
        <v>3.62</v>
      </c>
      <c r="D21" s="12" t="n">
        <f aca="false">ROUND(C21*ASM!$B$8*ASM!$B$11*(1+ASM!$B$3)+ASM!$B$4+ASM!$B$5+ASM!$B$6,2)</f>
        <v>272.39</v>
      </c>
      <c r="E21" s="10" t="n">
        <f aca="false">ROUND(D21*ASM!$B$7,0)</f>
        <v>422</v>
      </c>
      <c r="F21" s="13" t="n">
        <f aca="false">CEILING(E21/0.75,5)</f>
        <v>565</v>
      </c>
      <c r="G21" s="12" t="n">
        <f aca="false">F21*0.75</f>
        <v>423.75</v>
      </c>
      <c r="H21" s="10" t="n">
        <f aca="false">ROUND((D21+0.45)/(1-ASM!$B$9),0)</f>
        <v>305</v>
      </c>
      <c r="I21" s="10" t="n">
        <f aca="false">ROUND((D21+0.45)/(1-ASM!$B$9-ASM!$B$10),0)</f>
        <v>366</v>
      </c>
      <c r="J21" s="10" t="str">
        <f aca="false">IF(G21&gt;=H21,"OK","FLOOR ALTI")</f>
        <v>OK</v>
      </c>
    </row>
    <row r="22" customFormat="false" ht="15" hidden="false" customHeight="true" outlineLevel="0" collapsed="false">
      <c r="A22" s="10" t="n">
        <v>3</v>
      </c>
      <c r="B22" s="10" t="n">
        <v>11</v>
      </c>
      <c r="C22" s="11" t="n">
        <v>3.75</v>
      </c>
      <c r="D22" s="12" t="n">
        <f aca="false">ROUND(C22*ASM!$B$8*ASM!$B$11*(1+ASM!$B$3)+ASM!$B$4+ASM!$B$5+ASM!$B$6,2)</f>
        <v>280.02</v>
      </c>
      <c r="E22" s="10" t="n">
        <f aca="false">ROUND(D22*ASM!$B$7,0)</f>
        <v>434</v>
      </c>
      <c r="F22" s="13" t="n">
        <f aca="false">CEILING(E22/0.75,5)</f>
        <v>580</v>
      </c>
      <c r="G22" s="12" t="n">
        <f aca="false">F22*0.75</f>
        <v>435</v>
      </c>
      <c r="H22" s="10" t="n">
        <f aca="false">ROUND((D22+0.45)/(1-ASM!$B$9),0)</f>
        <v>313</v>
      </c>
      <c r="I22" s="10" t="n">
        <f aca="false">ROUND((D22+0.45)/(1-ASM!$B$9-ASM!$B$10),0)</f>
        <v>376</v>
      </c>
      <c r="J22" s="10" t="str">
        <f aca="false">IF(G22&gt;=H22,"OK","FLOOR ALTI")</f>
        <v>OK</v>
      </c>
    </row>
    <row r="23" customFormat="false" ht="15" hidden="false" customHeight="true" outlineLevel="0" collapsed="false">
      <c r="A23" s="10" t="n">
        <v>3</v>
      </c>
      <c r="B23" s="10" t="n">
        <v>12</v>
      </c>
      <c r="C23" s="11" t="n">
        <v>3.88</v>
      </c>
      <c r="D23" s="12" t="n">
        <f aca="false">ROUND(C23*ASM!$B$8*ASM!$B$11*(1+ASM!$B$3)+ASM!$B$4+ASM!$B$5+ASM!$B$6,2)</f>
        <v>287.65</v>
      </c>
      <c r="E23" s="10" t="n">
        <f aca="false">ROUND(D23*ASM!$B$7,0)</f>
        <v>446</v>
      </c>
      <c r="F23" s="13" t="n">
        <f aca="false">CEILING(E23/0.75,5)</f>
        <v>595</v>
      </c>
      <c r="G23" s="12" t="n">
        <f aca="false">F23*0.75</f>
        <v>446.25</v>
      </c>
      <c r="H23" s="10" t="n">
        <f aca="false">ROUND((D23+0.45)/(1-ASM!$B$9),0)</f>
        <v>322</v>
      </c>
      <c r="I23" s="10" t="n">
        <f aca="false">ROUND((D23+0.45)/(1-ASM!$B$9-ASM!$B$10),0)</f>
        <v>387</v>
      </c>
      <c r="J23" s="10" t="str">
        <f aca="false">IF(G23&gt;=H23,"OK","FLOOR ALTI")</f>
        <v>OK</v>
      </c>
    </row>
    <row r="24" customFormat="false" ht="15" hidden="false" customHeight="true" outlineLevel="0" collapsed="false">
      <c r="A24" s="10" t="n">
        <v>3</v>
      </c>
      <c r="B24" s="10" t="n">
        <v>13</v>
      </c>
      <c r="C24" s="11" t="n">
        <v>4.01</v>
      </c>
      <c r="D24" s="12" t="n">
        <f aca="false">ROUND(C24*ASM!$B$8*ASM!$B$11*(1+ASM!$B$3)+ASM!$B$4+ASM!$B$5+ASM!$B$6,2)</f>
        <v>295.28</v>
      </c>
      <c r="E24" s="10" t="n">
        <f aca="false">ROUND(D24*ASM!$B$7,0)</f>
        <v>458</v>
      </c>
      <c r="F24" s="13" t="n">
        <f aca="false">CEILING(E24/0.75,5)</f>
        <v>615</v>
      </c>
      <c r="G24" s="12" t="n">
        <f aca="false">F24*0.75</f>
        <v>461.25</v>
      </c>
      <c r="H24" s="10" t="n">
        <f aca="false">ROUND((D24+0.45)/(1-ASM!$B$9),0)</f>
        <v>330</v>
      </c>
      <c r="I24" s="10" t="n">
        <f aca="false">ROUND((D24+0.45)/(1-ASM!$B$9-ASM!$B$10),0)</f>
        <v>397</v>
      </c>
      <c r="J24" s="10" t="str">
        <f aca="false">IF(G24&gt;=H24,"OK","FLOOR ALTI")</f>
        <v>OK</v>
      </c>
    </row>
    <row r="25" customFormat="false" ht="15" hidden="false" customHeight="true" outlineLevel="0" collapsed="false">
      <c r="A25" s="10" t="n">
        <v>3</v>
      </c>
      <c r="B25" s="10" t="n">
        <v>14</v>
      </c>
      <c r="C25" s="11" t="n">
        <v>4.15</v>
      </c>
      <c r="D25" s="12" t="n">
        <f aca="false">ROUND(C25*ASM!$B$8*ASM!$B$11*(1+ASM!$B$3)+ASM!$B$4+ASM!$B$5+ASM!$B$6,2)</f>
        <v>303.49</v>
      </c>
      <c r="E25" s="10" t="n">
        <f aca="false">ROUND(D25*ASM!$B$7,0)</f>
        <v>470</v>
      </c>
      <c r="F25" s="13" t="n">
        <f aca="false">CEILING(E25/0.75,5)</f>
        <v>630</v>
      </c>
      <c r="G25" s="12" t="n">
        <f aca="false">F25*0.75</f>
        <v>472.5</v>
      </c>
      <c r="H25" s="10" t="n">
        <f aca="false">ROUND((D25+0.45)/(1-ASM!$B$9),0)</f>
        <v>340</v>
      </c>
      <c r="I25" s="10" t="n">
        <f aca="false">ROUND((D25+0.45)/(1-ASM!$B$9-ASM!$B$10),0)</f>
        <v>408</v>
      </c>
      <c r="J25" s="10" t="str">
        <f aca="false">IF(G25&gt;=H25,"OK","FLOOR ALTI")</f>
        <v>OK</v>
      </c>
    </row>
    <row r="26" customFormat="false" ht="15" hidden="false" customHeight="true" outlineLevel="0" collapsed="false">
      <c r="A26" s="10" t="n">
        <v>3</v>
      </c>
      <c r="B26" s="10" t="n">
        <v>15</v>
      </c>
      <c r="C26" s="11" t="n">
        <v>4.28</v>
      </c>
      <c r="D26" s="12" t="n">
        <f aca="false">ROUND(C26*ASM!$B$8*ASM!$B$11*(1+ASM!$B$3)+ASM!$B$4+ASM!$B$5+ASM!$B$6,2)</f>
        <v>311.12</v>
      </c>
      <c r="E26" s="10" t="n">
        <f aca="false">ROUND(D26*ASM!$B$7,0)</f>
        <v>482</v>
      </c>
      <c r="F26" s="13" t="n">
        <f aca="false">CEILING(E26/0.75,5)</f>
        <v>645</v>
      </c>
      <c r="G26" s="12" t="n">
        <f aca="false">F26*0.75</f>
        <v>483.75</v>
      </c>
      <c r="H26" s="10" t="n">
        <f aca="false">ROUND((D26+0.45)/(1-ASM!$B$9),0)</f>
        <v>348</v>
      </c>
      <c r="I26" s="10" t="n">
        <f aca="false">ROUND((D26+0.45)/(1-ASM!$B$9-ASM!$B$10),0)</f>
        <v>418</v>
      </c>
      <c r="J26" s="10" t="str">
        <f aca="false">IF(G26&gt;=H26,"OK","FLOOR ALTI")</f>
        <v>OK</v>
      </c>
    </row>
    <row r="27" customFormat="false" ht="15" hidden="false" customHeight="true" outlineLevel="0" collapsed="false">
      <c r="A27" s="10" t="n">
        <v>3</v>
      </c>
      <c r="B27" s="10" t="n">
        <v>16</v>
      </c>
      <c r="C27" s="11" t="n">
        <v>4.41</v>
      </c>
      <c r="D27" s="12" t="n">
        <f aca="false">ROUND(C27*ASM!$B$8*ASM!$B$11*(1+ASM!$B$3)+ASM!$B$4+ASM!$B$5+ASM!$B$6,2)</f>
        <v>318.75</v>
      </c>
      <c r="E27" s="10" t="n">
        <f aca="false">ROUND(D27*ASM!$B$7,0)</f>
        <v>494</v>
      </c>
      <c r="F27" s="13" t="n">
        <f aca="false">CEILING(E27/0.75,5)</f>
        <v>660</v>
      </c>
      <c r="G27" s="12" t="n">
        <f aca="false">F27*0.75</f>
        <v>495</v>
      </c>
      <c r="H27" s="10" t="n">
        <f aca="false">ROUND((D27+0.45)/(1-ASM!$B$9),0)</f>
        <v>357</v>
      </c>
      <c r="I27" s="10" t="n">
        <f aca="false">ROUND((D27+0.45)/(1-ASM!$B$9-ASM!$B$10),0)</f>
        <v>428</v>
      </c>
      <c r="J27" s="10" t="str">
        <f aca="false">IF(G27&gt;=H27,"OK","FLOOR ALTI")</f>
        <v>OK</v>
      </c>
    </row>
    <row r="28" customFormat="false" ht="15" hidden="false" customHeight="true" outlineLevel="0" collapsed="false">
      <c r="A28" s="10" t="n">
        <v>4</v>
      </c>
      <c r="B28" s="10" t="n">
        <v>4</v>
      </c>
      <c r="C28" s="11" t="n">
        <v>3.76</v>
      </c>
      <c r="D28" s="12" t="n">
        <f aca="false">ROUND(C28*ASM!$B$8*ASM!$B$11*(1+ASM!$B$3)+ASM!$B$4+ASM!$B$5+ASM!$B$6,2)</f>
        <v>280.61</v>
      </c>
      <c r="E28" s="10" t="n">
        <f aca="false">ROUND(D28*ASM!$B$7,0)</f>
        <v>435</v>
      </c>
      <c r="F28" s="13" t="n">
        <f aca="false">CEILING(E28/0.75,5)</f>
        <v>580</v>
      </c>
      <c r="G28" s="12" t="n">
        <f aca="false">F28*0.75</f>
        <v>435</v>
      </c>
      <c r="H28" s="10" t="n">
        <f aca="false">ROUND((D28+0.45)/(1-ASM!$B$9),0)</f>
        <v>314</v>
      </c>
      <c r="I28" s="10" t="n">
        <f aca="false">ROUND((D28+0.45)/(1-ASM!$B$9-ASM!$B$10),0)</f>
        <v>377</v>
      </c>
      <c r="J28" s="10" t="str">
        <f aca="false">IF(G28&gt;=H28,"OK","FLOOR ALTI")</f>
        <v>OK</v>
      </c>
    </row>
    <row r="29" customFormat="false" ht="15" hidden="false" customHeight="true" outlineLevel="0" collapsed="false">
      <c r="A29" s="10" t="n">
        <v>4</v>
      </c>
      <c r="B29" s="10" t="n">
        <v>5</v>
      </c>
      <c r="C29" s="11" t="n">
        <v>3.94</v>
      </c>
      <c r="D29" s="12" t="n">
        <f aca="false">ROUND(C29*ASM!$B$8*ASM!$B$11*(1+ASM!$B$3)+ASM!$B$4+ASM!$B$5+ASM!$B$6,2)</f>
        <v>291.17</v>
      </c>
      <c r="E29" s="10" t="n">
        <f aca="false">ROUND(D29*ASM!$B$7,0)</f>
        <v>451</v>
      </c>
      <c r="F29" s="13" t="n">
        <f aca="false">CEILING(E29/0.75,5)</f>
        <v>605</v>
      </c>
      <c r="G29" s="12" t="n">
        <f aca="false">F29*0.75</f>
        <v>453.75</v>
      </c>
      <c r="H29" s="10" t="n">
        <f aca="false">ROUND((D29+0.45)/(1-ASM!$B$9),0)</f>
        <v>326</v>
      </c>
      <c r="I29" s="10" t="n">
        <f aca="false">ROUND((D29+0.45)/(1-ASM!$B$9-ASM!$B$10),0)</f>
        <v>391</v>
      </c>
      <c r="J29" s="10" t="str">
        <f aca="false">IF(G29&gt;=H29,"OK","FLOOR ALTI")</f>
        <v>OK</v>
      </c>
    </row>
    <row r="30" customFormat="false" ht="15" hidden="false" customHeight="true" outlineLevel="0" collapsed="false">
      <c r="A30" s="10" t="n">
        <v>4</v>
      </c>
      <c r="B30" s="10" t="n">
        <v>6</v>
      </c>
      <c r="C30" s="11" t="n">
        <v>4.11</v>
      </c>
      <c r="D30" s="12" t="n">
        <f aca="false">ROUND(C30*ASM!$B$8*ASM!$B$11*(1+ASM!$B$3)+ASM!$B$4+ASM!$B$5+ASM!$B$6,2)</f>
        <v>301.14</v>
      </c>
      <c r="E30" s="10" t="n">
        <f aca="false">ROUND(D30*ASM!$B$7,0)</f>
        <v>467</v>
      </c>
      <c r="F30" s="13" t="n">
        <f aca="false">CEILING(E30/0.75,5)</f>
        <v>625</v>
      </c>
      <c r="G30" s="12" t="n">
        <f aca="false">F30*0.75</f>
        <v>468.75</v>
      </c>
      <c r="H30" s="10" t="n">
        <f aca="false">ROUND((D30+0.45)/(1-ASM!$B$9),0)</f>
        <v>337</v>
      </c>
      <c r="I30" s="10" t="n">
        <f aca="false">ROUND((D30+0.45)/(1-ASM!$B$9-ASM!$B$10),0)</f>
        <v>405</v>
      </c>
      <c r="J30" s="10" t="str">
        <f aca="false">IF(G30&gt;=H30,"OK","FLOOR ALTI")</f>
        <v>OK</v>
      </c>
    </row>
    <row r="31" customFormat="false" ht="15" hidden="false" customHeight="true" outlineLevel="0" collapsed="false">
      <c r="A31" s="10" t="n">
        <v>4</v>
      </c>
      <c r="B31" s="10" t="n">
        <v>7</v>
      </c>
      <c r="C31" s="11" t="n">
        <v>4.29</v>
      </c>
      <c r="D31" s="12" t="n">
        <f aca="false">ROUND(C31*ASM!$B$8*ASM!$B$11*(1+ASM!$B$3)+ASM!$B$4+ASM!$B$5+ASM!$B$6,2)</f>
        <v>311.7</v>
      </c>
      <c r="E31" s="10" t="n">
        <f aca="false">ROUND(D31*ASM!$B$7,0)</f>
        <v>483</v>
      </c>
      <c r="F31" s="13" t="n">
        <f aca="false">CEILING(E31/0.75,5)</f>
        <v>645</v>
      </c>
      <c r="G31" s="12" t="n">
        <f aca="false">F31*0.75</f>
        <v>483.75</v>
      </c>
      <c r="H31" s="10" t="n">
        <f aca="false">ROUND((D31+0.45)/(1-ASM!$B$9),0)</f>
        <v>349</v>
      </c>
      <c r="I31" s="10" t="n">
        <f aca="false">ROUND((D31+0.45)/(1-ASM!$B$9-ASM!$B$10),0)</f>
        <v>419</v>
      </c>
      <c r="J31" s="10" t="str">
        <f aca="false">IF(G31&gt;=H31,"OK","FLOOR ALTI")</f>
        <v>OK</v>
      </c>
    </row>
    <row r="32" customFormat="false" ht="15" hidden="false" customHeight="true" outlineLevel="0" collapsed="false">
      <c r="A32" s="10" t="n">
        <v>4</v>
      </c>
      <c r="B32" s="10" t="n">
        <v>8</v>
      </c>
      <c r="C32" s="11" t="n">
        <v>4.47</v>
      </c>
      <c r="D32" s="12" t="n">
        <f aca="false">ROUND(C32*ASM!$B$8*ASM!$B$11*(1+ASM!$B$3)+ASM!$B$4+ASM!$B$5+ASM!$B$6,2)</f>
        <v>322.27</v>
      </c>
      <c r="E32" s="10" t="n">
        <f aca="false">ROUND(D32*ASM!$B$7,0)</f>
        <v>500</v>
      </c>
      <c r="F32" s="13" t="n">
        <f aca="false">CEILING(E32/0.75,5)</f>
        <v>670</v>
      </c>
      <c r="G32" s="12" t="n">
        <f aca="false">F32*0.75</f>
        <v>502.5</v>
      </c>
      <c r="H32" s="10" t="n">
        <f aca="false">ROUND((D32+0.45)/(1-ASM!$B$9),0)</f>
        <v>361</v>
      </c>
      <c r="I32" s="10" t="n">
        <f aca="false">ROUND((D32+0.45)/(1-ASM!$B$9-ASM!$B$10),0)</f>
        <v>433</v>
      </c>
      <c r="J32" s="10" t="str">
        <f aca="false">IF(G32&gt;=H32,"OK","FLOOR ALTI")</f>
        <v>OK</v>
      </c>
    </row>
    <row r="33" customFormat="false" ht="15" hidden="false" customHeight="true" outlineLevel="0" collapsed="false">
      <c r="A33" s="10" t="n">
        <v>4</v>
      </c>
      <c r="B33" s="10" t="n">
        <v>9</v>
      </c>
      <c r="C33" s="11" t="n">
        <v>4.64</v>
      </c>
      <c r="D33" s="12" t="n">
        <f aca="false">ROUND(C33*ASM!$B$8*ASM!$B$11*(1+ASM!$B$3)+ASM!$B$4+ASM!$B$5+ASM!$B$6,2)</f>
        <v>332.24</v>
      </c>
      <c r="E33" s="10" t="n">
        <f aca="false">ROUND(D33*ASM!$B$7,0)</f>
        <v>515</v>
      </c>
      <c r="F33" s="13" t="n">
        <f aca="false">CEILING(E33/0.75,5)</f>
        <v>690</v>
      </c>
      <c r="G33" s="12" t="n">
        <f aca="false">F33*0.75</f>
        <v>517.5</v>
      </c>
      <c r="H33" s="10" t="n">
        <f aca="false">ROUND((D33+0.45)/(1-ASM!$B$9),0)</f>
        <v>372</v>
      </c>
      <c r="I33" s="10" t="n">
        <f aca="false">ROUND((D33+0.45)/(1-ASM!$B$9-ASM!$B$10),0)</f>
        <v>447</v>
      </c>
      <c r="J33" s="10" t="str">
        <f aca="false">IF(G33&gt;=H33,"OK","FLOOR ALTI")</f>
        <v>OK</v>
      </c>
    </row>
    <row r="34" customFormat="false" ht="15" hidden="false" customHeight="true" outlineLevel="0" collapsed="false">
      <c r="A34" s="10" t="n">
        <v>4</v>
      </c>
      <c r="B34" s="10" t="n">
        <v>10</v>
      </c>
      <c r="C34" s="11" t="n">
        <v>4.82</v>
      </c>
      <c r="D34" s="12" t="n">
        <f aca="false">ROUND(C34*ASM!$B$8*ASM!$B$11*(1+ASM!$B$3)+ASM!$B$4+ASM!$B$5+ASM!$B$6,2)</f>
        <v>342.8</v>
      </c>
      <c r="E34" s="10" t="n">
        <f aca="false">ROUND(D34*ASM!$B$7,0)</f>
        <v>531</v>
      </c>
      <c r="F34" s="13" t="n">
        <f aca="false">CEILING(E34/0.75,5)</f>
        <v>710</v>
      </c>
      <c r="G34" s="12" t="n">
        <f aca="false">F34*0.75</f>
        <v>532.5</v>
      </c>
      <c r="H34" s="10" t="n">
        <f aca="false">ROUND((D34+0.45)/(1-ASM!$B$9),0)</f>
        <v>384</v>
      </c>
      <c r="I34" s="10" t="n">
        <f aca="false">ROUND((D34+0.45)/(1-ASM!$B$9-ASM!$B$10),0)</f>
        <v>461</v>
      </c>
      <c r="J34" s="10" t="str">
        <f aca="false">IF(G34&gt;=H34,"OK","FLOOR ALTI")</f>
        <v>OK</v>
      </c>
    </row>
    <row r="35" customFormat="false" ht="15" hidden="false" customHeight="true" outlineLevel="0" collapsed="false">
      <c r="A35" s="10" t="n">
        <v>4</v>
      </c>
      <c r="B35" s="10" t="n">
        <v>11</v>
      </c>
      <c r="C35" s="11" t="n">
        <v>5</v>
      </c>
      <c r="D35" s="12" t="n">
        <f aca="false">ROUND(C35*ASM!$B$8*ASM!$B$11*(1+ASM!$B$3)+ASM!$B$4+ASM!$B$5+ASM!$B$6,2)</f>
        <v>353.36</v>
      </c>
      <c r="E35" s="10" t="n">
        <f aca="false">ROUND(D35*ASM!$B$7,0)</f>
        <v>548</v>
      </c>
      <c r="F35" s="13" t="n">
        <f aca="false">CEILING(E35/0.75,5)</f>
        <v>735</v>
      </c>
      <c r="G35" s="12" t="n">
        <f aca="false">F35*0.75</f>
        <v>551.25</v>
      </c>
      <c r="H35" s="10" t="n">
        <f aca="false">ROUND((D35+0.45)/(1-ASM!$B$9),0)</f>
        <v>395</v>
      </c>
      <c r="I35" s="10" t="n">
        <f aca="false">ROUND((D35+0.45)/(1-ASM!$B$9-ASM!$B$10),0)</f>
        <v>475</v>
      </c>
      <c r="J35" s="10" t="str">
        <f aca="false">IF(G35&gt;=H35,"OK","FLOOR ALTI")</f>
        <v>OK</v>
      </c>
    </row>
    <row r="36" customFormat="false" ht="15" hidden="false" customHeight="true" outlineLevel="0" collapsed="false">
      <c r="A36" s="10" t="n">
        <v>4</v>
      </c>
      <c r="B36" s="10" t="n">
        <v>12</v>
      </c>
      <c r="C36" s="11" t="n">
        <v>5.18</v>
      </c>
      <c r="D36" s="12" t="n">
        <f aca="false">ROUND(C36*ASM!$B$8*ASM!$B$11*(1+ASM!$B$3)+ASM!$B$4+ASM!$B$5+ASM!$B$6,2)</f>
        <v>363.92</v>
      </c>
      <c r="E36" s="10" t="n">
        <f aca="false">ROUND(D36*ASM!$B$7,0)</f>
        <v>564</v>
      </c>
      <c r="F36" s="13" t="n">
        <f aca="false">CEILING(E36/0.75,5)</f>
        <v>755</v>
      </c>
      <c r="G36" s="12" t="n">
        <f aca="false">F36*0.75</f>
        <v>566.25</v>
      </c>
      <c r="H36" s="10" t="n">
        <f aca="false">ROUND((D36+0.45)/(1-ASM!$B$9),0)</f>
        <v>407</v>
      </c>
      <c r="I36" s="10" t="n">
        <f aca="false">ROUND((D36+0.45)/(1-ASM!$B$9-ASM!$B$10),0)</f>
        <v>489</v>
      </c>
      <c r="J36" s="10" t="str">
        <f aca="false">IF(G36&gt;=H36,"OK","FLOOR ALTI")</f>
        <v>OK</v>
      </c>
    </row>
    <row r="37" customFormat="false" ht="15" hidden="false" customHeight="true" outlineLevel="0" collapsed="false">
      <c r="A37" s="10" t="n">
        <v>4</v>
      </c>
      <c r="B37" s="10" t="n">
        <v>13</v>
      </c>
      <c r="C37" s="11" t="n">
        <v>5.35</v>
      </c>
      <c r="D37" s="12" t="n">
        <f aca="false">ROUND(C37*ASM!$B$8*ASM!$B$11*(1+ASM!$B$3)+ASM!$B$4+ASM!$B$5+ASM!$B$6,2)</f>
        <v>373.9</v>
      </c>
      <c r="E37" s="10" t="n">
        <f aca="false">ROUND(D37*ASM!$B$7,0)</f>
        <v>580</v>
      </c>
      <c r="F37" s="13" t="n">
        <f aca="false">CEILING(E37/0.75,5)</f>
        <v>775</v>
      </c>
      <c r="G37" s="12" t="n">
        <f aca="false">F37*0.75</f>
        <v>581.25</v>
      </c>
      <c r="H37" s="10" t="n">
        <f aca="false">ROUND((D37+0.45)/(1-ASM!$B$9),0)</f>
        <v>418</v>
      </c>
      <c r="I37" s="10" t="n">
        <f aca="false">ROUND((D37+0.45)/(1-ASM!$B$9-ASM!$B$10),0)</f>
        <v>502</v>
      </c>
      <c r="J37" s="10" t="str">
        <f aca="false">IF(G37&gt;=H37,"OK","FLOOR ALTI")</f>
        <v>OK</v>
      </c>
    </row>
    <row r="38" customFormat="false" ht="15" hidden="false" customHeight="true" outlineLevel="0" collapsed="false">
      <c r="A38" s="10" t="n">
        <v>4</v>
      </c>
      <c r="B38" s="10" t="n">
        <v>14</v>
      </c>
      <c r="C38" s="11" t="n">
        <v>5.53</v>
      </c>
      <c r="D38" s="12" t="n">
        <f aca="false">ROUND(C38*ASM!$B$8*ASM!$B$11*(1+ASM!$B$3)+ASM!$B$4+ASM!$B$5+ASM!$B$6,2)</f>
        <v>384.46</v>
      </c>
      <c r="E38" s="10" t="n">
        <f aca="false">ROUND(D38*ASM!$B$7,0)</f>
        <v>596</v>
      </c>
      <c r="F38" s="13" t="n">
        <f aca="false">CEILING(E38/0.75,5)</f>
        <v>795</v>
      </c>
      <c r="G38" s="12" t="n">
        <f aca="false">F38*0.75</f>
        <v>596.25</v>
      </c>
      <c r="H38" s="10" t="n">
        <f aca="false">ROUND((D38+0.45)/(1-ASM!$B$9),0)</f>
        <v>430</v>
      </c>
      <c r="I38" s="10" t="n">
        <f aca="false">ROUND((D38+0.45)/(1-ASM!$B$9-ASM!$B$10),0)</f>
        <v>517</v>
      </c>
      <c r="J38" s="10" t="str">
        <f aca="false">IF(G38&gt;=H38,"OK","FLOOR ALTI")</f>
        <v>OK</v>
      </c>
    </row>
    <row r="39" customFormat="false" ht="15" hidden="false" customHeight="true" outlineLevel="0" collapsed="false">
      <c r="A39" s="10" t="n">
        <v>4</v>
      </c>
      <c r="B39" s="10" t="n">
        <v>15</v>
      </c>
      <c r="C39" s="11" t="n">
        <v>5.71</v>
      </c>
      <c r="D39" s="12" t="n">
        <f aca="false">ROUND(C39*ASM!$B$8*ASM!$B$11*(1+ASM!$B$3)+ASM!$B$4+ASM!$B$5+ASM!$B$6,2)</f>
        <v>395.02</v>
      </c>
      <c r="E39" s="10" t="n">
        <f aca="false">ROUND(D39*ASM!$B$7,0)</f>
        <v>612</v>
      </c>
      <c r="F39" s="13" t="n">
        <f aca="false">CEILING(E39/0.75,5)</f>
        <v>820</v>
      </c>
      <c r="G39" s="12" t="n">
        <f aca="false">F39*0.75</f>
        <v>615</v>
      </c>
      <c r="H39" s="10" t="n">
        <f aca="false">ROUND((D39+0.45)/(1-ASM!$B$9),0)</f>
        <v>442</v>
      </c>
      <c r="I39" s="10" t="n">
        <f aca="false">ROUND((D39+0.45)/(1-ASM!$B$9-ASM!$B$10),0)</f>
        <v>531</v>
      </c>
      <c r="J39" s="10" t="str">
        <f aca="false">IF(G39&gt;=H39,"OK","FLOOR ALTI")</f>
        <v>OK</v>
      </c>
    </row>
    <row r="40" customFormat="false" ht="15" hidden="false" customHeight="true" outlineLevel="0" collapsed="false">
      <c r="A40" s="10" t="n">
        <v>4</v>
      </c>
      <c r="B40" s="10" t="n">
        <v>16</v>
      </c>
      <c r="C40" s="11" t="n">
        <v>5.88</v>
      </c>
      <c r="D40" s="12" t="n">
        <f aca="false">ROUND(C40*ASM!$B$8*ASM!$B$11*(1+ASM!$B$3)+ASM!$B$4+ASM!$B$5+ASM!$B$6,2)</f>
        <v>404.99</v>
      </c>
      <c r="E40" s="10" t="n">
        <f aca="false">ROUND(D40*ASM!$B$7,0)</f>
        <v>628</v>
      </c>
      <c r="F40" s="13" t="n">
        <f aca="false">CEILING(E40/0.75,5)</f>
        <v>840</v>
      </c>
      <c r="G40" s="12" t="n">
        <f aca="false">F40*0.75</f>
        <v>630</v>
      </c>
      <c r="H40" s="10" t="n">
        <f aca="false">ROUND((D40+0.45)/(1-ASM!$B$9),0)</f>
        <v>453</v>
      </c>
      <c r="I40" s="10" t="n">
        <f aca="false">ROUND((D40+0.45)/(1-ASM!$B$9-ASM!$B$10),0)</f>
        <v>544</v>
      </c>
      <c r="J40" s="10" t="str">
        <f aca="false">IF(G40&gt;=H40,"OK","FLOOR ALTI")</f>
        <v>OK</v>
      </c>
    </row>
    <row r="41" customFormat="false" ht="15" hidden="false" customHeight="true" outlineLevel="0" collapsed="false">
      <c r="A41" s="10" t="n">
        <v>5</v>
      </c>
      <c r="B41" s="10" t="n">
        <v>4</v>
      </c>
      <c r="C41" s="11" t="n">
        <v>4.7</v>
      </c>
      <c r="D41" s="12" t="n">
        <f aca="false">ROUND(C41*ASM!$B$8*ASM!$B$11*(1+ASM!$B$3)+ASM!$B$4+ASM!$B$5+ASM!$B$6,2)</f>
        <v>335.76</v>
      </c>
      <c r="E41" s="10" t="n">
        <f aca="false">ROUND(D41*ASM!$B$7,0)</f>
        <v>520</v>
      </c>
      <c r="F41" s="13" t="n">
        <f aca="false">CEILING(E41/0.75,5)</f>
        <v>695</v>
      </c>
      <c r="G41" s="12" t="n">
        <f aca="false">F41*0.75</f>
        <v>521.25</v>
      </c>
      <c r="H41" s="10" t="n">
        <f aca="false">ROUND((D41+0.45)/(1-ASM!$B$9),0)</f>
        <v>376</v>
      </c>
      <c r="I41" s="10" t="n">
        <f aca="false">ROUND((D41+0.45)/(1-ASM!$B$9-ASM!$B$10),0)</f>
        <v>451</v>
      </c>
      <c r="J41" s="10" t="str">
        <f aca="false">IF(G41&gt;=H41,"OK","FLOOR ALTI")</f>
        <v>OK</v>
      </c>
    </row>
    <row r="42" customFormat="false" ht="15" hidden="false" customHeight="true" outlineLevel="0" collapsed="false">
      <c r="A42" s="10" t="n">
        <v>5</v>
      </c>
      <c r="B42" s="10" t="n">
        <v>5</v>
      </c>
      <c r="C42" s="11" t="n">
        <v>4.92</v>
      </c>
      <c r="D42" s="12" t="n">
        <f aca="false">ROUND(C42*ASM!$B$8*ASM!$B$11*(1+ASM!$B$3)+ASM!$B$4+ASM!$B$5+ASM!$B$6,2)</f>
        <v>348.67</v>
      </c>
      <c r="E42" s="10" t="n">
        <f aca="false">ROUND(D42*ASM!$B$7,0)</f>
        <v>540</v>
      </c>
      <c r="F42" s="13" t="n">
        <f aca="false">CEILING(E42/0.75,5)</f>
        <v>720</v>
      </c>
      <c r="G42" s="12" t="n">
        <f aca="false">F42*0.75</f>
        <v>540</v>
      </c>
      <c r="H42" s="10" t="n">
        <f aca="false">ROUND((D42+0.45)/(1-ASM!$B$9),0)</f>
        <v>390</v>
      </c>
      <c r="I42" s="10" t="n">
        <f aca="false">ROUND((D42+0.45)/(1-ASM!$B$9-ASM!$B$10),0)</f>
        <v>469</v>
      </c>
      <c r="J42" s="10" t="str">
        <f aca="false">IF(G42&gt;=H42,"OK","FLOOR ALTI")</f>
        <v>OK</v>
      </c>
    </row>
    <row r="43" customFormat="false" ht="15" hidden="false" customHeight="true" outlineLevel="0" collapsed="false">
      <c r="A43" s="10" t="n">
        <v>5</v>
      </c>
      <c r="B43" s="10" t="n">
        <v>6</v>
      </c>
      <c r="C43" s="11" t="n">
        <v>5.14</v>
      </c>
      <c r="D43" s="12" t="n">
        <f aca="false">ROUND(C43*ASM!$B$8*ASM!$B$11*(1+ASM!$B$3)+ASM!$B$4+ASM!$B$5+ASM!$B$6,2)</f>
        <v>361.58</v>
      </c>
      <c r="E43" s="10" t="n">
        <f aca="false">ROUND(D43*ASM!$B$7,0)</f>
        <v>560</v>
      </c>
      <c r="F43" s="13" t="n">
        <f aca="false">CEILING(E43/0.75,5)</f>
        <v>750</v>
      </c>
      <c r="G43" s="12" t="n">
        <f aca="false">F43*0.75</f>
        <v>562.5</v>
      </c>
      <c r="H43" s="10" t="n">
        <f aca="false">ROUND((D43+0.45)/(1-ASM!$B$9),0)</f>
        <v>405</v>
      </c>
      <c r="I43" s="10" t="n">
        <f aca="false">ROUND((D43+0.45)/(1-ASM!$B$9-ASM!$B$10),0)</f>
        <v>486</v>
      </c>
      <c r="J43" s="10" t="str">
        <f aca="false">IF(G43&gt;=H43,"OK","FLOOR ALTI")</f>
        <v>OK</v>
      </c>
    </row>
    <row r="44" customFormat="false" ht="15" hidden="false" customHeight="true" outlineLevel="0" collapsed="false">
      <c r="A44" s="10" t="n">
        <v>5</v>
      </c>
      <c r="B44" s="10" t="n">
        <v>7</v>
      </c>
      <c r="C44" s="11" t="n">
        <v>5.36</v>
      </c>
      <c r="D44" s="12" t="n">
        <f aca="false">ROUND(C44*ASM!$B$8*ASM!$B$11*(1+ASM!$B$3)+ASM!$B$4+ASM!$B$5+ASM!$B$6,2)</f>
        <v>374.48</v>
      </c>
      <c r="E44" s="10" t="n">
        <f aca="false">ROUND(D44*ASM!$B$7,0)</f>
        <v>580</v>
      </c>
      <c r="F44" s="13" t="n">
        <f aca="false">CEILING(E44/0.75,5)</f>
        <v>775</v>
      </c>
      <c r="G44" s="12" t="n">
        <f aca="false">F44*0.75</f>
        <v>581.25</v>
      </c>
      <c r="H44" s="10" t="n">
        <f aca="false">ROUND((D44+0.45)/(1-ASM!$B$9),0)</f>
        <v>419</v>
      </c>
      <c r="I44" s="10" t="n">
        <f aca="false">ROUND((D44+0.45)/(1-ASM!$B$9-ASM!$B$10),0)</f>
        <v>503</v>
      </c>
      <c r="J44" s="10" t="str">
        <f aca="false">IF(G44&gt;=H44,"OK","FLOOR ALTI")</f>
        <v>OK</v>
      </c>
    </row>
    <row r="45" customFormat="false" ht="15" hidden="false" customHeight="true" outlineLevel="0" collapsed="false">
      <c r="A45" s="10" t="n">
        <v>5</v>
      </c>
      <c r="B45" s="10" t="n">
        <v>8</v>
      </c>
      <c r="C45" s="11" t="n">
        <v>5.58</v>
      </c>
      <c r="D45" s="12" t="n">
        <f aca="false">ROUND(C45*ASM!$B$8*ASM!$B$11*(1+ASM!$B$3)+ASM!$B$4+ASM!$B$5+ASM!$B$6,2)</f>
        <v>387.39</v>
      </c>
      <c r="E45" s="10" t="n">
        <f aca="false">ROUND(D45*ASM!$B$7,0)</f>
        <v>600</v>
      </c>
      <c r="F45" s="13" t="n">
        <f aca="false">CEILING(E45/0.75,5)</f>
        <v>800</v>
      </c>
      <c r="G45" s="12" t="n">
        <f aca="false">F45*0.75</f>
        <v>600</v>
      </c>
      <c r="H45" s="10" t="n">
        <f aca="false">ROUND((D45+0.45)/(1-ASM!$B$9),0)</f>
        <v>433</v>
      </c>
      <c r="I45" s="10" t="n">
        <f aca="false">ROUND((D45+0.45)/(1-ASM!$B$9-ASM!$B$10),0)</f>
        <v>521</v>
      </c>
      <c r="J45" s="10" t="str">
        <f aca="false">IF(G45&gt;=H45,"OK","FLOOR ALTI")</f>
        <v>OK</v>
      </c>
    </row>
    <row r="46" customFormat="false" ht="15" hidden="false" customHeight="true" outlineLevel="0" collapsed="false">
      <c r="A46" s="10" t="n">
        <v>5</v>
      </c>
      <c r="B46" s="10" t="n">
        <v>9</v>
      </c>
      <c r="C46" s="11" t="n">
        <v>5.81</v>
      </c>
      <c r="D46" s="12" t="n">
        <f aca="false">ROUND(C46*ASM!$B$8*ASM!$B$11*(1+ASM!$B$3)+ASM!$B$4+ASM!$B$5+ASM!$B$6,2)</f>
        <v>400.89</v>
      </c>
      <c r="E46" s="10" t="n">
        <f aca="false">ROUND(D46*ASM!$B$7,0)</f>
        <v>621</v>
      </c>
      <c r="F46" s="13" t="n">
        <f aca="false">CEILING(E46/0.75,5)</f>
        <v>830</v>
      </c>
      <c r="G46" s="12" t="n">
        <f aca="false">F46*0.75</f>
        <v>622.5</v>
      </c>
      <c r="H46" s="10" t="n">
        <f aca="false">ROUND((D46+0.45)/(1-ASM!$B$9),0)</f>
        <v>448</v>
      </c>
      <c r="I46" s="10" t="n">
        <f aca="false">ROUND((D46+0.45)/(1-ASM!$B$9-ASM!$B$10),0)</f>
        <v>539</v>
      </c>
      <c r="J46" s="10" t="str">
        <f aca="false">IF(G46&gt;=H46,"OK","FLOOR ALTI")</f>
        <v>OK</v>
      </c>
    </row>
    <row r="47" customFormat="false" ht="15" hidden="false" customHeight="true" outlineLevel="0" collapsed="false">
      <c r="A47" s="10" t="n">
        <v>5</v>
      </c>
      <c r="B47" s="10" t="n">
        <v>10</v>
      </c>
      <c r="C47" s="11" t="n">
        <v>6.03</v>
      </c>
      <c r="D47" s="12" t="n">
        <f aca="false">ROUND(C47*ASM!$B$8*ASM!$B$11*(1+ASM!$B$3)+ASM!$B$4+ASM!$B$5+ASM!$B$6,2)</f>
        <v>413.79</v>
      </c>
      <c r="E47" s="10" t="n">
        <f aca="false">ROUND(D47*ASM!$B$7,0)</f>
        <v>641</v>
      </c>
      <c r="F47" s="13" t="n">
        <f aca="false">CEILING(E47/0.75,5)</f>
        <v>855</v>
      </c>
      <c r="G47" s="12" t="n">
        <f aca="false">F47*0.75</f>
        <v>641.25</v>
      </c>
      <c r="H47" s="10" t="n">
        <f aca="false">ROUND((D47+0.45)/(1-ASM!$B$9),0)</f>
        <v>463</v>
      </c>
      <c r="I47" s="10" t="n">
        <f aca="false">ROUND((D47+0.45)/(1-ASM!$B$9-ASM!$B$10),0)</f>
        <v>556</v>
      </c>
      <c r="J47" s="10" t="str">
        <f aca="false">IF(G47&gt;=H47,"OK","FLOOR ALTI")</f>
        <v>OK</v>
      </c>
    </row>
    <row r="48" customFormat="false" ht="15" hidden="false" customHeight="true" outlineLevel="0" collapsed="false">
      <c r="A48" s="10" t="n">
        <v>5</v>
      </c>
      <c r="B48" s="10" t="n">
        <v>11</v>
      </c>
      <c r="C48" s="11" t="n">
        <v>6.25</v>
      </c>
      <c r="D48" s="12" t="n">
        <f aca="false">ROUND(C48*ASM!$B$8*ASM!$B$11*(1+ASM!$B$3)+ASM!$B$4+ASM!$B$5+ASM!$B$6,2)</f>
        <v>426.7</v>
      </c>
      <c r="E48" s="10" t="n">
        <f aca="false">ROUND(D48*ASM!$B$7,0)</f>
        <v>661</v>
      </c>
      <c r="F48" s="13" t="n">
        <f aca="false">CEILING(E48/0.75,5)</f>
        <v>885</v>
      </c>
      <c r="G48" s="12" t="n">
        <f aca="false">F48*0.75</f>
        <v>663.75</v>
      </c>
      <c r="H48" s="10" t="n">
        <f aca="false">ROUND((D48+0.45)/(1-ASM!$B$9),0)</f>
        <v>477</v>
      </c>
      <c r="I48" s="10" t="n">
        <f aca="false">ROUND((D48+0.45)/(1-ASM!$B$9-ASM!$B$10),0)</f>
        <v>573</v>
      </c>
      <c r="J48" s="10" t="str">
        <f aca="false">IF(G48&gt;=H48,"OK","FLOOR ALTI")</f>
        <v>OK</v>
      </c>
    </row>
    <row r="49" customFormat="false" ht="15" hidden="false" customHeight="true" outlineLevel="0" collapsed="false">
      <c r="A49" s="10" t="n">
        <v>5</v>
      </c>
      <c r="B49" s="10" t="n">
        <v>12</v>
      </c>
      <c r="C49" s="11" t="n">
        <v>6.47</v>
      </c>
      <c r="D49" s="12" t="n">
        <f aca="false">ROUND(C49*ASM!$B$8*ASM!$B$11*(1+ASM!$B$3)+ASM!$B$4+ASM!$B$5+ASM!$B$6,2)</f>
        <v>439.61</v>
      </c>
      <c r="E49" s="10" t="n">
        <f aca="false">ROUND(D49*ASM!$B$7,0)</f>
        <v>681</v>
      </c>
      <c r="F49" s="13" t="n">
        <f aca="false">CEILING(E49/0.75,5)</f>
        <v>910</v>
      </c>
      <c r="G49" s="12" t="n">
        <f aca="false">F49*0.75</f>
        <v>682.5</v>
      </c>
      <c r="H49" s="10" t="n">
        <f aca="false">ROUND((D49+0.45)/(1-ASM!$B$9),0)</f>
        <v>492</v>
      </c>
      <c r="I49" s="10" t="n">
        <f aca="false">ROUND((D49+0.45)/(1-ASM!$B$9-ASM!$B$10),0)</f>
        <v>591</v>
      </c>
      <c r="J49" s="10" t="str">
        <f aca="false">IF(G49&gt;=H49,"OK","FLOOR ALTI")</f>
        <v>OK</v>
      </c>
    </row>
    <row r="50" customFormat="false" ht="15" hidden="false" customHeight="true" outlineLevel="0" collapsed="false">
      <c r="A50" s="10" t="n">
        <v>5</v>
      </c>
      <c r="B50" s="10" t="n">
        <v>13</v>
      </c>
      <c r="C50" s="11" t="n">
        <v>6.69</v>
      </c>
      <c r="D50" s="12" t="n">
        <f aca="false">ROUND(C50*ASM!$B$8*ASM!$B$11*(1+ASM!$B$3)+ASM!$B$4+ASM!$B$5+ASM!$B$6,2)</f>
        <v>452.52</v>
      </c>
      <c r="E50" s="10" t="n">
        <f aca="false">ROUND(D50*ASM!$B$7,0)</f>
        <v>701</v>
      </c>
      <c r="F50" s="13" t="n">
        <f aca="false">CEILING(E50/0.75,5)</f>
        <v>935</v>
      </c>
      <c r="G50" s="12" t="n">
        <f aca="false">F50*0.75</f>
        <v>701.25</v>
      </c>
      <c r="H50" s="10" t="n">
        <f aca="false">ROUND((D50+0.45)/(1-ASM!$B$9),0)</f>
        <v>506</v>
      </c>
      <c r="I50" s="10" t="n">
        <f aca="false">ROUND((D50+0.45)/(1-ASM!$B$9-ASM!$B$10),0)</f>
        <v>608</v>
      </c>
      <c r="J50" s="10" t="str">
        <f aca="false">IF(G50&gt;=H50,"OK","FLOOR ALTI")</f>
        <v>OK</v>
      </c>
    </row>
    <row r="51" customFormat="false" ht="15" hidden="false" customHeight="true" outlineLevel="0" collapsed="false">
      <c r="A51" s="10" t="n">
        <v>5</v>
      </c>
      <c r="B51" s="10" t="n">
        <v>14</v>
      </c>
      <c r="C51" s="11" t="n">
        <v>6.91</v>
      </c>
      <c r="D51" s="12" t="n">
        <f aca="false">ROUND(C51*ASM!$B$8*ASM!$B$11*(1+ASM!$B$3)+ASM!$B$4+ASM!$B$5+ASM!$B$6,2)</f>
        <v>465.43</v>
      </c>
      <c r="E51" s="10" t="n">
        <f aca="false">ROUND(D51*ASM!$B$7,0)</f>
        <v>721</v>
      </c>
      <c r="F51" s="13" t="n">
        <f aca="false">CEILING(E51/0.75,5)</f>
        <v>965</v>
      </c>
      <c r="G51" s="12" t="n">
        <f aca="false">F51*0.75</f>
        <v>723.75</v>
      </c>
      <c r="H51" s="10" t="n">
        <f aca="false">ROUND((D51+0.45)/(1-ASM!$B$9),0)</f>
        <v>521</v>
      </c>
      <c r="I51" s="10" t="n">
        <f aca="false">ROUND((D51+0.45)/(1-ASM!$B$9-ASM!$B$10),0)</f>
        <v>625</v>
      </c>
      <c r="J51" s="10" t="str">
        <f aca="false">IF(G51&gt;=H51,"OK","FLOOR ALTI")</f>
        <v>OK</v>
      </c>
    </row>
    <row r="52" customFormat="false" ht="15" hidden="false" customHeight="true" outlineLevel="0" collapsed="false">
      <c r="A52" s="10" t="n">
        <v>5</v>
      </c>
      <c r="B52" s="10" t="n">
        <v>15</v>
      </c>
      <c r="C52" s="11" t="n">
        <v>7.13</v>
      </c>
      <c r="D52" s="12" t="n">
        <f aca="false">ROUND(C52*ASM!$B$8*ASM!$B$11*(1+ASM!$B$3)+ASM!$B$4+ASM!$B$5+ASM!$B$6,2)</f>
        <v>478.33</v>
      </c>
      <c r="E52" s="10" t="n">
        <f aca="false">ROUND(D52*ASM!$B$7,0)</f>
        <v>741</v>
      </c>
      <c r="F52" s="13" t="n">
        <f aca="false">CEILING(E52/0.75,5)</f>
        <v>990</v>
      </c>
      <c r="G52" s="12" t="n">
        <f aca="false">F52*0.75</f>
        <v>742.5</v>
      </c>
      <c r="H52" s="10" t="n">
        <f aca="false">ROUND((D52+0.45)/(1-ASM!$B$9),0)</f>
        <v>535</v>
      </c>
      <c r="I52" s="10" t="n">
        <f aca="false">ROUND((D52+0.45)/(1-ASM!$B$9-ASM!$B$10),0)</f>
        <v>643</v>
      </c>
      <c r="J52" s="10" t="str">
        <f aca="false">IF(G52&gt;=H52,"OK","FLOOR ALTI")</f>
        <v>OK</v>
      </c>
    </row>
    <row r="53" customFormat="false" ht="15" hidden="false" customHeight="true" outlineLevel="0" collapsed="false">
      <c r="A53" s="10" t="n">
        <v>5</v>
      </c>
      <c r="B53" s="10" t="n">
        <v>16</v>
      </c>
      <c r="C53" s="11" t="n">
        <v>7.35</v>
      </c>
      <c r="D53" s="12" t="n">
        <f aca="false">ROUND(C53*ASM!$B$8*ASM!$B$11*(1+ASM!$B$3)+ASM!$B$4+ASM!$B$5+ASM!$B$6,2)</f>
        <v>491.24</v>
      </c>
      <c r="E53" s="10" t="n">
        <f aca="false">ROUND(D53*ASM!$B$7,0)</f>
        <v>761</v>
      </c>
      <c r="F53" s="13" t="n">
        <f aca="false">CEILING(E53/0.75,5)</f>
        <v>1015</v>
      </c>
      <c r="G53" s="12" t="n">
        <f aca="false">F53*0.75</f>
        <v>761.25</v>
      </c>
      <c r="H53" s="10" t="n">
        <f aca="false">ROUND((D53+0.45)/(1-ASM!$B$9),0)</f>
        <v>549</v>
      </c>
      <c r="I53" s="10" t="n">
        <f aca="false">ROUND((D53+0.45)/(1-ASM!$B$9-ASM!$B$10),0)</f>
        <v>660</v>
      </c>
      <c r="J53" s="10" t="str">
        <f aca="false">IF(G53&gt;=H53,"OK","FLOOR ALTI")</f>
        <v>OK</v>
      </c>
    </row>
    <row r="54" customFormat="false" ht="15" hidden="false" customHeight="true" outlineLevel="0" collapsed="false">
      <c r="A54" s="10" t="n">
        <v>6</v>
      </c>
      <c r="B54" s="10" t="n">
        <v>4</v>
      </c>
      <c r="C54" s="11" t="n">
        <v>5.64</v>
      </c>
      <c r="D54" s="12" t="n">
        <f aca="false">ROUND(C54*ASM!$B$8*ASM!$B$11*(1+ASM!$B$3)+ASM!$B$4+ASM!$B$5+ASM!$B$6,2)</f>
        <v>390.91</v>
      </c>
      <c r="E54" s="10" t="n">
        <f aca="false">ROUND(D54*ASM!$B$7,0)</f>
        <v>606</v>
      </c>
      <c r="F54" s="13" t="n">
        <f aca="false">CEILING(E54/0.75,5)</f>
        <v>810</v>
      </c>
      <c r="G54" s="12" t="n">
        <f aca="false">F54*0.75</f>
        <v>607.5</v>
      </c>
      <c r="H54" s="10" t="n">
        <f aca="false">ROUND((D54+0.45)/(1-ASM!$B$9),0)</f>
        <v>437</v>
      </c>
      <c r="I54" s="10" t="n">
        <f aca="false">ROUND((D54+0.45)/(1-ASM!$B$9-ASM!$B$10),0)</f>
        <v>525</v>
      </c>
      <c r="J54" s="10" t="str">
        <f aca="false">IF(G54&gt;=H54,"OK","FLOOR ALTI")</f>
        <v>OK</v>
      </c>
    </row>
    <row r="55" customFormat="false" ht="15" hidden="false" customHeight="true" outlineLevel="0" collapsed="false">
      <c r="A55" s="10" t="n">
        <v>6</v>
      </c>
      <c r="B55" s="10" t="n">
        <v>5</v>
      </c>
      <c r="C55" s="11" t="n">
        <v>5.91</v>
      </c>
      <c r="D55" s="12" t="n">
        <f aca="false">ROUND(C55*ASM!$B$8*ASM!$B$11*(1+ASM!$B$3)+ASM!$B$4+ASM!$B$5+ASM!$B$6,2)</f>
        <v>406.75</v>
      </c>
      <c r="E55" s="10" t="n">
        <f aca="false">ROUND(D55*ASM!$B$7,0)</f>
        <v>630</v>
      </c>
      <c r="F55" s="13" t="n">
        <f aca="false">CEILING(E55/0.75,5)</f>
        <v>840</v>
      </c>
      <c r="G55" s="12" t="n">
        <f aca="false">F55*0.75</f>
        <v>630</v>
      </c>
      <c r="H55" s="10" t="n">
        <f aca="false">ROUND((D55+0.45)/(1-ASM!$B$9),0)</f>
        <v>455</v>
      </c>
      <c r="I55" s="10" t="n">
        <f aca="false">ROUND((D55+0.45)/(1-ASM!$B$9-ASM!$B$10),0)</f>
        <v>547</v>
      </c>
      <c r="J55" s="10" t="str">
        <f aca="false">IF(G55&gt;=H55,"OK","FLOOR ALTI")</f>
        <v>OK</v>
      </c>
    </row>
    <row r="56" customFormat="false" ht="15" hidden="false" customHeight="true" outlineLevel="0" collapsed="false">
      <c r="A56" s="10" t="n">
        <v>6</v>
      </c>
      <c r="B56" s="10" t="n">
        <v>6</v>
      </c>
      <c r="C56" s="11" t="n">
        <v>6.17</v>
      </c>
      <c r="D56" s="12" t="n">
        <f aca="false">ROUND(C56*ASM!$B$8*ASM!$B$11*(1+ASM!$B$3)+ASM!$B$4+ASM!$B$5+ASM!$B$6,2)</f>
        <v>422.01</v>
      </c>
      <c r="E56" s="10" t="n">
        <f aca="false">ROUND(D56*ASM!$B$7,0)</f>
        <v>654</v>
      </c>
      <c r="F56" s="13" t="n">
        <f aca="false">CEILING(E56/0.75,5)</f>
        <v>875</v>
      </c>
      <c r="G56" s="12" t="n">
        <f aca="false">F56*0.75</f>
        <v>656.25</v>
      </c>
      <c r="H56" s="10" t="n">
        <f aca="false">ROUND((D56+0.45)/(1-ASM!$B$9),0)</f>
        <v>472</v>
      </c>
      <c r="I56" s="10" t="n">
        <f aca="false">ROUND((D56+0.45)/(1-ASM!$B$9-ASM!$B$10),0)</f>
        <v>567</v>
      </c>
      <c r="J56" s="10" t="str">
        <f aca="false">IF(G56&gt;=H56,"OK","FLOOR ALTI")</f>
        <v>OK</v>
      </c>
    </row>
    <row r="57" customFormat="false" ht="15" hidden="false" customHeight="true" outlineLevel="0" collapsed="false">
      <c r="A57" s="10" t="n">
        <v>6</v>
      </c>
      <c r="B57" s="10" t="n">
        <v>7</v>
      </c>
      <c r="C57" s="11" t="n">
        <v>6.44</v>
      </c>
      <c r="D57" s="12" t="n">
        <f aca="false">ROUND(C57*ASM!$B$8*ASM!$B$11*(1+ASM!$B$3)+ASM!$B$4+ASM!$B$5+ASM!$B$6,2)</f>
        <v>437.85</v>
      </c>
      <c r="E57" s="10" t="n">
        <f aca="false">ROUND(D57*ASM!$B$7,0)</f>
        <v>679</v>
      </c>
      <c r="F57" s="13" t="n">
        <f aca="false">CEILING(E57/0.75,5)</f>
        <v>910</v>
      </c>
      <c r="G57" s="12" t="n">
        <f aca="false">F57*0.75</f>
        <v>682.5</v>
      </c>
      <c r="H57" s="10" t="n">
        <f aca="false">ROUND((D57+0.45)/(1-ASM!$B$9),0)</f>
        <v>490</v>
      </c>
      <c r="I57" s="10" t="n">
        <f aca="false">ROUND((D57+0.45)/(1-ASM!$B$9-ASM!$B$10),0)</f>
        <v>588</v>
      </c>
      <c r="J57" s="10" t="str">
        <f aca="false">IF(G57&gt;=H57,"OK","FLOOR ALTI")</f>
        <v>OK</v>
      </c>
    </row>
    <row r="58" customFormat="false" ht="15" hidden="false" customHeight="true" outlineLevel="0" collapsed="false">
      <c r="A58" s="10" t="n">
        <v>6</v>
      </c>
      <c r="B58" s="10" t="n">
        <v>8</v>
      </c>
      <c r="C58" s="11" t="n">
        <v>6.7</v>
      </c>
      <c r="D58" s="12" t="n">
        <f aca="false">ROUND(C58*ASM!$B$8*ASM!$B$11*(1+ASM!$B$3)+ASM!$B$4+ASM!$B$5+ASM!$B$6,2)</f>
        <v>453.11</v>
      </c>
      <c r="E58" s="10" t="n">
        <f aca="false">ROUND(D58*ASM!$B$7,0)</f>
        <v>702</v>
      </c>
      <c r="F58" s="13" t="n">
        <f aca="false">CEILING(E58/0.75,5)</f>
        <v>940</v>
      </c>
      <c r="G58" s="12" t="n">
        <f aca="false">F58*0.75</f>
        <v>705</v>
      </c>
      <c r="H58" s="10" t="n">
        <f aca="false">ROUND((D58+0.45)/(1-ASM!$B$9),0)</f>
        <v>507</v>
      </c>
      <c r="I58" s="10" t="n">
        <f aca="false">ROUND((D58+0.45)/(1-ASM!$B$9-ASM!$B$10),0)</f>
        <v>609</v>
      </c>
      <c r="J58" s="10" t="str">
        <f aca="false">IF(G58&gt;=H58,"OK","FLOOR ALTI")</f>
        <v>OK</v>
      </c>
    </row>
    <row r="59" customFormat="false" ht="15" hidden="false" customHeight="true" outlineLevel="0" collapsed="false">
      <c r="A59" s="10" t="n">
        <v>6</v>
      </c>
      <c r="B59" s="10" t="n">
        <v>9</v>
      </c>
      <c r="C59" s="11" t="n">
        <v>6.97</v>
      </c>
      <c r="D59" s="12" t="n">
        <f aca="false">ROUND(C59*ASM!$B$8*ASM!$B$11*(1+ASM!$B$3)+ASM!$B$4+ASM!$B$5+ASM!$B$6,2)</f>
        <v>468.95</v>
      </c>
      <c r="E59" s="10" t="n">
        <f aca="false">ROUND(D59*ASM!$B$7,0)</f>
        <v>727</v>
      </c>
      <c r="F59" s="13" t="n">
        <f aca="false">CEILING(E59/0.75,5)</f>
        <v>970</v>
      </c>
      <c r="G59" s="12" t="n">
        <f aca="false">F59*0.75</f>
        <v>727.5</v>
      </c>
      <c r="H59" s="10" t="n">
        <f aca="false">ROUND((D59+0.45)/(1-ASM!$B$9),0)</f>
        <v>524</v>
      </c>
      <c r="I59" s="10" t="n">
        <f aca="false">ROUND((D59+0.45)/(1-ASM!$B$9-ASM!$B$10),0)</f>
        <v>630</v>
      </c>
      <c r="J59" s="10" t="str">
        <f aca="false">IF(G59&gt;=H59,"OK","FLOOR ALTI")</f>
        <v>OK</v>
      </c>
    </row>
    <row r="60" customFormat="false" ht="15" hidden="false" customHeight="true" outlineLevel="0" collapsed="false">
      <c r="A60" s="10" t="n">
        <v>6</v>
      </c>
      <c r="B60" s="10" t="n">
        <v>10</v>
      </c>
      <c r="C60" s="11" t="n">
        <v>7.23</v>
      </c>
      <c r="D60" s="12" t="n">
        <f aca="false">ROUND(C60*ASM!$B$8*ASM!$B$11*(1+ASM!$B$3)+ASM!$B$4+ASM!$B$5+ASM!$B$6,2)</f>
        <v>484.2</v>
      </c>
      <c r="E60" s="10" t="n">
        <f aca="false">ROUND(D60*ASM!$B$7,0)</f>
        <v>751</v>
      </c>
      <c r="F60" s="13" t="n">
        <f aca="false">CEILING(E60/0.75,5)</f>
        <v>1005</v>
      </c>
      <c r="G60" s="12" t="n">
        <f aca="false">F60*0.75</f>
        <v>753.75</v>
      </c>
      <c r="H60" s="10" t="n">
        <f aca="false">ROUND((D60+0.45)/(1-ASM!$B$9),0)</f>
        <v>542</v>
      </c>
      <c r="I60" s="10" t="n">
        <f aca="false">ROUND((D60+0.45)/(1-ASM!$B$9-ASM!$B$10),0)</f>
        <v>651</v>
      </c>
      <c r="J60" s="10" t="str">
        <f aca="false">IF(G60&gt;=H60,"OK","FLOOR ALTI")</f>
        <v>OK</v>
      </c>
    </row>
    <row r="61" customFormat="false" ht="15" hidden="false" customHeight="true" outlineLevel="0" collapsed="false">
      <c r="A61" s="10" t="n">
        <v>6</v>
      </c>
      <c r="B61" s="10" t="n">
        <v>11</v>
      </c>
      <c r="C61" s="11" t="n">
        <v>7.5</v>
      </c>
      <c r="D61" s="12" t="n">
        <f aca="false">ROUND(C61*ASM!$B$8*ASM!$B$11*(1+ASM!$B$3)+ASM!$B$4+ASM!$B$5+ASM!$B$6,2)</f>
        <v>500.04</v>
      </c>
      <c r="E61" s="10" t="n">
        <f aca="false">ROUND(D61*ASM!$B$7,0)</f>
        <v>775</v>
      </c>
      <c r="F61" s="13" t="n">
        <f aca="false">CEILING(E61/0.75,5)</f>
        <v>1035</v>
      </c>
      <c r="G61" s="12" t="n">
        <f aca="false">F61*0.75</f>
        <v>776.25</v>
      </c>
      <c r="H61" s="10" t="n">
        <f aca="false">ROUND((D61+0.45)/(1-ASM!$B$9),0)</f>
        <v>559</v>
      </c>
      <c r="I61" s="10" t="n">
        <f aca="false">ROUND((D61+0.45)/(1-ASM!$B$9-ASM!$B$10),0)</f>
        <v>672</v>
      </c>
      <c r="J61" s="10" t="str">
        <f aca="false">IF(G61&gt;=H61,"OK","FLOOR ALTI")</f>
        <v>OK</v>
      </c>
    </row>
    <row r="62" customFormat="false" ht="15" hidden="false" customHeight="true" outlineLevel="0" collapsed="false">
      <c r="A62" s="10" t="n">
        <v>6</v>
      </c>
      <c r="B62" s="10" t="n">
        <v>12</v>
      </c>
      <c r="C62" s="11" t="n">
        <v>7.76</v>
      </c>
      <c r="D62" s="12" t="n">
        <f aca="false">ROUND(C62*ASM!$B$8*ASM!$B$11*(1+ASM!$B$3)+ASM!$B$4+ASM!$B$5+ASM!$B$6,2)</f>
        <v>515.3</v>
      </c>
      <c r="E62" s="10" t="n">
        <f aca="false">ROUND(D62*ASM!$B$7,0)</f>
        <v>799</v>
      </c>
      <c r="F62" s="13" t="n">
        <f aca="false">CEILING(E62/0.75,5)</f>
        <v>1070</v>
      </c>
      <c r="G62" s="12" t="n">
        <f aca="false">F62*0.75</f>
        <v>802.5</v>
      </c>
      <c r="H62" s="10" t="n">
        <f aca="false">ROUND((D62+0.45)/(1-ASM!$B$9),0)</f>
        <v>576</v>
      </c>
      <c r="I62" s="10" t="n">
        <f aca="false">ROUND((D62+0.45)/(1-ASM!$B$9-ASM!$B$10),0)</f>
        <v>692</v>
      </c>
      <c r="J62" s="10" t="str">
        <f aca="false">IF(G62&gt;=H62,"OK","FLOOR ALTI")</f>
        <v>OK</v>
      </c>
    </row>
    <row r="63" customFormat="false" ht="15" hidden="false" customHeight="true" outlineLevel="0" collapsed="false">
      <c r="A63" s="10" t="n">
        <v>6</v>
      </c>
      <c r="B63" s="10" t="n">
        <v>13</v>
      </c>
      <c r="C63" s="11" t="n">
        <v>8.03</v>
      </c>
      <c r="D63" s="12" t="n">
        <f aca="false">ROUND(C63*ASM!$B$8*ASM!$B$11*(1+ASM!$B$3)+ASM!$B$4+ASM!$B$5+ASM!$B$6,2)</f>
        <v>531.14</v>
      </c>
      <c r="E63" s="10" t="n">
        <f aca="false">ROUND(D63*ASM!$B$7,0)</f>
        <v>823</v>
      </c>
      <c r="F63" s="13" t="n">
        <f aca="false">CEILING(E63/0.75,5)</f>
        <v>1100</v>
      </c>
      <c r="G63" s="12" t="n">
        <f aca="false">F63*0.75</f>
        <v>825</v>
      </c>
      <c r="H63" s="10" t="n">
        <f aca="false">ROUND((D63+0.45)/(1-ASM!$B$9),0)</f>
        <v>594</v>
      </c>
      <c r="I63" s="10" t="n">
        <f aca="false">ROUND((D63+0.45)/(1-ASM!$B$9-ASM!$B$10),0)</f>
        <v>714</v>
      </c>
      <c r="J63" s="10" t="str">
        <f aca="false">IF(G63&gt;=H63,"OK","FLOOR ALTI")</f>
        <v>OK</v>
      </c>
    </row>
    <row r="64" customFormat="false" ht="15" hidden="false" customHeight="true" outlineLevel="0" collapsed="false">
      <c r="A64" s="10" t="n">
        <v>6</v>
      </c>
      <c r="B64" s="10" t="n">
        <v>14</v>
      </c>
      <c r="C64" s="11" t="n">
        <v>8.29</v>
      </c>
      <c r="D64" s="12" t="n">
        <f aca="false">ROUND(C64*ASM!$B$8*ASM!$B$11*(1+ASM!$B$3)+ASM!$B$4+ASM!$B$5+ASM!$B$6,2)</f>
        <v>546.39</v>
      </c>
      <c r="E64" s="10" t="n">
        <f aca="false">ROUND(D64*ASM!$B$7,0)</f>
        <v>847</v>
      </c>
      <c r="F64" s="13" t="n">
        <f aca="false">CEILING(E64/0.75,5)</f>
        <v>1130</v>
      </c>
      <c r="G64" s="12" t="n">
        <f aca="false">F64*0.75</f>
        <v>847.5</v>
      </c>
      <c r="H64" s="10" t="n">
        <f aca="false">ROUND((D64+0.45)/(1-ASM!$B$9),0)</f>
        <v>611</v>
      </c>
      <c r="I64" s="10" t="n">
        <f aca="false">ROUND((D64+0.45)/(1-ASM!$B$9-ASM!$B$10),0)</f>
        <v>734</v>
      </c>
      <c r="J64" s="10" t="str">
        <f aca="false">IF(G64&gt;=H64,"OK","FLOOR ALTI")</f>
        <v>OK</v>
      </c>
    </row>
    <row r="65" customFormat="false" ht="15" hidden="false" customHeight="true" outlineLevel="0" collapsed="false">
      <c r="A65" s="10" t="n">
        <v>6</v>
      </c>
      <c r="B65" s="10" t="n">
        <v>15</v>
      </c>
      <c r="C65" s="11" t="n">
        <v>8.56</v>
      </c>
      <c r="D65" s="12" t="n">
        <f aca="false">ROUND(C65*ASM!$B$8*ASM!$B$11*(1+ASM!$B$3)+ASM!$B$4+ASM!$B$5+ASM!$B$6,2)</f>
        <v>562.24</v>
      </c>
      <c r="E65" s="10" t="n">
        <f aca="false">ROUND(D65*ASM!$B$7,0)</f>
        <v>871</v>
      </c>
      <c r="F65" s="13" t="n">
        <f aca="false">CEILING(E65/0.75,5)</f>
        <v>1165</v>
      </c>
      <c r="G65" s="12" t="n">
        <f aca="false">F65*0.75</f>
        <v>873.75</v>
      </c>
      <c r="H65" s="10" t="n">
        <f aca="false">ROUND((D65+0.45)/(1-ASM!$B$9),0)</f>
        <v>629</v>
      </c>
      <c r="I65" s="10" t="n">
        <f aca="false">ROUND((D65+0.45)/(1-ASM!$B$9-ASM!$B$10),0)</f>
        <v>755</v>
      </c>
      <c r="J65" s="10" t="str">
        <f aca="false">IF(G65&gt;=H65,"OK","FLOOR ALTI")</f>
        <v>OK</v>
      </c>
    </row>
    <row r="66" customFormat="false" ht="15" hidden="false" customHeight="true" outlineLevel="0" collapsed="false">
      <c r="A66" s="10" t="n">
        <v>6</v>
      </c>
      <c r="B66" s="10" t="n">
        <v>16</v>
      </c>
      <c r="C66" s="11" t="n">
        <v>8.82</v>
      </c>
      <c r="D66" s="12" t="n">
        <f aca="false">ROUND(C66*ASM!$B$8*ASM!$B$11*(1+ASM!$B$3)+ASM!$B$4+ASM!$B$5+ASM!$B$6,2)</f>
        <v>577.49</v>
      </c>
      <c r="E66" s="10" t="n">
        <f aca="false">ROUND(D66*ASM!$B$7,0)</f>
        <v>895</v>
      </c>
      <c r="F66" s="13" t="n">
        <f aca="false">CEILING(E66/0.75,5)</f>
        <v>1195</v>
      </c>
      <c r="G66" s="12" t="n">
        <f aca="false">F66*0.75</f>
        <v>896.25</v>
      </c>
      <c r="H66" s="10" t="n">
        <f aca="false">ROUND((D66+0.45)/(1-ASM!$B$9),0)</f>
        <v>646</v>
      </c>
      <c r="I66" s="10" t="n">
        <f aca="false">ROUND((D66+0.45)/(1-ASM!$B$9-ASM!$B$10),0)</f>
        <v>776</v>
      </c>
      <c r="J66" s="10" t="str">
        <f aca="false">IF(G66&gt;=H66,"OK","FLOOR ALTI")</f>
        <v>OK</v>
      </c>
    </row>
    <row r="67" customFormat="false" ht="15" hidden="false" customHeight="true" outlineLevel="0" collapsed="false">
      <c r="A67" s="10" t="n">
        <v>7</v>
      </c>
      <c r="B67" s="10" t="n">
        <v>4</v>
      </c>
      <c r="C67" s="11" t="n">
        <v>6.58</v>
      </c>
      <c r="D67" s="12" t="n">
        <f aca="false">ROUND(C67*ASM!$B$8*ASM!$B$11*(1+ASM!$B$3)+ASM!$B$4+ASM!$B$5+ASM!$B$6,2)</f>
        <v>446.06</v>
      </c>
      <c r="E67" s="10" t="n">
        <f aca="false">ROUND(D67*ASM!$B$7,0)</f>
        <v>691</v>
      </c>
      <c r="F67" s="13" t="n">
        <f aca="false">CEILING(E67/0.75,5)</f>
        <v>925</v>
      </c>
      <c r="G67" s="12" t="n">
        <f aca="false">F67*0.75</f>
        <v>693.75</v>
      </c>
      <c r="H67" s="10" t="n">
        <f aca="false">ROUND((D67+0.45)/(1-ASM!$B$9),0)</f>
        <v>499</v>
      </c>
      <c r="I67" s="10" t="n">
        <f aca="false">ROUND((D67+0.45)/(1-ASM!$B$9-ASM!$B$10),0)</f>
        <v>599</v>
      </c>
      <c r="J67" s="10" t="str">
        <f aca="false">IF(G67&gt;=H67,"OK","FLOOR ALTI")</f>
        <v>OK</v>
      </c>
    </row>
    <row r="68" customFormat="false" ht="15" hidden="false" customHeight="true" outlineLevel="0" collapsed="false">
      <c r="A68" s="10" t="n">
        <v>7</v>
      </c>
      <c r="B68" s="10" t="n">
        <v>5</v>
      </c>
      <c r="C68" s="11" t="n">
        <v>6.89</v>
      </c>
      <c r="D68" s="12" t="n">
        <f aca="false">ROUND(C68*ASM!$B$8*ASM!$B$11*(1+ASM!$B$3)+ASM!$B$4+ASM!$B$5+ASM!$B$6,2)</f>
        <v>464.25</v>
      </c>
      <c r="E68" s="10" t="n">
        <f aca="false">ROUND(D68*ASM!$B$7,0)</f>
        <v>720</v>
      </c>
      <c r="F68" s="13" t="n">
        <f aca="false">CEILING(E68/0.75,5)</f>
        <v>960</v>
      </c>
      <c r="G68" s="12" t="n">
        <f aca="false">F68*0.75</f>
        <v>720</v>
      </c>
      <c r="H68" s="10" t="n">
        <f aca="false">ROUND((D68+0.45)/(1-ASM!$B$9),0)</f>
        <v>519</v>
      </c>
      <c r="I68" s="10" t="n">
        <f aca="false">ROUND((D68+0.45)/(1-ASM!$B$9-ASM!$B$10),0)</f>
        <v>624</v>
      </c>
      <c r="J68" s="10" t="str">
        <f aca="false">IF(G68&gt;=H68,"OK","FLOOR ALTI")</f>
        <v>OK</v>
      </c>
    </row>
    <row r="69" customFormat="false" ht="15" hidden="false" customHeight="true" outlineLevel="0" collapsed="false">
      <c r="A69" s="10" t="n">
        <v>7</v>
      </c>
      <c r="B69" s="10" t="n">
        <v>6</v>
      </c>
      <c r="C69" s="11" t="n">
        <v>7.2</v>
      </c>
      <c r="D69" s="12" t="n">
        <f aca="false">ROUND(C69*ASM!$B$8*ASM!$B$11*(1+ASM!$B$3)+ASM!$B$4+ASM!$B$5+ASM!$B$6,2)</f>
        <v>482.44</v>
      </c>
      <c r="E69" s="10" t="n">
        <f aca="false">ROUND(D69*ASM!$B$7,0)</f>
        <v>748</v>
      </c>
      <c r="F69" s="13" t="n">
        <f aca="false">CEILING(E69/0.75,5)</f>
        <v>1000</v>
      </c>
      <c r="G69" s="12" t="n">
        <f aca="false">F69*0.75</f>
        <v>750</v>
      </c>
      <c r="H69" s="10" t="n">
        <f aca="false">ROUND((D69+0.45)/(1-ASM!$B$9),0)</f>
        <v>540</v>
      </c>
      <c r="I69" s="10" t="n">
        <f aca="false">ROUND((D69+0.45)/(1-ASM!$B$9-ASM!$B$10),0)</f>
        <v>648</v>
      </c>
      <c r="J69" s="10" t="str">
        <f aca="false">IF(G69&gt;=H69,"OK","FLOOR ALTI")</f>
        <v>OK</v>
      </c>
    </row>
    <row r="70" customFormat="false" ht="15" hidden="false" customHeight="true" outlineLevel="0" collapsed="false">
      <c r="A70" s="10" t="n">
        <v>7</v>
      </c>
      <c r="B70" s="10" t="n">
        <v>7</v>
      </c>
      <c r="C70" s="11" t="n">
        <v>7.51</v>
      </c>
      <c r="D70" s="12" t="n">
        <f aca="false">ROUND(C70*ASM!$B$8*ASM!$B$11*(1+ASM!$B$3)+ASM!$B$4+ASM!$B$5+ASM!$B$6,2)</f>
        <v>500.63</v>
      </c>
      <c r="E70" s="10" t="n">
        <f aca="false">ROUND(D70*ASM!$B$7,0)</f>
        <v>776</v>
      </c>
      <c r="F70" s="13" t="n">
        <f aca="false">CEILING(E70/0.75,5)</f>
        <v>1035</v>
      </c>
      <c r="G70" s="12" t="n">
        <f aca="false">F70*0.75</f>
        <v>776.25</v>
      </c>
      <c r="H70" s="10" t="n">
        <f aca="false">ROUND((D70+0.45)/(1-ASM!$B$9),0)</f>
        <v>560</v>
      </c>
      <c r="I70" s="10" t="n">
        <f aca="false">ROUND((D70+0.45)/(1-ASM!$B$9-ASM!$B$10),0)</f>
        <v>673</v>
      </c>
      <c r="J70" s="10" t="str">
        <f aca="false">IF(G70&gt;=H70,"OK","FLOOR ALTI")</f>
        <v>OK</v>
      </c>
    </row>
    <row r="71" customFormat="false" ht="15" hidden="false" customHeight="true" outlineLevel="0" collapsed="false">
      <c r="A71" s="10" t="n">
        <v>7</v>
      </c>
      <c r="B71" s="10" t="n">
        <v>8</v>
      </c>
      <c r="C71" s="11" t="n">
        <v>7.82</v>
      </c>
      <c r="D71" s="12" t="n">
        <f aca="false">ROUND(C71*ASM!$B$8*ASM!$B$11*(1+ASM!$B$3)+ASM!$B$4+ASM!$B$5+ASM!$B$6,2)</f>
        <v>518.82</v>
      </c>
      <c r="E71" s="10" t="n">
        <f aca="false">ROUND(D71*ASM!$B$7,0)</f>
        <v>804</v>
      </c>
      <c r="F71" s="13" t="n">
        <f aca="false">CEILING(E71/0.75,5)</f>
        <v>1075</v>
      </c>
      <c r="G71" s="12" t="n">
        <f aca="false">F71*0.75</f>
        <v>806.25</v>
      </c>
      <c r="H71" s="10" t="n">
        <f aca="false">ROUND((D71+0.45)/(1-ASM!$B$9),0)</f>
        <v>580</v>
      </c>
      <c r="I71" s="10" t="n">
        <f aca="false">ROUND((D71+0.45)/(1-ASM!$B$9-ASM!$B$10),0)</f>
        <v>697</v>
      </c>
      <c r="J71" s="10" t="str">
        <f aca="false">IF(G71&gt;=H71,"OK","FLOOR ALTI")</f>
        <v>OK</v>
      </c>
    </row>
    <row r="72" customFormat="false" ht="15" hidden="false" customHeight="true" outlineLevel="0" collapsed="false">
      <c r="A72" s="10" t="n">
        <v>7</v>
      </c>
      <c r="B72" s="10" t="n">
        <v>9</v>
      </c>
      <c r="C72" s="11" t="n">
        <v>8.13</v>
      </c>
      <c r="D72" s="12" t="n">
        <f aca="false">ROUND(C72*ASM!$B$8*ASM!$B$11*(1+ASM!$B$3)+ASM!$B$4+ASM!$B$5+ASM!$B$6,2)</f>
        <v>537.01</v>
      </c>
      <c r="E72" s="10" t="n">
        <f aca="false">ROUND(D72*ASM!$B$7,0)</f>
        <v>832</v>
      </c>
      <c r="F72" s="13" t="n">
        <f aca="false">CEILING(E72/0.75,5)</f>
        <v>1110</v>
      </c>
      <c r="G72" s="12" t="n">
        <f aca="false">F72*0.75</f>
        <v>832.5</v>
      </c>
      <c r="H72" s="10" t="n">
        <f aca="false">ROUND((D72+0.45)/(1-ASM!$B$9),0)</f>
        <v>601</v>
      </c>
      <c r="I72" s="10" t="n">
        <f aca="false">ROUND((D72+0.45)/(1-ASM!$B$9-ASM!$B$10),0)</f>
        <v>721</v>
      </c>
      <c r="J72" s="10" t="str">
        <f aca="false">IF(G72&gt;=H72,"OK","FLOOR ALTI")</f>
        <v>OK</v>
      </c>
    </row>
    <row r="73" customFormat="false" ht="15" hidden="false" customHeight="true" outlineLevel="0" collapsed="false">
      <c r="A73" s="10" t="n">
        <v>7</v>
      </c>
      <c r="B73" s="10" t="n">
        <v>10</v>
      </c>
      <c r="C73" s="11" t="n">
        <v>8.44</v>
      </c>
      <c r="D73" s="12" t="n">
        <f aca="false">ROUND(C73*ASM!$B$8*ASM!$B$11*(1+ASM!$B$3)+ASM!$B$4+ASM!$B$5+ASM!$B$6,2)</f>
        <v>555.2</v>
      </c>
      <c r="E73" s="10" t="n">
        <f aca="false">ROUND(D73*ASM!$B$7,0)</f>
        <v>861</v>
      </c>
      <c r="F73" s="13" t="n">
        <f aca="false">CEILING(E73/0.75,5)</f>
        <v>1150</v>
      </c>
      <c r="G73" s="12" t="n">
        <f aca="false">F73*0.75</f>
        <v>862.5</v>
      </c>
      <c r="H73" s="10" t="n">
        <f aca="false">ROUND((D73+0.45)/(1-ASM!$B$9),0)</f>
        <v>621</v>
      </c>
      <c r="I73" s="10" t="n">
        <f aca="false">ROUND((D73+0.45)/(1-ASM!$B$9-ASM!$B$10),0)</f>
        <v>746</v>
      </c>
      <c r="J73" s="10" t="str">
        <f aca="false">IF(G73&gt;=H73,"OK","FLOOR ALTI")</f>
        <v>OK</v>
      </c>
    </row>
    <row r="74" customFormat="false" ht="15" hidden="false" customHeight="true" outlineLevel="0" collapsed="false">
      <c r="A74" s="10" t="n">
        <v>7</v>
      </c>
      <c r="B74" s="10" t="n">
        <v>11</v>
      </c>
      <c r="C74" s="11" t="n">
        <v>8.75</v>
      </c>
      <c r="D74" s="12" t="n">
        <f aca="false">ROUND(C74*ASM!$B$8*ASM!$B$11*(1+ASM!$B$3)+ASM!$B$4+ASM!$B$5+ASM!$B$6,2)</f>
        <v>573.38</v>
      </c>
      <c r="E74" s="10" t="n">
        <f aca="false">ROUND(D74*ASM!$B$7,0)</f>
        <v>889</v>
      </c>
      <c r="F74" s="13" t="n">
        <f aca="false">CEILING(E74/0.75,5)</f>
        <v>1190</v>
      </c>
      <c r="G74" s="12" t="n">
        <f aca="false">F74*0.75</f>
        <v>892.5</v>
      </c>
      <c r="H74" s="10" t="n">
        <f aca="false">ROUND((D74+0.45)/(1-ASM!$B$9),0)</f>
        <v>641</v>
      </c>
      <c r="I74" s="10" t="n">
        <f aca="false">ROUND((D74+0.45)/(1-ASM!$B$9-ASM!$B$10),0)</f>
        <v>770</v>
      </c>
      <c r="J74" s="10" t="str">
        <f aca="false">IF(G74&gt;=H74,"OK","FLOOR ALTI")</f>
        <v>OK</v>
      </c>
    </row>
    <row r="75" customFormat="false" ht="15" hidden="false" customHeight="true" outlineLevel="0" collapsed="false">
      <c r="A75" s="10" t="n">
        <v>7</v>
      </c>
      <c r="B75" s="10" t="n">
        <v>12</v>
      </c>
      <c r="C75" s="11" t="n">
        <v>9.06</v>
      </c>
      <c r="D75" s="12" t="n">
        <f aca="false">ROUND(C75*ASM!$B$8*ASM!$B$11*(1+ASM!$B$3)+ASM!$B$4+ASM!$B$5+ASM!$B$6,2)</f>
        <v>591.57</v>
      </c>
      <c r="E75" s="10" t="n">
        <f aca="false">ROUND(D75*ASM!$B$7,0)</f>
        <v>917</v>
      </c>
      <c r="F75" s="13" t="n">
        <f aca="false">CEILING(E75/0.75,5)</f>
        <v>1225</v>
      </c>
      <c r="G75" s="12" t="n">
        <f aca="false">F75*0.75</f>
        <v>918.75</v>
      </c>
      <c r="H75" s="10" t="n">
        <f aca="false">ROUND((D75+0.45)/(1-ASM!$B$9),0)</f>
        <v>661</v>
      </c>
      <c r="I75" s="10" t="n">
        <f aca="false">ROUND((D75+0.45)/(1-ASM!$B$9-ASM!$B$10),0)</f>
        <v>795</v>
      </c>
      <c r="J75" s="10" t="str">
        <f aca="false">IF(G75&gt;=H75,"OK","FLOOR ALTI")</f>
        <v>OK</v>
      </c>
    </row>
    <row r="76" customFormat="false" ht="15" hidden="false" customHeight="true" outlineLevel="0" collapsed="false">
      <c r="A76" s="10" t="n">
        <v>7</v>
      </c>
      <c r="B76" s="10" t="n">
        <v>13</v>
      </c>
      <c r="C76" s="11" t="n">
        <v>9.37</v>
      </c>
      <c r="D76" s="12" t="n">
        <f aca="false">ROUND(C76*ASM!$B$8*ASM!$B$11*(1+ASM!$B$3)+ASM!$B$4+ASM!$B$5+ASM!$B$6,2)</f>
        <v>609.76</v>
      </c>
      <c r="E76" s="10" t="n">
        <f aca="false">ROUND(D76*ASM!$B$7,0)</f>
        <v>945</v>
      </c>
      <c r="F76" s="13" t="n">
        <f aca="false">CEILING(E76/0.75,5)</f>
        <v>1260</v>
      </c>
      <c r="G76" s="12" t="n">
        <f aca="false">F76*0.75</f>
        <v>945</v>
      </c>
      <c r="H76" s="10" t="n">
        <f aca="false">ROUND((D76+0.45)/(1-ASM!$B$9),0)</f>
        <v>682</v>
      </c>
      <c r="I76" s="10" t="n">
        <f aca="false">ROUND((D76+0.45)/(1-ASM!$B$9-ASM!$B$10),0)</f>
        <v>819</v>
      </c>
      <c r="J76" s="10" t="str">
        <f aca="false">IF(G76&gt;=H76,"OK","FLOOR ALTI")</f>
        <v>OK</v>
      </c>
    </row>
    <row r="77" customFormat="false" ht="15" hidden="false" customHeight="true" outlineLevel="0" collapsed="false">
      <c r="A77" s="10" t="n">
        <v>7</v>
      </c>
      <c r="B77" s="10" t="n">
        <v>14</v>
      </c>
      <c r="C77" s="11" t="n">
        <v>9.68</v>
      </c>
      <c r="D77" s="12" t="n">
        <f aca="false">ROUND(C77*ASM!$B$8*ASM!$B$11*(1+ASM!$B$3)+ASM!$B$4+ASM!$B$5+ASM!$B$6,2)</f>
        <v>627.95</v>
      </c>
      <c r="E77" s="10" t="n">
        <f aca="false">ROUND(D77*ASM!$B$7,0)</f>
        <v>973</v>
      </c>
      <c r="F77" s="13" t="n">
        <f aca="false">CEILING(E77/0.75,5)</f>
        <v>1300</v>
      </c>
      <c r="G77" s="12" t="n">
        <f aca="false">F77*0.75</f>
        <v>975</v>
      </c>
      <c r="H77" s="10" t="n">
        <f aca="false">ROUND((D77+0.45)/(1-ASM!$B$9),0)</f>
        <v>702</v>
      </c>
      <c r="I77" s="10" t="n">
        <f aca="false">ROUND((D77+0.45)/(1-ASM!$B$9-ASM!$B$10),0)</f>
        <v>843</v>
      </c>
      <c r="J77" s="10" t="str">
        <f aca="false">IF(G77&gt;=H77,"OK","FLOOR ALTI")</f>
        <v>OK</v>
      </c>
    </row>
    <row r="78" customFormat="false" ht="15" hidden="false" customHeight="true" outlineLevel="0" collapsed="false">
      <c r="A78" s="10" t="n">
        <v>7</v>
      </c>
      <c r="B78" s="10" t="n">
        <v>15</v>
      </c>
      <c r="C78" s="11" t="n">
        <v>9.99</v>
      </c>
      <c r="D78" s="12" t="n">
        <f aca="false">ROUND(C78*ASM!$B$8*ASM!$B$11*(1+ASM!$B$3)+ASM!$B$4+ASM!$B$5+ASM!$B$6,2)</f>
        <v>646.14</v>
      </c>
      <c r="E78" s="10" t="n">
        <f aca="false">ROUND(D78*ASM!$B$7,0)</f>
        <v>1002</v>
      </c>
      <c r="F78" s="13" t="n">
        <f aca="false">CEILING(E78/0.75,5)</f>
        <v>1340</v>
      </c>
      <c r="G78" s="12" t="n">
        <f aca="false">F78*0.75</f>
        <v>1005</v>
      </c>
      <c r="H78" s="10" t="n">
        <f aca="false">ROUND((D78+0.45)/(1-ASM!$B$9),0)</f>
        <v>722</v>
      </c>
      <c r="I78" s="10" t="n">
        <f aca="false">ROUND((D78+0.45)/(1-ASM!$B$9-ASM!$B$10),0)</f>
        <v>868</v>
      </c>
      <c r="J78" s="10" t="str">
        <f aca="false">IF(G78&gt;=H78,"OK","FLOOR ALTI")</f>
        <v>OK</v>
      </c>
    </row>
    <row r="79" customFormat="false" ht="15" hidden="false" customHeight="true" outlineLevel="0" collapsed="false">
      <c r="A79" s="10" t="n">
        <v>7</v>
      </c>
      <c r="B79" s="10" t="n">
        <v>16</v>
      </c>
      <c r="C79" s="11" t="n">
        <v>10.3</v>
      </c>
      <c r="D79" s="12" t="n">
        <f aca="false">ROUND(C79*ASM!$B$8*ASM!$B$11*(1+ASM!$B$3)+ASM!$B$4+ASM!$B$5+ASM!$B$6,2)</f>
        <v>664.33</v>
      </c>
      <c r="E79" s="10" t="n">
        <f aca="false">ROUND(D79*ASM!$B$7,0)</f>
        <v>1030</v>
      </c>
      <c r="F79" s="13" t="n">
        <f aca="false">CEILING(E79/0.75,5)</f>
        <v>1375</v>
      </c>
      <c r="G79" s="12" t="n">
        <f aca="false">F79*0.75</f>
        <v>1031.25</v>
      </c>
      <c r="H79" s="10" t="n">
        <f aca="false">ROUND((D79+0.45)/(1-ASM!$B$9),0)</f>
        <v>743</v>
      </c>
      <c r="I79" s="10" t="n">
        <f aca="false">ROUND((D79+0.45)/(1-ASM!$B$9-ASM!$B$10),0)</f>
        <v>892</v>
      </c>
      <c r="J79" s="10" t="str">
        <f aca="false">IF(G79&gt;=H79,"OK","FLOOR ALTI")</f>
        <v>OK</v>
      </c>
    </row>
    <row r="80" customFormat="false" ht="15" hidden="false" customHeight="true" outlineLevel="0" collapsed="false">
      <c r="A80" s="10" t="n">
        <v>8</v>
      </c>
      <c r="B80" s="10" t="n">
        <v>4</v>
      </c>
      <c r="C80" s="11" t="n">
        <v>7.52</v>
      </c>
      <c r="D80" s="12" t="n">
        <f aca="false">ROUND(C80*ASM!$B$8*ASM!$B$11*(1+ASM!$B$3)+ASM!$B$4+ASM!$B$5+ASM!$B$6,2)</f>
        <v>501.22</v>
      </c>
      <c r="E80" s="10" t="n">
        <f aca="false">ROUND(D80*ASM!$B$7,0)</f>
        <v>777</v>
      </c>
      <c r="F80" s="13" t="n">
        <f aca="false">CEILING(E80/0.75,5)</f>
        <v>1040</v>
      </c>
      <c r="G80" s="12" t="n">
        <f aca="false">F80*0.75</f>
        <v>780</v>
      </c>
      <c r="H80" s="10" t="n">
        <f aca="false">ROUND((D80+0.45)/(1-ASM!$B$9),0)</f>
        <v>561</v>
      </c>
      <c r="I80" s="10" t="n">
        <f aca="false">ROUND((D80+0.45)/(1-ASM!$B$9-ASM!$B$10),0)</f>
        <v>673</v>
      </c>
      <c r="J80" s="10" t="str">
        <f aca="false">IF(G80&gt;=H80,"OK","FLOOR ALTI")</f>
        <v>OK</v>
      </c>
    </row>
    <row r="81" customFormat="false" ht="15" hidden="false" customHeight="true" outlineLevel="0" collapsed="false">
      <c r="A81" s="10" t="n">
        <v>8</v>
      </c>
      <c r="B81" s="10" t="n">
        <v>5</v>
      </c>
      <c r="C81" s="11" t="n">
        <v>7.87</v>
      </c>
      <c r="D81" s="12" t="n">
        <f aca="false">ROUND(C81*ASM!$B$8*ASM!$B$11*(1+ASM!$B$3)+ASM!$B$4+ASM!$B$5+ASM!$B$6,2)</f>
        <v>521.75</v>
      </c>
      <c r="E81" s="10" t="n">
        <f aca="false">ROUND(D81*ASM!$B$7,0)</f>
        <v>809</v>
      </c>
      <c r="F81" s="13" t="n">
        <f aca="false">CEILING(E81/0.75,5)</f>
        <v>1080</v>
      </c>
      <c r="G81" s="12" t="n">
        <f aca="false">F81*0.75</f>
        <v>810</v>
      </c>
      <c r="H81" s="10" t="n">
        <f aca="false">ROUND((D81+0.45)/(1-ASM!$B$9),0)</f>
        <v>583</v>
      </c>
      <c r="I81" s="10" t="n">
        <f aca="false">ROUND((D81+0.45)/(1-ASM!$B$9-ASM!$B$10),0)</f>
        <v>701</v>
      </c>
      <c r="J81" s="10" t="str">
        <f aca="false">IF(G81&gt;=H81,"OK","FLOOR ALTI")</f>
        <v>OK</v>
      </c>
    </row>
    <row r="82" customFormat="false" ht="15" hidden="false" customHeight="true" outlineLevel="0" collapsed="false">
      <c r="A82" s="10" t="n">
        <v>8</v>
      </c>
      <c r="B82" s="10" t="n">
        <v>6</v>
      </c>
      <c r="C82" s="11" t="n">
        <v>8.23</v>
      </c>
      <c r="D82" s="12" t="n">
        <f aca="false">ROUND(C82*ASM!$B$8*ASM!$B$11*(1+ASM!$B$3)+ASM!$B$4+ASM!$B$5+ASM!$B$6,2)</f>
        <v>542.87</v>
      </c>
      <c r="E82" s="10" t="n">
        <f aca="false">ROUND(D82*ASM!$B$7,0)</f>
        <v>841</v>
      </c>
      <c r="F82" s="13" t="n">
        <f aca="false">CEILING(E82/0.75,5)</f>
        <v>1125</v>
      </c>
      <c r="G82" s="12" t="n">
        <f aca="false">F82*0.75</f>
        <v>843.75</v>
      </c>
      <c r="H82" s="10" t="n">
        <f aca="false">ROUND((D82+0.45)/(1-ASM!$B$9),0)</f>
        <v>607</v>
      </c>
      <c r="I82" s="10" t="n">
        <f aca="false">ROUND((D82+0.45)/(1-ASM!$B$9-ASM!$B$10),0)</f>
        <v>729</v>
      </c>
      <c r="J82" s="10" t="str">
        <f aca="false">IF(G82&gt;=H82,"OK","FLOOR ALTI")</f>
        <v>OK</v>
      </c>
    </row>
    <row r="83" customFormat="false" ht="15" hidden="false" customHeight="true" outlineLevel="0" collapsed="false">
      <c r="A83" s="10" t="n">
        <v>8</v>
      </c>
      <c r="B83" s="10" t="n">
        <v>7</v>
      </c>
      <c r="C83" s="11" t="n">
        <v>8.53</v>
      </c>
      <c r="D83" s="12" t="n">
        <f aca="false">ROUND(C83*ASM!$B$8*ASM!$B$11*(1+ASM!$B$3)+ASM!$B$4+ASM!$B$5+ASM!$B$6,2)</f>
        <v>560.48</v>
      </c>
      <c r="E83" s="10" t="n">
        <f aca="false">ROUND(D83*ASM!$B$7,0)</f>
        <v>869</v>
      </c>
      <c r="F83" s="13" t="n">
        <f aca="false">CEILING(E83/0.75,5)</f>
        <v>1160</v>
      </c>
      <c r="G83" s="12" t="n">
        <f aca="false">F83*0.75</f>
        <v>870</v>
      </c>
      <c r="H83" s="10" t="n">
        <f aca="false">ROUND((D83+0.45)/(1-ASM!$B$9),0)</f>
        <v>627</v>
      </c>
      <c r="I83" s="10" t="n">
        <f aca="false">ROUND((D83+0.45)/(1-ASM!$B$9-ASM!$B$10),0)</f>
        <v>753</v>
      </c>
      <c r="J83" s="10" t="str">
        <f aca="false">IF(G83&gt;=H83,"OK","FLOOR ALTI")</f>
        <v>OK</v>
      </c>
    </row>
    <row r="84" customFormat="false" ht="15" hidden="false" customHeight="true" outlineLevel="0" collapsed="false">
      <c r="A84" s="10" t="n">
        <v>8</v>
      </c>
      <c r="B84" s="10" t="n">
        <v>8</v>
      </c>
      <c r="C84" s="11" t="n">
        <v>8.92</v>
      </c>
      <c r="D84" s="12" t="n">
        <f aca="false">ROUND(C84*ASM!$B$8*ASM!$B$11*(1+ASM!$B$3)+ASM!$B$4+ASM!$B$5+ASM!$B$6,2)</f>
        <v>583.36</v>
      </c>
      <c r="E84" s="10" t="n">
        <f aca="false">ROUND(D84*ASM!$B$7,0)</f>
        <v>904</v>
      </c>
      <c r="F84" s="13" t="n">
        <f aca="false">CEILING(E84/0.75,5)</f>
        <v>1210</v>
      </c>
      <c r="G84" s="12" t="n">
        <f aca="false">F84*0.75</f>
        <v>907.5</v>
      </c>
      <c r="H84" s="10" t="n">
        <f aca="false">ROUND((D84+0.45)/(1-ASM!$B$9),0)</f>
        <v>652</v>
      </c>
      <c r="I84" s="10" t="n">
        <f aca="false">ROUND((D84+0.45)/(1-ASM!$B$9-ASM!$B$10),0)</f>
        <v>784</v>
      </c>
      <c r="J84" s="10" t="str">
        <f aca="false">IF(G84&gt;=H84,"OK","FLOOR ALTI")</f>
        <v>OK</v>
      </c>
    </row>
    <row r="85" customFormat="false" ht="15" hidden="false" customHeight="true" outlineLevel="0" collapsed="false">
      <c r="A85" s="10" t="n">
        <v>8</v>
      </c>
      <c r="B85" s="10" t="n">
        <v>9</v>
      </c>
      <c r="C85" s="11" t="n">
        <v>9.28</v>
      </c>
      <c r="D85" s="12" t="n">
        <f aca="false">ROUND(C85*ASM!$B$8*ASM!$B$11*(1+ASM!$B$3)+ASM!$B$4+ASM!$B$5+ASM!$B$6,2)</f>
        <v>604.48</v>
      </c>
      <c r="E85" s="10" t="n">
        <f aca="false">ROUND(D85*ASM!$B$7,0)</f>
        <v>937</v>
      </c>
      <c r="F85" s="13" t="n">
        <f aca="false">CEILING(E85/0.75,5)</f>
        <v>1250</v>
      </c>
      <c r="G85" s="12" t="n">
        <f aca="false">F85*0.75</f>
        <v>937.5</v>
      </c>
      <c r="H85" s="10" t="n">
        <f aca="false">ROUND((D85+0.45)/(1-ASM!$B$9),0)</f>
        <v>676</v>
      </c>
      <c r="I85" s="10" t="n">
        <f aca="false">ROUND((D85+0.45)/(1-ASM!$B$9-ASM!$B$10),0)</f>
        <v>812</v>
      </c>
      <c r="J85" s="10" t="str">
        <f aca="false">IF(G85&gt;=H85,"OK","FLOOR ALTI")</f>
        <v>OK</v>
      </c>
    </row>
    <row r="86" customFormat="false" ht="15" hidden="false" customHeight="true" outlineLevel="0" collapsed="false">
      <c r="A86" s="10" t="n">
        <v>8</v>
      </c>
      <c r="B86" s="10" t="n">
        <v>10</v>
      </c>
      <c r="C86" s="11" t="n">
        <v>9.63</v>
      </c>
      <c r="D86" s="12" t="n">
        <f aca="false">ROUND(C86*ASM!$B$8*ASM!$B$11*(1+ASM!$B$3)+ASM!$B$4+ASM!$B$5+ASM!$B$6,2)</f>
        <v>625.02</v>
      </c>
      <c r="E86" s="10" t="n">
        <f aca="false">ROUND(D86*ASM!$B$7,0)</f>
        <v>969</v>
      </c>
      <c r="F86" s="13" t="n">
        <f aca="false">CEILING(E86/0.75,5)</f>
        <v>1295</v>
      </c>
      <c r="G86" s="12" t="n">
        <f aca="false">F86*0.75</f>
        <v>971.25</v>
      </c>
      <c r="H86" s="10" t="n">
        <f aca="false">ROUND((D86+0.45)/(1-ASM!$B$9),0)</f>
        <v>699</v>
      </c>
      <c r="I86" s="10" t="n">
        <f aca="false">ROUND((D86+0.45)/(1-ASM!$B$9-ASM!$B$10),0)</f>
        <v>840</v>
      </c>
      <c r="J86" s="10" t="str">
        <f aca="false">IF(G86&gt;=H86,"OK","FLOOR ALTI")</f>
        <v>OK</v>
      </c>
    </row>
    <row r="87" customFormat="false" ht="15" hidden="false" customHeight="true" outlineLevel="0" collapsed="false">
      <c r="A87" s="10" t="n">
        <v>8</v>
      </c>
      <c r="B87" s="10" t="n">
        <v>11</v>
      </c>
      <c r="C87" s="11" t="n">
        <v>9.99</v>
      </c>
      <c r="D87" s="12" t="n">
        <f aca="false">ROUND(C87*ASM!$B$8*ASM!$B$11*(1+ASM!$B$3)+ASM!$B$4+ASM!$B$5+ASM!$B$6,2)</f>
        <v>646.14</v>
      </c>
      <c r="E87" s="10" t="n">
        <f aca="false">ROUND(D87*ASM!$B$7,0)</f>
        <v>1002</v>
      </c>
      <c r="F87" s="13" t="n">
        <f aca="false">CEILING(E87/0.75,5)</f>
        <v>1340</v>
      </c>
      <c r="G87" s="12" t="n">
        <f aca="false">F87*0.75</f>
        <v>1005</v>
      </c>
      <c r="H87" s="10" t="n">
        <f aca="false">ROUND((D87+0.45)/(1-ASM!$B$9),0)</f>
        <v>722</v>
      </c>
      <c r="I87" s="10" t="n">
        <f aca="false">ROUND((D87+0.45)/(1-ASM!$B$9-ASM!$B$10),0)</f>
        <v>868</v>
      </c>
      <c r="J87" s="10" t="str">
        <f aca="false">IF(G87&gt;=H87,"OK","FLOOR ALTI")</f>
        <v>OK</v>
      </c>
    </row>
    <row r="88" customFormat="false" ht="15" hidden="false" customHeight="true" outlineLevel="0" collapsed="false">
      <c r="A88" s="10" t="n">
        <v>8</v>
      </c>
      <c r="B88" s="10" t="n">
        <v>12</v>
      </c>
      <c r="C88" s="11" t="n">
        <v>10.34</v>
      </c>
      <c r="D88" s="12" t="n">
        <f aca="false">ROUND(C88*ASM!$B$8*ASM!$B$11*(1+ASM!$B$3)+ASM!$B$4+ASM!$B$5+ASM!$B$6,2)</f>
        <v>666.67</v>
      </c>
      <c r="E88" s="10" t="n">
        <f aca="false">ROUND(D88*ASM!$B$7,0)</f>
        <v>1033</v>
      </c>
      <c r="F88" s="13" t="n">
        <f aca="false">CEILING(E88/0.75,5)</f>
        <v>1380</v>
      </c>
      <c r="G88" s="12" t="n">
        <f aca="false">F88*0.75</f>
        <v>1035</v>
      </c>
      <c r="H88" s="10" t="n">
        <f aca="false">ROUND((D88+0.45)/(1-ASM!$B$9),0)</f>
        <v>745</v>
      </c>
      <c r="I88" s="10" t="n">
        <f aca="false">ROUND((D88+0.45)/(1-ASM!$B$9-ASM!$B$10),0)</f>
        <v>895</v>
      </c>
      <c r="J88" s="10" t="str">
        <f aca="false">IF(G88&gt;=H88,"OK","FLOOR ALTI")</f>
        <v>OK</v>
      </c>
    </row>
    <row r="89" customFormat="false" ht="15" hidden="false" customHeight="true" outlineLevel="0" collapsed="false">
      <c r="A89" s="10" t="n">
        <v>8</v>
      </c>
      <c r="B89" s="10" t="n">
        <v>13</v>
      </c>
      <c r="C89" s="11" t="n">
        <v>10.7</v>
      </c>
      <c r="D89" s="12" t="n">
        <f aca="false">ROUND(C89*ASM!$B$8*ASM!$B$11*(1+ASM!$B$3)+ASM!$B$4+ASM!$B$5+ASM!$B$6,2)</f>
        <v>687.79</v>
      </c>
      <c r="E89" s="10" t="n">
        <f aca="false">ROUND(D89*ASM!$B$7,0)</f>
        <v>1066</v>
      </c>
      <c r="F89" s="13" t="n">
        <f aca="false">CEILING(E89/0.75,5)</f>
        <v>1425</v>
      </c>
      <c r="G89" s="12" t="n">
        <f aca="false">F89*0.75</f>
        <v>1068.75</v>
      </c>
      <c r="H89" s="10" t="n">
        <f aca="false">ROUND((D89+0.45)/(1-ASM!$B$9),0)</f>
        <v>769</v>
      </c>
      <c r="I89" s="10" t="n">
        <f aca="false">ROUND((D89+0.45)/(1-ASM!$B$9-ASM!$B$10),0)</f>
        <v>924</v>
      </c>
      <c r="J89" s="10" t="str">
        <f aca="false">IF(G89&gt;=H89,"OK","FLOOR ALTI")</f>
        <v>OK</v>
      </c>
    </row>
    <row r="90" customFormat="false" ht="15" hidden="false" customHeight="true" outlineLevel="0" collapsed="false">
      <c r="A90" s="10" t="n">
        <v>8</v>
      </c>
      <c r="B90" s="10" t="n">
        <v>14</v>
      </c>
      <c r="C90" s="11" t="n">
        <v>11.06</v>
      </c>
      <c r="D90" s="12" t="n">
        <f aca="false">ROUND(C90*ASM!$B$8*ASM!$B$11*(1+ASM!$B$3)+ASM!$B$4+ASM!$B$5+ASM!$B$6,2)</f>
        <v>708.92</v>
      </c>
      <c r="E90" s="10" t="n">
        <f aca="false">ROUND(D90*ASM!$B$7,0)</f>
        <v>1099</v>
      </c>
      <c r="F90" s="13" t="n">
        <f aca="false">CEILING(E90/0.75,5)</f>
        <v>1470</v>
      </c>
      <c r="G90" s="12" t="n">
        <f aca="false">F90*0.75</f>
        <v>1102.5</v>
      </c>
      <c r="H90" s="10" t="n">
        <f aca="false">ROUND((D90+0.45)/(1-ASM!$B$9),0)</f>
        <v>793</v>
      </c>
      <c r="I90" s="10" t="n">
        <f aca="false">ROUND((D90+0.45)/(1-ASM!$B$9-ASM!$B$10),0)</f>
        <v>952</v>
      </c>
      <c r="J90" s="10" t="str">
        <f aca="false">IF(G90&gt;=H90,"OK","FLOOR ALTI")</f>
        <v>OK</v>
      </c>
    </row>
    <row r="91" customFormat="false" ht="15" hidden="false" customHeight="true" outlineLevel="0" collapsed="false">
      <c r="A91" s="10" t="n">
        <v>8</v>
      </c>
      <c r="B91" s="10" t="n">
        <v>15</v>
      </c>
      <c r="C91" s="11" t="n">
        <v>11.41</v>
      </c>
      <c r="D91" s="12" t="n">
        <f aca="false">ROUND(C91*ASM!$B$8*ASM!$B$11*(1+ASM!$B$3)+ASM!$B$4+ASM!$B$5+ASM!$B$6,2)</f>
        <v>729.45</v>
      </c>
      <c r="E91" s="10" t="n">
        <f aca="false">ROUND(D91*ASM!$B$7,0)</f>
        <v>1131</v>
      </c>
      <c r="F91" s="13" t="n">
        <f aca="false">CEILING(E91/0.75,5)</f>
        <v>1510</v>
      </c>
      <c r="G91" s="12" t="n">
        <f aca="false">F91*0.75</f>
        <v>1132.5</v>
      </c>
      <c r="H91" s="10" t="n">
        <f aca="false">ROUND((D91+0.45)/(1-ASM!$B$9),0)</f>
        <v>816</v>
      </c>
      <c r="I91" s="10" t="n">
        <f aca="false">ROUND((D91+0.45)/(1-ASM!$B$9-ASM!$B$10),0)</f>
        <v>980</v>
      </c>
      <c r="J91" s="10" t="str">
        <f aca="false">IF(G91&gt;=H91,"OK","FLOOR ALTI")</f>
        <v>OK</v>
      </c>
    </row>
    <row r="92" customFormat="false" ht="15" hidden="false" customHeight="true" outlineLevel="0" collapsed="false">
      <c r="A92" s="10" t="n">
        <v>8</v>
      </c>
      <c r="B92" s="10" t="n">
        <v>16</v>
      </c>
      <c r="C92" s="11" t="n">
        <v>11.77</v>
      </c>
      <c r="D92" s="12" t="n">
        <f aca="false">ROUND(C92*ASM!$B$8*ASM!$B$11*(1+ASM!$B$3)+ASM!$B$4+ASM!$B$5+ASM!$B$6,2)</f>
        <v>750.57</v>
      </c>
      <c r="E92" s="10" t="n">
        <f aca="false">ROUND(D92*ASM!$B$7,0)</f>
        <v>1163</v>
      </c>
      <c r="F92" s="13" t="n">
        <f aca="false">CEILING(E92/0.75,5)</f>
        <v>1555</v>
      </c>
      <c r="G92" s="12" t="n">
        <f aca="false">F92*0.75</f>
        <v>1166.25</v>
      </c>
      <c r="H92" s="10" t="n">
        <f aca="false">ROUND((D92+0.45)/(1-ASM!$B$9),0)</f>
        <v>839</v>
      </c>
      <c r="I92" s="10" t="n">
        <f aca="false">ROUND((D92+0.45)/(1-ASM!$B$9-ASM!$B$10),0)</f>
        <v>1008</v>
      </c>
      <c r="J92" s="10" t="str">
        <f aca="false">IF(G92&gt;=H92,"OK","FLOOR ALTI")</f>
        <v>OK</v>
      </c>
    </row>
    <row r="93" customFormat="false" ht="15" hidden="false" customHeight="true" outlineLevel="0" collapsed="false">
      <c r="A93" s="10" t="n">
        <v>9</v>
      </c>
      <c r="B93" s="10" t="n">
        <v>4</v>
      </c>
      <c r="C93" s="11" t="n">
        <v>8.46</v>
      </c>
      <c r="D93" s="12" t="n">
        <f aca="false">ROUND(C93*ASM!$B$8*ASM!$B$11*(1+ASM!$B$3)+ASM!$B$4+ASM!$B$5+ASM!$B$6,2)</f>
        <v>556.37</v>
      </c>
      <c r="E93" s="10" t="n">
        <f aca="false">ROUND(D93*ASM!$B$7,0)</f>
        <v>862</v>
      </c>
      <c r="F93" s="13" t="n">
        <f aca="false">CEILING(E93/0.75,5)</f>
        <v>1150</v>
      </c>
      <c r="G93" s="12" t="n">
        <f aca="false">F93*0.75</f>
        <v>862.5</v>
      </c>
      <c r="H93" s="10" t="n">
        <f aca="false">ROUND((D93+0.45)/(1-ASM!$B$9),0)</f>
        <v>622</v>
      </c>
      <c r="I93" s="10" t="n">
        <f aca="false">ROUND((D93+0.45)/(1-ASM!$B$9-ASM!$B$10),0)</f>
        <v>747</v>
      </c>
      <c r="J93" s="10" t="str">
        <f aca="false">IF(G93&gt;=H93,"OK","FLOOR ALTI")</f>
        <v>OK</v>
      </c>
    </row>
    <row r="94" customFormat="false" ht="15" hidden="false" customHeight="true" outlineLevel="0" collapsed="false">
      <c r="A94" s="10" t="n">
        <v>9</v>
      </c>
      <c r="B94" s="10" t="n">
        <v>5</v>
      </c>
      <c r="C94" s="11" t="n">
        <v>8.86</v>
      </c>
      <c r="D94" s="12" t="n">
        <f aca="false">ROUND(C94*ASM!$B$8*ASM!$B$11*(1+ASM!$B$3)+ASM!$B$4+ASM!$B$5+ASM!$B$6,2)</f>
        <v>579.84</v>
      </c>
      <c r="E94" s="10" t="n">
        <f aca="false">ROUND(D94*ASM!$B$7,0)</f>
        <v>899</v>
      </c>
      <c r="F94" s="13" t="n">
        <f aca="false">CEILING(E94/0.75,5)</f>
        <v>1200</v>
      </c>
      <c r="G94" s="12" t="n">
        <f aca="false">F94*0.75</f>
        <v>900</v>
      </c>
      <c r="H94" s="10" t="n">
        <f aca="false">ROUND((D94+0.45)/(1-ASM!$B$9),0)</f>
        <v>648</v>
      </c>
      <c r="I94" s="10" t="n">
        <f aca="false">ROUND((D94+0.45)/(1-ASM!$B$9-ASM!$B$10),0)</f>
        <v>779</v>
      </c>
      <c r="J94" s="10" t="str">
        <f aca="false">IF(G94&gt;=H94,"OK","FLOOR ALTI")</f>
        <v>OK</v>
      </c>
    </row>
    <row r="95" customFormat="false" ht="15" hidden="false" customHeight="true" outlineLevel="0" collapsed="false">
      <c r="A95" s="10" t="n">
        <v>9</v>
      </c>
      <c r="B95" s="10" t="n">
        <v>6</v>
      </c>
      <c r="C95" s="11" t="n">
        <v>9.26</v>
      </c>
      <c r="D95" s="12" t="n">
        <f aca="false">ROUND(C95*ASM!$B$8*ASM!$B$11*(1+ASM!$B$3)+ASM!$B$4+ASM!$B$5+ASM!$B$6,2)</f>
        <v>603.31</v>
      </c>
      <c r="E95" s="10" t="n">
        <f aca="false">ROUND(D95*ASM!$B$7,0)</f>
        <v>935</v>
      </c>
      <c r="F95" s="13" t="n">
        <f aca="false">CEILING(E95/0.75,5)</f>
        <v>1250</v>
      </c>
      <c r="G95" s="12" t="n">
        <f aca="false">F95*0.75</f>
        <v>937.5</v>
      </c>
      <c r="H95" s="10" t="n">
        <f aca="false">ROUND((D95+0.45)/(1-ASM!$B$9),0)</f>
        <v>675</v>
      </c>
      <c r="I95" s="10" t="n">
        <f aca="false">ROUND((D95+0.45)/(1-ASM!$B$9-ASM!$B$10),0)</f>
        <v>810</v>
      </c>
      <c r="J95" s="10" t="str">
        <f aca="false">IF(G95&gt;=H95,"OK","FLOOR ALTI")</f>
        <v>OK</v>
      </c>
    </row>
    <row r="96" customFormat="false" ht="15" hidden="false" customHeight="true" outlineLevel="0" collapsed="false">
      <c r="A96" s="10" t="n">
        <v>9</v>
      </c>
      <c r="B96" s="10" t="n">
        <v>7</v>
      </c>
      <c r="C96" s="11" t="n">
        <v>9.65</v>
      </c>
      <c r="D96" s="12" t="n">
        <f aca="false">ROUND(C96*ASM!$B$8*ASM!$B$11*(1+ASM!$B$3)+ASM!$B$4+ASM!$B$5+ASM!$B$6,2)</f>
        <v>626.19</v>
      </c>
      <c r="E96" s="10" t="n">
        <f aca="false">ROUND(D96*ASM!$B$7,0)</f>
        <v>971</v>
      </c>
      <c r="F96" s="13" t="n">
        <f aca="false">CEILING(E96/0.75,5)</f>
        <v>1295</v>
      </c>
      <c r="G96" s="12" t="n">
        <f aca="false">F96*0.75</f>
        <v>971.25</v>
      </c>
      <c r="H96" s="10" t="n">
        <f aca="false">ROUND((D96+0.45)/(1-ASM!$B$9),0)</f>
        <v>700</v>
      </c>
      <c r="I96" s="10" t="n">
        <f aca="false">ROUND((D96+0.45)/(1-ASM!$B$9-ASM!$B$10),0)</f>
        <v>841</v>
      </c>
      <c r="J96" s="10" t="str">
        <f aca="false">IF(G96&gt;=H96,"OK","FLOOR ALTI")</f>
        <v>OK</v>
      </c>
    </row>
    <row r="97" customFormat="false" ht="15" hidden="false" customHeight="true" outlineLevel="0" collapsed="false">
      <c r="A97" s="10" t="n">
        <v>9</v>
      </c>
      <c r="B97" s="10" t="n">
        <v>8</v>
      </c>
      <c r="C97" s="11" t="n">
        <v>10.05</v>
      </c>
      <c r="D97" s="12" t="n">
        <f aca="false">ROUND(C97*ASM!$B$8*ASM!$B$11*(1+ASM!$B$3)+ASM!$B$4+ASM!$B$5+ASM!$B$6,2)</f>
        <v>649.66</v>
      </c>
      <c r="E97" s="10" t="n">
        <f aca="false">ROUND(D97*ASM!$B$7,0)</f>
        <v>1007</v>
      </c>
      <c r="F97" s="13" t="n">
        <f aca="false">CEILING(E97/0.75,5)</f>
        <v>1345</v>
      </c>
      <c r="G97" s="12" t="n">
        <f aca="false">F97*0.75</f>
        <v>1008.75</v>
      </c>
      <c r="H97" s="10" t="n">
        <f aca="false">ROUND((D97+0.45)/(1-ASM!$B$9),0)</f>
        <v>726</v>
      </c>
      <c r="I97" s="10" t="n">
        <f aca="false">ROUND((D97+0.45)/(1-ASM!$B$9-ASM!$B$10),0)</f>
        <v>873</v>
      </c>
      <c r="J97" s="10" t="str">
        <f aca="false">IF(G97&gt;=H97,"OK","FLOOR ALTI")</f>
        <v>OK</v>
      </c>
    </row>
    <row r="98" customFormat="false" ht="15" hidden="false" customHeight="true" outlineLevel="0" collapsed="false">
      <c r="A98" s="10" t="n">
        <v>9</v>
      </c>
      <c r="B98" s="10" t="n">
        <v>9</v>
      </c>
      <c r="C98" s="11" t="n">
        <v>10.45</v>
      </c>
      <c r="D98" s="12" t="n">
        <f aca="false">ROUND(C98*ASM!$B$8*ASM!$B$11*(1+ASM!$B$3)+ASM!$B$4+ASM!$B$5+ASM!$B$6,2)</f>
        <v>673.13</v>
      </c>
      <c r="E98" s="10" t="n">
        <f aca="false">ROUND(D98*ASM!$B$7,0)</f>
        <v>1043</v>
      </c>
      <c r="F98" s="13" t="n">
        <f aca="false">CEILING(E98/0.75,5)</f>
        <v>1395</v>
      </c>
      <c r="G98" s="12" t="n">
        <f aca="false">F98*0.75</f>
        <v>1046.25</v>
      </c>
      <c r="H98" s="10" t="n">
        <f aca="false">ROUND((D98+0.45)/(1-ASM!$B$9),0)</f>
        <v>753</v>
      </c>
      <c r="I98" s="10" t="n">
        <f aca="false">ROUND((D98+0.45)/(1-ASM!$B$9-ASM!$B$10),0)</f>
        <v>904</v>
      </c>
      <c r="J98" s="10" t="str">
        <f aca="false">IF(G98&gt;=H98,"OK","FLOOR ALTI")</f>
        <v>OK</v>
      </c>
    </row>
    <row r="99" customFormat="false" ht="15" hidden="false" customHeight="true" outlineLevel="0" collapsed="false">
      <c r="A99" s="10" t="n">
        <v>9</v>
      </c>
      <c r="B99" s="10" t="n">
        <v>10</v>
      </c>
      <c r="C99" s="11" t="n">
        <v>10.85</v>
      </c>
      <c r="D99" s="12" t="n">
        <f aca="false">ROUND(C99*ASM!$B$8*ASM!$B$11*(1+ASM!$B$3)+ASM!$B$4+ASM!$B$5+ASM!$B$6,2)</f>
        <v>696.6</v>
      </c>
      <c r="E99" s="10" t="n">
        <f aca="false">ROUND(D99*ASM!$B$7,0)</f>
        <v>1080</v>
      </c>
      <c r="F99" s="13" t="n">
        <f aca="false">CEILING(E99/0.75,5)</f>
        <v>1440</v>
      </c>
      <c r="G99" s="12" t="n">
        <f aca="false">F99*0.75</f>
        <v>1080</v>
      </c>
      <c r="H99" s="10" t="n">
        <f aca="false">ROUND((D99+0.45)/(1-ASM!$B$9),0)</f>
        <v>779</v>
      </c>
      <c r="I99" s="10" t="n">
        <f aca="false">ROUND((D99+0.45)/(1-ASM!$B$9-ASM!$B$10),0)</f>
        <v>936</v>
      </c>
      <c r="J99" s="10" t="str">
        <f aca="false">IF(G99&gt;=H99,"OK","FLOOR ALTI")</f>
        <v>OK</v>
      </c>
    </row>
    <row r="100" customFormat="false" ht="15" hidden="false" customHeight="true" outlineLevel="0" collapsed="false">
      <c r="A100" s="10" t="n">
        <v>9</v>
      </c>
      <c r="B100" s="10" t="n">
        <v>11</v>
      </c>
      <c r="C100" s="11" t="n">
        <v>11.25</v>
      </c>
      <c r="D100" s="12" t="n">
        <f aca="false">ROUND(C100*ASM!$B$8*ASM!$B$11*(1+ASM!$B$3)+ASM!$B$4+ASM!$B$5+ASM!$B$6,2)</f>
        <v>720.06</v>
      </c>
      <c r="E100" s="10" t="n">
        <f aca="false">ROUND(D100*ASM!$B$7,0)</f>
        <v>1116</v>
      </c>
      <c r="F100" s="13" t="n">
        <f aca="false">CEILING(E100/0.75,5)</f>
        <v>1490</v>
      </c>
      <c r="G100" s="12" t="n">
        <f aca="false">F100*0.75</f>
        <v>1117.5</v>
      </c>
      <c r="H100" s="10" t="n">
        <f aca="false">ROUND((D100+0.45)/(1-ASM!$B$9),0)</f>
        <v>805</v>
      </c>
      <c r="I100" s="10" t="n">
        <f aca="false">ROUND((D100+0.45)/(1-ASM!$B$9-ASM!$B$10),0)</f>
        <v>967</v>
      </c>
      <c r="J100" s="10" t="str">
        <f aca="false">IF(G100&gt;=H100,"OK","FLOOR ALTI")</f>
        <v>OK</v>
      </c>
    </row>
    <row r="101" customFormat="false" ht="15" hidden="false" customHeight="true" outlineLevel="0" collapsed="false">
      <c r="A101" s="10" t="n">
        <v>9</v>
      </c>
      <c r="B101" s="10" t="n">
        <v>12</v>
      </c>
      <c r="C101" s="11" t="n">
        <v>11.64</v>
      </c>
      <c r="D101" s="12" t="n">
        <f aca="false">ROUND(C101*ASM!$B$8*ASM!$B$11*(1+ASM!$B$3)+ASM!$B$4+ASM!$B$5+ASM!$B$6,2)</f>
        <v>742.95</v>
      </c>
      <c r="E101" s="10" t="n">
        <f aca="false">ROUND(D101*ASM!$B$7,0)</f>
        <v>1152</v>
      </c>
      <c r="F101" s="13" t="n">
        <f aca="false">CEILING(E101/0.75,5)</f>
        <v>1540</v>
      </c>
      <c r="G101" s="12" t="n">
        <f aca="false">F101*0.75</f>
        <v>1155</v>
      </c>
      <c r="H101" s="10" t="n">
        <f aca="false">ROUND((D101+0.45)/(1-ASM!$B$9),0)</f>
        <v>831</v>
      </c>
      <c r="I101" s="10" t="n">
        <f aca="false">ROUND((D101+0.45)/(1-ASM!$B$9-ASM!$B$10),0)</f>
        <v>998</v>
      </c>
      <c r="J101" s="10" t="str">
        <f aca="false">IF(G101&gt;=H101,"OK","FLOOR ALTI")</f>
        <v>OK</v>
      </c>
    </row>
    <row r="102" customFormat="false" ht="15" hidden="false" customHeight="true" outlineLevel="0" collapsed="false">
      <c r="A102" s="10" t="n">
        <v>9</v>
      </c>
      <c r="B102" s="10" t="n">
        <v>13</v>
      </c>
      <c r="C102" s="11" t="n">
        <v>12.04</v>
      </c>
      <c r="D102" s="12" t="n">
        <f aca="false">ROUND(C102*ASM!$B$8*ASM!$B$11*(1+ASM!$B$3)+ASM!$B$4+ASM!$B$5+ASM!$B$6,2)</f>
        <v>766.42</v>
      </c>
      <c r="E102" s="10" t="n">
        <f aca="false">ROUND(D102*ASM!$B$7,0)</f>
        <v>1188</v>
      </c>
      <c r="F102" s="13" t="n">
        <f aca="false">CEILING(E102/0.75,5)</f>
        <v>1585</v>
      </c>
      <c r="G102" s="12" t="n">
        <f aca="false">F102*0.75</f>
        <v>1188.75</v>
      </c>
      <c r="H102" s="10" t="n">
        <f aca="false">ROUND((D102+0.45)/(1-ASM!$B$9),0)</f>
        <v>857</v>
      </c>
      <c r="I102" s="10" t="n">
        <f aca="false">ROUND((D102+0.45)/(1-ASM!$B$9-ASM!$B$10),0)</f>
        <v>1029</v>
      </c>
      <c r="J102" s="10" t="str">
        <f aca="false">IF(G102&gt;=H102,"OK","FLOOR ALTI")</f>
        <v>OK</v>
      </c>
    </row>
    <row r="103" customFormat="false" ht="15" hidden="false" customHeight="true" outlineLevel="0" collapsed="false">
      <c r="A103" s="10" t="n">
        <v>9</v>
      </c>
      <c r="B103" s="10" t="n">
        <v>14</v>
      </c>
      <c r="C103" s="11" t="n">
        <v>12.44</v>
      </c>
      <c r="D103" s="12" t="n">
        <f aca="false">ROUND(C103*ASM!$B$8*ASM!$B$11*(1+ASM!$B$3)+ASM!$B$4+ASM!$B$5+ASM!$B$6,2)</f>
        <v>789.88</v>
      </c>
      <c r="E103" s="10" t="n">
        <f aca="false">ROUND(D103*ASM!$B$7,0)</f>
        <v>1224</v>
      </c>
      <c r="F103" s="13" t="n">
        <f aca="false">CEILING(E103/0.75,5)</f>
        <v>1635</v>
      </c>
      <c r="G103" s="12" t="n">
        <f aca="false">F103*0.75</f>
        <v>1226.25</v>
      </c>
      <c r="H103" s="10" t="n">
        <f aca="false">ROUND((D103+0.45)/(1-ASM!$B$9),0)</f>
        <v>883</v>
      </c>
      <c r="I103" s="10" t="n">
        <f aca="false">ROUND((D103+0.45)/(1-ASM!$B$9-ASM!$B$10),0)</f>
        <v>1061</v>
      </c>
      <c r="J103" s="10" t="str">
        <f aca="false">IF(G103&gt;=H103,"OK","FLOOR ALTI")</f>
        <v>OK</v>
      </c>
    </row>
    <row r="104" customFormat="false" ht="15" hidden="false" customHeight="true" outlineLevel="0" collapsed="false">
      <c r="A104" s="10" t="n">
        <v>9</v>
      </c>
      <c r="B104" s="10" t="n">
        <v>15</v>
      </c>
      <c r="C104" s="11" t="n">
        <v>12.84</v>
      </c>
      <c r="D104" s="12" t="n">
        <f aca="false">ROUND(C104*ASM!$B$8*ASM!$B$11*(1+ASM!$B$3)+ASM!$B$4+ASM!$B$5+ASM!$B$6,2)</f>
        <v>813.35</v>
      </c>
      <c r="E104" s="10" t="n">
        <f aca="false">ROUND(D104*ASM!$B$7,0)</f>
        <v>1261</v>
      </c>
      <c r="F104" s="13" t="n">
        <f aca="false">CEILING(E104/0.75,5)</f>
        <v>1685</v>
      </c>
      <c r="G104" s="12" t="n">
        <f aca="false">F104*0.75</f>
        <v>1263.75</v>
      </c>
      <c r="H104" s="10" t="n">
        <f aca="false">ROUND((D104+0.45)/(1-ASM!$B$9),0)</f>
        <v>909</v>
      </c>
      <c r="I104" s="10" t="n">
        <f aca="false">ROUND((D104+0.45)/(1-ASM!$B$9-ASM!$B$10),0)</f>
        <v>1092</v>
      </c>
      <c r="J104" s="10" t="str">
        <f aca="false">IF(G104&gt;=H104,"OK","FLOOR ALTI")</f>
        <v>OK</v>
      </c>
    </row>
    <row r="105" customFormat="false" ht="15" hidden="false" customHeight="true" outlineLevel="0" collapsed="false">
      <c r="A105" s="10" t="n">
        <v>9</v>
      </c>
      <c r="B105" s="10" t="n">
        <v>16</v>
      </c>
      <c r="C105" s="11" t="n">
        <v>13.24</v>
      </c>
      <c r="D105" s="12" t="n">
        <f aca="false">ROUND(C105*ASM!$B$8*ASM!$B$11*(1+ASM!$B$3)+ASM!$B$4+ASM!$B$5+ASM!$B$6,2)</f>
        <v>836.82</v>
      </c>
      <c r="E105" s="10" t="n">
        <f aca="false">ROUND(D105*ASM!$B$7,0)</f>
        <v>1297</v>
      </c>
      <c r="F105" s="13" t="n">
        <f aca="false">CEILING(E105/0.75,5)</f>
        <v>1730</v>
      </c>
      <c r="G105" s="12" t="n">
        <f aca="false">F105*0.75</f>
        <v>1297.5</v>
      </c>
      <c r="H105" s="10" t="n">
        <f aca="false">ROUND((D105+0.45)/(1-ASM!$B$9),0)</f>
        <v>935</v>
      </c>
      <c r="I105" s="10" t="n">
        <f aca="false">ROUND((D105+0.45)/(1-ASM!$B$9-ASM!$B$10),0)</f>
        <v>1124</v>
      </c>
      <c r="J105" s="10" t="str">
        <f aca="false">IF(G105&gt;=H105,"OK","FLOOR ALTI")</f>
        <v>OK</v>
      </c>
    </row>
    <row r="106" customFormat="false" ht="15" hidden="false" customHeight="true" outlineLevel="0" collapsed="false">
      <c r="A106" s="10" t="n">
        <v>10</v>
      </c>
      <c r="B106" s="10" t="n">
        <v>4</v>
      </c>
      <c r="C106" s="11" t="n">
        <v>9.4</v>
      </c>
      <c r="D106" s="12" t="n">
        <f aca="false">ROUND(C106*ASM!$B$8*ASM!$B$11*(1+ASM!$B$3)+ASM!$B$4+ASM!$B$5+ASM!$B$6,2)</f>
        <v>611.52</v>
      </c>
      <c r="E106" s="10" t="n">
        <f aca="false">ROUND(D106*ASM!$B$7,0)</f>
        <v>948</v>
      </c>
      <c r="F106" s="13" t="n">
        <f aca="false">CEILING(E106/0.75,5)</f>
        <v>1265</v>
      </c>
      <c r="G106" s="12" t="n">
        <f aca="false">F106*0.75</f>
        <v>948.75</v>
      </c>
      <c r="H106" s="10" t="n">
        <f aca="false">ROUND((D106+0.45)/(1-ASM!$B$9),0)</f>
        <v>684</v>
      </c>
      <c r="I106" s="10" t="n">
        <f aca="false">ROUND((D106+0.45)/(1-ASM!$B$9-ASM!$B$10),0)</f>
        <v>821</v>
      </c>
      <c r="J106" s="10" t="str">
        <f aca="false">IF(G106&gt;=H106,"OK","FLOOR ALTI")</f>
        <v>OK</v>
      </c>
    </row>
    <row r="107" customFormat="false" ht="15" hidden="false" customHeight="true" outlineLevel="0" collapsed="false">
      <c r="A107" s="10" t="n">
        <v>10</v>
      </c>
      <c r="B107" s="10" t="n">
        <v>5</v>
      </c>
      <c r="C107" s="11" t="n">
        <v>9.84</v>
      </c>
      <c r="D107" s="12" t="n">
        <f aca="false">ROUND(C107*ASM!$B$8*ASM!$B$11*(1+ASM!$B$3)+ASM!$B$4+ASM!$B$5+ASM!$B$6,2)</f>
        <v>637.34</v>
      </c>
      <c r="E107" s="10" t="n">
        <f aca="false">ROUND(D107*ASM!$B$7,0)</f>
        <v>988</v>
      </c>
      <c r="F107" s="13" t="n">
        <f aca="false">CEILING(E107/0.75,5)</f>
        <v>1320</v>
      </c>
      <c r="G107" s="12" t="n">
        <f aca="false">F107*0.75</f>
        <v>990</v>
      </c>
      <c r="H107" s="10" t="n">
        <f aca="false">ROUND((D107+0.45)/(1-ASM!$B$9),0)</f>
        <v>713</v>
      </c>
      <c r="I107" s="10" t="n">
        <f aca="false">ROUND((D107+0.45)/(1-ASM!$B$9-ASM!$B$10),0)</f>
        <v>856</v>
      </c>
      <c r="J107" s="10" t="str">
        <f aca="false">IF(G107&gt;=H107,"OK","FLOOR ALTI")</f>
        <v>OK</v>
      </c>
    </row>
    <row r="108" customFormat="false" ht="15" hidden="false" customHeight="true" outlineLevel="0" collapsed="false">
      <c r="A108" s="10" t="n">
        <v>10</v>
      </c>
      <c r="B108" s="10" t="n">
        <v>6</v>
      </c>
      <c r="C108" s="11" t="n">
        <v>10.28</v>
      </c>
      <c r="D108" s="12" t="n">
        <f aca="false">ROUND(C108*ASM!$B$8*ASM!$B$11*(1+ASM!$B$3)+ASM!$B$4+ASM!$B$5+ASM!$B$6,2)</f>
        <v>663.15</v>
      </c>
      <c r="E108" s="10" t="n">
        <f aca="false">ROUND(D108*ASM!$B$7,0)</f>
        <v>1028</v>
      </c>
      <c r="F108" s="13" t="n">
        <f aca="false">CEILING(E108/0.75,5)</f>
        <v>1375</v>
      </c>
      <c r="G108" s="12" t="n">
        <f aca="false">F108*0.75</f>
        <v>1031.25</v>
      </c>
      <c r="H108" s="10" t="n">
        <f aca="false">ROUND((D108+0.45)/(1-ASM!$B$9),0)</f>
        <v>741</v>
      </c>
      <c r="I108" s="10" t="n">
        <f aca="false">ROUND((D108+0.45)/(1-ASM!$B$9-ASM!$B$10),0)</f>
        <v>891</v>
      </c>
      <c r="J108" s="10" t="str">
        <f aca="false">IF(G108&gt;=H108,"OK","FLOOR ALTI")</f>
        <v>OK</v>
      </c>
    </row>
    <row r="109" customFormat="false" ht="15" hidden="false" customHeight="true" outlineLevel="0" collapsed="false">
      <c r="A109" s="10" t="n">
        <v>10</v>
      </c>
      <c r="B109" s="10" t="n">
        <v>7</v>
      </c>
      <c r="C109" s="11" t="n">
        <v>10.73</v>
      </c>
      <c r="D109" s="12" t="n">
        <f aca="false">ROUND(C109*ASM!$B$8*ASM!$B$11*(1+ASM!$B$3)+ASM!$B$4+ASM!$B$5+ASM!$B$6,2)</f>
        <v>689.55</v>
      </c>
      <c r="E109" s="10" t="n">
        <f aca="false">ROUND(D109*ASM!$B$7,0)</f>
        <v>1069</v>
      </c>
      <c r="F109" s="13" t="n">
        <f aca="false">CEILING(E109/0.75,5)</f>
        <v>1430</v>
      </c>
      <c r="G109" s="12" t="n">
        <f aca="false">F109*0.75</f>
        <v>1072.5</v>
      </c>
      <c r="H109" s="10" t="n">
        <f aca="false">ROUND((D109+0.45)/(1-ASM!$B$9),0)</f>
        <v>771</v>
      </c>
      <c r="I109" s="10" t="n">
        <f aca="false">ROUND((D109+0.45)/(1-ASM!$B$9-ASM!$B$10),0)</f>
        <v>926</v>
      </c>
      <c r="J109" s="10" t="str">
        <f aca="false">IF(G109&gt;=H109,"OK","FLOOR ALTI")</f>
        <v>OK</v>
      </c>
    </row>
    <row r="110" customFormat="false" ht="15" hidden="false" customHeight="true" outlineLevel="0" collapsed="false">
      <c r="A110" s="10" t="n">
        <v>10</v>
      </c>
      <c r="B110" s="10" t="n">
        <v>8</v>
      </c>
      <c r="C110" s="11" t="n">
        <v>11.17</v>
      </c>
      <c r="D110" s="12" t="n">
        <f aca="false">ROUND(C110*ASM!$B$8*ASM!$B$11*(1+ASM!$B$3)+ASM!$B$4+ASM!$B$5+ASM!$B$6,2)</f>
        <v>715.37</v>
      </c>
      <c r="E110" s="10" t="n">
        <f aca="false">ROUND(D110*ASM!$B$7,0)</f>
        <v>1109</v>
      </c>
      <c r="F110" s="13" t="n">
        <f aca="false">CEILING(E110/0.75,5)</f>
        <v>1480</v>
      </c>
      <c r="G110" s="12" t="n">
        <f aca="false">F110*0.75</f>
        <v>1110</v>
      </c>
      <c r="H110" s="10" t="n">
        <f aca="false">ROUND((D110+0.45)/(1-ASM!$B$9),0)</f>
        <v>800</v>
      </c>
      <c r="I110" s="10" t="n">
        <f aca="false">ROUND((D110+0.45)/(1-ASM!$B$9-ASM!$B$10),0)</f>
        <v>961</v>
      </c>
      <c r="J110" s="10" t="str">
        <f aca="false">IF(G110&gt;=H110,"OK","FLOOR ALTI")</f>
        <v>OK</v>
      </c>
    </row>
    <row r="111" customFormat="false" ht="15" hidden="false" customHeight="true" outlineLevel="0" collapsed="false">
      <c r="A111" s="10" t="n">
        <v>10</v>
      </c>
      <c r="B111" s="10" t="n">
        <v>9</v>
      </c>
      <c r="C111" s="11" t="n">
        <v>11.61</v>
      </c>
      <c r="D111" s="12" t="n">
        <f aca="false">ROUND(C111*ASM!$B$8*ASM!$B$11*(1+ASM!$B$3)+ASM!$B$4+ASM!$B$5+ASM!$B$6,2)</f>
        <v>741.19</v>
      </c>
      <c r="E111" s="10" t="n">
        <f aca="false">ROUND(D111*ASM!$B$7,0)</f>
        <v>1149</v>
      </c>
      <c r="F111" s="13" t="n">
        <f aca="false">CEILING(E111/0.75,5)</f>
        <v>1535</v>
      </c>
      <c r="G111" s="12" t="n">
        <f aca="false">F111*0.75</f>
        <v>1151.25</v>
      </c>
      <c r="H111" s="10" t="n">
        <f aca="false">ROUND((D111+0.45)/(1-ASM!$B$9),0)</f>
        <v>829</v>
      </c>
      <c r="I111" s="10" t="n">
        <f aca="false">ROUND((D111+0.45)/(1-ASM!$B$9-ASM!$B$10),0)</f>
        <v>995</v>
      </c>
      <c r="J111" s="10" t="str">
        <f aca="false">IF(G111&gt;=H111,"OK","FLOOR ALTI")</f>
        <v>OK</v>
      </c>
    </row>
    <row r="112" customFormat="false" ht="15" hidden="false" customHeight="true" outlineLevel="0" collapsed="false">
      <c r="A112" s="10" t="n">
        <v>10</v>
      </c>
      <c r="B112" s="10" t="n">
        <v>10</v>
      </c>
      <c r="C112" s="11" t="n">
        <v>12.05</v>
      </c>
      <c r="D112" s="12" t="n">
        <f aca="false">ROUND(C112*ASM!$B$8*ASM!$B$11*(1+ASM!$B$3)+ASM!$B$4+ASM!$B$5+ASM!$B$6,2)</f>
        <v>767</v>
      </c>
      <c r="E112" s="10" t="n">
        <f aca="false">ROUND(D112*ASM!$B$7,0)</f>
        <v>1189</v>
      </c>
      <c r="F112" s="13" t="n">
        <f aca="false">CEILING(E112/0.75,5)</f>
        <v>1590</v>
      </c>
      <c r="G112" s="12" t="n">
        <f aca="false">F112*0.75</f>
        <v>1192.5</v>
      </c>
      <c r="H112" s="10" t="n">
        <f aca="false">ROUND((D112+0.45)/(1-ASM!$B$9),0)</f>
        <v>857</v>
      </c>
      <c r="I112" s="10" t="n">
        <f aca="false">ROUND((D112+0.45)/(1-ASM!$B$9-ASM!$B$10),0)</f>
        <v>1030</v>
      </c>
      <c r="J112" s="10" t="str">
        <f aca="false">IF(G112&gt;=H112,"OK","FLOOR ALTI")</f>
        <v>OK</v>
      </c>
    </row>
    <row r="113" customFormat="false" ht="15" hidden="false" customHeight="true" outlineLevel="0" collapsed="false">
      <c r="A113" s="10" t="n">
        <v>10</v>
      </c>
      <c r="B113" s="10" t="n">
        <v>11</v>
      </c>
      <c r="C113" s="11" t="n">
        <v>12.5</v>
      </c>
      <c r="D113" s="12" t="n">
        <f aca="false">ROUND(C113*ASM!$B$8*ASM!$B$11*(1+ASM!$B$3)+ASM!$B$4+ASM!$B$5+ASM!$B$6,2)</f>
        <v>793.41</v>
      </c>
      <c r="E113" s="10" t="n">
        <f aca="false">ROUND(D113*ASM!$B$7,0)</f>
        <v>1230</v>
      </c>
      <c r="F113" s="13" t="n">
        <f aca="false">CEILING(E113/0.75,5)</f>
        <v>1640</v>
      </c>
      <c r="G113" s="12" t="n">
        <f aca="false">F113*0.75</f>
        <v>1230</v>
      </c>
      <c r="H113" s="10" t="n">
        <f aca="false">ROUND((D113+0.45)/(1-ASM!$B$9),0)</f>
        <v>887</v>
      </c>
      <c r="I113" s="10" t="n">
        <f aca="false">ROUND((D113+0.45)/(1-ASM!$B$9-ASM!$B$10),0)</f>
        <v>1066</v>
      </c>
      <c r="J113" s="10" t="str">
        <f aca="false">IF(G113&gt;=H113,"OK","FLOOR ALTI")</f>
        <v>OK</v>
      </c>
    </row>
    <row r="114" customFormat="false" ht="15" hidden="false" customHeight="true" outlineLevel="0" collapsed="false">
      <c r="A114" s="10" t="n">
        <v>10</v>
      </c>
      <c r="B114" s="10" t="n">
        <v>12</v>
      </c>
      <c r="C114" s="11" t="n">
        <v>12.94</v>
      </c>
      <c r="D114" s="12" t="n">
        <f aca="false">ROUND(C114*ASM!$B$8*ASM!$B$11*(1+ASM!$B$3)+ASM!$B$4+ASM!$B$5+ASM!$B$6,2)</f>
        <v>819.22</v>
      </c>
      <c r="E114" s="10" t="n">
        <f aca="false">ROUND(D114*ASM!$B$7,0)</f>
        <v>1270</v>
      </c>
      <c r="F114" s="13" t="n">
        <f aca="false">CEILING(E114/0.75,5)</f>
        <v>1695</v>
      </c>
      <c r="G114" s="12" t="n">
        <f aca="false">F114*0.75</f>
        <v>1271.25</v>
      </c>
      <c r="H114" s="10" t="n">
        <f aca="false">ROUND((D114+0.45)/(1-ASM!$B$9),0)</f>
        <v>916</v>
      </c>
      <c r="I114" s="10" t="n">
        <f aca="false">ROUND((D114+0.45)/(1-ASM!$B$9-ASM!$B$10),0)</f>
        <v>1100</v>
      </c>
      <c r="J114" s="10" t="str">
        <f aca="false">IF(G114&gt;=H114,"OK","FLOOR ALTI")</f>
        <v>OK</v>
      </c>
    </row>
    <row r="115" customFormat="false" ht="15" hidden="false" customHeight="true" outlineLevel="0" collapsed="false">
      <c r="A115" s="10" t="n">
        <v>10</v>
      </c>
      <c r="B115" s="10" t="n">
        <v>13</v>
      </c>
      <c r="C115" s="11" t="n">
        <v>13.38</v>
      </c>
      <c r="D115" s="12" t="n">
        <f aca="false">ROUND(C115*ASM!$B$8*ASM!$B$11*(1+ASM!$B$3)+ASM!$B$4+ASM!$B$5+ASM!$B$6,2)</f>
        <v>845.04</v>
      </c>
      <c r="E115" s="10" t="n">
        <f aca="false">ROUND(D115*ASM!$B$7,0)</f>
        <v>1310</v>
      </c>
      <c r="F115" s="13" t="n">
        <f aca="false">CEILING(E115/0.75,5)</f>
        <v>1750</v>
      </c>
      <c r="G115" s="12" t="n">
        <f aca="false">F115*0.75</f>
        <v>1312.5</v>
      </c>
      <c r="H115" s="10" t="n">
        <f aca="false">ROUND((D115+0.45)/(1-ASM!$B$9),0)</f>
        <v>945</v>
      </c>
      <c r="I115" s="10" t="n">
        <f aca="false">ROUND((D115+0.45)/(1-ASM!$B$9-ASM!$B$10),0)</f>
        <v>1135</v>
      </c>
      <c r="J115" s="10" t="str">
        <f aca="false">IF(G115&gt;=H115,"OK","FLOOR ALTI")</f>
        <v>OK</v>
      </c>
    </row>
    <row r="116" customFormat="false" ht="15" hidden="false" customHeight="true" outlineLevel="0" collapsed="false">
      <c r="A116" s="10" t="n">
        <v>10</v>
      </c>
      <c r="B116" s="10" t="n">
        <v>14</v>
      </c>
      <c r="C116" s="11" t="n">
        <v>13.82</v>
      </c>
      <c r="D116" s="12" t="n">
        <f aca="false">ROUND(C116*ASM!$B$8*ASM!$B$11*(1+ASM!$B$3)+ASM!$B$4+ASM!$B$5+ASM!$B$6,2)</f>
        <v>870.85</v>
      </c>
      <c r="E116" s="10" t="n">
        <f aca="false">ROUND(D116*ASM!$B$7,0)</f>
        <v>1350</v>
      </c>
      <c r="F116" s="13" t="n">
        <f aca="false">CEILING(E116/0.75,5)</f>
        <v>1800</v>
      </c>
      <c r="G116" s="12" t="n">
        <f aca="false">F116*0.75</f>
        <v>1350</v>
      </c>
      <c r="H116" s="10" t="n">
        <f aca="false">ROUND((D116+0.45)/(1-ASM!$B$9),0)</f>
        <v>974</v>
      </c>
      <c r="I116" s="10" t="n">
        <f aca="false">ROUND((D116+0.45)/(1-ASM!$B$9-ASM!$B$10),0)</f>
        <v>1170</v>
      </c>
      <c r="J116" s="10" t="str">
        <f aca="false">IF(G116&gt;=H116,"OK","FLOOR ALTI")</f>
        <v>OK</v>
      </c>
    </row>
    <row r="117" customFormat="false" ht="15" hidden="false" customHeight="true" outlineLevel="0" collapsed="false">
      <c r="A117" s="10" t="n">
        <v>10</v>
      </c>
      <c r="B117" s="10" t="n">
        <v>15</v>
      </c>
      <c r="C117" s="11" t="n">
        <v>14.27</v>
      </c>
      <c r="D117" s="12" t="n">
        <f aca="false">ROUND(C117*ASM!$B$8*ASM!$B$11*(1+ASM!$B$3)+ASM!$B$4+ASM!$B$5+ASM!$B$6,2)</f>
        <v>897.26</v>
      </c>
      <c r="E117" s="10" t="n">
        <f aca="false">ROUND(D117*ASM!$B$7,0)</f>
        <v>1391</v>
      </c>
      <c r="F117" s="13" t="n">
        <f aca="false">CEILING(E117/0.75,5)</f>
        <v>1855</v>
      </c>
      <c r="G117" s="12" t="n">
        <f aca="false">F117*0.75</f>
        <v>1391.25</v>
      </c>
      <c r="H117" s="10" t="n">
        <f aca="false">ROUND((D117+0.45)/(1-ASM!$B$9),0)</f>
        <v>1003</v>
      </c>
      <c r="I117" s="10" t="n">
        <f aca="false">ROUND((D117+0.45)/(1-ASM!$B$9-ASM!$B$10),0)</f>
        <v>1205</v>
      </c>
      <c r="J117" s="10" t="str">
        <f aca="false">IF(G117&gt;=H117,"OK","FLOOR ALTI")</f>
        <v>OK</v>
      </c>
    </row>
    <row r="118" customFormat="false" ht="15" hidden="false" customHeight="true" outlineLevel="0" collapsed="false">
      <c r="A118" s="10" t="n">
        <v>10</v>
      </c>
      <c r="B118" s="10" t="n">
        <v>16</v>
      </c>
      <c r="C118" s="11" t="n">
        <v>14.71</v>
      </c>
      <c r="D118" s="12" t="n">
        <f aca="false">ROUND(C118*ASM!$B$8*ASM!$B$11*(1+ASM!$B$3)+ASM!$B$4+ASM!$B$5+ASM!$B$6,2)</f>
        <v>923.07</v>
      </c>
      <c r="E118" s="10" t="n">
        <f aca="false">ROUND(D118*ASM!$B$7,0)</f>
        <v>1431</v>
      </c>
      <c r="F118" s="13" t="n">
        <f aca="false">CEILING(E118/0.75,5)</f>
        <v>1910</v>
      </c>
      <c r="G118" s="12" t="n">
        <f aca="false">F118*0.75</f>
        <v>1432.5</v>
      </c>
      <c r="H118" s="10" t="n">
        <f aca="false">ROUND((D118+0.45)/(1-ASM!$B$9),0)</f>
        <v>1032</v>
      </c>
      <c r="I118" s="10" t="n">
        <f aca="false">ROUND((D118+0.45)/(1-ASM!$B$9-ASM!$B$10),0)</f>
        <v>1240</v>
      </c>
      <c r="J118" s="10" t="str">
        <f aca="false">IF(G118&gt;=H118,"OK","FLOOR ALTI")</f>
        <v>OK</v>
      </c>
    </row>
    <row r="119" customFormat="false" ht="15" hidden="false" customHeight="true" outlineLevel="0" collapsed="false">
      <c r="A119" s="10" t="n">
        <v>11</v>
      </c>
      <c r="B119" s="10" t="n">
        <v>4</v>
      </c>
      <c r="C119" s="11" t="n">
        <v>10.34</v>
      </c>
      <c r="D119" s="12" t="n">
        <f aca="false">ROUND(C119*ASM!$B$8*ASM!$B$11*(1+ASM!$B$3)+ASM!$B$4+ASM!$B$5+ASM!$B$6,2)</f>
        <v>666.67</v>
      </c>
      <c r="E119" s="10" t="n">
        <f aca="false">ROUND(D119*ASM!$B$7,0)</f>
        <v>1033</v>
      </c>
      <c r="F119" s="13" t="n">
        <f aca="false">CEILING(E119/0.75,5)</f>
        <v>1380</v>
      </c>
      <c r="G119" s="12" t="n">
        <f aca="false">F119*0.75</f>
        <v>1035</v>
      </c>
      <c r="H119" s="10" t="n">
        <f aca="false">ROUND((D119+0.45)/(1-ASM!$B$9),0)</f>
        <v>745</v>
      </c>
      <c r="I119" s="10" t="n">
        <f aca="false">ROUND((D119+0.45)/(1-ASM!$B$9-ASM!$B$10),0)</f>
        <v>895</v>
      </c>
      <c r="J119" s="10" t="str">
        <f aca="false">IF(G119&gt;=H119,"OK","FLOOR ALTI")</f>
        <v>OK</v>
      </c>
    </row>
    <row r="120" customFormat="false" ht="15" hidden="false" customHeight="true" outlineLevel="0" collapsed="false">
      <c r="A120" s="10" t="n">
        <v>11</v>
      </c>
      <c r="B120" s="10" t="n">
        <v>5</v>
      </c>
      <c r="C120" s="11" t="n">
        <v>10.83</v>
      </c>
      <c r="D120" s="12" t="n">
        <f aca="false">ROUND(C120*ASM!$B$8*ASM!$B$11*(1+ASM!$B$3)+ASM!$B$4+ASM!$B$5+ASM!$B$6,2)</f>
        <v>695.42</v>
      </c>
      <c r="E120" s="10" t="n">
        <f aca="false">ROUND(D120*ASM!$B$7,0)</f>
        <v>1078</v>
      </c>
      <c r="F120" s="13" t="n">
        <f aca="false">CEILING(E120/0.75,5)</f>
        <v>1440</v>
      </c>
      <c r="G120" s="12" t="n">
        <f aca="false">F120*0.75</f>
        <v>1080</v>
      </c>
      <c r="H120" s="10" t="n">
        <f aca="false">ROUND((D120+0.45)/(1-ASM!$B$9),0)</f>
        <v>778</v>
      </c>
      <c r="I120" s="10" t="n">
        <f aca="false">ROUND((D120+0.45)/(1-ASM!$B$9-ASM!$B$10),0)</f>
        <v>934</v>
      </c>
      <c r="J120" s="10" t="str">
        <f aca="false">IF(G120&gt;=H120,"OK","FLOOR ALTI")</f>
        <v>OK</v>
      </c>
    </row>
    <row r="121" customFormat="false" ht="15" hidden="false" customHeight="true" outlineLevel="0" collapsed="false">
      <c r="A121" s="10" t="n">
        <v>11</v>
      </c>
      <c r="B121" s="10" t="n">
        <v>6</v>
      </c>
      <c r="C121" s="11" t="n">
        <v>11.31</v>
      </c>
      <c r="D121" s="12" t="n">
        <f aca="false">ROUND(C121*ASM!$B$8*ASM!$B$11*(1+ASM!$B$3)+ASM!$B$4+ASM!$B$5+ASM!$B$6,2)</f>
        <v>723.58</v>
      </c>
      <c r="E121" s="10" t="n">
        <f aca="false">ROUND(D121*ASM!$B$7,0)</f>
        <v>1122</v>
      </c>
      <c r="F121" s="13" t="n">
        <f aca="false">CEILING(E121/0.75,5)</f>
        <v>1500</v>
      </c>
      <c r="G121" s="12" t="n">
        <f aca="false">F121*0.75</f>
        <v>1125</v>
      </c>
      <c r="H121" s="10" t="n">
        <f aca="false">ROUND((D121+0.45)/(1-ASM!$B$9),0)</f>
        <v>809</v>
      </c>
      <c r="I121" s="10" t="n">
        <f aca="false">ROUND((D121+0.45)/(1-ASM!$B$9-ASM!$B$10),0)</f>
        <v>972</v>
      </c>
      <c r="J121" s="10" t="str">
        <f aca="false">IF(G121&gt;=H121,"OK","FLOOR ALTI")</f>
        <v>OK</v>
      </c>
    </row>
    <row r="122" customFormat="false" ht="15" hidden="false" customHeight="true" outlineLevel="0" collapsed="false">
      <c r="A122" s="10" t="n">
        <v>11</v>
      </c>
      <c r="B122" s="10" t="n">
        <v>7</v>
      </c>
      <c r="C122" s="11" t="n">
        <v>11.8</v>
      </c>
      <c r="D122" s="12" t="n">
        <f aca="false">ROUND(C122*ASM!$B$8*ASM!$B$11*(1+ASM!$B$3)+ASM!$B$4+ASM!$B$5+ASM!$B$6,2)</f>
        <v>752.33</v>
      </c>
      <c r="E122" s="10" t="n">
        <f aca="false">ROUND(D122*ASM!$B$7,0)</f>
        <v>1166</v>
      </c>
      <c r="F122" s="13" t="n">
        <f aca="false">CEILING(E122/0.75,5)</f>
        <v>1555</v>
      </c>
      <c r="G122" s="12" t="n">
        <f aca="false">F122*0.75</f>
        <v>1166.25</v>
      </c>
      <c r="H122" s="10" t="n">
        <f aca="false">ROUND((D122+0.45)/(1-ASM!$B$9),0)</f>
        <v>841</v>
      </c>
      <c r="I122" s="10" t="n">
        <f aca="false">ROUND((D122+0.45)/(1-ASM!$B$9-ASM!$B$10),0)</f>
        <v>1010</v>
      </c>
      <c r="J122" s="10" t="str">
        <f aca="false">IF(G122&gt;=H122,"OK","FLOOR ALTI")</f>
        <v>OK</v>
      </c>
    </row>
    <row r="123" customFormat="false" ht="15" hidden="false" customHeight="true" outlineLevel="0" collapsed="false">
      <c r="A123" s="10" t="n">
        <v>11</v>
      </c>
      <c r="B123" s="10" t="n">
        <v>8</v>
      </c>
      <c r="C123" s="11" t="n">
        <v>12.29</v>
      </c>
      <c r="D123" s="12" t="n">
        <f aca="false">ROUND(C123*ASM!$B$8*ASM!$B$11*(1+ASM!$B$3)+ASM!$B$4+ASM!$B$5+ASM!$B$6,2)</f>
        <v>781.08</v>
      </c>
      <c r="E123" s="10" t="n">
        <f aca="false">ROUND(D123*ASM!$B$7,0)</f>
        <v>1211</v>
      </c>
      <c r="F123" s="13" t="n">
        <f aca="false">CEILING(E123/0.75,5)</f>
        <v>1615</v>
      </c>
      <c r="G123" s="12" t="n">
        <f aca="false">F123*0.75</f>
        <v>1211.25</v>
      </c>
      <c r="H123" s="10" t="n">
        <f aca="false">ROUND((D123+0.45)/(1-ASM!$B$9),0)</f>
        <v>873</v>
      </c>
      <c r="I123" s="10" t="n">
        <f aca="false">ROUND((D123+0.45)/(1-ASM!$B$9-ASM!$B$10),0)</f>
        <v>1049</v>
      </c>
      <c r="J123" s="10" t="str">
        <f aca="false">IF(G123&gt;=H123,"OK","FLOOR ALTI")</f>
        <v>OK</v>
      </c>
    </row>
    <row r="124" customFormat="false" ht="15" hidden="false" customHeight="true" outlineLevel="0" collapsed="false">
      <c r="A124" s="10" t="n">
        <v>11</v>
      </c>
      <c r="B124" s="10" t="n">
        <v>9</v>
      </c>
      <c r="C124" s="11" t="n">
        <v>12.77</v>
      </c>
      <c r="D124" s="12" t="n">
        <f aca="false">ROUND(C124*ASM!$B$8*ASM!$B$11*(1+ASM!$B$3)+ASM!$B$4+ASM!$B$5+ASM!$B$6,2)</f>
        <v>809.25</v>
      </c>
      <c r="E124" s="10" t="n">
        <f aca="false">ROUND(D124*ASM!$B$7,0)</f>
        <v>1254</v>
      </c>
      <c r="F124" s="13" t="n">
        <f aca="false">CEILING(E124/0.75,5)</f>
        <v>1675</v>
      </c>
      <c r="G124" s="12" t="n">
        <f aca="false">F124*0.75</f>
        <v>1256.25</v>
      </c>
      <c r="H124" s="10" t="n">
        <f aca="false">ROUND((D124+0.45)/(1-ASM!$B$9),0)</f>
        <v>905</v>
      </c>
      <c r="I124" s="10" t="n">
        <f aca="false">ROUND((D124+0.45)/(1-ASM!$B$9-ASM!$B$10),0)</f>
        <v>1087</v>
      </c>
      <c r="J124" s="10" t="str">
        <f aca="false">IF(G124&gt;=H124,"OK","FLOOR ALTI")</f>
        <v>OK</v>
      </c>
    </row>
    <row r="125" customFormat="false" ht="15" hidden="false" customHeight="true" outlineLevel="0" collapsed="false">
      <c r="A125" s="10" t="n">
        <v>11</v>
      </c>
      <c r="B125" s="10" t="n">
        <v>10</v>
      </c>
      <c r="C125" s="11" t="n">
        <v>13.26</v>
      </c>
      <c r="D125" s="12" t="n">
        <f aca="false">ROUND(C125*ASM!$B$8*ASM!$B$11*(1+ASM!$B$3)+ASM!$B$4+ASM!$B$5+ASM!$B$6,2)</f>
        <v>838</v>
      </c>
      <c r="E125" s="10" t="n">
        <f aca="false">ROUND(D125*ASM!$B$7,0)</f>
        <v>1299</v>
      </c>
      <c r="F125" s="13" t="n">
        <f aca="false">CEILING(E125/0.75,5)</f>
        <v>1735</v>
      </c>
      <c r="G125" s="12" t="n">
        <f aca="false">F125*0.75</f>
        <v>1301.25</v>
      </c>
      <c r="H125" s="10" t="n">
        <f aca="false">ROUND((D125+0.45)/(1-ASM!$B$9),0)</f>
        <v>937</v>
      </c>
      <c r="I125" s="10" t="n">
        <f aca="false">ROUND((D125+0.45)/(1-ASM!$B$9-ASM!$B$10),0)</f>
        <v>1125</v>
      </c>
      <c r="J125" s="10" t="str">
        <f aca="false">IF(G125&gt;=H125,"OK","FLOOR ALTI")</f>
        <v>OK</v>
      </c>
    </row>
    <row r="126" customFormat="false" ht="15" hidden="false" customHeight="true" outlineLevel="0" collapsed="false">
      <c r="A126" s="10" t="n">
        <v>11</v>
      </c>
      <c r="B126" s="10" t="n">
        <v>11</v>
      </c>
      <c r="C126" s="11" t="n">
        <v>13.75</v>
      </c>
      <c r="D126" s="12" t="n">
        <f aca="false">ROUND(C126*ASM!$B$8*ASM!$B$11*(1+ASM!$B$3)+ASM!$B$4+ASM!$B$5+ASM!$B$6,2)</f>
        <v>866.75</v>
      </c>
      <c r="E126" s="10" t="n">
        <f aca="false">ROUND(D126*ASM!$B$7,0)</f>
        <v>1343</v>
      </c>
      <c r="F126" s="13" t="n">
        <f aca="false">CEILING(E126/0.75,5)</f>
        <v>1795</v>
      </c>
      <c r="G126" s="12" t="n">
        <f aca="false">F126*0.75</f>
        <v>1346.25</v>
      </c>
      <c r="H126" s="10" t="n">
        <f aca="false">ROUND((D126+0.45)/(1-ASM!$B$9),0)</f>
        <v>969</v>
      </c>
      <c r="I126" s="10" t="n">
        <f aca="false">ROUND((D126+0.45)/(1-ASM!$B$9-ASM!$B$10),0)</f>
        <v>1164</v>
      </c>
      <c r="J126" s="10" t="str">
        <f aca="false">IF(G126&gt;=H126,"OK","FLOOR ALTI")</f>
        <v>OK</v>
      </c>
    </row>
    <row r="127" customFormat="false" ht="15" hidden="false" customHeight="true" outlineLevel="0" collapsed="false">
      <c r="A127" s="10" t="n">
        <v>11</v>
      </c>
      <c r="B127" s="10" t="n">
        <v>12</v>
      </c>
      <c r="C127" s="11" t="n">
        <v>14.23</v>
      </c>
      <c r="D127" s="12" t="n">
        <f aca="false">ROUND(C127*ASM!$B$8*ASM!$B$11*(1+ASM!$B$3)+ASM!$B$4+ASM!$B$5+ASM!$B$6,2)</f>
        <v>894.91</v>
      </c>
      <c r="E127" s="10" t="n">
        <f aca="false">ROUND(D127*ASM!$B$7,0)</f>
        <v>1387</v>
      </c>
      <c r="F127" s="13" t="n">
        <f aca="false">CEILING(E127/0.75,5)</f>
        <v>1850</v>
      </c>
      <c r="G127" s="12" t="n">
        <f aca="false">F127*0.75</f>
        <v>1387.5</v>
      </c>
      <c r="H127" s="10" t="n">
        <f aca="false">ROUND((D127+0.45)/(1-ASM!$B$9),0)</f>
        <v>1000</v>
      </c>
      <c r="I127" s="10" t="n">
        <f aca="false">ROUND((D127+0.45)/(1-ASM!$B$9-ASM!$B$10),0)</f>
        <v>1202</v>
      </c>
      <c r="J127" s="10" t="str">
        <f aca="false">IF(G127&gt;=H127,"OK","FLOOR ALTI")</f>
        <v>OK</v>
      </c>
    </row>
    <row r="128" customFormat="false" ht="15" hidden="false" customHeight="true" outlineLevel="0" collapsed="false">
      <c r="A128" s="10" t="n">
        <v>11</v>
      </c>
      <c r="B128" s="10" t="n">
        <v>13</v>
      </c>
      <c r="C128" s="11" t="n">
        <v>14.72</v>
      </c>
      <c r="D128" s="12" t="n">
        <f aca="false">ROUND(C128*ASM!$B$8*ASM!$B$11*(1+ASM!$B$3)+ASM!$B$4+ASM!$B$5+ASM!$B$6,2)</f>
        <v>923.66</v>
      </c>
      <c r="E128" s="10" t="n">
        <f aca="false">ROUND(D128*ASM!$B$7,0)</f>
        <v>1432</v>
      </c>
      <c r="F128" s="13" t="n">
        <f aca="false">CEILING(E128/0.75,5)</f>
        <v>1910</v>
      </c>
      <c r="G128" s="12" t="n">
        <f aca="false">F128*0.75</f>
        <v>1432.5</v>
      </c>
      <c r="H128" s="10" t="n">
        <f aca="false">ROUND((D128+0.45)/(1-ASM!$B$9),0)</f>
        <v>1033</v>
      </c>
      <c r="I128" s="10" t="n">
        <f aca="false">ROUND((D128+0.45)/(1-ASM!$B$9-ASM!$B$10),0)</f>
        <v>1240</v>
      </c>
      <c r="J128" s="10" t="str">
        <f aca="false">IF(G128&gt;=H128,"OK","FLOOR ALTI")</f>
        <v>OK</v>
      </c>
    </row>
    <row r="129" customFormat="false" ht="15" hidden="false" customHeight="true" outlineLevel="0" collapsed="false">
      <c r="A129" s="10" t="n">
        <v>11</v>
      </c>
      <c r="B129" s="10" t="n">
        <v>14</v>
      </c>
      <c r="C129" s="11" t="n">
        <v>15.21</v>
      </c>
      <c r="D129" s="12" t="n">
        <f aca="false">ROUND(C129*ASM!$B$8*ASM!$B$11*(1+ASM!$B$3)+ASM!$B$4+ASM!$B$5+ASM!$B$6,2)</f>
        <v>952.41</v>
      </c>
      <c r="E129" s="10" t="n">
        <f aca="false">ROUND(D129*ASM!$B$7,0)</f>
        <v>1476</v>
      </c>
      <c r="F129" s="13" t="n">
        <f aca="false">CEILING(E129/0.75,5)</f>
        <v>1970</v>
      </c>
      <c r="G129" s="12" t="n">
        <f aca="false">F129*0.75</f>
        <v>1477.5</v>
      </c>
      <c r="H129" s="10" t="n">
        <f aca="false">ROUND((D129+0.45)/(1-ASM!$B$9),0)</f>
        <v>1065</v>
      </c>
      <c r="I129" s="10" t="n">
        <f aca="false">ROUND((D129+0.45)/(1-ASM!$B$9-ASM!$B$10),0)</f>
        <v>1279</v>
      </c>
      <c r="J129" s="10" t="str">
        <f aca="false">IF(G129&gt;=H129,"OK","FLOOR ALTI")</f>
        <v>OK</v>
      </c>
    </row>
    <row r="130" customFormat="false" ht="15" hidden="false" customHeight="true" outlineLevel="0" collapsed="false">
      <c r="A130" s="10" t="n">
        <v>11</v>
      </c>
      <c r="B130" s="10" t="n">
        <v>15</v>
      </c>
      <c r="C130" s="11" t="n">
        <v>15.69</v>
      </c>
      <c r="D130" s="12" t="n">
        <f aca="false">ROUND(C130*ASM!$B$8*ASM!$B$11*(1+ASM!$B$3)+ASM!$B$4+ASM!$B$5+ASM!$B$6,2)</f>
        <v>980.57</v>
      </c>
      <c r="E130" s="10" t="n">
        <f aca="false">ROUND(D130*ASM!$B$7,0)</f>
        <v>1520</v>
      </c>
      <c r="F130" s="13" t="n">
        <f aca="false">CEILING(E130/0.75,5)</f>
        <v>2030</v>
      </c>
      <c r="G130" s="12" t="n">
        <f aca="false">F130*0.75</f>
        <v>1522.5</v>
      </c>
      <c r="H130" s="10" t="n">
        <f aca="false">ROUND((D130+0.45)/(1-ASM!$B$9),0)</f>
        <v>1096</v>
      </c>
      <c r="I130" s="10" t="n">
        <f aca="false">ROUND((D130+0.45)/(1-ASM!$B$9-ASM!$B$10),0)</f>
        <v>1317</v>
      </c>
      <c r="J130" s="10" t="str">
        <f aca="false">IF(G130&gt;=H130,"OK","FLOOR ALTI")</f>
        <v>OK</v>
      </c>
    </row>
    <row r="131" customFormat="false" ht="15" hidden="false" customHeight="true" outlineLevel="0" collapsed="false">
      <c r="A131" s="10" t="n">
        <v>11</v>
      </c>
      <c r="B131" s="10" t="n">
        <v>16</v>
      </c>
      <c r="C131" s="11" t="n">
        <v>16.18</v>
      </c>
      <c r="D131" s="12" t="n">
        <f aca="false">ROUND(C131*ASM!$B$8*ASM!$B$11*(1+ASM!$B$3)+ASM!$B$4+ASM!$B$5+ASM!$B$6,2)</f>
        <v>1009.32</v>
      </c>
      <c r="E131" s="10" t="n">
        <f aca="false">ROUND(D131*ASM!$B$7,0)</f>
        <v>1564</v>
      </c>
      <c r="F131" s="13" t="n">
        <f aca="false">CEILING(E131/0.75,5)</f>
        <v>2090</v>
      </c>
      <c r="G131" s="12" t="n">
        <f aca="false">F131*0.75</f>
        <v>1567.5</v>
      </c>
      <c r="H131" s="10" t="n">
        <f aca="false">ROUND((D131+0.45)/(1-ASM!$B$9),0)</f>
        <v>1128</v>
      </c>
      <c r="I131" s="10" t="n">
        <f aca="false">ROUND((D131+0.45)/(1-ASM!$B$9-ASM!$B$10),0)</f>
        <v>1355</v>
      </c>
      <c r="J131" s="10" t="str">
        <f aca="false">IF(G131&gt;=H131,"OK","FLOOR ALTI")</f>
        <v>OK</v>
      </c>
    </row>
    <row r="132" customFormat="false" ht="15" hidden="false" customHeight="true" outlineLevel="0" collapsed="false">
      <c r="A132" s="10" t="n">
        <v>12</v>
      </c>
      <c r="B132" s="10" t="n">
        <v>4</v>
      </c>
      <c r="C132" s="11" t="n">
        <v>11.28</v>
      </c>
      <c r="D132" s="12" t="n">
        <f aca="false">ROUND(C132*ASM!$B$8*ASM!$B$11*(1+ASM!$B$3)+ASM!$B$4+ASM!$B$5+ASM!$B$6,2)</f>
        <v>721.82</v>
      </c>
      <c r="E132" s="10" t="n">
        <f aca="false">ROUND(D132*ASM!$B$7,0)</f>
        <v>1119</v>
      </c>
      <c r="F132" s="13" t="n">
        <f aca="false">CEILING(E132/0.75,5)</f>
        <v>1495</v>
      </c>
      <c r="G132" s="12" t="n">
        <f aca="false">F132*0.75</f>
        <v>1121.25</v>
      </c>
      <c r="H132" s="10" t="n">
        <f aca="false">ROUND((D132+0.45)/(1-ASM!$B$9),0)</f>
        <v>807</v>
      </c>
      <c r="I132" s="10" t="n">
        <f aca="false">ROUND((D132+0.45)/(1-ASM!$B$9-ASM!$B$10),0)</f>
        <v>969</v>
      </c>
      <c r="J132" s="10" t="str">
        <f aca="false">IF(G132&gt;=H132,"OK","FLOOR ALTI")</f>
        <v>OK</v>
      </c>
    </row>
    <row r="133" customFormat="false" ht="15" hidden="false" customHeight="true" outlineLevel="0" collapsed="false">
      <c r="A133" s="10" t="n">
        <v>12</v>
      </c>
      <c r="B133" s="10" t="n">
        <v>5</v>
      </c>
      <c r="C133" s="11" t="n">
        <v>11.81</v>
      </c>
      <c r="D133" s="12" t="n">
        <f aca="false">ROUND(C133*ASM!$B$8*ASM!$B$11*(1+ASM!$B$3)+ASM!$B$4+ASM!$B$5+ASM!$B$6,2)</f>
        <v>752.92</v>
      </c>
      <c r="E133" s="10" t="n">
        <f aca="false">ROUND(D133*ASM!$B$7,0)</f>
        <v>1167</v>
      </c>
      <c r="F133" s="13" t="n">
        <f aca="false">CEILING(E133/0.75,5)</f>
        <v>1560</v>
      </c>
      <c r="G133" s="12" t="n">
        <f aca="false">F133*0.75</f>
        <v>1170</v>
      </c>
      <c r="H133" s="10" t="n">
        <f aca="false">ROUND((D133+0.45)/(1-ASM!$B$9),0)</f>
        <v>842</v>
      </c>
      <c r="I133" s="10" t="n">
        <f aca="false">ROUND((D133+0.45)/(1-ASM!$B$9-ASM!$B$10),0)</f>
        <v>1011</v>
      </c>
      <c r="J133" s="10" t="str">
        <f aca="false">IF(G133&gt;=H133,"OK","FLOOR ALTI")</f>
        <v>OK</v>
      </c>
    </row>
    <row r="134" customFormat="false" ht="15" hidden="false" customHeight="true" outlineLevel="0" collapsed="false">
      <c r="A134" s="10" t="n">
        <v>12</v>
      </c>
      <c r="B134" s="10" t="n">
        <v>6</v>
      </c>
      <c r="C134" s="11" t="n">
        <v>12.34</v>
      </c>
      <c r="D134" s="12" t="n">
        <f aca="false">ROUND(C134*ASM!$B$8*ASM!$B$11*(1+ASM!$B$3)+ASM!$B$4+ASM!$B$5+ASM!$B$6,2)</f>
        <v>784.02</v>
      </c>
      <c r="E134" s="10" t="n">
        <f aca="false">ROUND(D134*ASM!$B$7,0)</f>
        <v>1215</v>
      </c>
      <c r="F134" s="13" t="n">
        <f aca="false">CEILING(E134/0.75,5)</f>
        <v>1620</v>
      </c>
      <c r="G134" s="12" t="n">
        <f aca="false">F134*0.75</f>
        <v>1215</v>
      </c>
      <c r="H134" s="10" t="n">
        <f aca="false">ROUND((D134+0.45)/(1-ASM!$B$9),0)</f>
        <v>877</v>
      </c>
      <c r="I134" s="10" t="n">
        <f aca="false">ROUND((D134+0.45)/(1-ASM!$B$9-ASM!$B$10),0)</f>
        <v>1053</v>
      </c>
      <c r="J134" s="10" t="str">
        <f aca="false">IF(G134&gt;=H134,"OK","FLOOR ALTI")</f>
        <v>OK</v>
      </c>
    </row>
    <row r="135" customFormat="false" ht="15" hidden="false" customHeight="true" outlineLevel="0" collapsed="false">
      <c r="A135" s="10" t="n">
        <v>12</v>
      </c>
      <c r="B135" s="10" t="n">
        <v>7</v>
      </c>
      <c r="C135" s="11" t="n">
        <v>12.87</v>
      </c>
      <c r="D135" s="12" t="n">
        <f aca="false">ROUND(C135*ASM!$B$8*ASM!$B$11*(1+ASM!$B$3)+ASM!$B$4+ASM!$B$5+ASM!$B$6,2)</f>
        <v>815.11</v>
      </c>
      <c r="E135" s="10" t="n">
        <f aca="false">ROUND(D135*ASM!$B$7,0)</f>
        <v>1263</v>
      </c>
      <c r="F135" s="13" t="n">
        <f aca="false">CEILING(E135/0.75,5)</f>
        <v>1685</v>
      </c>
      <c r="G135" s="12" t="n">
        <f aca="false">F135*0.75</f>
        <v>1263.75</v>
      </c>
      <c r="H135" s="10" t="n">
        <f aca="false">ROUND((D135+0.45)/(1-ASM!$B$9),0)</f>
        <v>911</v>
      </c>
      <c r="I135" s="10" t="n">
        <f aca="false">ROUND((D135+0.45)/(1-ASM!$B$9-ASM!$B$10),0)</f>
        <v>1095</v>
      </c>
      <c r="J135" s="10" t="str">
        <f aca="false">IF(G135&gt;=H135,"OK","FLOOR ALTI")</f>
        <v>OK</v>
      </c>
    </row>
    <row r="136" customFormat="false" ht="15" hidden="false" customHeight="true" outlineLevel="0" collapsed="false">
      <c r="A136" s="10" t="n">
        <v>12</v>
      </c>
      <c r="B136" s="10" t="n">
        <v>8</v>
      </c>
      <c r="C136" s="11" t="n">
        <v>13.4</v>
      </c>
      <c r="D136" s="12" t="n">
        <f aca="false">ROUND(C136*ASM!$B$8*ASM!$B$11*(1+ASM!$B$3)+ASM!$B$4+ASM!$B$5+ASM!$B$6,2)</f>
        <v>846.21</v>
      </c>
      <c r="E136" s="10" t="n">
        <f aca="false">ROUND(D136*ASM!$B$7,0)</f>
        <v>1312</v>
      </c>
      <c r="F136" s="13" t="n">
        <f aca="false">CEILING(E136/0.75,5)</f>
        <v>1750</v>
      </c>
      <c r="G136" s="12" t="n">
        <f aca="false">F136*0.75</f>
        <v>1312.5</v>
      </c>
      <c r="H136" s="10" t="n">
        <f aca="false">ROUND((D136+0.45)/(1-ASM!$B$9),0)</f>
        <v>946</v>
      </c>
      <c r="I136" s="10" t="n">
        <f aca="false">ROUND((D136+0.45)/(1-ASM!$B$9-ASM!$B$10),0)</f>
        <v>1136</v>
      </c>
      <c r="J136" s="10" t="str">
        <f aca="false">IF(G136&gt;=H136,"OK","FLOOR ALTI")</f>
        <v>OK</v>
      </c>
    </row>
    <row r="137" customFormat="false" ht="15" hidden="false" customHeight="true" outlineLevel="0" collapsed="false">
      <c r="A137" s="10" t="n">
        <v>12</v>
      </c>
      <c r="B137" s="10" t="n">
        <v>9</v>
      </c>
      <c r="C137" s="11" t="n">
        <v>13.93</v>
      </c>
      <c r="D137" s="12" t="n">
        <f aca="false">ROUND(C137*ASM!$B$8*ASM!$B$11*(1+ASM!$B$3)+ASM!$B$4+ASM!$B$5+ASM!$B$6,2)</f>
        <v>877.31</v>
      </c>
      <c r="E137" s="10" t="n">
        <f aca="false">ROUND(D137*ASM!$B$7,0)</f>
        <v>1360</v>
      </c>
      <c r="F137" s="13" t="n">
        <f aca="false">CEILING(E137/0.75,5)</f>
        <v>1815</v>
      </c>
      <c r="G137" s="12" t="n">
        <f aca="false">F137*0.75</f>
        <v>1361.25</v>
      </c>
      <c r="H137" s="10" t="n">
        <f aca="false">ROUND((D137+0.45)/(1-ASM!$B$9),0)</f>
        <v>981</v>
      </c>
      <c r="I137" s="10" t="n">
        <f aca="false">ROUND((D137+0.45)/(1-ASM!$B$9-ASM!$B$10),0)</f>
        <v>1178</v>
      </c>
      <c r="J137" s="10" t="str">
        <f aca="false">IF(G137&gt;=H137,"OK","FLOOR ALTI")</f>
        <v>OK</v>
      </c>
    </row>
    <row r="138" customFormat="false" ht="15" hidden="false" customHeight="true" outlineLevel="0" collapsed="false">
      <c r="A138" s="10" t="n">
        <v>12</v>
      </c>
      <c r="B138" s="10" t="n">
        <v>10</v>
      </c>
      <c r="C138" s="11" t="n">
        <v>14.46</v>
      </c>
      <c r="D138" s="12" t="n">
        <f aca="false">ROUND(C138*ASM!$B$8*ASM!$B$11*(1+ASM!$B$3)+ASM!$B$4+ASM!$B$5+ASM!$B$6,2)</f>
        <v>908.4</v>
      </c>
      <c r="E138" s="10" t="n">
        <f aca="false">ROUND(D138*ASM!$B$7,0)</f>
        <v>1408</v>
      </c>
      <c r="F138" s="13" t="n">
        <f aca="false">CEILING(E138/0.75,5)</f>
        <v>1880</v>
      </c>
      <c r="G138" s="12" t="n">
        <f aca="false">F138*0.75</f>
        <v>1410</v>
      </c>
      <c r="H138" s="10" t="n">
        <f aca="false">ROUND((D138+0.45)/(1-ASM!$B$9),0)</f>
        <v>1015</v>
      </c>
      <c r="I138" s="10" t="n">
        <f aca="false">ROUND((D138+0.45)/(1-ASM!$B$9-ASM!$B$10),0)</f>
        <v>1220</v>
      </c>
      <c r="J138" s="10" t="str">
        <f aca="false">IF(G138&gt;=H138,"OK","FLOOR ALTI")</f>
        <v>OK</v>
      </c>
    </row>
    <row r="139" customFormat="false" ht="15" hidden="false" customHeight="true" outlineLevel="0" collapsed="false">
      <c r="A139" s="10" t="n">
        <v>12</v>
      </c>
      <c r="B139" s="10" t="n">
        <v>11</v>
      </c>
      <c r="C139" s="11" t="n">
        <v>15</v>
      </c>
      <c r="D139" s="12" t="n">
        <f aca="false">ROUND(C139*ASM!$B$8*ASM!$B$11*(1+ASM!$B$3)+ASM!$B$4+ASM!$B$5+ASM!$B$6,2)</f>
        <v>940.09</v>
      </c>
      <c r="E139" s="10" t="n">
        <f aca="false">ROUND(D139*ASM!$B$7,0)</f>
        <v>1457</v>
      </c>
      <c r="F139" s="13" t="n">
        <f aca="false">CEILING(E139/0.75,5)</f>
        <v>1945</v>
      </c>
      <c r="G139" s="12" t="n">
        <f aca="false">F139*0.75</f>
        <v>1458.75</v>
      </c>
      <c r="H139" s="10" t="n">
        <f aca="false">ROUND((D139+0.45)/(1-ASM!$B$9),0)</f>
        <v>1051</v>
      </c>
      <c r="I139" s="10" t="n">
        <f aca="false">ROUND((D139+0.45)/(1-ASM!$B$9-ASM!$B$10),0)</f>
        <v>1262</v>
      </c>
      <c r="J139" s="10" t="str">
        <f aca="false">IF(G139&gt;=H139,"OK","FLOOR ALTI")</f>
        <v>OK</v>
      </c>
    </row>
    <row r="140" customFormat="false" ht="15" hidden="false" customHeight="true" outlineLevel="0" collapsed="false">
      <c r="A140" s="10" t="n">
        <v>12</v>
      </c>
      <c r="B140" s="10" t="n">
        <v>12</v>
      </c>
      <c r="C140" s="11" t="n">
        <v>15.53</v>
      </c>
      <c r="D140" s="12" t="n">
        <f aca="false">ROUND(C140*ASM!$B$8*ASM!$B$11*(1+ASM!$B$3)+ASM!$B$4+ASM!$B$5+ASM!$B$6,2)</f>
        <v>971.18</v>
      </c>
      <c r="E140" s="10" t="n">
        <f aca="false">ROUND(D140*ASM!$B$7,0)</f>
        <v>1505</v>
      </c>
      <c r="F140" s="13" t="n">
        <f aca="false">CEILING(E140/0.75,5)</f>
        <v>2010</v>
      </c>
      <c r="G140" s="12" t="n">
        <f aca="false">F140*0.75</f>
        <v>1507.5</v>
      </c>
      <c r="H140" s="10" t="n">
        <f aca="false">ROUND((D140+0.45)/(1-ASM!$B$9),0)</f>
        <v>1086</v>
      </c>
      <c r="I140" s="10" t="n">
        <f aca="false">ROUND((D140+0.45)/(1-ASM!$B$9-ASM!$B$10),0)</f>
        <v>1304</v>
      </c>
      <c r="J140" s="10" t="str">
        <f aca="false">IF(G140&gt;=H140,"OK","FLOOR ALTI")</f>
        <v>OK</v>
      </c>
    </row>
    <row r="141" customFormat="false" ht="15" hidden="false" customHeight="true" outlineLevel="0" collapsed="false">
      <c r="A141" s="10" t="n">
        <v>12</v>
      </c>
      <c r="B141" s="10" t="n">
        <v>13</v>
      </c>
      <c r="C141" s="11" t="n">
        <v>16.06</v>
      </c>
      <c r="D141" s="12" t="n">
        <f aca="false">ROUND(C141*ASM!$B$8*ASM!$B$11*(1+ASM!$B$3)+ASM!$B$4+ASM!$B$5+ASM!$B$6,2)</f>
        <v>1002.28</v>
      </c>
      <c r="E141" s="10" t="n">
        <f aca="false">ROUND(D141*ASM!$B$7,0)</f>
        <v>1554</v>
      </c>
      <c r="F141" s="13" t="n">
        <f aca="false">CEILING(E141/0.75,5)</f>
        <v>2075</v>
      </c>
      <c r="G141" s="12" t="n">
        <f aca="false">F141*0.75</f>
        <v>1556.25</v>
      </c>
      <c r="H141" s="10" t="n">
        <f aca="false">ROUND((D141+0.45)/(1-ASM!$B$9),0)</f>
        <v>1120</v>
      </c>
      <c r="I141" s="10" t="n">
        <f aca="false">ROUND((D141+0.45)/(1-ASM!$B$9-ASM!$B$10),0)</f>
        <v>1346</v>
      </c>
      <c r="J141" s="10" t="str">
        <f aca="false">IF(G141&gt;=H141,"OK","FLOOR ALTI")</f>
        <v>OK</v>
      </c>
    </row>
    <row r="142" customFormat="false" ht="15" hidden="false" customHeight="true" outlineLevel="0" collapsed="false">
      <c r="A142" s="10" t="n">
        <v>12</v>
      </c>
      <c r="B142" s="10" t="n">
        <v>14</v>
      </c>
      <c r="C142" s="11" t="n">
        <v>16.59</v>
      </c>
      <c r="D142" s="12" t="n">
        <f aca="false">ROUND(C142*ASM!$B$8*ASM!$B$11*(1+ASM!$B$3)+ASM!$B$4+ASM!$B$5+ASM!$B$6,2)</f>
        <v>1033.38</v>
      </c>
      <c r="E142" s="10" t="n">
        <f aca="false">ROUND(D142*ASM!$B$7,0)</f>
        <v>1602</v>
      </c>
      <c r="F142" s="13" t="n">
        <f aca="false">CEILING(E142/0.75,5)</f>
        <v>2140</v>
      </c>
      <c r="G142" s="12" t="n">
        <f aca="false">F142*0.75</f>
        <v>1605</v>
      </c>
      <c r="H142" s="10" t="n">
        <f aca="false">ROUND((D142+0.45)/(1-ASM!$B$9),0)</f>
        <v>1155</v>
      </c>
      <c r="I142" s="10" t="n">
        <f aca="false">ROUND((D142+0.45)/(1-ASM!$B$9-ASM!$B$10),0)</f>
        <v>1388</v>
      </c>
      <c r="J142" s="10" t="str">
        <f aca="false">IF(G142&gt;=H142,"OK","FLOOR ALTI")</f>
        <v>OK</v>
      </c>
    </row>
    <row r="143" customFormat="false" ht="15" hidden="false" customHeight="true" outlineLevel="0" collapsed="false">
      <c r="A143" s="10" t="n">
        <v>12</v>
      </c>
      <c r="B143" s="10" t="n">
        <v>15</v>
      </c>
      <c r="C143" s="11" t="n">
        <v>17.12</v>
      </c>
      <c r="D143" s="12" t="n">
        <f aca="false">ROUND(C143*ASM!$B$8*ASM!$B$11*(1+ASM!$B$3)+ASM!$B$4+ASM!$B$5+ASM!$B$6,2)</f>
        <v>1064.47</v>
      </c>
      <c r="E143" s="10" t="n">
        <f aca="false">ROUND(D143*ASM!$B$7,0)</f>
        <v>1650</v>
      </c>
      <c r="F143" s="13" t="n">
        <f aca="false">CEILING(E143/0.75,5)</f>
        <v>2200</v>
      </c>
      <c r="G143" s="12" t="n">
        <f aca="false">F143*0.75</f>
        <v>1650</v>
      </c>
      <c r="H143" s="10" t="n">
        <f aca="false">ROUND((D143+0.45)/(1-ASM!$B$9),0)</f>
        <v>1190</v>
      </c>
      <c r="I143" s="10" t="n">
        <f aca="false">ROUND((D143+0.45)/(1-ASM!$B$9-ASM!$B$10),0)</f>
        <v>1429</v>
      </c>
      <c r="J143" s="10" t="str">
        <f aca="false">IF(G143&gt;=H143,"OK","FLOOR ALTI")</f>
        <v>OK</v>
      </c>
    </row>
    <row r="144" customFormat="false" ht="15" hidden="false" customHeight="true" outlineLevel="0" collapsed="false">
      <c r="A144" s="10" t="n">
        <v>12</v>
      </c>
      <c r="B144" s="10" t="n">
        <v>16</v>
      </c>
      <c r="C144" s="11" t="n">
        <v>17.65</v>
      </c>
      <c r="D144" s="12" t="n">
        <f aca="false">ROUND(C144*ASM!$B$8*ASM!$B$11*(1+ASM!$B$3)+ASM!$B$4+ASM!$B$5+ASM!$B$6,2)</f>
        <v>1095.57</v>
      </c>
      <c r="E144" s="10" t="n">
        <f aca="false">ROUND(D144*ASM!$B$7,0)</f>
        <v>1698</v>
      </c>
      <c r="F144" s="13" t="n">
        <f aca="false">CEILING(E144/0.75,5)</f>
        <v>2265</v>
      </c>
      <c r="G144" s="12" t="n">
        <f aca="false">F144*0.75</f>
        <v>1698.75</v>
      </c>
      <c r="H144" s="10" t="n">
        <f aca="false">ROUND((D144+0.45)/(1-ASM!$B$9),0)</f>
        <v>1225</v>
      </c>
      <c r="I144" s="10" t="n">
        <f aca="false">ROUND((D144+0.45)/(1-ASM!$B$9-ASM!$B$10),0)</f>
        <v>1471</v>
      </c>
      <c r="J144" s="10" t="str">
        <f aca="false">IF(G144&gt;=H144,"OK","FLOOR ALTI")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9"/>
    <col collapsed="false" customWidth="true" hidden="false" outlineLevel="0" max="4" min="3" style="1" width="11"/>
    <col collapsed="false" customWidth="true" hidden="false" outlineLevel="0" max="5" min="5" style="1" width="10"/>
    <col collapsed="false" customWidth="true" hidden="false" outlineLevel="0" max="6" min="6" style="1" width="15"/>
    <col collapsed="false" customWidth="true" hidden="false" outlineLevel="0" max="7" min="7" style="1" width="14"/>
    <col collapsed="false" customWidth="true" hidden="false" outlineLevel="0" max="8" min="8" style="1" width="10"/>
    <col collapsed="false" customWidth="true" hidden="false" outlineLevel="0" max="9" min="9" style="1" width="14"/>
    <col collapsed="false" customWidth="true" hidden="false" outlineLevel="0" max="10" min="10" style="1" width="12"/>
  </cols>
  <sheetData>
    <row r="1" customFormat="false" ht="23.25" hidden="false" customHeight="true" outlineLevel="0" collapsed="false">
      <c r="A1" s="9" t="s">
        <v>39</v>
      </c>
      <c r="B1" s="9" t="s">
        <v>40</v>
      </c>
      <c r="C1" s="9" t="s">
        <v>41</v>
      </c>
      <c r="D1" s="9" t="s">
        <v>42</v>
      </c>
      <c r="E1" s="9" t="s">
        <v>43</v>
      </c>
      <c r="F1" s="9" t="s">
        <v>44</v>
      </c>
      <c r="G1" s="9" t="s">
        <v>45</v>
      </c>
      <c r="H1" s="9" t="s">
        <v>46</v>
      </c>
      <c r="I1" s="9" t="s">
        <v>47</v>
      </c>
      <c r="J1" s="9" t="s">
        <v>48</v>
      </c>
    </row>
    <row r="2" customFormat="false" ht="15" hidden="false" customHeight="true" outlineLevel="0" collapsed="false">
      <c r="A2" s="10" t="n">
        <v>2</v>
      </c>
      <c r="B2" s="10" t="n">
        <v>4</v>
      </c>
      <c r="C2" s="11" t="n">
        <v>2.14</v>
      </c>
      <c r="D2" s="12" t="n">
        <f aca="false">ROUND(C2*ASM!$B$8*ASM!$B$12*(1+ASM!$B$3)+ASM!$B$4+ASM!$B$5+ASM!$B$6,2)</f>
        <v>235.54</v>
      </c>
      <c r="E2" s="10" t="n">
        <f aca="false">ROUND(D2*ASM!$B$7,0)</f>
        <v>365</v>
      </c>
      <c r="F2" s="13" t="n">
        <f aca="false">CEILING(E2/0.75,5)</f>
        <v>490</v>
      </c>
      <c r="G2" s="12" t="n">
        <f aca="false">F2*0.75</f>
        <v>367.5</v>
      </c>
      <c r="H2" s="10" t="n">
        <f aca="false">ROUND((D2+0.45)/(1-ASM!$B$9),0)</f>
        <v>264</v>
      </c>
      <c r="I2" s="10" t="n">
        <f aca="false">ROUND((D2+0.45)/(1-ASM!$B$9-ASM!$B$10),0)</f>
        <v>317</v>
      </c>
      <c r="J2" s="10" t="str">
        <f aca="false">IF(G2&gt;=H2,"OK","FLOOR ALTI")</f>
        <v>OK</v>
      </c>
    </row>
    <row r="3" customFormat="false" ht="15" hidden="false" customHeight="true" outlineLevel="0" collapsed="false">
      <c r="A3" s="10" t="n">
        <v>2</v>
      </c>
      <c r="B3" s="10" t="n">
        <v>5</v>
      </c>
      <c r="C3" s="11" t="n">
        <v>2.24</v>
      </c>
      <c r="D3" s="12" t="n">
        <f aca="false">ROUND(C3*ASM!$B$8*ASM!$B$12*(1+ASM!$B$3)+ASM!$B$4+ASM!$B$5+ASM!$B$6,2)</f>
        <v>243.74</v>
      </c>
      <c r="E3" s="10" t="n">
        <f aca="false">ROUND(D3*ASM!$B$7,0)</f>
        <v>378</v>
      </c>
      <c r="F3" s="13" t="n">
        <f aca="false">CEILING(E3/0.75,5)</f>
        <v>505</v>
      </c>
      <c r="G3" s="12" t="n">
        <f aca="false">F3*0.75</f>
        <v>378.75</v>
      </c>
      <c r="H3" s="10" t="n">
        <f aca="false">ROUND((D3+0.45)/(1-ASM!$B$9),0)</f>
        <v>273</v>
      </c>
      <c r="I3" s="10" t="n">
        <f aca="false">ROUND((D3+0.45)/(1-ASM!$B$9-ASM!$B$10),0)</f>
        <v>328</v>
      </c>
      <c r="J3" s="10" t="str">
        <f aca="false">IF(G3&gt;=H3,"OK","FLOOR ALTI")</f>
        <v>OK</v>
      </c>
    </row>
    <row r="4" customFormat="false" ht="15" hidden="false" customHeight="true" outlineLevel="0" collapsed="false">
      <c r="A4" s="10" t="n">
        <v>2</v>
      </c>
      <c r="B4" s="10" t="n">
        <v>6</v>
      </c>
      <c r="C4" s="11" t="n">
        <v>2.34</v>
      </c>
      <c r="D4" s="12" t="n">
        <f aca="false">ROUND(C4*ASM!$B$8*ASM!$B$12*(1+ASM!$B$3)+ASM!$B$4+ASM!$B$5+ASM!$B$6,2)</f>
        <v>251.95</v>
      </c>
      <c r="E4" s="10" t="n">
        <f aca="false">ROUND(D4*ASM!$B$7,0)</f>
        <v>391</v>
      </c>
      <c r="F4" s="13" t="n">
        <f aca="false">CEILING(E4/0.75,5)</f>
        <v>525</v>
      </c>
      <c r="G4" s="12" t="n">
        <f aca="false">F4*0.75</f>
        <v>393.75</v>
      </c>
      <c r="H4" s="10" t="n">
        <f aca="false">ROUND((D4+0.45)/(1-ASM!$B$9),0)</f>
        <v>282</v>
      </c>
      <c r="I4" s="10" t="n">
        <f aca="false">ROUND((D4+0.45)/(1-ASM!$B$9-ASM!$B$10),0)</f>
        <v>339</v>
      </c>
      <c r="J4" s="10" t="str">
        <f aca="false">IF(G4&gt;=H4,"OK","FLOOR ALTI")</f>
        <v>OK</v>
      </c>
    </row>
    <row r="5" customFormat="false" ht="15" hidden="false" customHeight="true" outlineLevel="0" collapsed="false">
      <c r="A5" s="10" t="n">
        <v>2</v>
      </c>
      <c r="B5" s="10" t="n">
        <v>7</v>
      </c>
      <c r="C5" s="11" t="n">
        <v>2.44</v>
      </c>
      <c r="D5" s="12" t="n">
        <f aca="false">ROUND(C5*ASM!$B$8*ASM!$B$12*(1+ASM!$B$3)+ASM!$B$4+ASM!$B$5+ASM!$B$6,2)</f>
        <v>260.15</v>
      </c>
      <c r="E5" s="10" t="n">
        <f aca="false">ROUND(D5*ASM!$B$7,0)</f>
        <v>403</v>
      </c>
      <c r="F5" s="13" t="n">
        <f aca="false">CEILING(E5/0.75,5)</f>
        <v>540</v>
      </c>
      <c r="G5" s="12" t="n">
        <f aca="false">F5*0.75</f>
        <v>405</v>
      </c>
      <c r="H5" s="10" t="n">
        <f aca="false">ROUND((D5+0.45)/(1-ASM!$B$9),0)</f>
        <v>291</v>
      </c>
      <c r="I5" s="10" t="n">
        <f aca="false">ROUND((D5+0.45)/(1-ASM!$B$9-ASM!$B$10),0)</f>
        <v>350</v>
      </c>
      <c r="J5" s="10" t="str">
        <f aca="false">IF(G5&gt;=H5,"OK","FLOOR ALTI")</f>
        <v>OK</v>
      </c>
    </row>
    <row r="6" customFormat="false" ht="15" hidden="false" customHeight="true" outlineLevel="0" collapsed="false">
      <c r="A6" s="10" t="n">
        <v>2</v>
      </c>
      <c r="B6" s="10" t="n">
        <v>8</v>
      </c>
      <c r="C6" s="11" t="n">
        <v>2.54</v>
      </c>
      <c r="D6" s="12" t="n">
        <f aca="false">ROUND(C6*ASM!$B$8*ASM!$B$12*(1+ASM!$B$3)+ASM!$B$4+ASM!$B$5+ASM!$B$6,2)</f>
        <v>268.35</v>
      </c>
      <c r="E6" s="10" t="n">
        <f aca="false">ROUND(D6*ASM!$B$7,0)</f>
        <v>416</v>
      </c>
      <c r="F6" s="13" t="n">
        <f aca="false">CEILING(E6/0.75,5)</f>
        <v>555</v>
      </c>
      <c r="G6" s="12" t="n">
        <f aca="false">F6*0.75</f>
        <v>416.25</v>
      </c>
      <c r="H6" s="10" t="n">
        <f aca="false">ROUND((D6+0.45)/(1-ASM!$B$9),0)</f>
        <v>300</v>
      </c>
      <c r="I6" s="10" t="n">
        <f aca="false">ROUND((D6+0.45)/(1-ASM!$B$9-ASM!$B$10),0)</f>
        <v>361</v>
      </c>
      <c r="J6" s="10" t="str">
        <f aca="false">IF(G6&gt;=H6,"OK","FLOOR ALTI")</f>
        <v>OK</v>
      </c>
    </row>
    <row r="7" customFormat="false" ht="15" hidden="false" customHeight="true" outlineLevel="0" collapsed="false">
      <c r="A7" s="10" t="n">
        <v>2</v>
      </c>
      <c r="B7" s="10" t="n">
        <v>9</v>
      </c>
      <c r="C7" s="11" t="n">
        <v>2.64</v>
      </c>
      <c r="D7" s="12" t="n">
        <f aca="false">ROUND(C7*ASM!$B$8*ASM!$B$12*(1+ASM!$B$3)+ASM!$B$4+ASM!$B$5+ASM!$B$6,2)</f>
        <v>276.56</v>
      </c>
      <c r="E7" s="10" t="n">
        <f aca="false">ROUND(D7*ASM!$B$7,0)</f>
        <v>429</v>
      </c>
      <c r="F7" s="13" t="n">
        <f aca="false">CEILING(E7/0.75,5)</f>
        <v>575</v>
      </c>
      <c r="G7" s="12" t="n">
        <f aca="false">F7*0.75</f>
        <v>431.25</v>
      </c>
      <c r="H7" s="10" t="n">
        <f aca="false">ROUND((D7+0.45)/(1-ASM!$B$9),0)</f>
        <v>310</v>
      </c>
      <c r="I7" s="10" t="n">
        <f aca="false">ROUND((D7+0.45)/(1-ASM!$B$9-ASM!$B$10),0)</f>
        <v>372</v>
      </c>
      <c r="J7" s="10" t="str">
        <f aca="false">IF(G7&gt;=H7,"OK","FLOOR ALTI")</f>
        <v>OK</v>
      </c>
    </row>
    <row r="8" customFormat="false" ht="15" hidden="false" customHeight="true" outlineLevel="0" collapsed="false">
      <c r="A8" s="10" t="n">
        <v>2</v>
      </c>
      <c r="B8" s="10" t="n">
        <v>10</v>
      </c>
      <c r="C8" s="11" t="n">
        <v>2.74</v>
      </c>
      <c r="D8" s="12" t="n">
        <f aca="false">ROUND(C8*ASM!$B$8*ASM!$B$12*(1+ASM!$B$3)+ASM!$B$4+ASM!$B$5+ASM!$B$6,2)</f>
        <v>284.76</v>
      </c>
      <c r="E8" s="10" t="n">
        <f aca="false">ROUND(D8*ASM!$B$7,0)</f>
        <v>441</v>
      </c>
      <c r="F8" s="13" t="n">
        <f aca="false">CEILING(E8/0.75,5)</f>
        <v>590</v>
      </c>
      <c r="G8" s="12" t="n">
        <f aca="false">F8*0.75</f>
        <v>442.5</v>
      </c>
      <c r="H8" s="10" t="n">
        <f aca="false">ROUND((D8+0.45)/(1-ASM!$B$9),0)</f>
        <v>319</v>
      </c>
      <c r="I8" s="10" t="n">
        <f aca="false">ROUND((D8+0.45)/(1-ASM!$B$9-ASM!$B$10),0)</f>
        <v>383</v>
      </c>
      <c r="J8" s="10" t="str">
        <f aca="false">IF(G8&gt;=H8,"OK","FLOOR ALTI")</f>
        <v>OK</v>
      </c>
    </row>
    <row r="9" customFormat="false" ht="15" hidden="false" customHeight="true" outlineLevel="0" collapsed="false">
      <c r="A9" s="10" t="n">
        <v>2</v>
      </c>
      <c r="B9" s="10" t="n">
        <v>11</v>
      </c>
      <c r="C9" s="11" t="n">
        <v>2.84</v>
      </c>
      <c r="D9" s="12" t="n">
        <f aca="false">ROUND(C9*ASM!$B$8*ASM!$B$12*(1+ASM!$B$3)+ASM!$B$4+ASM!$B$5+ASM!$B$6,2)</f>
        <v>292.96</v>
      </c>
      <c r="E9" s="10" t="n">
        <f aca="false">ROUND(D9*ASM!$B$7,0)</f>
        <v>454</v>
      </c>
      <c r="F9" s="13" t="n">
        <f aca="false">CEILING(E9/0.75,5)</f>
        <v>610</v>
      </c>
      <c r="G9" s="12" t="n">
        <f aca="false">F9*0.75</f>
        <v>457.5</v>
      </c>
      <c r="H9" s="10" t="n">
        <f aca="false">ROUND((D9+0.45)/(1-ASM!$B$9),0)</f>
        <v>328</v>
      </c>
      <c r="I9" s="10" t="n">
        <f aca="false">ROUND((D9+0.45)/(1-ASM!$B$9-ASM!$B$10),0)</f>
        <v>394</v>
      </c>
      <c r="J9" s="10" t="str">
        <f aca="false">IF(G9&gt;=H9,"OK","FLOOR ALTI")</f>
        <v>OK</v>
      </c>
    </row>
    <row r="10" customFormat="false" ht="15" hidden="false" customHeight="true" outlineLevel="0" collapsed="false">
      <c r="A10" s="10" t="n">
        <v>2</v>
      </c>
      <c r="B10" s="10" t="n">
        <v>12</v>
      </c>
      <c r="C10" s="11" t="n">
        <v>2.94</v>
      </c>
      <c r="D10" s="12" t="n">
        <f aca="false">ROUND(C10*ASM!$B$8*ASM!$B$12*(1+ASM!$B$3)+ASM!$B$4+ASM!$B$5+ASM!$B$6,2)</f>
        <v>301.16</v>
      </c>
      <c r="E10" s="10" t="n">
        <f aca="false">ROUND(D10*ASM!$B$7,0)</f>
        <v>467</v>
      </c>
      <c r="F10" s="13" t="n">
        <f aca="false">CEILING(E10/0.75,5)</f>
        <v>625</v>
      </c>
      <c r="G10" s="12" t="n">
        <f aca="false">F10*0.75</f>
        <v>468.75</v>
      </c>
      <c r="H10" s="10" t="n">
        <f aca="false">ROUND((D10+0.45)/(1-ASM!$B$9),0)</f>
        <v>337</v>
      </c>
      <c r="I10" s="10" t="n">
        <f aca="false">ROUND((D10+0.45)/(1-ASM!$B$9-ASM!$B$10),0)</f>
        <v>405</v>
      </c>
      <c r="J10" s="10" t="str">
        <f aca="false">IF(G10&gt;=H10,"OK","FLOOR ALTI")</f>
        <v>OK</v>
      </c>
    </row>
    <row r="11" customFormat="false" ht="15" hidden="false" customHeight="true" outlineLevel="0" collapsed="false">
      <c r="A11" s="10" t="n">
        <v>2</v>
      </c>
      <c r="B11" s="10" t="n">
        <v>13</v>
      </c>
      <c r="C11" s="11" t="n">
        <v>3.04</v>
      </c>
      <c r="D11" s="12" t="n">
        <f aca="false">ROUND(C11*ASM!$B$8*ASM!$B$12*(1+ASM!$B$3)+ASM!$B$4+ASM!$B$5+ASM!$B$6,2)</f>
        <v>309.37</v>
      </c>
      <c r="E11" s="10" t="n">
        <f aca="false">ROUND(D11*ASM!$B$7,0)</f>
        <v>480</v>
      </c>
      <c r="F11" s="13" t="n">
        <f aca="false">CEILING(E11/0.75,5)</f>
        <v>640</v>
      </c>
      <c r="G11" s="12" t="n">
        <f aca="false">F11*0.75</f>
        <v>480</v>
      </c>
      <c r="H11" s="10" t="n">
        <f aca="false">ROUND((D11+0.45)/(1-ASM!$B$9),0)</f>
        <v>346</v>
      </c>
      <c r="I11" s="10" t="n">
        <f aca="false">ROUND((D11+0.45)/(1-ASM!$B$9-ASM!$B$10),0)</f>
        <v>416</v>
      </c>
      <c r="J11" s="10" t="str">
        <f aca="false">IF(G11&gt;=H11,"OK","FLOOR ALTI")</f>
        <v>OK</v>
      </c>
    </row>
    <row r="12" customFormat="false" ht="15" hidden="false" customHeight="true" outlineLevel="0" collapsed="false">
      <c r="A12" s="10" t="n">
        <v>2</v>
      </c>
      <c r="B12" s="10" t="n">
        <v>14</v>
      </c>
      <c r="C12" s="11" t="n">
        <v>3.14</v>
      </c>
      <c r="D12" s="12" t="n">
        <f aca="false">ROUND(C12*ASM!$B$8*ASM!$B$12*(1+ASM!$B$3)+ASM!$B$4+ASM!$B$5+ASM!$B$6,2)</f>
        <v>317.57</v>
      </c>
      <c r="E12" s="10" t="n">
        <f aca="false">ROUND(D12*ASM!$B$7,0)</f>
        <v>492</v>
      </c>
      <c r="F12" s="13" t="n">
        <f aca="false">CEILING(E12/0.75,5)</f>
        <v>660</v>
      </c>
      <c r="G12" s="12" t="n">
        <f aca="false">F12*0.75</f>
        <v>495</v>
      </c>
      <c r="H12" s="10" t="n">
        <f aca="false">ROUND((D12+0.45)/(1-ASM!$B$9),0)</f>
        <v>355</v>
      </c>
      <c r="I12" s="10" t="n">
        <f aca="false">ROUND((D12+0.45)/(1-ASM!$B$9-ASM!$B$10),0)</f>
        <v>427</v>
      </c>
      <c r="J12" s="10" t="str">
        <f aca="false">IF(G12&gt;=H12,"OK","FLOOR ALTI")</f>
        <v>OK</v>
      </c>
    </row>
    <row r="13" customFormat="false" ht="15" hidden="false" customHeight="true" outlineLevel="0" collapsed="false">
      <c r="A13" s="10" t="n">
        <v>2</v>
      </c>
      <c r="B13" s="10" t="n">
        <v>15</v>
      </c>
      <c r="C13" s="11" t="n">
        <v>3.24</v>
      </c>
      <c r="D13" s="12" t="n">
        <f aca="false">ROUND(C13*ASM!$B$8*ASM!$B$12*(1+ASM!$B$3)+ASM!$B$4+ASM!$B$5+ASM!$B$6,2)</f>
        <v>325.77</v>
      </c>
      <c r="E13" s="10" t="n">
        <f aca="false">ROUND(D13*ASM!$B$7,0)</f>
        <v>505</v>
      </c>
      <c r="F13" s="13" t="n">
        <f aca="false">CEILING(E13/0.75,5)</f>
        <v>675</v>
      </c>
      <c r="G13" s="12" t="n">
        <f aca="false">F13*0.75</f>
        <v>506.25</v>
      </c>
      <c r="H13" s="10" t="n">
        <f aca="false">ROUND((D13+0.45)/(1-ASM!$B$9),0)</f>
        <v>364</v>
      </c>
      <c r="I13" s="10" t="n">
        <f aca="false">ROUND((D13+0.45)/(1-ASM!$B$9-ASM!$B$10),0)</f>
        <v>438</v>
      </c>
      <c r="J13" s="10" t="str">
        <f aca="false">IF(G13&gt;=H13,"OK","FLOOR ALTI")</f>
        <v>OK</v>
      </c>
    </row>
    <row r="14" customFormat="false" ht="15" hidden="false" customHeight="true" outlineLevel="0" collapsed="false">
      <c r="A14" s="10" t="n">
        <v>2</v>
      </c>
      <c r="B14" s="10" t="n">
        <v>16</v>
      </c>
      <c r="C14" s="11" t="n">
        <v>3.34</v>
      </c>
      <c r="D14" s="12" t="n">
        <f aca="false">ROUND(C14*ASM!$B$8*ASM!$B$12*(1+ASM!$B$3)+ASM!$B$4+ASM!$B$5+ASM!$B$6,2)</f>
        <v>333.98</v>
      </c>
      <c r="E14" s="10" t="n">
        <f aca="false">ROUND(D14*ASM!$B$7,0)</f>
        <v>518</v>
      </c>
      <c r="F14" s="13" t="n">
        <f aca="false">CEILING(E14/0.75,5)</f>
        <v>695</v>
      </c>
      <c r="G14" s="12" t="n">
        <f aca="false">F14*0.75</f>
        <v>521.25</v>
      </c>
      <c r="H14" s="10" t="n">
        <f aca="false">ROUND((D14+0.45)/(1-ASM!$B$9),0)</f>
        <v>374</v>
      </c>
      <c r="I14" s="10" t="n">
        <f aca="false">ROUND((D14+0.45)/(1-ASM!$B$9-ASM!$B$10),0)</f>
        <v>449</v>
      </c>
      <c r="J14" s="10" t="str">
        <f aca="false">IF(G14&gt;=H14,"OK","FLOOR ALTI")</f>
        <v>OK</v>
      </c>
    </row>
    <row r="15" customFormat="false" ht="15" hidden="false" customHeight="true" outlineLevel="0" collapsed="false">
      <c r="A15" s="10" t="n">
        <v>3</v>
      </c>
      <c r="B15" s="10" t="n">
        <v>4</v>
      </c>
      <c r="C15" s="11" t="n">
        <v>3.2</v>
      </c>
      <c r="D15" s="12" t="n">
        <f aca="false">ROUND(C15*ASM!$B$8*ASM!$B$12*(1+ASM!$B$3)+ASM!$B$4+ASM!$B$5+ASM!$B$6,2)</f>
        <v>322.49</v>
      </c>
      <c r="E15" s="10" t="n">
        <f aca="false">ROUND(D15*ASM!$B$7,0)</f>
        <v>500</v>
      </c>
      <c r="F15" s="13" t="n">
        <f aca="false">CEILING(E15/0.75,5)</f>
        <v>670</v>
      </c>
      <c r="G15" s="12" t="n">
        <f aca="false">F15*0.75</f>
        <v>502.5</v>
      </c>
      <c r="H15" s="10" t="n">
        <f aca="false">ROUND((D15+0.45)/(1-ASM!$B$9),0)</f>
        <v>361</v>
      </c>
      <c r="I15" s="10" t="n">
        <f aca="false">ROUND((D15+0.45)/(1-ASM!$B$9-ASM!$B$10),0)</f>
        <v>433</v>
      </c>
      <c r="J15" s="10" t="str">
        <f aca="false">IF(G15&gt;=H15,"OK","FLOOR ALTI")</f>
        <v>OK</v>
      </c>
    </row>
    <row r="16" customFormat="false" ht="15" hidden="false" customHeight="true" outlineLevel="0" collapsed="false">
      <c r="A16" s="10" t="n">
        <v>3</v>
      </c>
      <c r="B16" s="10" t="n">
        <v>5</v>
      </c>
      <c r="C16" s="11" t="n">
        <v>3.36</v>
      </c>
      <c r="D16" s="12" t="n">
        <f aca="false">ROUND(C16*ASM!$B$8*ASM!$B$12*(1+ASM!$B$3)+ASM!$B$4+ASM!$B$5+ASM!$B$6,2)</f>
        <v>335.62</v>
      </c>
      <c r="E16" s="10" t="n">
        <f aca="false">ROUND(D16*ASM!$B$7,0)</f>
        <v>520</v>
      </c>
      <c r="F16" s="13" t="n">
        <f aca="false">CEILING(E16/0.75,5)</f>
        <v>695</v>
      </c>
      <c r="G16" s="12" t="n">
        <f aca="false">F16*0.75</f>
        <v>521.25</v>
      </c>
      <c r="H16" s="10" t="n">
        <f aca="false">ROUND((D16+0.45)/(1-ASM!$B$9),0)</f>
        <v>375</v>
      </c>
      <c r="I16" s="10" t="n">
        <f aca="false">ROUND((D16+0.45)/(1-ASM!$B$9-ASM!$B$10),0)</f>
        <v>451</v>
      </c>
      <c r="J16" s="10" t="str">
        <f aca="false">IF(G16&gt;=H16,"OK","FLOOR ALTI")</f>
        <v>OK</v>
      </c>
    </row>
    <row r="17" customFormat="false" ht="15" hidden="false" customHeight="true" outlineLevel="0" collapsed="false">
      <c r="A17" s="10" t="n">
        <v>3</v>
      </c>
      <c r="B17" s="10" t="n">
        <v>6</v>
      </c>
      <c r="C17" s="11" t="n">
        <v>3.51</v>
      </c>
      <c r="D17" s="12" t="n">
        <f aca="false">ROUND(C17*ASM!$B$8*ASM!$B$12*(1+ASM!$B$3)+ASM!$B$4+ASM!$B$5+ASM!$B$6,2)</f>
        <v>347.92</v>
      </c>
      <c r="E17" s="10" t="n">
        <f aca="false">ROUND(D17*ASM!$B$7,0)</f>
        <v>539</v>
      </c>
      <c r="F17" s="13" t="n">
        <f aca="false">CEILING(E17/0.75,5)</f>
        <v>720</v>
      </c>
      <c r="G17" s="12" t="n">
        <f aca="false">F17*0.75</f>
        <v>540</v>
      </c>
      <c r="H17" s="10" t="n">
        <f aca="false">ROUND((D17+0.45)/(1-ASM!$B$9),0)</f>
        <v>389</v>
      </c>
      <c r="I17" s="10" t="n">
        <f aca="false">ROUND((D17+0.45)/(1-ASM!$B$9-ASM!$B$10),0)</f>
        <v>468</v>
      </c>
      <c r="J17" s="10" t="str">
        <f aca="false">IF(G17&gt;=H17,"OK","FLOOR ALTI")</f>
        <v>OK</v>
      </c>
    </row>
    <row r="18" customFormat="false" ht="15" hidden="false" customHeight="true" outlineLevel="0" collapsed="false">
      <c r="A18" s="10" t="n">
        <v>3</v>
      </c>
      <c r="B18" s="10" t="n">
        <v>7</v>
      </c>
      <c r="C18" s="11" t="n">
        <v>3.66</v>
      </c>
      <c r="D18" s="12" t="n">
        <f aca="false">ROUND(C18*ASM!$B$8*ASM!$B$12*(1+ASM!$B$3)+ASM!$B$4+ASM!$B$5+ASM!$B$6,2)</f>
        <v>360.23</v>
      </c>
      <c r="E18" s="10" t="n">
        <f aca="false">ROUND(D18*ASM!$B$7,0)</f>
        <v>558</v>
      </c>
      <c r="F18" s="13" t="n">
        <f aca="false">CEILING(E18/0.75,5)</f>
        <v>745</v>
      </c>
      <c r="G18" s="12" t="n">
        <f aca="false">F18*0.75</f>
        <v>558.75</v>
      </c>
      <c r="H18" s="10" t="n">
        <f aca="false">ROUND((D18+0.45)/(1-ASM!$B$9),0)</f>
        <v>403</v>
      </c>
      <c r="I18" s="10" t="n">
        <f aca="false">ROUND((D18+0.45)/(1-ASM!$B$9-ASM!$B$10),0)</f>
        <v>484</v>
      </c>
      <c r="J18" s="10" t="str">
        <f aca="false">IF(G18&gt;=H18,"OK","FLOOR ALTI")</f>
        <v>OK</v>
      </c>
    </row>
    <row r="19" customFormat="false" ht="15" hidden="false" customHeight="true" outlineLevel="0" collapsed="false">
      <c r="A19" s="10" t="n">
        <v>3</v>
      </c>
      <c r="B19" s="10" t="n">
        <v>8</v>
      </c>
      <c r="C19" s="11" t="n">
        <v>3.81</v>
      </c>
      <c r="D19" s="12" t="n">
        <f aca="false">ROUND(C19*ASM!$B$8*ASM!$B$12*(1+ASM!$B$3)+ASM!$B$4+ASM!$B$5+ASM!$B$6,2)</f>
        <v>372.53</v>
      </c>
      <c r="E19" s="10" t="n">
        <f aca="false">ROUND(D19*ASM!$B$7,0)</f>
        <v>577</v>
      </c>
      <c r="F19" s="13" t="n">
        <f aca="false">CEILING(E19/0.75,5)</f>
        <v>770</v>
      </c>
      <c r="G19" s="12" t="n">
        <f aca="false">F19*0.75</f>
        <v>577.5</v>
      </c>
      <c r="H19" s="10" t="n">
        <f aca="false">ROUND((D19+0.45)/(1-ASM!$B$9),0)</f>
        <v>417</v>
      </c>
      <c r="I19" s="10" t="n">
        <f aca="false">ROUND((D19+0.45)/(1-ASM!$B$9-ASM!$B$10),0)</f>
        <v>501</v>
      </c>
      <c r="J19" s="10" t="str">
        <f aca="false">IF(G19&gt;=H19,"OK","FLOOR ALTI")</f>
        <v>OK</v>
      </c>
    </row>
    <row r="20" customFormat="false" ht="15" hidden="false" customHeight="true" outlineLevel="0" collapsed="false">
      <c r="A20" s="10" t="n">
        <v>3</v>
      </c>
      <c r="B20" s="10" t="n">
        <v>9</v>
      </c>
      <c r="C20" s="11" t="n">
        <v>3.96</v>
      </c>
      <c r="D20" s="12" t="n">
        <f aca="false">ROUND(C20*ASM!$B$8*ASM!$B$12*(1+ASM!$B$3)+ASM!$B$4+ASM!$B$5+ASM!$B$6,2)</f>
        <v>384.83</v>
      </c>
      <c r="E20" s="10" t="n">
        <f aca="false">ROUND(D20*ASM!$B$7,0)</f>
        <v>596</v>
      </c>
      <c r="F20" s="13" t="n">
        <f aca="false">CEILING(E20/0.75,5)</f>
        <v>795</v>
      </c>
      <c r="G20" s="12" t="n">
        <f aca="false">F20*0.75</f>
        <v>596.25</v>
      </c>
      <c r="H20" s="10" t="n">
        <f aca="false">ROUND((D20+0.45)/(1-ASM!$B$9),0)</f>
        <v>430</v>
      </c>
      <c r="I20" s="10" t="n">
        <f aca="false">ROUND((D20+0.45)/(1-ASM!$B$9-ASM!$B$10),0)</f>
        <v>517</v>
      </c>
      <c r="J20" s="10" t="str">
        <f aca="false">IF(G20&gt;=H20,"OK","FLOOR ALTI")</f>
        <v>OK</v>
      </c>
    </row>
    <row r="21" customFormat="false" ht="15" hidden="false" customHeight="true" outlineLevel="0" collapsed="false">
      <c r="A21" s="10" t="n">
        <v>3</v>
      </c>
      <c r="B21" s="10" t="n">
        <v>10</v>
      </c>
      <c r="C21" s="11" t="n">
        <v>4.11</v>
      </c>
      <c r="D21" s="12" t="n">
        <f aca="false">ROUND(C21*ASM!$B$8*ASM!$B$12*(1+ASM!$B$3)+ASM!$B$4+ASM!$B$5+ASM!$B$6,2)</f>
        <v>397.14</v>
      </c>
      <c r="E21" s="10" t="n">
        <f aca="false">ROUND(D21*ASM!$B$7,0)</f>
        <v>616</v>
      </c>
      <c r="F21" s="13" t="n">
        <f aca="false">CEILING(E21/0.75,5)</f>
        <v>825</v>
      </c>
      <c r="G21" s="12" t="n">
        <f aca="false">F21*0.75</f>
        <v>618.75</v>
      </c>
      <c r="H21" s="10" t="n">
        <f aca="false">ROUND((D21+0.45)/(1-ASM!$B$9),0)</f>
        <v>444</v>
      </c>
      <c r="I21" s="10" t="n">
        <f aca="false">ROUND((D21+0.45)/(1-ASM!$B$9-ASM!$B$10),0)</f>
        <v>534</v>
      </c>
      <c r="J21" s="10" t="str">
        <f aca="false">IF(G21&gt;=H21,"OK","FLOOR ALTI")</f>
        <v>OK</v>
      </c>
    </row>
    <row r="22" customFormat="false" ht="15" hidden="false" customHeight="true" outlineLevel="0" collapsed="false">
      <c r="A22" s="10" t="n">
        <v>3</v>
      </c>
      <c r="B22" s="10" t="n">
        <v>11</v>
      </c>
      <c r="C22" s="11" t="n">
        <v>4.26</v>
      </c>
      <c r="D22" s="12" t="n">
        <f aca="false">ROUND(C22*ASM!$B$8*ASM!$B$12*(1+ASM!$B$3)+ASM!$B$4+ASM!$B$5+ASM!$B$6,2)</f>
        <v>409.44</v>
      </c>
      <c r="E22" s="10" t="n">
        <f aca="false">ROUND(D22*ASM!$B$7,0)</f>
        <v>635</v>
      </c>
      <c r="F22" s="13" t="n">
        <f aca="false">CEILING(E22/0.75,5)</f>
        <v>850</v>
      </c>
      <c r="G22" s="12" t="n">
        <f aca="false">F22*0.75</f>
        <v>637.5</v>
      </c>
      <c r="H22" s="10" t="n">
        <f aca="false">ROUND((D22+0.45)/(1-ASM!$B$9),0)</f>
        <v>458</v>
      </c>
      <c r="I22" s="10" t="n">
        <f aca="false">ROUND((D22+0.45)/(1-ASM!$B$9-ASM!$B$10),0)</f>
        <v>550</v>
      </c>
      <c r="J22" s="10" t="str">
        <f aca="false">IF(G22&gt;=H22,"OK","FLOOR ALTI")</f>
        <v>OK</v>
      </c>
    </row>
    <row r="23" customFormat="false" ht="15" hidden="false" customHeight="true" outlineLevel="0" collapsed="false">
      <c r="A23" s="10" t="n">
        <v>3</v>
      </c>
      <c r="B23" s="10" t="n">
        <v>12</v>
      </c>
      <c r="C23" s="11" t="n">
        <v>4.41</v>
      </c>
      <c r="D23" s="12" t="n">
        <f aca="false">ROUND(C23*ASM!$B$8*ASM!$B$12*(1+ASM!$B$3)+ASM!$B$4+ASM!$B$5+ASM!$B$6,2)</f>
        <v>421.75</v>
      </c>
      <c r="E23" s="10" t="n">
        <f aca="false">ROUND(D23*ASM!$B$7,0)</f>
        <v>654</v>
      </c>
      <c r="F23" s="13" t="n">
        <f aca="false">CEILING(E23/0.75,5)</f>
        <v>875</v>
      </c>
      <c r="G23" s="12" t="n">
        <f aca="false">F23*0.75</f>
        <v>656.25</v>
      </c>
      <c r="H23" s="10" t="n">
        <f aca="false">ROUND((D23+0.45)/(1-ASM!$B$9),0)</f>
        <v>472</v>
      </c>
      <c r="I23" s="10" t="n">
        <f aca="false">ROUND((D23+0.45)/(1-ASM!$B$9-ASM!$B$10),0)</f>
        <v>567</v>
      </c>
      <c r="J23" s="10" t="str">
        <f aca="false">IF(G23&gt;=H23,"OK","FLOOR ALTI")</f>
        <v>OK</v>
      </c>
    </row>
    <row r="24" customFormat="false" ht="15" hidden="false" customHeight="true" outlineLevel="0" collapsed="false">
      <c r="A24" s="10" t="n">
        <v>3</v>
      </c>
      <c r="B24" s="10" t="n">
        <v>13</v>
      </c>
      <c r="C24" s="11" t="n">
        <v>4.56</v>
      </c>
      <c r="D24" s="12" t="n">
        <f aca="false">ROUND(C24*ASM!$B$8*ASM!$B$12*(1+ASM!$B$3)+ASM!$B$4+ASM!$B$5+ASM!$B$6,2)</f>
        <v>434.05</v>
      </c>
      <c r="E24" s="10" t="n">
        <f aca="false">ROUND(D24*ASM!$B$7,0)</f>
        <v>673</v>
      </c>
      <c r="F24" s="13" t="n">
        <f aca="false">CEILING(E24/0.75,5)</f>
        <v>900</v>
      </c>
      <c r="G24" s="12" t="n">
        <f aca="false">F24*0.75</f>
        <v>675</v>
      </c>
      <c r="H24" s="10" t="n">
        <f aca="false">ROUND((D24+0.45)/(1-ASM!$B$9),0)</f>
        <v>485</v>
      </c>
      <c r="I24" s="10" t="n">
        <f aca="false">ROUND((D24+0.45)/(1-ASM!$B$9-ASM!$B$10),0)</f>
        <v>583</v>
      </c>
      <c r="J24" s="10" t="str">
        <f aca="false">IF(G24&gt;=H24,"OK","FLOOR ALTI")</f>
        <v>OK</v>
      </c>
    </row>
    <row r="25" customFormat="false" ht="15" hidden="false" customHeight="true" outlineLevel="0" collapsed="false">
      <c r="A25" s="10" t="n">
        <v>3</v>
      </c>
      <c r="B25" s="10" t="n">
        <v>14</v>
      </c>
      <c r="C25" s="11" t="n">
        <v>4.71</v>
      </c>
      <c r="D25" s="12" t="n">
        <f aca="false">ROUND(C25*ASM!$B$8*ASM!$B$12*(1+ASM!$B$3)+ASM!$B$4+ASM!$B$5+ASM!$B$6,2)</f>
        <v>446.36</v>
      </c>
      <c r="E25" s="10" t="n">
        <f aca="false">ROUND(D25*ASM!$B$7,0)</f>
        <v>692</v>
      </c>
      <c r="F25" s="13" t="n">
        <f aca="false">CEILING(E25/0.75,5)</f>
        <v>925</v>
      </c>
      <c r="G25" s="12" t="n">
        <f aca="false">F25*0.75</f>
        <v>693.75</v>
      </c>
      <c r="H25" s="10" t="n">
        <f aca="false">ROUND((D25+0.45)/(1-ASM!$B$9),0)</f>
        <v>499</v>
      </c>
      <c r="I25" s="10" t="n">
        <f aca="false">ROUND((D25+0.45)/(1-ASM!$B$9-ASM!$B$10),0)</f>
        <v>600</v>
      </c>
      <c r="J25" s="10" t="str">
        <f aca="false">IF(G25&gt;=H25,"OK","FLOOR ALTI")</f>
        <v>OK</v>
      </c>
    </row>
    <row r="26" customFormat="false" ht="15" hidden="false" customHeight="true" outlineLevel="0" collapsed="false">
      <c r="A26" s="10" t="n">
        <v>3</v>
      </c>
      <c r="B26" s="10" t="n">
        <v>15</v>
      </c>
      <c r="C26" s="11" t="n">
        <v>4.86</v>
      </c>
      <c r="D26" s="12" t="n">
        <f aca="false">ROUND(C26*ASM!$B$8*ASM!$B$12*(1+ASM!$B$3)+ASM!$B$4+ASM!$B$5+ASM!$B$6,2)</f>
        <v>458.66</v>
      </c>
      <c r="E26" s="10" t="n">
        <f aca="false">ROUND(D26*ASM!$B$7,0)</f>
        <v>711</v>
      </c>
      <c r="F26" s="13" t="n">
        <f aca="false">CEILING(E26/0.75,5)</f>
        <v>950</v>
      </c>
      <c r="G26" s="12" t="n">
        <f aca="false">F26*0.75</f>
        <v>712.5</v>
      </c>
      <c r="H26" s="10" t="n">
        <f aca="false">ROUND((D26+0.45)/(1-ASM!$B$9),0)</f>
        <v>513</v>
      </c>
      <c r="I26" s="10" t="n">
        <f aca="false">ROUND((D26+0.45)/(1-ASM!$B$9-ASM!$B$10),0)</f>
        <v>616</v>
      </c>
      <c r="J26" s="10" t="str">
        <f aca="false">IF(G26&gt;=H26,"OK","FLOOR ALTI")</f>
        <v>OK</v>
      </c>
    </row>
    <row r="27" customFormat="false" ht="15" hidden="false" customHeight="true" outlineLevel="0" collapsed="false">
      <c r="A27" s="10" t="n">
        <v>3</v>
      </c>
      <c r="B27" s="10" t="n">
        <v>16</v>
      </c>
      <c r="C27" s="11" t="n">
        <v>5.01</v>
      </c>
      <c r="D27" s="12" t="n">
        <f aca="false">ROUND(C27*ASM!$B$8*ASM!$B$12*(1+ASM!$B$3)+ASM!$B$4+ASM!$B$5+ASM!$B$6,2)</f>
        <v>470.96</v>
      </c>
      <c r="E27" s="10" t="n">
        <f aca="false">ROUND(D27*ASM!$B$7,0)</f>
        <v>730</v>
      </c>
      <c r="F27" s="13" t="n">
        <f aca="false">CEILING(E27/0.75,5)</f>
        <v>975</v>
      </c>
      <c r="G27" s="12" t="n">
        <f aca="false">F27*0.75</f>
        <v>731.25</v>
      </c>
      <c r="H27" s="10" t="n">
        <f aca="false">ROUND((D27+0.45)/(1-ASM!$B$9),0)</f>
        <v>527</v>
      </c>
      <c r="I27" s="10" t="n">
        <f aca="false">ROUND((D27+0.45)/(1-ASM!$B$9-ASM!$B$10),0)</f>
        <v>633</v>
      </c>
      <c r="J27" s="10" t="str">
        <f aca="false">IF(G27&gt;=H27,"OK","FLOOR ALTI")</f>
        <v>OK</v>
      </c>
    </row>
    <row r="28" customFormat="false" ht="15" hidden="false" customHeight="true" outlineLevel="0" collapsed="false">
      <c r="A28" s="10" t="n">
        <v>4</v>
      </c>
      <c r="B28" s="10" t="n">
        <v>4</v>
      </c>
      <c r="C28" s="11" t="n">
        <v>4.27</v>
      </c>
      <c r="D28" s="12" t="n">
        <f aca="false">ROUND(C28*ASM!$B$8*ASM!$B$12*(1+ASM!$B$3)+ASM!$B$4+ASM!$B$5+ASM!$B$6,2)</f>
        <v>410.26</v>
      </c>
      <c r="E28" s="10" t="n">
        <f aca="false">ROUND(D28*ASM!$B$7,0)</f>
        <v>636</v>
      </c>
      <c r="F28" s="13" t="n">
        <f aca="false">CEILING(E28/0.75,5)</f>
        <v>850</v>
      </c>
      <c r="G28" s="12" t="n">
        <f aca="false">F28*0.75</f>
        <v>637.5</v>
      </c>
      <c r="H28" s="10" t="n">
        <f aca="false">ROUND((D28+0.45)/(1-ASM!$B$9),0)</f>
        <v>459</v>
      </c>
      <c r="I28" s="10" t="n">
        <f aca="false">ROUND((D28+0.45)/(1-ASM!$B$9-ASM!$B$10),0)</f>
        <v>551</v>
      </c>
      <c r="J28" s="10" t="str">
        <f aca="false">IF(G28&gt;=H28,"OK","FLOOR ALTI")</f>
        <v>OK</v>
      </c>
    </row>
    <row r="29" customFormat="false" ht="15" hidden="false" customHeight="true" outlineLevel="0" collapsed="false">
      <c r="A29" s="10" t="n">
        <v>4</v>
      </c>
      <c r="B29" s="10" t="n">
        <v>5</v>
      </c>
      <c r="C29" s="11" t="n">
        <v>4.47</v>
      </c>
      <c r="D29" s="12" t="n">
        <f aca="false">ROUND(C29*ASM!$B$8*ASM!$B$12*(1+ASM!$B$3)+ASM!$B$4+ASM!$B$5+ASM!$B$6,2)</f>
        <v>426.67</v>
      </c>
      <c r="E29" s="10" t="n">
        <f aca="false">ROUND(D29*ASM!$B$7,0)</f>
        <v>661</v>
      </c>
      <c r="F29" s="13" t="n">
        <f aca="false">CEILING(E29/0.75,5)</f>
        <v>885</v>
      </c>
      <c r="G29" s="12" t="n">
        <f aca="false">F29*0.75</f>
        <v>663.75</v>
      </c>
      <c r="H29" s="10" t="n">
        <f aca="false">ROUND((D29+0.45)/(1-ASM!$B$9),0)</f>
        <v>477</v>
      </c>
      <c r="I29" s="10" t="n">
        <f aca="false">ROUND((D29+0.45)/(1-ASM!$B$9-ASM!$B$10),0)</f>
        <v>573</v>
      </c>
      <c r="J29" s="10" t="str">
        <f aca="false">IF(G29&gt;=H29,"OK","FLOOR ALTI")</f>
        <v>OK</v>
      </c>
    </row>
    <row r="30" customFormat="false" ht="15" hidden="false" customHeight="true" outlineLevel="0" collapsed="false">
      <c r="A30" s="10" t="n">
        <v>4</v>
      </c>
      <c r="B30" s="10" t="n">
        <v>6</v>
      </c>
      <c r="C30" s="11" t="n">
        <v>4.67</v>
      </c>
      <c r="D30" s="12" t="n">
        <f aca="false">ROUND(C30*ASM!$B$8*ASM!$B$12*(1+ASM!$B$3)+ASM!$B$4+ASM!$B$5+ASM!$B$6,2)</f>
        <v>443.07</v>
      </c>
      <c r="E30" s="10" t="n">
        <f aca="false">ROUND(D30*ASM!$B$7,0)</f>
        <v>687</v>
      </c>
      <c r="F30" s="13" t="n">
        <f aca="false">CEILING(E30/0.75,5)</f>
        <v>920</v>
      </c>
      <c r="G30" s="12" t="n">
        <f aca="false">F30*0.75</f>
        <v>690</v>
      </c>
      <c r="H30" s="10" t="n">
        <f aca="false">ROUND((D30+0.45)/(1-ASM!$B$9),0)</f>
        <v>496</v>
      </c>
      <c r="I30" s="10" t="n">
        <f aca="false">ROUND((D30+0.45)/(1-ASM!$B$9-ASM!$B$10),0)</f>
        <v>595</v>
      </c>
      <c r="J30" s="10" t="str">
        <f aca="false">IF(G30&gt;=H30,"OK","FLOOR ALTI")</f>
        <v>OK</v>
      </c>
    </row>
    <row r="31" customFormat="false" ht="15" hidden="false" customHeight="true" outlineLevel="0" collapsed="false">
      <c r="A31" s="10" t="n">
        <v>4</v>
      </c>
      <c r="B31" s="10" t="n">
        <v>7</v>
      </c>
      <c r="C31" s="11" t="n">
        <v>4.88</v>
      </c>
      <c r="D31" s="12" t="n">
        <f aca="false">ROUND(C31*ASM!$B$8*ASM!$B$12*(1+ASM!$B$3)+ASM!$B$4+ASM!$B$5+ASM!$B$6,2)</f>
        <v>460.3</v>
      </c>
      <c r="E31" s="10" t="n">
        <f aca="false">ROUND(D31*ASM!$B$7,0)</f>
        <v>713</v>
      </c>
      <c r="F31" s="13" t="n">
        <f aca="false">CEILING(E31/0.75,5)</f>
        <v>955</v>
      </c>
      <c r="G31" s="12" t="n">
        <f aca="false">F31*0.75</f>
        <v>716.25</v>
      </c>
      <c r="H31" s="10" t="n">
        <f aca="false">ROUND((D31+0.45)/(1-ASM!$B$9),0)</f>
        <v>515</v>
      </c>
      <c r="I31" s="10" t="n">
        <f aca="false">ROUND((D31+0.45)/(1-ASM!$B$9-ASM!$B$10),0)</f>
        <v>618</v>
      </c>
      <c r="J31" s="10" t="str">
        <f aca="false">IF(G31&gt;=H31,"OK","FLOOR ALTI")</f>
        <v>OK</v>
      </c>
    </row>
    <row r="32" customFormat="false" ht="15" hidden="false" customHeight="true" outlineLevel="0" collapsed="false">
      <c r="A32" s="10" t="n">
        <v>4</v>
      </c>
      <c r="B32" s="10" t="n">
        <v>8</v>
      </c>
      <c r="C32" s="11" t="n">
        <v>5.08</v>
      </c>
      <c r="D32" s="12" t="n">
        <f aca="false">ROUND(C32*ASM!$B$8*ASM!$B$12*(1+ASM!$B$3)+ASM!$B$4+ASM!$B$5+ASM!$B$6,2)</f>
        <v>476.71</v>
      </c>
      <c r="E32" s="10" t="n">
        <f aca="false">ROUND(D32*ASM!$B$7,0)</f>
        <v>739</v>
      </c>
      <c r="F32" s="13" t="n">
        <f aca="false">CEILING(E32/0.75,5)</f>
        <v>990</v>
      </c>
      <c r="G32" s="12" t="n">
        <f aca="false">F32*0.75</f>
        <v>742.5</v>
      </c>
      <c r="H32" s="10" t="n">
        <f aca="false">ROUND((D32+0.45)/(1-ASM!$B$9),0)</f>
        <v>533</v>
      </c>
      <c r="I32" s="10" t="n">
        <f aca="false">ROUND((D32+0.45)/(1-ASM!$B$9-ASM!$B$10),0)</f>
        <v>640</v>
      </c>
      <c r="J32" s="10" t="str">
        <f aca="false">IF(G32&gt;=H32,"OK","FLOOR ALTI")</f>
        <v>OK</v>
      </c>
    </row>
    <row r="33" customFormat="false" ht="15" hidden="false" customHeight="true" outlineLevel="0" collapsed="false">
      <c r="A33" s="10" t="n">
        <v>4</v>
      </c>
      <c r="B33" s="10" t="n">
        <v>9</v>
      </c>
      <c r="C33" s="11" t="n">
        <v>5.28</v>
      </c>
      <c r="D33" s="12" t="n">
        <f aca="false">ROUND(C33*ASM!$B$8*ASM!$B$12*(1+ASM!$B$3)+ASM!$B$4+ASM!$B$5+ASM!$B$6,2)</f>
        <v>493.11</v>
      </c>
      <c r="E33" s="10" t="n">
        <f aca="false">ROUND(D33*ASM!$B$7,0)</f>
        <v>764</v>
      </c>
      <c r="F33" s="13" t="n">
        <f aca="false">CEILING(E33/0.75,5)</f>
        <v>1020</v>
      </c>
      <c r="G33" s="12" t="n">
        <f aca="false">F33*0.75</f>
        <v>765</v>
      </c>
      <c r="H33" s="10" t="n">
        <f aca="false">ROUND((D33+0.45)/(1-ASM!$B$9),0)</f>
        <v>551</v>
      </c>
      <c r="I33" s="10" t="n">
        <f aca="false">ROUND((D33+0.45)/(1-ASM!$B$9-ASM!$B$10),0)</f>
        <v>662</v>
      </c>
      <c r="J33" s="10" t="str">
        <f aca="false">IF(G33&gt;=H33,"OK","FLOOR ALTI")</f>
        <v>OK</v>
      </c>
    </row>
    <row r="34" customFormat="false" ht="15" hidden="false" customHeight="true" outlineLevel="0" collapsed="false">
      <c r="A34" s="10" t="n">
        <v>4</v>
      </c>
      <c r="B34" s="10" t="n">
        <v>10</v>
      </c>
      <c r="C34" s="11" t="n">
        <v>5.48</v>
      </c>
      <c r="D34" s="12" t="n">
        <f aca="false">ROUND(C34*ASM!$B$8*ASM!$B$12*(1+ASM!$B$3)+ASM!$B$4+ASM!$B$5+ASM!$B$6,2)</f>
        <v>509.52</v>
      </c>
      <c r="E34" s="10" t="n">
        <f aca="false">ROUND(D34*ASM!$B$7,0)</f>
        <v>790</v>
      </c>
      <c r="F34" s="13" t="n">
        <f aca="false">CEILING(E34/0.75,5)</f>
        <v>1055</v>
      </c>
      <c r="G34" s="12" t="n">
        <f aca="false">F34*0.75</f>
        <v>791.25</v>
      </c>
      <c r="H34" s="10" t="n">
        <f aca="false">ROUND((D34+0.45)/(1-ASM!$B$9),0)</f>
        <v>570</v>
      </c>
      <c r="I34" s="10" t="n">
        <f aca="false">ROUND((D34+0.45)/(1-ASM!$B$9-ASM!$B$10),0)</f>
        <v>685</v>
      </c>
      <c r="J34" s="10" t="str">
        <f aca="false">IF(G34&gt;=H34,"OK","FLOOR ALTI")</f>
        <v>OK</v>
      </c>
    </row>
    <row r="35" customFormat="false" ht="15" hidden="false" customHeight="true" outlineLevel="0" collapsed="false">
      <c r="A35" s="10" t="n">
        <v>4</v>
      </c>
      <c r="B35" s="10" t="n">
        <v>11</v>
      </c>
      <c r="C35" s="11" t="n">
        <v>5.68</v>
      </c>
      <c r="D35" s="12" t="n">
        <f aca="false">ROUND(C35*ASM!$B$8*ASM!$B$12*(1+ASM!$B$3)+ASM!$B$4+ASM!$B$5+ASM!$B$6,2)</f>
        <v>525.92</v>
      </c>
      <c r="E35" s="10" t="n">
        <f aca="false">ROUND(D35*ASM!$B$7,0)</f>
        <v>815</v>
      </c>
      <c r="F35" s="13" t="n">
        <f aca="false">CEILING(E35/0.75,5)</f>
        <v>1090</v>
      </c>
      <c r="G35" s="12" t="n">
        <f aca="false">F35*0.75</f>
        <v>817.5</v>
      </c>
      <c r="H35" s="10" t="n">
        <f aca="false">ROUND((D35+0.45)/(1-ASM!$B$9),0)</f>
        <v>588</v>
      </c>
      <c r="I35" s="10" t="n">
        <f aca="false">ROUND((D35+0.45)/(1-ASM!$B$9-ASM!$B$10),0)</f>
        <v>707</v>
      </c>
      <c r="J35" s="10" t="str">
        <f aca="false">IF(G35&gt;=H35,"OK","FLOOR ALTI")</f>
        <v>OK</v>
      </c>
    </row>
    <row r="36" customFormat="false" ht="15" hidden="false" customHeight="true" outlineLevel="0" collapsed="false">
      <c r="A36" s="10" t="n">
        <v>4</v>
      </c>
      <c r="B36" s="10" t="n">
        <v>12</v>
      </c>
      <c r="C36" s="11" t="n">
        <v>5.88</v>
      </c>
      <c r="D36" s="12" t="n">
        <f aca="false">ROUND(C36*ASM!$B$8*ASM!$B$12*(1+ASM!$B$3)+ASM!$B$4+ASM!$B$5+ASM!$B$6,2)</f>
        <v>542.33</v>
      </c>
      <c r="E36" s="10" t="n">
        <f aca="false">ROUND(D36*ASM!$B$7,0)</f>
        <v>841</v>
      </c>
      <c r="F36" s="13" t="n">
        <f aca="false">CEILING(E36/0.75,5)</f>
        <v>1125</v>
      </c>
      <c r="G36" s="12" t="n">
        <f aca="false">F36*0.75</f>
        <v>843.75</v>
      </c>
      <c r="H36" s="10" t="n">
        <f aca="false">ROUND((D36+0.45)/(1-ASM!$B$9),0)</f>
        <v>606</v>
      </c>
      <c r="I36" s="10" t="n">
        <f aca="false">ROUND((D36+0.45)/(1-ASM!$B$9-ASM!$B$10),0)</f>
        <v>729</v>
      </c>
      <c r="J36" s="10" t="str">
        <f aca="false">IF(G36&gt;=H36,"OK","FLOOR ALTI")</f>
        <v>OK</v>
      </c>
    </row>
    <row r="37" customFormat="false" ht="15" hidden="false" customHeight="true" outlineLevel="0" collapsed="false">
      <c r="A37" s="10" t="n">
        <v>4</v>
      </c>
      <c r="B37" s="10" t="n">
        <v>13</v>
      </c>
      <c r="C37" s="11" t="n">
        <v>6.08</v>
      </c>
      <c r="D37" s="12" t="n">
        <f aca="false">ROUND(C37*ASM!$B$8*ASM!$B$12*(1+ASM!$B$3)+ASM!$B$4+ASM!$B$5+ASM!$B$6,2)</f>
        <v>558.74</v>
      </c>
      <c r="E37" s="10" t="n">
        <f aca="false">ROUND(D37*ASM!$B$7,0)</f>
        <v>866</v>
      </c>
      <c r="F37" s="13" t="n">
        <f aca="false">CEILING(E37/0.75,5)</f>
        <v>1155</v>
      </c>
      <c r="G37" s="12" t="n">
        <f aca="false">F37*0.75</f>
        <v>866.25</v>
      </c>
      <c r="H37" s="10" t="n">
        <f aca="false">ROUND((D37+0.45)/(1-ASM!$B$9),0)</f>
        <v>625</v>
      </c>
      <c r="I37" s="10" t="n">
        <f aca="false">ROUND((D37+0.45)/(1-ASM!$B$9-ASM!$B$10),0)</f>
        <v>751</v>
      </c>
      <c r="J37" s="10" t="str">
        <f aca="false">IF(G37&gt;=H37,"OK","FLOOR ALTI")</f>
        <v>OK</v>
      </c>
    </row>
    <row r="38" customFormat="false" ht="15" hidden="false" customHeight="true" outlineLevel="0" collapsed="false">
      <c r="A38" s="10" t="n">
        <v>4</v>
      </c>
      <c r="B38" s="10" t="n">
        <v>14</v>
      </c>
      <c r="C38" s="11" t="n">
        <v>6.28</v>
      </c>
      <c r="D38" s="12" t="n">
        <f aca="false">ROUND(C38*ASM!$B$8*ASM!$B$12*(1+ASM!$B$3)+ASM!$B$4+ASM!$B$5+ASM!$B$6,2)</f>
        <v>575.14</v>
      </c>
      <c r="E38" s="10" t="n">
        <f aca="false">ROUND(D38*ASM!$B$7,0)</f>
        <v>891</v>
      </c>
      <c r="F38" s="13" t="n">
        <f aca="false">CEILING(E38/0.75,5)</f>
        <v>1190</v>
      </c>
      <c r="G38" s="12" t="n">
        <f aca="false">F38*0.75</f>
        <v>892.5</v>
      </c>
      <c r="H38" s="10" t="n">
        <f aca="false">ROUND((D38+0.45)/(1-ASM!$B$9),0)</f>
        <v>643</v>
      </c>
      <c r="I38" s="10" t="n">
        <f aca="false">ROUND((D38+0.45)/(1-ASM!$B$9-ASM!$B$10),0)</f>
        <v>773</v>
      </c>
      <c r="J38" s="10" t="str">
        <f aca="false">IF(G38&gt;=H38,"OK","FLOOR ALTI")</f>
        <v>OK</v>
      </c>
    </row>
    <row r="39" customFormat="false" ht="15" hidden="false" customHeight="true" outlineLevel="0" collapsed="false">
      <c r="A39" s="10" t="n">
        <v>4</v>
      </c>
      <c r="B39" s="10" t="n">
        <v>15</v>
      </c>
      <c r="C39" s="11" t="n">
        <v>6.48</v>
      </c>
      <c r="D39" s="12" t="n">
        <f aca="false">ROUND(C39*ASM!$B$8*ASM!$B$12*(1+ASM!$B$3)+ASM!$B$4+ASM!$B$5+ASM!$B$6,2)</f>
        <v>591.55</v>
      </c>
      <c r="E39" s="10" t="n">
        <f aca="false">ROUND(D39*ASM!$B$7,0)</f>
        <v>917</v>
      </c>
      <c r="F39" s="13" t="n">
        <f aca="false">CEILING(E39/0.75,5)</f>
        <v>1225</v>
      </c>
      <c r="G39" s="12" t="n">
        <f aca="false">F39*0.75</f>
        <v>918.75</v>
      </c>
      <c r="H39" s="10" t="n">
        <f aca="false">ROUND((D39+0.45)/(1-ASM!$B$9),0)</f>
        <v>661</v>
      </c>
      <c r="I39" s="10" t="n">
        <f aca="false">ROUND((D39+0.45)/(1-ASM!$B$9-ASM!$B$10),0)</f>
        <v>795</v>
      </c>
      <c r="J39" s="10" t="str">
        <f aca="false">IF(G39&gt;=H39,"OK","FLOOR ALTI")</f>
        <v>OK</v>
      </c>
    </row>
    <row r="40" customFormat="false" ht="15" hidden="false" customHeight="true" outlineLevel="0" collapsed="false">
      <c r="A40" s="10" t="n">
        <v>4</v>
      </c>
      <c r="B40" s="10" t="n">
        <v>16</v>
      </c>
      <c r="C40" s="11" t="n">
        <v>6.69</v>
      </c>
      <c r="D40" s="12" t="n">
        <f aca="false">ROUND(C40*ASM!$B$8*ASM!$B$12*(1+ASM!$B$3)+ASM!$B$4+ASM!$B$5+ASM!$B$6,2)</f>
        <v>608.77</v>
      </c>
      <c r="E40" s="10" t="n">
        <f aca="false">ROUND(D40*ASM!$B$7,0)</f>
        <v>944</v>
      </c>
      <c r="F40" s="13" t="n">
        <f aca="false">CEILING(E40/0.75,5)</f>
        <v>1260</v>
      </c>
      <c r="G40" s="12" t="n">
        <f aca="false">F40*0.75</f>
        <v>945</v>
      </c>
      <c r="H40" s="10" t="n">
        <f aca="false">ROUND((D40+0.45)/(1-ASM!$B$9),0)</f>
        <v>681</v>
      </c>
      <c r="I40" s="10" t="n">
        <f aca="false">ROUND((D40+0.45)/(1-ASM!$B$9-ASM!$B$10),0)</f>
        <v>818</v>
      </c>
      <c r="J40" s="10" t="str">
        <f aca="false">IF(G40&gt;=H40,"OK","FLOOR ALTI")</f>
        <v>OK</v>
      </c>
    </row>
    <row r="41" customFormat="false" ht="15" hidden="false" customHeight="true" outlineLevel="0" collapsed="false">
      <c r="A41" s="10" t="n">
        <v>5</v>
      </c>
      <c r="B41" s="10" t="n">
        <v>4</v>
      </c>
      <c r="C41" s="11" t="n">
        <v>5.34</v>
      </c>
      <c r="D41" s="12" t="n">
        <f aca="false">ROUND(C41*ASM!$B$8*ASM!$B$12*(1+ASM!$B$3)+ASM!$B$4+ASM!$B$5+ASM!$B$6,2)</f>
        <v>498.03</v>
      </c>
      <c r="E41" s="10" t="n">
        <f aca="false">ROUND(D41*ASM!$B$7,0)</f>
        <v>772</v>
      </c>
      <c r="F41" s="13" t="n">
        <f aca="false">CEILING(E41/0.75,5)</f>
        <v>1030</v>
      </c>
      <c r="G41" s="12" t="n">
        <f aca="false">F41*0.75</f>
        <v>772.5</v>
      </c>
      <c r="H41" s="10" t="n">
        <f aca="false">ROUND((D41+0.45)/(1-ASM!$B$9),0)</f>
        <v>557</v>
      </c>
      <c r="I41" s="10" t="n">
        <f aca="false">ROUND((D41+0.45)/(1-ASM!$B$9-ASM!$B$10),0)</f>
        <v>669</v>
      </c>
      <c r="J41" s="10" t="str">
        <f aca="false">IF(G41&gt;=H41,"OK","FLOOR ALTI")</f>
        <v>OK</v>
      </c>
    </row>
    <row r="42" customFormat="false" ht="15" hidden="false" customHeight="true" outlineLevel="0" collapsed="false">
      <c r="A42" s="10" t="n">
        <v>5</v>
      </c>
      <c r="B42" s="10" t="n">
        <v>5</v>
      </c>
      <c r="C42" s="11" t="n">
        <v>5.59</v>
      </c>
      <c r="D42" s="12" t="n">
        <f aca="false">ROUND(C42*ASM!$B$8*ASM!$B$12*(1+ASM!$B$3)+ASM!$B$4+ASM!$B$5+ASM!$B$6,2)</f>
        <v>518.54</v>
      </c>
      <c r="E42" s="10" t="n">
        <f aca="false">ROUND(D42*ASM!$B$7,0)</f>
        <v>804</v>
      </c>
      <c r="F42" s="13" t="n">
        <f aca="false">CEILING(E42/0.75,5)</f>
        <v>1075</v>
      </c>
      <c r="G42" s="12" t="n">
        <f aca="false">F42*0.75</f>
        <v>806.25</v>
      </c>
      <c r="H42" s="10" t="n">
        <f aca="false">ROUND((D42+0.45)/(1-ASM!$B$9),0)</f>
        <v>580</v>
      </c>
      <c r="I42" s="10" t="n">
        <f aca="false">ROUND((D42+0.45)/(1-ASM!$B$9-ASM!$B$10),0)</f>
        <v>697</v>
      </c>
      <c r="J42" s="10" t="str">
        <f aca="false">IF(G42&gt;=H42,"OK","FLOOR ALTI")</f>
        <v>OK</v>
      </c>
    </row>
    <row r="43" customFormat="false" ht="15" hidden="false" customHeight="true" outlineLevel="0" collapsed="false">
      <c r="A43" s="10" t="n">
        <v>5</v>
      </c>
      <c r="B43" s="10" t="n">
        <v>6</v>
      </c>
      <c r="C43" s="11" t="n">
        <v>5.84</v>
      </c>
      <c r="D43" s="12" t="n">
        <f aca="false">ROUND(C43*ASM!$B$8*ASM!$B$12*(1+ASM!$B$3)+ASM!$B$4+ASM!$B$5+ASM!$B$6,2)</f>
        <v>539.05</v>
      </c>
      <c r="E43" s="10" t="n">
        <f aca="false">ROUND(D43*ASM!$B$7,0)</f>
        <v>836</v>
      </c>
      <c r="F43" s="13" t="n">
        <f aca="false">CEILING(E43/0.75,5)</f>
        <v>1115</v>
      </c>
      <c r="G43" s="12" t="n">
        <f aca="false">F43*0.75</f>
        <v>836.25</v>
      </c>
      <c r="H43" s="10" t="n">
        <f aca="false">ROUND((D43+0.45)/(1-ASM!$B$9),0)</f>
        <v>603</v>
      </c>
      <c r="I43" s="10" t="n">
        <f aca="false">ROUND((D43+0.45)/(1-ASM!$B$9-ASM!$B$10),0)</f>
        <v>724</v>
      </c>
      <c r="J43" s="10" t="str">
        <f aca="false">IF(G43&gt;=H43,"OK","FLOOR ALTI")</f>
        <v>OK</v>
      </c>
    </row>
    <row r="44" customFormat="false" ht="15" hidden="false" customHeight="true" outlineLevel="0" collapsed="false">
      <c r="A44" s="10" t="n">
        <v>5</v>
      </c>
      <c r="B44" s="10" t="n">
        <v>7</v>
      </c>
      <c r="C44" s="11" t="n">
        <v>6.09</v>
      </c>
      <c r="D44" s="12" t="n">
        <f aca="false">ROUND(C44*ASM!$B$8*ASM!$B$12*(1+ASM!$B$3)+ASM!$B$4+ASM!$B$5+ASM!$B$6,2)</f>
        <v>559.56</v>
      </c>
      <c r="E44" s="10" t="n">
        <f aca="false">ROUND(D44*ASM!$B$7,0)</f>
        <v>867</v>
      </c>
      <c r="F44" s="13" t="n">
        <f aca="false">CEILING(E44/0.75,5)</f>
        <v>1160</v>
      </c>
      <c r="G44" s="12" t="n">
        <f aca="false">F44*0.75</f>
        <v>870</v>
      </c>
      <c r="H44" s="10" t="n">
        <f aca="false">ROUND((D44+0.45)/(1-ASM!$B$9),0)</f>
        <v>626</v>
      </c>
      <c r="I44" s="10" t="n">
        <f aca="false">ROUND((D44+0.45)/(1-ASM!$B$9-ASM!$B$10),0)</f>
        <v>752</v>
      </c>
      <c r="J44" s="10" t="str">
        <f aca="false">IF(G44&gt;=H44,"OK","FLOOR ALTI")</f>
        <v>OK</v>
      </c>
    </row>
    <row r="45" customFormat="false" ht="15" hidden="false" customHeight="true" outlineLevel="0" collapsed="false">
      <c r="A45" s="10" t="n">
        <v>5</v>
      </c>
      <c r="B45" s="10" t="n">
        <v>8</v>
      </c>
      <c r="C45" s="11" t="n">
        <v>6.35</v>
      </c>
      <c r="D45" s="12" t="n">
        <f aca="false">ROUND(C45*ASM!$B$8*ASM!$B$12*(1+ASM!$B$3)+ASM!$B$4+ASM!$B$5+ASM!$B$6,2)</f>
        <v>580.88</v>
      </c>
      <c r="E45" s="10" t="n">
        <f aca="false">ROUND(D45*ASM!$B$7,0)</f>
        <v>900</v>
      </c>
      <c r="F45" s="13" t="n">
        <f aca="false">CEILING(E45/0.75,5)</f>
        <v>1200</v>
      </c>
      <c r="G45" s="12" t="n">
        <f aca="false">F45*0.75</f>
        <v>900</v>
      </c>
      <c r="H45" s="10" t="n">
        <f aca="false">ROUND((D45+0.45)/(1-ASM!$B$9),0)</f>
        <v>650</v>
      </c>
      <c r="I45" s="10" t="n">
        <f aca="false">ROUND((D45+0.45)/(1-ASM!$B$9-ASM!$B$10),0)</f>
        <v>780</v>
      </c>
      <c r="J45" s="10" t="str">
        <f aca="false">IF(G45&gt;=H45,"OK","FLOOR ALTI")</f>
        <v>OK</v>
      </c>
    </row>
    <row r="46" customFormat="false" ht="15" hidden="false" customHeight="true" outlineLevel="0" collapsed="false">
      <c r="A46" s="10" t="n">
        <v>5</v>
      </c>
      <c r="B46" s="10" t="n">
        <v>9</v>
      </c>
      <c r="C46" s="11" t="n">
        <v>6.6</v>
      </c>
      <c r="D46" s="12" t="n">
        <f aca="false">ROUND(C46*ASM!$B$8*ASM!$B$12*(1+ASM!$B$3)+ASM!$B$4+ASM!$B$5+ASM!$B$6,2)</f>
        <v>601.39</v>
      </c>
      <c r="E46" s="10" t="n">
        <f aca="false">ROUND(D46*ASM!$B$7,0)</f>
        <v>932</v>
      </c>
      <c r="F46" s="13" t="n">
        <f aca="false">CEILING(E46/0.75,5)</f>
        <v>1245</v>
      </c>
      <c r="G46" s="12" t="n">
        <f aca="false">F46*0.75</f>
        <v>933.75</v>
      </c>
      <c r="H46" s="10" t="n">
        <f aca="false">ROUND((D46+0.45)/(1-ASM!$B$9),0)</f>
        <v>672</v>
      </c>
      <c r="I46" s="10" t="n">
        <f aca="false">ROUND((D46+0.45)/(1-ASM!$B$9-ASM!$B$10),0)</f>
        <v>808</v>
      </c>
      <c r="J46" s="10" t="str">
        <f aca="false">IF(G46&gt;=H46,"OK","FLOOR ALTI")</f>
        <v>OK</v>
      </c>
    </row>
    <row r="47" customFormat="false" ht="15" hidden="false" customHeight="true" outlineLevel="0" collapsed="false">
      <c r="A47" s="10" t="n">
        <v>5</v>
      </c>
      <c r="B47" s="10" t="n">
        <v>10</v>
      </c>
      <c r="C47" s="11" t="n">
        <v>6.85</v>
      </c>
      <c r="D47" s="12" t="n">
        <f aca="false">ROUND(C47*ASM!$B$8*ASM!$B$12*(1+ASM!$B$3)+ASM!$B$4+ASM!$B$5+ASM!$B$6,2)</f>
        <v>621.9</v>
      </c>
      <c r="E47" s="10" t="n">
        <f aca="false">ROUND(D47*ASM!$B$7,0)</f>
        <v>964</v>
      </c>
      <c r="F47" s="13" t="n">
        <f aca="false">CEILING(E47/0.75,5)</f>
        <v>1290</v>
      </c>
      <c r="G47" s="12" t="n">
        <f aca="false">F47*0.75</f>
        <v>967.5</v>
      </c>
      <c r="H47" s="10" t="n">
        <f aca="false">ROUND((D47+0.45)/(1-ASM!$B$9),0)</f>
        <v>695</v>
      </c>
      <c r="I47" s="10" t="n">
        <f aca="false">ROUND((D47+0.45)/(1-ASM!$B$9-ASM!$B$10),0)</f>
        <v>835</v>
      </c>
      <c r="J47" s="10" t="str">
        <f aca="false">IF(G47&gt;=H47,"OK","FLOOR ALTI")</f>
        <v>OK</v>
      </c>
    </row>
    <row r="48" customFormat="false" ht="15" hidden="false" customHeight="true" outlineLevel="0" collapsed="false">
      <c r="A48" s="10" t="n">
        <v>5</v>
      </c>
      <c r="B48" s="10" t="n">
        <v>11</v>
      </c>
      <c r="C48" s="11" t="n">
        <v>7.1</v>
      </c>
      <c r="D48" s="12" t="n">
        <f aca="false">ROUND(C48*ASM!$B$8*ASM!$B$12*(1+ASM!$B$3)+ASM!$B$4+ASM!$B$5+ASM!$B$6,2)</f>
        <v>642.4</v>
      </c>
      <c r="E48" s="10" t="n">
        <f aca="false">ROUND(D48*ASM!$B$7,0)</f>
        <v>996</v>
      </c>
      <c r="F48" s="13" t="n">
        <f aca="false">CEILING(E48/0.75,5)</f>
        <v>1330</v>
      </c>
      <c r="G48" s="12" t="n">
        <f aca="false">F48*0.75</f>
        <v>997.5</v>
      </c>
      <c r="H48" s="10" t="n">
        <f aca="false">ROUND((D48+0.45)/(1-ASM!$B$9),0)</f>
        <v>718</v>
      </c>
      <c r="I48" s="10" t="n">
        <f aca="false">ROUND((D48+0.45)/(1-ASM!$B$9-ASM!$B$10),0)</f>
        <v>863</v>
      </c>
      <c r="J48" s="10" t="str">
        <f aca="false">IF(G48&gt;=H48,"OK","FLOOR ALTI")</f>
        <v>OK</v>
      </c>
    </row>
    <row r="49" customFormat="false" ht="15" hidden="false" customHeight="true" outlineLevel="0" collapsed="false">
      <c r="A49" s="10" t="n">
        <v>5</v>
      </c>
      <c r="B49" s="10" t="n">
        <v>12</v>
      </c>
      <c r="C49" s="11" t="n">
        <v>7.35</v>
      </c>
      <c r="D49" s="12" t="n">
        <f aca="false">ROUND(C49*ASM!$B$8*ASM!$B$12*(1+ASM!$B$3)+ASM!$B$4+ASM!$B$5+ASM!$B$6,2)</f>
        <v>662.91</v>
      </c>
      <c r="E49" s="10" t="n">
        <f aca="false">ROUND(D49*ASM!$B$7,0)</f>
        <v>1028</v>
      </c>
      <c r="F49" s="13" t="n">
        <f aca="false">CEILING(E49/0.75,5)</f>
        <v>1375</v>
      </c>
      <c r="G49" s="12" t="n">
        <f aca="false">F49*0.75</f>
        <v>1031.25</v>
      </c>
      <c r="H49" s="10" t="n">
        <f aca="false">ROUND((D49+0.45)/(1-ASM!$B$9),0)</f>
        <v>741</v>
      </c>
      <c r="I49" s="10" t="n">
        <f aca="false">ROUND((D49+0.45)/(1-ASM!$B$9-ASM!$B$10),0)</f>
        <v>890</v>
      </c>
      <c r="J49" s="10" t="str">
        <f aca="false">IF(G49&gt;=H49,"OK","FLOOR ALTI")</f>
        <v>OK</v>
      </c>
    </row>
    <row r="50" customFormat="false" ht="15" hidden="false" customHeight="true" outlineLevel="0" collapsed="false">
      <c r="A50" s="10" t="n">
        <v>5</v>
      </c>
      <c r="B50" s="10" t="n">
        <v>13</v>
      </c>
      <c r="C50" s="11" t="n">
        <v>7.6</v>
      </c>
      <c r="D50" s="12" t="n">
        <f aca="false">ROUND(C50*ASM!$B$8*ASM!$B$12*(1+ASM!$B$3)+ASM!$B$4+ASM!$B$5+ASM!$B$6,2)</f>
        <v>683.42</v>
      </c>
      <c r="E50" s="10" t="n">
        <f aca="false">ROUND(D50*ASM!$B$7,0)</f>
        <v>1059</v>
      </c>
      <c r="F50" s="13" t="n">
        <f aca="false">CEILING(E50/0.75,5)</f>
        <v>1415</v>
      </c>
      <c r="G50" s="12" t="n">
        <f aca="false">F50*0.75</f>
        <v>1061.25</v>
      </c>
      <c r="H50" s="10" t="n">
        <f aca="false">ROUND((D50+0.45)/(1-ASM!$B$9),0)</f>
        <v>764</v>
      </c>
      <c r="I50" s="10" t="n">
        <f aca="false">ROUND((D50+0.45)/(1-ASM!$B$9-ASM!$B$10),0)</f>
        <v>918</v>
      </c>
      <c r="J50" s="10" t="str">
        <f aca="false">IF(G50&gt;=H50,"OK","FLOOR ALTI")</f>
        <v>OK</v>
      </c>
    </row>
    <row r="51" customFormat="false" ht="15" hidden="false" customHeight="true" outlineLevel="0" collapsed="false">
      <c r="A51" s="10" t="n">
        <v>5</v>
      </c>
      <c r="B51" s="10" t="n">
        <v>14</v>
      </c>
      <c r="C51" s="11" t="n">
        <v>7.85</v>
      </c>
      <c r="D51" s="12" t="n">
        <f aca="false">ROUND(C51*ASM!$B$8*ASM!$B$12*(1+ASM!$B$3)+ASM!$B$4+ASM!$B$5+ASM!$B$6,2)</f>
        <v>703.93</v>
      </c>
      <c r="E51" s="10" t="n">
        <f aca="false">ROUND(D51*ASM!$B$7,0)</f>
        <v>1091</v>
      </c>
      <c r="F51" s="13" t="n">
        <f aca="false">CEILING(E51/0.75,5)</f>
        <v>1455</v>
      </c>
      <c r="G51" s="12" t="n">
        <f aca="false">F51*0.75</f>
        <v>1091.25</v>
      </c>
      <c r="H51" s="10" t="n">
        <f aca="false">ROUND((D51+0.45)/(1-ASM!$B$9),0)</f>
        <v>787</v>
      </c>
      <c r="I51" s="10" t="n">
        <f aca="false">ROUND((D51+0.45)/(1-ASM!$B$9-ASM!$B$10),0)</f>
        <v>945</v>
      </c>
      <c r="J51" s="10" t="str">
        <f aca="false">IF(G51&gt;=H51,"OK","FLOOR ALTI")</f>
        <v>OK</v>
      </c>
    </row>
    <row r="52" customFormat="false" ht="15" hidden="false" customHeight="true" outlineLevel="0" collapsed="false">
      <c r="A52" s="10" t="n">
        <v>5</v>
      </c>
      <c r="B52" s="10" t="n">
        <v>15</v>
      </c>
      <c r="C52" s="11" t="n">
        <v>8.11</v>
      </c>
      <c r="D52" s="12" t="n">
        <f aca="false">ROUND(C52*ASM!$B$8*ASM!$B$12*(1+ASM!$B$3)+ASM!$B$4+ASM!$B$5+ASM!$B$6,2)</f>
        <v>725.25</v>
      </c>
      <c r="E52" s="10" t="n">
        <f aca="false">ROUND(D52*ASM!$B$7,0)</f>
        <v>1124</v>
      </c>
      <c r="F52" s="13" t="n">
        <f aca="false">CEILING(E52/0.75,5)</f>
        <v>1500</v>
      </c>
      <c r="G52" s="12" t="n">
        <f aca="false">F52*0.75</f>
        <v>1125</v>
      </c>
      <c r="H52" s="10" t="n">
        <f aca="false">ROUND((D52+0.45)/(1-ASM!$B$9),0)</f>
        <v>811</v>
      </c>
      <c r="I52" s="10" t="n">
        <f aca="false">ROUND((D52+0.45)/(1-ASM!$B$9-ASM!$B$10),0)</f>
        <v>974</v>
      </c>
      <c r="J52" s="10" t="str">
        <f aca="false">IF(G52&gt;=H52,"OK","FLOOR ALTI")</f>
        <v>OK</v>
      </c>
    </row>
    <row r="53" customFormat="false" ht="15" hidden="false" customHeight="true" outlineLevel="0" collapsed="false">
      <c r="A53" s="10" t="n">
        <v>5</v>
      </c>
      <c r="B53" s="10" t="n">
        <v>16</v>
      </c>
      <c r="C53" s="11" t="n">
        <v>8.36</v>
      </c>
      <c r="D53" s="12" t="n">
        <f aca="false">ROUND(C53*ASM!$B$8*ASM!$B$12*(1+ASM!$B$3)+ASM!$B$4+ASM!$B$5+ASM!$B$6,2)</f>
        <v>745.76</v>
      </c>
      <c r="E53" s="10" t="n">
        <f aca="false">ROUND(D53*ASM!$B$7,0)</f>
        <v>1156</v>
      </c>
      <c r="F53" s="13" t="n">
        <f aca="false">CEILING(E53/0.75,5)</f>
        <v>1545</v>
      </c>
      <c r="G53" s="12" t="n">
        <f aca="false">F53*0.75</f>
        <v>1158.75</v>
      </c>
      <c r="H53" s="10" t="n">
        <f aca="false">ROUND((D53+0.45)/(1-ASM!$B$9),0)</f>
        <v>834</v>
      </c>
      <c r="I53" s="10" t="n">
        <f aca="false">ROUND((D53+0.45)/(1-ASM!$B$9-ASM!$B$10),0)</f>
        <v>1002</v>
      </c>
      <c r="J53" s="10" t="str">
        <f aca="false">IF(G53&gt;=H53,"OK","FLOOR ALTI")</f>
        <v>OK</v>
      </c>
    </row>
    <row r="54" customFormat="false" ht="15" hidden="false" customHeight="true" outlineLevel="0" collapsed="false">
      <c r="A54" s="10" t="n">
        <v>6</v>
      </c>
      <c r="B54" s="10" t="n">
        <v>4</v>
      </c>
      <c r="C54" s="11" t="n">
        <v>6.41</v>
      </c>
      <c r="D54" s="12" t="n">
        <f aca="false">ROUND(C54*ASM!$B$8*ASM!$B$12*(1+ASM!$B$3)+ASM!$B$4+ASM!$B$5+ASM!$B$6,2)</f>
        <v>585.8</v>
      </c>
      <c r="E54" s="10" t="n">
        <f aca="false">ROUND(D54*ASM!$B$7,0)</f>
        <v>908</v>
      </c>
      <c r="F54" s="13" t="n">
        <f aca="false">CEILING(E54/0.75,5)</f>
        <v>1215</v>
      </c>
      <c r="G54" s="12" t="n">
        <f aca="false">F54*0.75</f>
        <v>911.25</v>
      </c>
      <c r="H54" s="10" t="n">
        <f aca="false">ROUND((D54+0.45)/(1-ASM!$B$9),0)</f>
        <v>655</v>
      </c>
      <c r="I54" s="10" t="n">
        <f aca="false">ROUND((D54+0.45)/(1-ASM!$B$9-ASM!$B$10),0)</f>
        <v>787</v>
      </c>
      <c r="J54" s="10" t="str">
        <f aca="false">IF(G54&gt;=H54,"OK","FLOOR ALTI")</f>
        <v>OK</v>
      </c>
    </row>
    <row r="55" customFormat="false" ht="15" hidden="false" customHeight="true" outlineLevel="0" collapsed="false">
      <c r="A55" s="10" t="n">
        <v>6</v>
      </c>
      <c r="B55" s="10" t="n">
        <v>5</v>
      </c>
      <c r="C55" s="11" t="n">
        <v>6.71</v>
      </c>
      <c r="D55" s="12" t="n">
        <f aca="false">ROUND(C55*ASM!$B$8*ASM!$B$12*(1+ASM!$B$3)+ASM!$B$4+ASM!$B$5+ASM!$B$6,2)</f>
        <v>610.41</v>
      </c>
      <c r="E55" s="10" t="n">
        <f aca="false">ROUND(D55*ASM!$B$7,0)</f>
        <v>946</v>
      </c>
      <c r="F55" s="13" t="n">
        <f aca="false">CEILING(E55/0.75,5)</f>
        <v>1265</v>
      </c>
      <c r="G55" s="12" t="n">
        <f aca="false">F55*0.75</f>
        <v>948.75</v>
      </c>
      <c r="H55" s="10" t="n">
        <f aca="false">ROUND((D55+0.45)/(1-ASM!$B$9),0)</f>
        <v>683</v>
      </c>
      <c r="I55" s="10" t="n">
        <f aca="false">ROUND((D55+0.45)/(1-ASM!$B$9-ASM!$B$10),0)</f>
        <v>820</v>
      </c>
      <c r="J55" s="10" t="str">
        <f aca="false">IF(G55&gt;=H55,"OK","FLOOR ALTI")</f>
        <v>OK</v>
      </c>
    </row>
    <row r="56" customFormat="false" ht="15" hidden="false" customHeight="true" outlineLevel="0" collapsed="false">
      <c r="A56" s="10" t="n">
        <v>6</v>
      </c>
      <c r="B56" s="10" t="n">
        <v>6</v>
      </c>
      <c r="C56" s="11" t="n">
        <v>7.01</v>
      </c>
      <c r="D56" s="12" t="n">
        <f aca="false">ROUND(C56*ASM!$B$8*ASM!$B$12*(1+ASM!$B$3)+ASM!$B$4+ASM!$B$5+ASM!$B$6,2)</f>
        <v>635.02</v>
      </c>
      <c r="E56" s="10" t="n">
        <f aca="false">ROUND(D56*ASM!$B$7,0)</f>
        <v>984</v>
      </c>
      <c r="F56" s="13" t="n">
        <f aca="false">CEILING(E56/0.75,5)</f>
        <v>1315</v>
      </c>
      <c r="G56" s="12" t="n">
        <f aca="false">F56*0.75</f>
        <v>986.25</v>
      </c>
      <c r="H56" s="10" t="n">
        <f aca="false">ROUND((D56+0.45)/(1-ASM!$B$9),0)</f>
        <v>710</v>
      </c>
      <c r="I56" s="10" t="n">
        <f aca="false">ROUND((D56+0.45)/(1-ASM!$B$9-ASM!$B$10),0)</f>
        <v>853</v>
      </c>
      <c r="J56" s="10" t="str">
        <f aca="false">IF(G56&gt;=H56,"OK","FLOOR ALTI")</f>
        <v>OK</v>
      </c>
    </row>
    <row r="57" customFormat="false" ht="15" hidden="false" customHeight="true" outlineLevel="0" collapsed="false">
      <c r="A57" s="10" t="n">
        <v>6</v>
      </c>
      <c r="B57" s="10" t="n">
        <v>7</v>
      </c>
      <c r="C57" s="11" t="n">
        <v>7.31</v>
      </c>
      <c r="D57" s="12" t="n">
        <f aca="false">ROUND(C57*ASM!$B$8*ASM!$B$12*(1+ASM!$B$3)+ASM!$B$4+ASM!$B$5+ASM!$B$6,2)</f>
        <v>659.63</v>
      </c>
      <c r="E57" s="10" t="n">
        <f aca="false">ROUND(D57*ASM!$B$7,0)</f>
        <v>1022</v>
      </c>
      <c r="F57" s="13" t="n">
        <f aca="false">CEILING(E57/0.75,5)</f>
        <v>1365</v>
      </c>
      <c r="G57" s="12" t="n">
        <f aca="false">F57*0.75</f>
        <v>1023.75</v>
      </c>
      <c r="H57" s="10" t="n">
        <f aca="false">ROUND((D57+0.45)/(1-ASM!$B$9),0)</f>
        <v>738</v>
      </c>
      <c r="I57" s="10" t="n">
        <f aca="false">ROUND((D57+0.45)/(1-ASM!$B$9-ASM!$B$10),0)</f>
        <v>886</v>
      </c>
      <c r="J57" s="10" t="str">
        <f aca="false">IF(G57&gt;=H57,"OK","FLOOR ALTI")</f>
        <v>OK</v>
      </c>
    </row>
    <row r="58" customFormat="false" ht="15" hidden="false" customHeight="true" outlineLevel="0" collapsed="false">
      <c r="A58" s="10" t="n">
        <v>6</v>
      </c>
      <c r="B58" s="10" t="n">
        <v>8</v>
      </c>
      <c r="C58" s="11" t="n">
        <v>7.62</v>
      </c>
      <c r="D58" s="12" t="n">
        <f aca="false">ROUND(C58*ASM!$B$8*ASM!$B$12*(1+ASM!$B$3)+ASM!$B$4+ASM!$B$5+ASM!$B$6,2)</f>
        <v>685.06</v>
      </c>
      <c r="E58" s="10" t="n">
        <f aca="false">ROUND(D58*ASM!$B$7,0)</f>
        <v>1062</v>
      </c>
      <c r="F58" s="13" t="n">
        <f aca="false">CEILING(E58/0.75,5)</f>
        <v>1420</v>
      </c>
      <c r="G58" s="12" t="n">
        <f aca="false">F58*0.75</f>
        <v>1065</v>
      </c>
      <c r="H58" s="10" t="n">
        <f aca="false">ROUND((D58+0.45)/(1-ASM!$B$9),0)</f>
        <v>766</v>
      </c>
      <c r="I58" s="10" t="n">
        <f aca="false">ROUND((D58+0.45)/(1-ASM!$B$9-ASM!$B$10),0)</f>
        <v>920</v>
      </c>
      <c r="J58" s="10" t="str">
        <f aca="false">IF(G58&gt;=H58,"OK","FLOOR ALTI")</f>
        <v>OK</v>
      </c>
    </row>
    <row r="59" customFormat="false" ht="15" hidden="false" customHeight="true" outlineLevel="0" collapsed="false">
      <c r="A59" s="10" t="n">
        <v>6</v>
      </c>
      <c r="B59" s="10" t="n">
        <v>9</v>
      </c>
      <c r="C59" s="11" t="n">
        <v>7.92</v>
      </c>
      <c r="D59" s="12" t="n">
        <f aca="false">ROUND(C59*ASM!$B$8*ASM!$B$12*(1+ASM!$B$3)+ASM!$B$4+ASM!$B$5+ASM!$B$6,2)</f>
        <v>709.67</v>
      </c>
      <c r="E59" s="10" t="n">
        <f aca="false">ROUND(D59*ASM!$B$7,0)</f>
        <v>1100</v>
      </c>
      <c r="F59" s="13" t="n">
        <f aca="false">CEILING(E59/0.75,5)</f>
        <v>1470</v>
      </c>
      <c r="G59" s="12" t="n">
        <f aca="false">F59*0.75</f>
        <v>1102.5</v>
      </c>
      <c r="H59" s="10" t="n">
        <f aca="false">ROUND((D59+0.45)/(1-ASM!$B$9),0)</f>
        <v>793</v>
      </c>
      <c r="I59" s="10" t="n">
        <f aca="false">ROUND((D59+0.45)/(1-ASM!$B$9-ASM!$B$10),0)</f>
        <v>953</v>
      </c>
      <c r="J59" s="10" t="str">
        <f aca="false">IF(G59&gt;=H59,"OK","FLOOR ALTI")</f>
        <v>OK</v>
      </c>
    </row>
    <row r="60" customFormat="false" ht="15" hidden="false" customHeight="true" outlineLevel="0" collapsed="false">
      <c r="A60" s="10" t="n">
        <v>6</v>
      </c>
      <c r="B60" s="10" t="n">
        <v>10</v>
      </c>
      <c r="C60" s="11" t="n">
        <v>8.22</v>
      </c>
      <c r="D60" s="12" t="n">
        <f aca="false">ROUND(C60*ASM!$B$8*ASM!$B$12*(1+ASM!$B$3)+ASM!$B$4+ASM!$B$5+ASM!$B$6,2)</f>
        <v>734.28</v>
      </c>
      <c r="E60" s="10" t="n">
        <f aca="false">ROUND(D60*ASM!$B$7,0)</f>
        <v>1138</v>
      </c>
      <c r="F60" s="13" t="n">
        <f aca="false">CEILING(E60/0.75,5)</f>
        <v>1520</v>
      </c>
      <c r="G60" s="12" t="n">
        <f aca="false">F60*0.75</f>
        <v>1140</v>
      </c>
      <c r="H60" s="10" t="n">
        <f aca="false">ROUND((D60+0.45)/(1-ASM!$B$9),0)</f>
        <v>821</v>
      </c>
      <c r="I60" s="10" t="n">
        <f aca="false">ROUND((D60+0.45)/(1-ASM!$B$9-ASM!$B$10),0)</f>
        <v>986</v>
      </c>
      <c r="J60" s="10" t="str">
        <f aca="false">IF(G60&gt;=H60,"OK","FLOOR ALTI")</f>
        <v>OK</v>
      </c>
    </row>
    <row r="61" customFormat="false" ht="15" hidden="false" customHeight="true" outlineLevel="0" collapsed="false">
      <c r="A61" s="10" t="n">
        <v>6</v>
      </c>
      <c r="B61" s="10" t="n">
        <v>11</v>
      </c>
      <c r="C61" s="11" t="n">
        <v>8.52</v>
      </c>
      <c r="D61" s="12" t="n">
        <f aca="false">ROUND(C61*ASM!$B$8*ASM!$B$12*(1+ASM!$B$3)+ASM!$B$4+ASM!$B$5+ASM!$B$6,2)</f>
        <v>758.89</v>
      </c>
      <c r="E61" s="10" t="n">
        <f aca="false">ROUND(D61*ASM!$B$7,0)</f>
        <v>1176</v>
      </c>
      <c r="F61" s="13" t="n">
        <f aca="false">CEILING(E61/0.75,5)</f>
        <v>1570</v>
      </c>
      <c r="G61" s="12" t="n">
        <f aca="false">F61*0.75</f>
        <v>1177.5</v>
      </c>
      <c r="H61" s="10" t="n">
        <f aca="false">ROUND((D61+0.45)/(1-ASM!$B$9),0)</f>
        <v>848</v>
      </c>
      <c r="I61" s="10" t="n">
        <f aca="false">ROUND((D61+0.45)/(1-ASM!$B$9-ASM!$B$10),0)</f>
        <v>1019</v>
      </c>
      <c r="J61" s="10" t="str">
        <f aca="false">IF(G61&gt;=H61,"OK","FLOOR ALTI")</f>
        <v>OK</v>
      </c>
    </row>
    <row r="62" customFormat="false" ht="15" hidden="false" customHeight="true" outlineLevel="0" collapsed="false">
      <c r="A62" s="10" t="n">
        <v>6</v>
      </c>
      <c r="B62" s="10" t="n">
        <v>12</v>
      </c>
      <c r="C62" s="11" t="n">
        <v>8.82</v>
      </c>
      <c r="D62" s="12" t="n">
        <f aca="false">ROUND(C62*ASM!$B$8*ASM!$B$12*(1+ASM!$B$3)+ASM!$B$4+ASM!$B$5+ASM!$B$6,2)</f>
        <v>783.49</v>
      </c>
      <c r="E62" s="10" t="n">
        <f aca="false">ROUND(D62*ASM!$B$7,0)</f>
        <v>1214</v>
      </c>
      <c r="F62" s="13" t="n">
        <f aca="false">CEILING(E62/0.75,5)</f>
        <v>1620</v>
      </c>
      <c r="G62" s="12" t="n">
        <f aca="false">F62*0.75</f>
        <v>1215</v>
      </c>
      <c r="H62" s="10" t="n">
        <f aca="false">ROUND((D62+0.45)/(1-ASM!$B$9),0)</f>
        <v>876</v>
      </c>
      <c r="I62" s="10" t="n">
        <f aca="false">ROUND((D62+0.45)/(1-ASM!$B$9-ASM!$B$10),0)</f>
        <v>1052</v>
      </c>
      <c r="J62" s="10" t="str">
        <f aca="false">IF(G62&gt;=H62,"OK","FLOOR ALTI")</f>
        <v>OK</v>
      </c>
    </row>
    <row r="63" customFormat="false" ht="15" hidden="false" customHeight="true" outlineLevel="0" collapsed="false">
      <c r="A63" s="10" t="n">
        <v>6</v>
      </c>
      <c r="B63" s="10" t="n">
        <v>13</v>
      </c>
      <c r="C63" s="11" t="n">
        <v>9.12</v>
      </c>
      <c r="D63" s="12" t="n">
        <f aca="false">ROUND(C63*ASM!$B$8*ASM!$B$12*(1+ASM!$B$3)+ASM!$B$4+ASM!$B$5+ASM!$B$6,2)</f>
        <v>808.1</v>
      </c>
      <c r="E63" s="10" t="n">
        <f aca="false">ROUND(D63*ASM!$B$7,0)</f>
        <v>1253</v>
      </c>
      <c r="F63" s="13" t="n">
        <f aca="false">CEILING(E63/0.75,5)</f>
        <v>1675</v>
      </c>
      <c r="G63" s="12" t="n">
        <f aca="false">F63*0.75</f>
        <v>1256.25</v>
      </c>
      <c r="H63" s="10" t="n">
        <f aca="false">ROUND((D63+0.45)/(1-ASM!$B$9),0)</f>
        <v>903</v>
      </c>
      <c r="I63" s="10" t="n">
        <f aca="false">ROUND((D63+0.45)/(1-ASM!$B$9-ASM!$B$10),0)</f>
        <v>1085</v>
      </c>
      <c r="J63" s="10" t="str">
        <f aca="false">IF(G63&gt;=H63,"OK","FLOOR ALTI")</f>
        <v>OK</v>
      </c>
    </row>
    <row r="64" customFormat="false" ht="15" hidden="false" customHeight="true" outlineLevel="0" collapsed="false">
      <c r="A64" s="10" t="n">
        <v>6</v>
      </c>
      <c r="B64" s="10" t="n">
        <v>14</v>
      </c>
      <c r="C64" s="11" t="n">
        <v>9.42</v>
      </c>
      <c r="D64" s="12" t="n">
        <f aca="false">ROUND(C64*ASM!$B$8*ASM!$B$12*(1+ASM!$B$3)+ASM!$B$4+ASM!$B$5+ASM!$B$6,2)</f>
        <v>832.71</v>
      </c>
      <c r="E64" s="10" t="n">
        <f aca="false">ROUND(D64*ASM!$B$7,0)</f>
        <v>1291</v>
      </c>
      <c r="F64" s="13" t="n">
        <f aca="false">CEILING(E64/0.75,5)</f>
        <v>1725</v>
      </c>
      <c r="G64" s="12" t="n">
        <f aca="false">F64*0.75</f>
        <v>1293.75</v>
      </c>
      <c r="H64" s="10" t="n">
        <f aca="false">ROUND((D64+0.45)/(1-ASM!$B$9),0)</f>
        <v>931</v>
      </c>
      <c r="I64" s="10" t="n">
        <f aca="false">ROUND((D64+0.45)/(1-ASM!$B$9-ASM!$B$10),0)</f>
        <v>1118</v>
      </c>
      <c r="J64" s="10" t="str">
        <f aca="false">IF(G64&gt;=H64,"OK","FLOOR ALTI")</f>
        <v>OK</v>
      </c>
    </row>
    <row r="65" customFormat="false" ht="15" hidden="false" customHeight="true" outlineLevel="0" collapsed="false">
      <c r="A65" s="10" t="n">
        <v>6</v>
      </c>
      <c r="B65" s="10" t="n">
        <v>15</v>
      </c>
      <c r="C65" s="11" t="n">
        <v>9.73</v>
      </c>
      <c r="D65" s="12" t="n">
        <f aca="false">ROUND(C65*ASM!$B$8*ASM!$B$12*(1+ASM!$B$3)+ASM!$B$4+ASM!$B$5+ASM!$B$6,2)</f>
        <v>858.14</v>
      </c>
      <c r="E65" s="10" t="n">
        <f aca="false">ROUND(D65*ASM!$B$7,0)</f>
        <v>1330</v>
      </c>
      <c r="F65" s="13" t="n">
        <f aca="false">CEILING(E65/0.75,5)</f>
        <v>1775</v>
      </c>
      <c r="G65" s="12" t="n">
        <f aca="false">F65*0.75</f>
        <v>1331.25</v>
      </c>
      <c r="H65" s="10" t="n">
        <f aca="false">ROUND((D65+0.45)/(1-ASM!$B$9),0)</f>
        <v>959</v>
      </c>
      <c r="I65" s="10" t="n">
        <f aca="false">ROUND((D65+0.45)/(1-ASM!$B$9-ASM!$B$10),0)</f>
        <v>1152</v>
      </c>
      <c r="J65" s="10" t="str">
        <f aca="false">IF(G65&gt;=H65,"OK","FLOOR ALTI")</f>
        <v>OK</v>
      </c>
    </row>
    <row r="66" customFormat="false" ht="15" hidden="false" customHeight="true" outlineLevel="0" collapsed="false">
      <c r="A66" s="10" t="n">
        <v>6</v>
      </c>
      <c r="B66" s="10" t="n">
        <v>16</v>
      </c>
      <c r="C66" s="11" t="n">
        <v>10.03</v>
      </c>
      <c r="D66" s="12" t="n">
        <f aca="false">ROUND(C66*ASM!$B$8*ASM!$B$12*(1+ASM!$B$3)+ASM!$B$4+ASM!$B$5+ASM!$B$6,2)</f>
        <v>882.75</v>
      </c>
      <c r="E66" s="10" t="n">
        <f aca="false">ROUND(D66*ASM!$B$7,0)</f>
        <v>1368</v>
      </c>
      <c r="F66" s="13" t="n">
        <f aca="false">CEILING(E66/0.75,5)</f>
        <v>1825</v>
      </c>
      <c r="G66" s="12" t="n">
        <f aca="false">F66*0.75</f>
        <v>1368.75</v>
      </c>
      <c r="H66" s="10" t="n">
        <f aca="false">ROUND((D66+0.45)/(1-ASM!$B$9),0)</f>
        <v>987</v>
      </c>
      <c r="I66" s="10" t="n">
        <f aca="false">ROUND((D66+0.45)/(1-ASM!$B$9-ASM!$B$10),0)</f>
        <v>1186</v>
      </c>
      <c r="J66" s="10" t="str">
        <f aca="false">IF(G66&gt;=H66,"OK","FLOOR ALTI")</f>
        <v>OK</v>
      </c>
    </row>
    <row r="67" customFormat="false" ht="15" hidden="false" customHeight="true" outlineLevel="0" collapsed="false">
      <c r="A67" s="10" t="n">
        <v>7</v>
      </c>
      <c r="B67" s="10" t="n">
        <v>4</v>
      </c>
      <c r="C67" s="11" t="n">
        <v>7.48</v>
      </c>
      <c r="D67" s="12" t="n">
        <f aca="false">ROUND(C67*ASM!$B$8*ASM!$B$12*(1+ASM!$B$3)+ASM!$B$4+ASM!$B$5+ASM!$B$6,2)</f>
        <v>673.58</v>
      </c>
      <c r="E67" s="10" t="n">
        <f aca="false">ROUND(D67*ASM!$B$7,0)</f>
        <v>1044</v>
      </c>
      <c r="F67" s="13" t="n">
        <f aca="false">CEILING(E67/0.75,5)</f>
        <v>1395</v>
      </c>
      <c r="G67" s="12" t="n">
        <f aca="false">F67*0.75</f>
        <v>1046.25</v>
      </c>
      <c r="H67" s="10" t="n">
        <f aca="false">ROUND((D67+0.45)/(1-ASM!$B$9),0)</f>
        <v>753</v>
      </c>
      <c r="I67" s="10" t="n">
        <f aca="false">ROUND((D67+0.45)/(1-ASM!$B$9-ASM!$B$10),0)</f>
        <v>905</v>
      </c>
      <c r="J67" s="10" t="str">
        <f aca="false">IF(G67&gt;=H67,"OK","FLOOR ALTI")</f>
        <v>OK</v>
      </c>
    </row>
    <row r="68" customFormat="false" ht="15" hidden="false" customHeight="true" outlineLevel="0" collapsed="false">
      <c r="A68" s="10" t="n">
        <v>7</v>
      </c>
      <c r="B68" s="10" t="n">
        <v>5</v>
      </c>
      <c r="C68" s="11" t="n">
        <v>7.83</v>
      </c>
      <c r="D68" s="12" t="n">
        <f aca="false">ROUND(C68*ASM!$B$8*ASM!$B$12*(1+ASM!$B$3)+ASM!$B$4+ASM!$B$5+ASM!$B$6,2)</f>
        <v>702.29</v>
      </c>
      <c r="E68" s="10" t="n">
        <f aca="false">ROUND(D68*ASM!$B$7,0)</f>
        <v>1089</v>
      </c>
      <c r="F68" s="13" t="n">
        <f aca="false">CEILING(E68/0.75,5)</f>
        <v>1455</v>
      </c>
      <c r="G68" s="12" t="n">
        <f aca="false">F68*0.75</f>
        <v>1091.25</v>
      </c>
      <c r="H68" s="10" t="n">
        <f aca="false">ROUND((D68+0.45)/(1-ASM!$B$9),0)</f>
        <v>785</v>
      </c>
      <c r="I68" s="10" t="n">
        <f aca="false">ROUND((D68+0.45)/(1-ASM!$B$9-ASM!$B$10),0)</f>
        <v>943</v>
      </c>
      <c r="J68" s="10" t="str">
        <f aca="false">IF(G68&gt;=H68,"OK","FLOOR ALTI")</f>
        <v>OK</v>
      </c>
    </row>
    <row r="69" customFormat="false" ht="15" hidden="false" customHeight="true" outlineLevel="0" collapsed="false">
      <c r="A69" s="10" t="n">
        <v>7</v>
      </c>
      <c r="B69" s="10" t="n">
        <v>6</v>
      </c>
      <c r="C69" s="11" t="n">
        <v>8.18</v>
      </c>
      <c r="D69" s="12" t="n">
        <f aca="false">ROUND(C69*ASM!$B$8*ASM!$B$12*(1+ASM!$B$3)+ASM!$B$4+ASM!$B$5+ASM!$B$6,2)</f>
        <v>731</v>
      </c>
      <c r="E69" s="10" t="n">
        <f aca="false">ROUND(D69*ASM!$B$7,0)</f>
        <v>1133</v>
      </c>
      <c r="F69" s="13" t="n">
        <f aca="false">CEILING(E69/0.75,5)</f>
        <v>1515</v>
      </c>
      <c r="G69" s="12" t="n">
        <f aca="false">F69*0.75</f>
        <v>1136.25</v>
      </c>
      <c r="H69" s="10" t="n">
        <f aca="false">ROUND((D69+0.45)/(1-ASM!$B$9),0)</f>
        <v>817</v>
      </c>
      <c r="I69" s="10" t="n">
        <f aca="false">ROUND((D69+0.45)/(1-ASM!$B$9-ASM!$B$10),0)</f>
        <v>982</v>
      </c>
      <c r="J69" s="10" t="str">
        <f aca="false">IF(G69&gt;=H69,"OK","FLOOR ALTI")</f>
        <v>OK</v>
      </c>
    </row>
    <row r="70" customFormat="false" ht="15" hidden="false" customHeight="true" outlineLevel="0" collapsed="false">
      <c r="A70" s="10" t="n">
        <v>7</v>
      </c>
      <c r="B70" s="10" t="n">
        <v>7</v>
      </c>
      <c r="C70" s="11" t="n">
        <v>8.53</v>
      </c>
      <c r="D70" s="12" t="n">
        <f aca="false">ROUND(C70*ASM!$B$8*ASM!$B$12*(1+ASM!$B$3)+ASM!$B$4+ASM!$B$5+ASM!$B$6,2)</f>
        <v>759.71</v>
      </c>
      <c r="E70" s="10" t="n">
        <f aca="false">ROUND(D70*ASM!$B$7,0)</f>
        <v>1178</v>
      </c>
      <c r="F70" s="13" t="n">
        <f aca="false">CEILING(E70/0.75,5)</f>
        <v>1575</v>
      </c>
      <c r="G70" s="12" t="n">
        <f aca="false">F70*0.75</f>
        <v>1181.25</v>
      </c>
      <c r="H70" s="10" t="n">
        <f aca="false">ROUND((D70+0.45)/(1-ASM!$B$9),0)</f>
        <v>849</v>
      </c>
      <c r="I70" s="10" t="n">
        <f aca="false">ROUND((D70+0.45)/(1-ASM!$B$9-ASM!$B$10),0)</f>
        <v>1020</v>
      </c>
      <c r="J70" s="10" t="str">
        <f aca="false">IF(G70&gt;=H70,"OK","FLOOR ALTI")</f>
        <v>OK</v>
      </c>
    </row>
    <row r="71" customFormat="false" ht="15" hidden="false" customHeight="true" outlineLevel="0" collapsed="false">
      <c r="A71" s="10" t="n">
        <v>7</v>
      </c>
      <c r="B71" s="10" t="n">
        <v>8</v>
      </c>
      <c r="C71" s="11" t="n">
        <v>8.88</v>
      </c>
      <c r="D71" s="12" t="n">
        <f aca="false">ROUND(C71*ASM!$B$8*ASM!$B$12*(1+ASM!$B$3)+ASM!$B$4+ASM!$B$5+ASM!$B$6,2)</f>
        <v>788.42</v>
      </c>
      <c r="E71" s="10" t="n">
        <f aca="false">ROUND(D71*ASM!$B$7,0)</f>
        <v>1222</v>
      </c>
      <c r="F71" s="13" t="n">
        <f aca="false">CEILING(E71/0.75,5)</f>
        <v>1630</v>
      </c>
      <c r="G71" s="12" t="n">
        <f aca="false">F71*0.75</f>
        <v>1222.5</v>
      </c>
      <c r="H71" s="10" t="n">
        <f aca="false">ROUND((D71+0.45)/(1-ASM!$B$9),0)</f>
        <v>881</v>
      </c>
      <c r="I71" s="10" t="n">
        <f aca="false">ROUND((D71+0.45)/(1-ASM!$B$9-ASM!$B$10),0)</f>
        <v>1059</v>
      </c>
      <c r="J71" s="10" t="str">
        <f aca="false">IF(G71&gt;=H71,"OK","FLOOR ALTI")</f>
        <v>OK</v>
      </c>
    </row>
    <row r="72" customFormat="false" ht="15" hidden="false" customHeight="true" outlineLevel="0" collapsed="false">
      <c r="A72" s="10" t="n">
        <v>7</v>
      </c>
      <c r="B72" s="10" t="n">
        <v>9</v>
      </c>
      <c r="C72" s="11" t="n">
        <v>9.24</v>
      </c>
      <c r="D72" s="12" t="n">
        <f aca="false">ROUND(C72*ASM!$B$8*ASM!$B$12*(1+ASM!$B$3)+ASM!$B$4+ASM!$B$5+ASM!$B$6,2)</f>
        <v>817.95</v>
      </c>
      <c r="E72" s="10" t="n">
        <f aca="false">ROUND(D72*ASM!$B$7,0)</f>
        <v>1268</v>
      </c>
      <c r="F72" s="13" t="n">
        <f aca="false">CEILING(E72/0.75,5)</f>
        <v>1695</v>
      </c>
      <c r="G72" s="12" t="n">
        <f aca="false">F72*0.75</f>
        <v>1271.25</v>
      </c>
      <c r="H72" s="10" t="n">
        <f aca="false">ROUND((D72+0.45)/(1-ASM!$B$9),0)</f>
        <v>914</v>
      </c>
      <c r="I72" s="10" t="n">
        <f aca="false">ROUND((D72+0.45)/(1-ASM!$B$9-ASM!$B$10),0)</f>
        <v>1099</v>
      </c>
      <c r="J72" s="10" t="str">
        <f aca="false">IF(G72&gt;=H72,"OK","FLOOR ALTI")</f>
        <v>OK</v>
      </c>
    </row>
    <row r="73" customFormat="false" ht="15" hidden="false" customHeight="true" outlineLevel="0" collapsed="false">
      <c r="A73" s="10" t="n">
        <v>7</v>
      </c>
      <c r="B73" s="10" t="n">
        <v>10</v>
      </c>
      <c r="C73" s="11" t="n">
        <v>9.59</v>
      </c>
      <c r="D73" s="12" t="n">
        <f aca="false">ROUND(C73*ASM!$B$8*ASM!$B$12*(1+ASM!$B$3)+ASM!$B$4+ASM!$B$5+ASM!$B$6,2)</f>
        <v>846.66</v>
      </c>
      <c r="E73" s="10" t="n">
        <f aca="false">ROUND(D73*ASM!$B$7,0)</f>
        <v>1312</v>
      </c>
      <c r="F73" s="13" t="n">
        <f aca="false">CEILING(E73/0.75,5)</f>
        <v>1750</v>
      </c>
      <c r="G73" s="12" t="n">
        <f aca="false">F73*0.75</f>
        <v>1312.5</v>
      </c>
      <c r="H73" s="10" t="n">
        <f aca="false">ROUND((D73+0.45)/(1-ASM!$B$9),0)</f>
        <v>946</v>
      </c>
      <c r="I73" s="10" t="n">
        <f aca="false">ROUND((D73+0.45)/(1-ASM!$B$9-ASM!$B$10),0)</f>
        <v>1137</v>
      </c>
      <c r="J73" s="10" t="str">
        <f aca="false">IF(G73&gt;=H73,"OK","FLOOR ALTI")</f>
        <v>OK</v>
      </c>
    </row>
    <row r="74" customFormat="false" ht="15" hidden="false" customHeight="true" outlineLevel="0" collapsed="false">
      <c r="A74" s="10" t="n">
        <v>7</v>
      </c>
      <c r="B74" s="10" t="n">
        <v>11</v>
      </c>
      <c r="C74" s="11" t="n">
        <v>9.94</v>
      </c>
      <c r="D74" s="12" t="n">
        <f aca="false">ROUND(C74*ASM!$B$8*ASM!$B$12*(1+ASM!$B$3)+ASM!$B$4+ASM!$B$5+ASM!$B$6,2)</f>
        <v>875.37</v>
      </c>
      <c r="E74" s="10" t="n">
        <f aca="false">ROUND(D74*ASM!$B$7,0)</f>
        <v>1357</v>
      </c>
      <c r="F74" s="13" t="n">
        <f aca="false">CEILING(E74/0.75,5)</f>
        <v>1810</v>
      </c>
      <c r="G74" s="12" t="n">
        <f aca="false">F74*0.75</f>
        <v>1357.5</v>
      </c>
      <c r="H74" s="10" t="n">
        <f aca="false">ROUND((D74+0.45)/(1-ASM!$B$9),0)</f>
        <v>979</v>
      </c>
      <c r="I74" s="10" t="n">
        <f aca="false">ROUND((D74+0.45)/(1-ASM!$B$9-ASM!$B$10),0)</f>
        <v>1176</v>
      </c>
      <c r="J74" s="10" t="str">
        <f aca="false">IF(G74&gt;=H74,"OK","FLOOR ALTI")</f>
        <v>OK</v>
      </c>
    </row>
    <row r="75" customFormat="false" ht="15" hidden="false" customHeight="true" outlineLevel="0" collapsed="false">
      <c r="A75" s="10" t="n">
        <v>7</v>
      </c>
      <c r="B75" s="10" t="n">
        <v>12</v>
      </c>
      <c r="C75" s="11" t="n">
        <v>10.29</v>
      </c>
      <c r="D75" s="12" t="n">
        <f aca="false">ROUND(C75*ASM!$B$8*ASM!$B$12*(1+ASM!$B$3)+ASM!$B$4+ASM!$B$5+ASM!$B$6,2)</f>
        <v>904.08</v>
      </c>
      <c r="E75" s="10" t="n">
        <f aca="false">ROUND(D75*ASM!$B$7,0)</f>
        <v>1401</v>
      </c>
      <c r="F75" s="13" t="n">
        <f aca="false">CEILING(E75/0.75,5)</f>
        <v>1870</v>
      </c>
      <c r="G75" s="12" t="n">
        <f aca="false">F75*0.75</f>
        <v>1402.5</v>
      </c>
      <c r="H75" s="10" t="n">
        <f aca="false">ROUND((D75+0.45)/(1-ASM!$B$9),0)</f>
        <v>1011</v>
      </c>
      <c r="I75" s="10" t="n">
        <f aca="false">ROUND((D75+0.45)/(1-ASM!$B$9-ASM!$B$10),0)</f>
        <v>1214</v>
      </c>
      <c r="J75" s="10" t="str">
        <f aca="false">IF(G75&gt;=H75,"OK","FLOOR ALTI")</f>
        <v>OK</v>
      </c>
    </row>
    <row r="76" customFormat="false" ht="15" hidden="false" customHeight="true" outlineLevel="0" collapsed="false">
      <c r="A76" s="10" t="n">
        <v>7</v>
      </c>
      <c r="B76" s="10" t="n">
        <v>13</v>
      </c>
      <c r="C76" s="11" t="n">
        <v>10.64</v>
      </c>
      <c r="D76" s="12" t="n">
        <f aca="false">ROUND(C76*ASM!$B$8*ASM!$B$12*(1+ASM!$B$3)+ASM!$B$4+ASM!$B$5+ASM!$B$6,2)</f>
        <v>932.79</v>
      </c>
      <c r="E76" s="10" t="n">
        <f aca="false">ROUND(D76*ASM!$B$7,0)</f>
        <v>1446</v>
      </c>
      <c r="F76" s="13" t="n">
        <f aca="false">CEILING(E76/0.75,5)</f>
        <v>1930</v>
      </c>
      <c r="G76" s="12" t="n">
        <f aca="false">F76*0.75</f>
        <v>1447.5</v>
      </c>
      <c r="H76" s="10" t="n">
        <f aca="false">ROUND((D76+0.45)/(1-ASM!$B$9),0)</f>
        <v>1043</v>
      </c>
      <c r="I76" s="10" t="n">
        <f aca="false">ROUND((D76+0.45)/(1-ASM!$B$9-ASM!$B$10),0)</f>
        <v>1253</v>
      </c>
      <c r="J76" s="10" t="str">
        <f aca="false">IF(G76&gt;=H76,"OK","FLOOR ALTI")</f>
        <v>OK</v>
      </c>
    </row>
    <row r="77" customFormat="false" ht="15" hidden="false" customHeight="true" outlineLevel="0" collapsed="false">
      <c r="A77" s="10" t="n">
        <v>7</v>
      </c>
      <c r="B77" s="10" t="n">
        <v>14</v>
      </c>
      <c r="C77" s="11" t="n">
        <v>11</v>
      </c>
      <c r="D77" s="12" t="n">
        <f aca="false">ROUND(C77*ASM!$B$8*ASM!$B$12*(1+ASM!$B$3)+ASM!$B$4+ASM!$B$5+ASM!$B$6,2)</f>
        <v>962.32</v>
      </c>
      <c r="E77" s="10" t="n">
        <f aca="false">ROUND(D77*ASM!$B$7,0)</f>
        <v>1492</v>
      </c>
      <c r="F77" s="13" t="n">
        <f aca="false">CEILING(E77/0.75,5)</f>
        <v>1990</v>
      </c>
      <c r="G77" s="12" t="n">
        <f aca="false">F77*0.75</f>
        <v>1492.5</v>
      </c>
      <c r="H77" s="10" t="n">
        <f aca="false">ROUND((D77+0.45)/(1-ASM!$B$9),0)</f>
        <v>1076</v>
      </c>
      <c r="I77" s="10" t="n">
        <f aca="false">ROUND((D77+0.45)/(1-ASM!$B$9-ASM!$B$10),0)</f>
        <v>1292</v>
      </c>
      <c r="J77" s="10" t="str">
        <f aca="false">IF(G77&gt;=H77,"OK","FLOOR ALTI")</f>
        <v>OK</v>
      </c>
    </row>
    <row r="78" customFormat="false" ht="15" hidden="false" customHeight="true" outlineLevel="0" collapsed="false">
      <c r="A78" s="10" t="n">
        <v>7</v>
      </c>
      <c r="B78" s="10" t="n">
        <v>15</v>
      </c>
      <c r="C78" s="11" t="n">
        <v>11.35</v>
      </c>
      <c r="D78" s="12" t="n">
        <f aca="false">ROUND(C78*ASM!$B$8*ASM!$B$12*(1+ASM!$B$3)+ASM!$B$4+ASM!$B$5+ASM!$B$6,2)</f>
        <v>991.03</v>
      </c>
      <c r="E78" s="10" t="n">
        <f aca="false">ROUND(D78*ASM!$B$7,0)</f>
        <v>1536</v>
      </c>
      <c r="F78" s="13" t="n">
        <f aca="false">CEILING(E78/0.75,5)</f>
        <v>2050</v>
      </c>
      <c r="G78" s="12" t="n">
        <f aca="false">F78*0.75</f>
        <v>1537.5</v>
      </c>
      <c r="H78" s="10" t="n">
        <f aca="false">ROUND((D78+0.45)/(1-ASM!$B$9),0)</f>
        <v>1108</v>
      </c>
      <c r="I78" s="10" t="n">
        <f aca="false">ROUND((D78+0.45)/(1-ASM!$B$9-ASM!$B$10),0)</f>
        <v>1331</v>
      </c>
      <c r="J78" s="10" t="str">
        <f aca="false">IF(G78&gt;=H78,"OK","FLOOR ALTI")</f>
        <v>OK</v>
      </c>
    </row>
    <row r="79" customFormat="false" ht="15" hidden="false" customHeight="true" outlineLevel="0" collapsed="false">
      <c r="A79" s="10" t="n">
        <v>7</v>
      </c>
      <c r="B79" s="10" t="n">
        <v>16</v>
      </c>
      <c r="C79" s="11" t="n">
        <v>11.7</v>
      </c>
      <c r="D79" s="12" t="n">
        <f aca="false">ROUND(C79*ASM!$B$8*ASM!$B$12*(1+ASM!$B$3)+ASM!$B$4+ASM!$B$5+ASM!$B$6,2)</f>
        <v>1019.74</v>
      </c>
      <c r="E79" s="10" t="n">
        <f aca="false">ROUND(D79*ASM!$B$7,0)</f>
        <v>1581</v>
      </c>
      <c r="F79" s="13" t="n">
        <f aca="false">CEILING(E79/0.75,5)</f>
        <v>2110</v>
      </c>
      <c r="G79" s="12" t="n">
        <f aca="false">F79*0.75</f>
        <v>1582.5</v>
      </c>
      <c r="H79" s="10" t="n">
        <f aca="false">ROUND((D79+0.45)/(1-ASM!$B$9),0)</f>
        <v>1140</v>
      </c>
      <c r="I79" s="10" t="n">
        <f aca="false">ROUND((D79+0.45)/(1-ASM!$B$9-ASM!$B$10),0)</f>
        <v>1369</v>
      </c>
      <c r="J79" s="10" t="str">
        <f aca="false">IF(G79&gt;=H79,"OK","FLOOR ALTI")</f>
        <v>OK</v>
      </c>
    </row>
    <row r="80" customFormat="false" ht="15" hidden="false" customHeight="true" outlineLevel="0" collapsed="false">
      <c r="A80" s="10" t="n">
        <v>8</v>
      </c>
      <c r="B80" s="10" t="n">
        <v>4</v>
      </c>
      <c r="C80" s="11" t="n">
        <v>8.55</v>
      </c>
      <c r="D80" s="12" t="n">
        <f aca="false">ROUND(C80*ASM!$B$8*ASM!$B$12*(1+ASM!$B$3)+ASM!$B$4+ASM!$B$5+ASM!$B$6,2)</f>
        <v>761.35</v>
      </c>
      <c r="E80" s="10" t="n">
        <f aca="false">ROUND(D80*ASM!$B$7,0)</f>
        <v>1180</v>
      </c>
      <c r="F80" s="13" t="n">
        <f aca="false">CEILING(E80/0.75,5)</f>
        <v>1575</v>
      </c>
      <c r="G80" s="12" t="n">
        <f aca="false">F80*0.75</f>
        <v>1181.25</v>
      </c>
      <c r="H80" s="10" t="n">
        <f aca="false">ROUND((D80+0.45)/(1-ASM!$B$9),0)</f>
        <v>851</v>
      </c>
      <c r="I80" s="10" t="n">
        <f aca="false">ROUND((D80+0.45)/(1-ASM!$B$9-ASM!$B$10),0)</f>
        <v>1023</v>
      </c>
      <c r="J80" s="10" t="str">
        <f aca="false">IF(G80&gt;=H80,"OK","FLOOR ALTI")</f>
        <v>OK</v>
      </c>
    </row>
    <row r="81" customFormat="false" ht="15" hidden="false" customHeight="true" outlineLevel="0" collapsed="false">
      <c r="A81" s="10" t="n">
        <v>8</v>
      </c>
      <c r="B81" s="10" t="n">
        <v>5</v>
      </c>
      <c r="C81" s="11" t="n">
        <v>8.95</v>
      </c>
      <c r="D81" s="12" t="n">
        <f aca="false">ROUND(C81*ASM!$B$8*ASM!$B$12*(1+ASM!$B$3)+ASM!$B$4+ASM!$B$5+ASM!$B$6,2)</f>
        <v>794.16</v>
      </c>
      <c r="E81" s="10" t="n">
        <f aca="false">ROUND(D81*ASM!$B$7,0)</f>
        <v>1231</v>
      </c>
      <c r="F81" s="13" t="n">
        <f aca="false">CEILING(E81/0.75,5)</f>
        <v>1645</v>
      </c>
      <c r="G81" s="12" t="n">
        <f aca="false">F81*0.75</f>
        <v>1233.75</v>
      </c>
      <c r="H81" s="10" t="n">
        <f aca="false">ROUND((D81+0.45)/(1-ASM!$B$9),0)</f>
        <v>888</v>
      </c>
      <c r="I81" s="10" t="n">
        <f aca="false">ROUND((D81+0.45)/(1-ASM!$B$9-ASM!$B$10),0)</f>
        <v>1067</v>
      </c>
      <c r="J81" s="10" t="str">
        <f aca="false">IF(G81&gt;=H81,"OK","FLOOR ALTI")</f>
        <v>OK</v>
      </c>
    </row>
    <row r="82" customFormat="false" ht="15" hidden="false" customHeight="true" outlineLevel="0" collapsed="false">
      <c r="A82" s="10" t="n">
        <v>8</v>
      </c>
      <c r="B82" s="10" t="n">
        <v>6</v>
      </c>
      <c r="C82" s="11" t="n">
        <v>9.35</v>
      </c>
      <c r="D82" s="12" t="n">
        <f aca="false">ROUND(C82*ASM!$B$8*ASM!$B$12*(1+ASM!$B$3)+ASM!$B$4+ASM!$B$5+ASM!$B$6,2)</f>
        <v>826.97</v>
      </c>
      <c r="E82" s="10" t="n">
        <f aca="false">ROUND(D82*ASM!$B$7,0)</f>
        <v>1282</v>
      </c>
      <c r="F82" s="13" t="n">
        <f aca="false">CEILING(E82/0.75,5)</f>
        <v>1710</v>
      </c>
      <c r="G82" s="12" t="n">
        <f aca="false">F82*0.75</f>
        <v>1282.5</v>
      </c>
      <c r="H82" s="10" t="n">
        <f aca="false">ROUND((D82+0.45)/(1-ASM!$B$9),0)</f>
        <v>924</v>
      </c>
      <c r="I82" s="10" t="n">
        <f aca="false">ROUND((D82+0.45)/(1-ASM!$B$9-ASM!$B$10),0)</f>
        <v>1111</v>
      </c>
      <c r="J82" s="10" t="str">
        <f aca="false">IF(G82&gt;=H82,"OK","FLOOR ALTI")</f>
        <v>OK</v>
      </c>
    </row>
    <row r="83" customFormat="false" ht="15" hidden="false" customHeight="true" outlineLevel="0" collapsed="false">
      <c r="A83" s="10" t="n">
        <v>8</v>
      </c>
      <c r="B83" s="10" t="n">
        <v>7</v>
      </c>
      <c r="C83" s="11" t="n">
        <v>9.75</v>
      </c>
      <c r="D83" s="12" t="n">
        <f aca="false">ROUND(C83*ASM!$B$8*ASM!$B$12*(1+ASM!$B$3)+ASM!$B$4+ASM!$B$5+ASM!$B$6,2)</f>
        <v>859.78</v>
      </c>
      <c r="E83" s="10" t="n">
        <f aca="false">ROUND(D83*ASM!$B$7,0)</f>
        <v>1333</v>
      </c>
      <c r="F83" s="13" t="n">
        <f aca="false">CEILING(E83/0.75,5)</f>
        <v>1780</v>
      </c>
      <c r="G83" s="12" t="n">
        <f aca="false">F83*0.75</f>
        <v>1335</v>
      </c>
      <c r="H83" s="10" t="n">
        <f aca="false">ROUND((D83+0.45)/(1-ASM!$B$9),0)</f>
        <v>961</v>
      </c>
      <c r="I83" s="10" t="n">
        <f aca="false">ROUND((D83+0.45)/(1-ASM!$B$9-ASM!$B$10),0)</f>
        <v>1155</v>
      </c>
      <c r="J83" s="10" t="str">
        <f aca="false">IF(G83&gt;=H83,"OK","FLOOR ALTI")</f>
        <v>OK</v>
      </c>
    </row>
    <row r="84" customFormat="false" ht="15" hidden="false" customHeight="true" outlineLevel="0" collapsed="false">
      <c r="A84" s="10" t="n">
        <v>8</v>
      </c>
      <c r="B84" s="10" t="n">
        <v>8</v>
      </c>
      <c r="C84" s="11" t="n">
        <v>10.15</v>
      </c>
      <c r="D84" s="12" t="n">
        <f aca="false">ROUND(C84*ASM!$B$8*ASM!$B$12*(1+ASM!$B$3)+ASM!$B$4+ASM!$B$5+ASM!$B$6,2)</f>
        <v>892.59</v>
      </c>
      <c r="E84" s="10" t="n">
        <f aca="false">ROUND(D84*ASM!$B$7,0)</f>
        <v>1384</v>
      </c>
      <c r="F84" s="13" t="n">
        <f aca="false">CEILING(E84/0.75,5)</f>
        <v>1850</v>
      </c>
      <c r="G84" s="12" t="n">
        <f aca="false">F84*0.75</f>
        <v>1387.5</v>
      </c>
      <c r="H84" s="10" t="n">
        <f aca="false">ROUND((D84+0.45)/(1-ASM!$B$9),0)</f>
        <v>998</v>
      </c>
      <c r="I84" s="10" t="n">
        <f aca="false">ROUND((D84+0.45)/(1-ASM!$B$9-ASM!$B$10),0)</f>
        <v>1199</v>
      </c>
      <c r="J84" s="10" t="str">
        <f aca="false">IF(G84&gt;=H84,"OK","FLOOR ALTI")</f>
        <v>OK</v>
      </c>
    </row>
    <row r="85" customFormat="false" ht="15" hidden="false" customHeight="true" outlineLevel="0" collapsed="false">
      <c r="A85" s="10" t="n">
        <v>8</v>
      </c>
      <c r="B85" s="10" t="n">
        <v>9</v>
      </c>
      <c r="C85" s="11" t="n">
        <v>10.56</v>
      </c>
      <c r="D85" s="12" t="n">
        <f aca="false">ROUND(C85*ASM!$B$8*ASM!$B$12*(1+ASM!$B$3)+ASM!$B$4+ASM!$B$5+ASM!$B$6,2)</f>
        <v>926.22</v>
      </c>
      <c r="E85" s="10" t="n">
        <f aca="false">ROUND(D85*ASM!$B$7,0)</f>
        <v>1436</v>
      </c>
      <c r="F85" s="13" t="n">
        <f aca="false">CEILING(E85/0.75,5)</f>
        <v>1915</v>
      </c>
      <c r="G85" s="12" t="n">
        <f aca="false">F85*0.75</f>
        <v>1436.25</v>
      </c>
      <c r="H85" s="10" t="n">
        <f aca="false">ROUND((D85+0.45)/(1-ASM!$B$9),0)</f>
        <v>1035</v>
      </c>
      <c r="I85" s="10" t="n">
        <f aca="false">ROUND((D85+0.45)/(1-ASM!$B$9-ASM!$B$10),0)</f>
        <v>1244</v>
      </c>
      <c r="J85" s="10" t="str">
        <f aca="false">IF(G85&gt;=H85,"OK","FLOOR ALTI")</f>
        <v>OK</v>
      </c>
    </row>
    <row r="86" customFormat="false" ht="15" hidden="false" customHeight="true" outlineLevel="0" collapsed="false">
      <c r="A86" s="10" t="n">
        <v>8</v>
      </c>
      <c r="B86" s="10" t="n">
        <v>10</v>
      </c>
      <c r="C86" s="11" t="n">
        <v>10.96</v>
      </c>
      <c r="D86" s="12" t="n">
        <f aca="false">ROUND(C86*ASM!$B$8*ASM!$B$12*(1+ASM!$B$3)+ASM!$B$4+ASM!$B$5+ASM!$B$6,2)</f>
        <v>959.04</v>
      </c>
      <c r="E86" s="10" t="n">
        <f aca="false">ROUND(D86*ASM!$B$7,0)</f>
        <v>1487</v>
      </c>
      <c r="F86" s="13" t="n">
        <f aca="false">CEILING(E86/0.75,5)</f>
        <v>1985</v>
      </c>
      <c r="G86" s="12" t="n">
        <f aca="false">F86*0.75</f>
        <v>1488.75</v>
      </c>
      <c r="H86" s="10" t="n">
        <f aca="false">ROUND((D86+0.45)/(1-ASM!$B$9),0)</f>
        <v>1072</v>
      </c>
      <c r="I86" s="10" t="n">
        <f aca="false">ROUND((D86+0.45)/(1-ASM!$B$9-ASM!$B$10),0)</f>
        <v>1288</v>
      </c>
      <c r="J86" s="10" t="str">
        <f aca="false">IF(G86&gt;=H86,"OK","FLOOR ALTI")</f>
        <v>OK</v>
      </c>
    </row>
    <row r="87" customFormat="false" ht="15" hidden="false" customHeight="true" outlineLevel="0" collapsed="false">
      <c r="A87" s="10" t="n">
        <v>8</v>
      </c>
      <c r="B87" s="10" t="n">
        <v>11</v>
      </c>
      <c r="C87" s="11" t="n">
        <v>11.36</v>
      </c>
      <c r="D87" s="12" t="n">
        <f aca="false">ROUND(C87*ASM!$B$8*ASM!$B$12*(1+ASM!$B$3)+ASM!$B$4+ASM!$B$5+ASM!$B$6,2)</f>
        <v>991.85</v>
      </c>
      <c r="E87" s="10" t="n">
        <f aca="false">ROUND(D87*ASM!$B$7,0)</f>
        <v>1537</v>
      </c>
      <c r="F87" s="13" t="n">
        <f aca="false">CEILING(E87/0.75,5)</f>
        <v>2050</v>
      </c>
      <c r="G87" s="12" t="n">
        <f aca="false">F87*0.75</f>
        <v>1537.5</v>
      </c>
      <c r="H87" s="10" t="n">
        <f aca="false">ROUND((D87+0.45)/(1-ASM!$B$9),0)</f>
        <v>1109</v>
      </c>
      <c r="I87" s="10" t="n">
        <f aca="false">ROUND((D87+0.45)/(1-ASM!$B$9-ASM!$B$10),0)</f>
        <v>1332</v>
      </c>
      <c r="J87" s="10" t="str">
        <f aca="false">IF(G87&gt;=H87,"OK","FLOOR ALTI")</f>
        <v>OK</v>
      </c>
    </row>
    <row r="88" customFormat="false" ht="15" hidden="false" customHeight="true" outlineLevel="0" collapsed="false">
      <c r="A88" s="10" t="n">
        <v>8</v>
      </c>
      <c r="B88" s="10" t="n">
        <v>12</v>
      </c>
      <c r="C88" s="11" t="n">
        <v>11.76</v>
      </c>
      <c r="D88" s="12" t="n">
        <f aca="false">ROUND(C88*ASM!$B$8*ASM!$B$12*(1+ASM!$B$3)+ASM!$B$4+ASM!$B$5+ASM!$B$6,2)</f>
        <v>1024.66</v>
      </c>
      <c r="E88" s="10" t="n">
        <f aca="false">ROUND(D88*ASM!$B$7,0)</f>
        <v>1588</v>
      </c>
      <c r="F88" s="13" t="n">
        <f aca="false">CEILING(E88/0.75,5)</f>
        <v>2120</v>
      </c>
      <c r="G88" s="12" t="n">
        <f aca="false">F88*0.75</f>
        <v>1590</v>
      </c>
      <c r="H88" s="10" t="n">
        <f aca="false">ROUND((D88+0.45)/(1-ASM!$B$9),0)</f>
        <v>1145</v>
      </c>
      <c r="I88" s="10" t="n">
        <f aca="false">ROUND((D88+0.45)/(1-ASM!$B$9-ASM!$B$10),0)</f>
        <v>1376</v>
      </c>
      <c r="J88" s="10" t="str">
        <f aca="false">IF(G88&gt;=H88,"OK","FLOOR ALTI")</f>
        <v>OK</v>
      </c>
    </row>
    <row r="89" customFormat="false" ht="15" hidden="false" customHeight="true" outlineLevel="0" collapsed="false">
      <c r="A89" s="10" t="n">
        <v>8</v>
      </c>
      <c r="B89" s="10" t="n">
        <v>13</v>
      </c>
      <c r="C89" s="11" t="n">
        <v>12.16</v>
      </c>
      <c r="D89" s="12" t="n">
        <f aca="false">ROUND(C89*ASM!$B$8*ASM!$B$12*(1+ASM!$B$3)+ASM!$B$4+ASM!$B$5+ASM!$B$6,2)</f>
        <v>1057.47</v>
      </c>
      <c r="E89" s="10" t="n">
        <f aca="false">ROUND(D89*ASM!$B$7,0)</f>
        <v>1639</v>
      </c>
      <c r="F89" s="13" t="n">
        <f aca="false">CEILING(E89/0.75,5)</f>
        <v>2190</v>
      </c>
      <c r="G89" s="12" t="n">
        <f aca="false">F89*0.75</f>
        <v>1642.5</v>
      </c>
      <c r="H89" s="10" t="n">
        <f aca="false">ROUND((D89+0.45)/(1-ASM!$B$9),0)</f>
        <v>1182</v>
      </c>
      <c r="I89" s="10" t="n">
        <f aca="false">ROUND((D89+0.45)/(1-ASM!$B$9-ASM!$B$10),0)</f>
        <v>1420</v>
      </c>
      <c r="J89" s="10" t="str">
        <f aca="false">IF(G89&gt;=H89,"OK","FLOOR ALTI")</f>
        <v>OK</v>
      </c>
    </row>
    <row r="90" customFormat="false" ht="15" hidden="false" customHeight="true" outlineLevel="0" collapsed="false">
      <c r="A90" s="10" t="n">
        <v>8</v>
      </c>
      <c r="B90" s="10" t="n">
        <v>14</v>
      </c>
      <c r="C90" s="11" t="n">
        <v>12.57</v>
      </c>
      <c r="D90" s="12" t="n">
        <f aca="false">ROUND(C90*ASM!$B$8*ASM!$B$12*(1+ASM!$B$3)+ASM!$B$4+ASM!$B$5+ASM!$B$6,2)</f>
        <v>1091.1</v>
      </c>
      <c r="E90" s="10" t="n">
        <f aca="false">ROUND(D90*ASM!$B$7,0)</f>
        <v>1691</v>
      </c>
      <c r="F90" s="13" t="n">
        <f aca="false">CEILING(E90/0.75,5)</f>
        <v>2255</v>
      </c>
      <c r="G90" s="12" t="n">
        <f aca="false">F90*0.75</f>
        <v>1691.25</v>
      </c>
      <c r="H90" s="10" t="n">
        <f aca="false">ROUND((D90+0.45)/(1-ASM!$B$9),0)</f>
        <v>1220</v>
      </c>
      <c r="I90" s="10" t="n">
        <f aca="false">ROUND((D90+0.45)/(1-ASM!$B$9-ASM!$B$10),0)</f>
        <v>1465</v>
      </c>
      <c r="J90" s="10" t="str">
        <f aca="false">IF(G90&gt;=H90,"OK","FLOOR ALTI")</f>
        <v>OK</v>
      </c>
    </row>
    <row r="91" customFormat="false" ht="15" hidden="false" customHeight="true" outlineLevel="0" collapsed="false">
      <c r="A91" s="10" t="n">
        <v>8</v>
      </c>
      <c r="B91" s="10" t="n">
        <v>15</v>
      </c>
      <c r="C91" s="11" t="n">
        <v>12.97</v>
      </c>
      <c r="D91" s="12" t="n">
        <f aca="false">ROUND(C91*ASM!$B$8*ASM!$B$12*(1+ASM!$B$3)+ASM!$B$4+ASM!$B$5+ASM!$B$6,2)</f>
        <v>1123.91</v>
      </c>
      <c r="E91" s="10" t="n">
        <f aca="false">ROUND(D91*ASM!$B$7,0)</f>
        <v>1742</v>
      </c>
      <c r="F91" s="13" t="n">
        <f aca="false">CEILING(E91/0.75,5)</f>
        <v>2325</v>
      </c>
      <c r="G91" s="12" t="n">
        <f aca="false">F91*0.75</f>
        <v>1743.75</v>
      </c>
      <c r="H91" s="10" t="n">
        <f aca="false">ROUND((D91+0.45)/(1-ASM!$B$9),0)</f>
        <v>1256</v>
      </c>
      <c r="I91" s="10" t="n">
        <f aca="false">ROUND((D91+0.45)/(1-ASM!$B$9-ASM!$B$10),0)</f>
        <v>1509</v>
      </c>
      <c r="J91" s="10" t="str">
        <f aca="false">IF(G91&gt;=H91,"OK","FLOOR ALTI")</f>
        <v>OK</v>
      </c>
    </row>
    <row r="92" customFormat="false" ht="15" hidden="false" customHeight="true" outlineLevel="0" collapsed="false">
      <c r="A92" s="10" t="n">
        <v>8</v>
      </c>
      <c r="B92" s="10" t="n">
        <v>16</v>
      </c>
      <c r="C92" s="11" t="n">
        <v>13.37</v>
      </c>
      <c r="D92" s="12" t="n">
        <f aca="false">ROUND(C92*ASM!$B$8*ASM!$B$12*(1+ASM!$B$3)+ASM!$B$4+ASM!$B$5+ASM!$B$6,2)</f>
        <v>1156.73</v>
      </c>
      <c r="E92" s="10" t="n">
        <f aca="false">ROUND(D92*ASM!$B$7,0)</f>
        <v>1793</v>
      </c>
      <c r="F92" s="13" t="n">
        <f aca="false">CEILING(E92/0.75,5)</f>
        <v>2395</v>
      </c>
      <c r="G92" s="12" t="n">
        <f aca="false">F92*0.75</f>
        <v>1796.25</v>
      </c>
      <c r="H92" s="10" t="n">
        <f aca="false">ROUND((D92+0.45)/(1-ASM!$B$9),0)</f>
        <v>1293</v>
      </c>
      <c r="I92" s="10" t="n">
        <f aca="false">ROUND((D92+0.45)/(1-ASM!$B$9-ASM!$B$10),0)</f>
        <v>1553</v>
      </c>
      <c r="J92" s="10" t="str">
        <f aca="false">IF(G92&gt;=H92,"OK","FLOOR ALTI")</f>
        <v>OK</v>
      </c>
    </row>
    <row r="93" customFormat="false" ht="15" hidden="false" customHeight="true" outlineLevel="0" collapsed="false">
      <c r="A93" s="10" t="n">
        <v>9</v>
      </c>
      <c r="B93" s="10" t="n">
        <v>4</v>
      </c>
      <c r="C93" s="11" t="n">
        <v>9.61</v>
      </c>
      <c r="D93" s="12" t="n">
        <f aca="false">ROUND(C93*ASM!$B$8*ASM!$B$12*(1+ASM!$B$3)+ASM!$B$4+ASM!$B$5+ASM!$B$6,2)</f>
        <v>848.3</v>
      </c>
      <c r="E93" s="10" t="n">
        <f aca="false">ROUND(D93*ASM!$B$7,0)</f>
        <v>1315</v>
      </c>
      <c r="F93" s="13" t="n">
        <f aca="false">CEILING(E93/0.75,5)</f>
        <v>1755</v>
      </c>
      <c r="G93" s="12" t="n">
        <f aca="false">F93*0.75</f>
        <v>1316.25</v>
      </c>
      <c r="H93" s="10" t="n">
        <f aca="false">ROUND((D93+0.45)/(1-ASM!$B$9),0)</f>
        <v>948</v>
      </c>
      <c r="I93" s="10" t="n">
        <f aca="false">ROUND((D93+0.45)/(1-ASM!$B$9-ASM!$B$10),0)</f>
        <v>1139</v>
      </c>
      <c r="J93" s="10" t="str">
        <f aca="false">IF(G93&gt;=H93,"OK","FLOOR ALTI")</f>
        <v>OK</v>
      </c>
    </row>
    <row r="94" customFormat="false" ht="15" hidden="false" customHeight="true" outlineLevel="0" collapsed="false">
      <c r="A94" s="10" t="n">
        <v>9</v>
      </c>
      <c r="B94" s="10" t="n">
        <v>5</v>
      </c>
      <c r="C94" s="11" t="n">
        <v>10.07</v>
      </c>
      <c r="D94" s="12" t="n">
        <f aca="false">ROUND(C94*ASM!$B$8*ASM!$B$12*(1+ASM!$B$3)+ASM!$B$4+ASM!$B$5+ASM!$B$6,2)</f>
        <v>886.03</v>
      </c>
      <c r="E94" s="10" t="n">
        <f aca="false">ROUND(D94*ASM!$B$7,0)</f>
        <v>1373</v>
      </c>
      <c r="F94" s="13" t="n">
        <f aca="false">CEILING(E94/0.75,5)</f>
        <v>1835</v>
      </c>
      <c r="G94" s="12" t="n">
        <f aca="false">F94*0.75</f>
        <v>1376.25</v>
      </c>
      <c r="H94" s="10" t="n">
        <f aca="false">ROUND((D94+0.45)/(1-ASM!$B$9),0)</f>
        <v>990</v>
      </c>
      <c r="I94" s="10" t="n">
        <f aca="false">ROUND((D94+0.45)/(1-ASM!$B$9-ASM!$B$10),0)</f>
        <v>1190</v>
      </c>
      <c r="J94" s="10" t="str">
        <f aca="false">IF(G94&gt;=H94,"OK","FLOOR ALTI")</f>
        <v>OK</v>
      </c>
    </row>
    <row r="95" customFormat="false" ht="15" hidden="false" customHeight="true" outlineLevel="0" collapsed="false">
      <c r="A95" s="10" t="n">
        <v>9</v>
      </c>
      <c r="B95" s="10" t="n">
        <v>6</v>
      </c>
      <c r="C95" s="11" t="n">
        <v>10.52</v>
      </c>
      <c r="D95" s="12" t="n">
        <f aca="false">ROUND(C95*ASM!$B$8*ASM!$B$12*(1+ASM!$B$3)+ASM!$B$4+ASM!$B$5+ASM!$B$6,2)</f>
        <v>922.94</v>
      </c>
      <c r="E95" s="10" t="n">
        <f aca="false">ROUND(D95*ASM!$B$7,0)</f>
        <v>1431</v>
      </c>
      <c r="F95" s="13" t="n">
        <f aca="false">CEILING(E95/0.75,5)</f>
        <v>1910</v>
      </c>
      <c r="G95" s="12" t="n">
        <f aca="false">F95*0.75</f>
        <v>1432.5</v>
      </c>
      <c r="H95" s="10" t="n">
        <f aca="false">ROUND((D95+0.45)/(1-ASM!$B$9),0)</f>
        <v>1032</v>
      </c>
      <c r="I95" s="10" t="n">
        <f aca="false">ROUND((D95+0.45)/(1-ASM!$B$9-ASM!$B$10),0)</f>
        <v>1239</v>
      </c>
      <c r="J95" s="10" t="str">
        <f aca="false">IF(G95&gt;=H95,"OK","FLOOR ALTI")</f>
        <v>OK</v>
      </c>
    </row>
    <row r="96" customFormat="false" ht="15" hidden="false" customHeight="true" outlineLevel="0" collapsed="false">
      <c r="A96" s="10" t="n">
        <v>9</v>
      </c>
      <c r="B96" s="10" t="n">
        <v>7</v>
      </c>
      <c r="C96" s="11" t="n">
        <v>10.97</v>
      </c>
      <c r="D96" s="12" t="n">
        <f aca="false">ROUND(C96*ASM!$B$8*ASM!$B$12*(1+ASM!$B$3)+ASM!$B$4+ASM!$B$5+ASM!$B$6,2)</f>
        <v>959.86</v>
      </c>
      <c r="E96" s="10" t="n">
        <f aca="false">ROUND(D96*ASM!$B$7,0)</f>
        <v>1488</v>
      </c>
      <c r="F96" s="13" t="n">
        <f aca="false">CEILING(E96/0.75,5)</f>
        <v>1985</v>
      </c>
      <c r="G96" s="12" t="n">
        <f aca="false">F96*0.75</f>
        <v>1488.75</v>
      </c>
      <c r="H96" s="10" t="n">
        <f aca="false">ROUND((D96+0.45)/(1-ASM!$B$9),0)</f>
        <v>1073</v>
      </c>
      <c r="I96" s="10" t="n">
        <f aca="false">ROUND((D96+0.45)/(1-ASM!$B$9-ASM!$B$10),0)</f>
        <v>1289</v>
      </c>
      <c r="J96" s="10" t="str">
        <f aca="false">IF(G96&gt;=H96,"OK","FLOOR ALTI")</f>
        <v>OK</v>
      </c>
    </row>
    <row r="97" customFormat="false" ht="15" hidden="false" customHeight="true" outlineLevel="0" collapsed="false">
      <c r="A97" s="10" t="n">
        <v>9</v>
      </c>
      <c r="B97" s="10" t="n">
        <v>8</v>
      </c>
      <c r="C97" s="11" t="n">
        <v>11.42</v>
      </c>
      <c r="D97" s="12" t="n">
        <f aca="false">ROUND(C97*ASM!$B$8*ASM!$B$12*(1+ASM!$B$3)+ASM!$B$4+ASM!$B$5+ASM!$B$6,2)</f>
        <v>996.77</v>
      </c>
      <c r="E97" s="10" t="n">
        <f aca="false">ROUND(D97*ASM!$B$7,0)</f>
        <v>1545</v>
      </c>
      <c r="F97" s="13" t="n">
        <f aca="false">CEILING(E97/0.75,5)</f>
        <v>2060</v>
      </c>
      <c r="G97" s="12" t="n">
        <f aca="false">F97*0.75</f>
        <v>1545</v>
      </c>
      <c r="H97" s="10" t="n">
        <f aca="false">ROUND((D97+0.45)/(1-ASM!$B$9),0)</f>
        <v>1114</v>
      </c>
      <c r="I97" s="10" t="n">
        <f aca="false">ROUND((D97+0.45)/(1-ASM!$B$9-ASM!$B$10),0)</f>
        <v>1339</v>
      </c>
      <c r="J97" s="10" t="str">
        <f aca="false">IF(G97&gt;=H97,"OK","FLOOR ALTI")</f>
        <v>OK</v>
      </c>
    </row>
    <row r="98" customFormat="false" ht="15" hidden="false" customHeight="true" outlineLevel="0" collapsed="false">
      <c r="A98" s="10" t="n">
        <v>9</v>
      </c>
      <c r="B98" s="10" t="n">
        <v>9</v>
      </c>
      <c r="C98" s="11" t="n">
        <v>11.88</v>
      </c>
      <c r="D98" s="12" t="n">
        <f aca="false">ROUND(C98*ASM!$B$8*ASM!$B$12*(1+ASM!$B$3)+ASM!$B$4+ASM!$B$5+ASM!$B$6,2)</f>
        <v>1034.5</v>
      </c>
      <c r="E98" s="10" t="n">
        <f aca="false">ROUND(D98*ASM!$B$7,0)</f>
        <v>1603</v>
      </c>
      <c r="F98" s="13" t="n">
        <f aca="false">CEILING(E98/0.75,5)</f>
        <v>2140</v>
      </c>
      <c r="G98" s="12" t="n">
        <f aca="false">F98*0.75</f>
        <v>1605</v>
      </c>
      <c r="H98" s="10" t="n">
        <f aca="false">ROUND((D98+0.45)/(1-ASM!$B$9),0)</f>
        <v>1156</v>
      </c>
      <c r="I98" s="10" t="n">
        <f aca="false">ROUND((D98+0.45)/(1-ASM!$B$9-ASM!$B$10),0)</f>
        <v>1389</v>
      </c>
      <c r="J98" s="10" t="str">
        <f aca="false">IF(G98&gt;=H98,"OK","FLOOR ALTI")</f>
        <v>OK</v>
      </c>
    </row>
    <row r="99" customFormat="false" ht="15" hidden="false" customHeight="true" outlineLevel="0" collapsed="false">
      <c r="A99" s="10" t="n">
        <v>9</v>
      </c>
      <c r="B99" s="10" t="n">
        <v>10</v>
      </c>
      <c r="C99" s="11" t="n">
        <v>12.33</v>
      </c>
      <c r="D99" s="12" t="n">
        <f aca="false">ROUND(C99*ASM!$B$8*ASM!$B$12*(1+ASM!$B$3)+ASM!$B$4+ASM!$B$5+ASM!$B$6,2)</f>
        <v>1071.42</v>
      </c>
      <c r="E99" s="10" t="n">
        <f aca="false">ROUND(D99*ASM!$B$7,0)</f>
        <v>1661</v>
      </c>
      <c r="F99" s="13" t="n">
        <f aca="false">CEILING(E99/0.75,5)</f>
        <v>2215</v>
      </c>
      <c r="G99" s="12" t="n">
        <f aca="false">F99*0.75</f>
        <v>1661.25</v>
      </c>
      <c r="H99" s="10" t="n">
        <f aca="false">ROUND((D99+0.45)/(1-ASM!$B$9),0)</f>
        <v>1198</v>
      </c>
      <c r="I99" s="10" t="n">
        <f aca="false">ROUND((D99+0.45)/(1-ASM!$B$9-ASM!$B$10),0)</f>
        <v>1439</v>
      </c>
      <c r="J99" s="10" t="str">
        <f aca="false">IF(G99&gt;=H99,"OK","FLOOR ALTI")</f>
        <v>OK</v>
      </c>
    </row>
    <row r="100" customFormat="false" ht="15" hidden="false" customHeight="true" outlineLevel="0" collapsed="false">
      <c r="A100" s="10" t="n">
        <v>9</v>
      </c>
      <c r="B100" s="10" t="n">
        <v>11</v>
      </c>
      <c r="C100" s="11" t="n">
        <v>12.78</v>
      </c>
      <c r="D100" s="12" t="n">
        <f aca="false">ROUND(C100*ASM!$B$8*ASM!$B$12*(1+ASM!$B$3)+ASM!$B$4+ASM!$B$5+ASM!$B$6,2)</f>
        <v>1108.33</v>
      </c>
      <c r="E100" s="10" t="n">
        <f aca="false">ROUND(D100*ASM!$B$7,0)</f>
        <v>1718</v>
      </c>
      <c r="F100" s="13" t="n">
        <f aca="false">CEILING(E100/0.75,5)</f>
        <v>2295</v>
      </c>
      <c r="G100" s="12" t="n">
        <f aca="false">F100*0.75</f>
        <v>1721.25</v>
      </c>
      <c r="H100" s="10" t="n">
        <f aca="false">ROUND((D100+0.45)/(1-ASM!$B$9),0)</f>
        <v>1239</v>
      </c>
      <c r="I100" s="10" t="n">
        <f aca="false">ROUND((D100+0.45)/(1-ASM!$B$9-ASM!$B$10),0)</f>
        <v>1488</v>
      </c>
      <c r="J100" s="10" t="str">
        <f aca="false">IF(G100&gt;=H100,"OK","FLOOR ALTI")</f>
        <v>OK</v>
      </c>
    </row>
    <row r="101" customFormat="false" ht="15" hidden="false" customHeight="true" outlineLevel="0" collapsed="false">
      <c r="A101" s="10" t="n">
        <v>9</v>
      </c>
      <c r="B101" s="10" t="n">
        <v>12</v>
      </c>
      <c r="C101" s="11" t="n">
        <v>13.23</v>
      </c>
      <c r="D101" s="12" t="n">
        <f aca="false">ROUND(C101*ASM!$B$8*ASM!$B$12*(1+ASM!$B$3)+ASM!$B$4+ASM!$B$5+ASM!$B$6,2)</f>
        <v>1145.24</v>
      </c>
      <c r="E101" s="10" t="n">
        <f aca="false">ROUND(D101*ASM!$B$7,0)</f>
        <v>1775</v>
      </c>
      <c r="F101" s="13" t="n">
        <f aca="false">CEILING(E101/0.75,5)</f>
        <v>2370</v>
      </c>
      <c r="G101" s="12" t="n">
        <f aca="false">F101*0.75</f>
        <v>1777.5</v>
      </c>
      <c r="H101" s="10" t="n">
        <f aca="false">ROUND((D101+0.45)/(1-ASM!$B$9),0)</f>
        <v>1280</v>
      </c>
      <c r="I101" s="10" t="n">
        <f aca="false">ROUND((D101+0.45)/(1-ASM!$B$9-ASM!$B$10),0)</f>
        <v>1538</v>
      </c>
      <c r="J101" s="10" t="str">
        <f aca="false">IF(G101&gt;=H101,"OK","FLOOR ALTI")</f>
        <v>OK</v>
      </c>
    </row>
    <row r="102" customFormat="false" ht="15" hidden="false" customHeight="true" outlineLevel="0" collapsed="false">
      <c r="A102" s="10" t="n">
        <v>9</v>
      </c>
      <c r="B102" s="10" t="n">
        <v>13</v>
      </c>
      <c r="C102" s="11" t="n">
        <v>13.68</v>
      </c>
      <c r="D102" s="12" t="n">
        <f aca="false">ROUND(C102*ASM!$B$8*ASM!$B$12*(1+ASM!$B$3)+ASM!$B$4+ASM!$B$5+ASM!$B$6,2)</f>
        <v>1182.15</v>
      </c>
      <c r="E102" s="10" t="n">
        <f aca="false">ROUND(D102*ASM!$B$7,0)</f>
        <v>1832</v>
      </c>
      <c r="F102" s="13" t="n">
        <f aca="false">CEILING(E102/0.75,5)</f>
        <v>2445</v>
      </c>
      <c r="G102" s="12" t="n">
        <f aca="false">F102*0.75</f>
        <v>1833.75</v>
      </c>
      <c r="H102" s="10" t="n">
        <f aca="false">ROUND((D102+0.45)/(1-ASM!$B$9),0)</f>
        <v>1321</v>
      </c>
      <c r="I102" s="10" t="n">
        <f aca="false">ROUND((D102+0.45)/(1-ASM!$B$9-ASM!$B$10),0)</f>
        <v>1587</v>
      </c>
      <c r="J102" s="10" t="str">
        <f aca="false">IF(G102&gt;=H102,"OK","FLOOR ALTI")</f>
        <v>OK</v>
      </c>
    </row>
    <row r="103" customFormat="false" ht="15" hidden="false" customHeight="true" outlineLevel="0" collapsed="false">
      <c r="A103" s="10" t="n">
        <v>9</v>
      </c>
      <c r="B103" s="10" t="n">
        <v>14</v>
      </c>
      <c r="C103" s="11" t="n">
        <v>14.14</v>
      </c>
      <c r="D103" s="12" t="n">
        <f aca="false">ROUND(C103*ASM!$B$8*ASM!$B$12*(1+ASM!$B$3)+ASM!$B$4+ASM!$B$5+ASM!$B$6,2)</f>
        <v>1219.89</v>
      </c>
      <c r="E103" s="10" t="n">
        <f aca="false">ROUND(D103*ASM!$B$7,0)</f>
        <v>1891</v>
      </c>
      <c r="F103" s="13" t="n">
        <f aca="false">CEILING(E103/0.75,5)</f>
        <v>2525</v>
      </c>
      <c r="G103" s="12" t="n">
        <f aca="false">F103*0.75</f>
        <v>1893.75</v>
      </c>
      <c r="H103" s="10" t="n">
        <f aca="false">ROUND((D103+0.45)/(1-ASM!$B$9),0)</f>
        <v>1364</v>
      </c>
      <c r="I103" s="10" t="n">
        <f aca="false">ROUND((D103+0.45)/(1-ASM!$B$9-ASM!$B$10),0)</f>
        <v>1638</v>
      </c>
      <c r="J103" s="10" t="str">
        <f aca="false">IF(G103&gt;=H103,"OK","FLOOR ALTI")</f>
        <v>OK</v>
      </c>
    </row>
    <row r="104" customFormat="false" ht="15" hidden="false" customHeight="true" outlineLevel="0" collapsed="false">
      <c r="A104" s="10" t="n">
        <v>9</v>
      </c>
      <c r="B104" s="10" t="n">
        <v>15</v>
      </c>
      <c r="C104" s="11" t="n">
        <v>14.59</v>
      </c>
      <c r="D104" s="12" t="n">
        <f aca="false">ROUND(C104*ASM!$B$8*ASM!$B$12*(1+ASM!$B$3)+ASM!$B$4+ASM!$B$5+ASM!$B$6,2)</f>
        <v>1256.8</v>
      </c>
      <c r="E104" s="10" t="n">
        <f aca="false">ROUND(D104*ASM!$B$7,0)</f>
        <v>1948</v>
      </c>
      <c r="F104" s="13" t="n">
        <f aca="false">CEILING(E104/0.75,5)</f>
        <v>2600</v>
      </c>
      <c r="G104" s="12" t="n">
        <f aca="false">F104*0.75</f>
        <v>1950</v>
      </c>
      <c r="H104" s="10" t="n">
        <f aca="false">ROUND((D104+0.45)/(1-ASM!$B$9),0)</f>
        <v>1405</v>
      </c>
      <c r="I104" s="10" t="n">
        <f aca="false">ROUND((D104+0.45)/(1-ASM!$B$9-ASM!$B$10),0)</f>
        <v>1688</v>
      </c>
      <c r="J104" s="10" t="str">
        <f aca="false">IF(G104&gt;=H104,"OK","FLOOR ALTI")</f>
        <v>OK</v>
      </c>
    </row>
    <row r="105" customFormat="false" ht="15" hidden="false" customHeight="true" outlineLevel="0" collapsed="false">
      <c r="A105" s="10" t="n">
        <v>9</v>
      </c>
      <c r="B105" s="10" t="n">
        <v>16</v>
      </c>
      <c r="C105" s="11" t="n">
        <v>15.04</v>
      </c>
      <c r="D105" s="12" t="n">
        <f aca="false">ROUND(C105*ASM!$B$8*ASM!$B$12*(1+ASM!$B$3)+ASM!$B$4+ASM!$B$5+ASM!$B$6,2)</f>
        <v>1293.71</v>
      </c>
      <c r="E105" s="10" t="n">
        <f aca="false">ROUND(D105*ASM!$B$7,0)</f>
        <v>2005</v>
      </c>
      <c r="F105" s="13" t="n">
        <f aca="false">CEILING(E105/0.75,5)</f>
        <v>2675</v>
      </c>
      <c r="G105" s="12" t="n">
        <f aca="false">F105*0.75</f>
        <v>2006.25</v>
      </c>
      <c r="H105" s="10" t="n">
        <f aca="false">ROUND((D105+0.45)/(1-ASM!$B$9),0)</f>
        <v>1446</v>
      </c>
      <c r="I105" s="10" t="n">
        <f aca="false">ROUND((D105+0.45)/(1-ASM!$B$9-ASM!$B$10),0)</f>
        <v>1737</v>
      </c>
      <c r="J105" s="10" t="str">
        <f aca="false">IF(G105&gt;=H105,"OK","FLOOR ALTI")</f>
        <v>OK</v>
      </c>
    </row>
    <row r="106" customFormat="false" ht="15" hidden="false" customHeight="true" outlineLevel="0" collapsed="false">
      <c r="A106" s="10" t="n">
        <v>10</v>
      </c>
      <c r="B106" s="10" t="n">
        <v>4</v>
      </c>
      <c r="C106" s="11" t="n">
        <v>10.68</v>
      </c>
      <c r="D106" s="12" t="n">
        <f aca="false">ROUND(C106*ASM!$B$8*ASM!$B$12*(1+ASM!$B$3)+ASM!$B$4+ASM!$B$5+ASM!$B$6,2)</f>
        <v>936.07</v>
      </c>
      <c r="E106" s="10" t="n">
        <f aca="false">ROUND(D106*ASM!$B$7,0)</f>
        <v>1451</v>
      </c>
      <c r="F106" s="13" t="n">
        <f aca="false">CEILING(E106/0.75,5)</f>
        <v>1935</v>
      </c>
      <c r="G106" s="12" t="n">
        <f aca="false">F106*0.75</f>
        <v>1451.25</v>
      </c>
      <c r="H106" s="10" t="n">
        <f aca="false">ROUND((D106+0.45)/(1-ASM!$B$9),0)</f>
        <v>1046</v>
      </c>
      <c r="I106" s="10" t="n">
        <f aca="false">ROUND((D106+0.45)/(1-ASM!$B$9-ASM!$B$10),0)</f>
        <v>1257</v>
      </c>
      <c r="J106" s="10" t="str">
        <f aca="false">IF(G106&gt;=H106,"OK","FLOOR ALTI")</f>
        <v>OK</v>
      </c>
    </row>
    <row r="107" customFormat="false" ht="15" hidden="false" customHeight="true" outlineLevel="0" collapsed="false">
      <c r="A107" s="10" t="n">
        <v>10</v>
      </c>
      <c r="B107" s="10" t="n">
        <v>5</v>
      </c>
      <c r="C107" s="11" t="n">
        <v>11.18</v>
      </c>
      <c r="D107" s="12" t="n">
        <f aca="false">ROUND(C107*ASM!$B$8*ASM!$B$12*(1+ASM!$B$3)+ASM!$B$4+ASM!$B$5+ASM!$B$6,2)</f>
        <v>977.08</v>
      </c>
      <c r="E107" s="10" t="n">
        <f aca="false">ROUND(D107*ASM!$B$7,0)</f>
        <v>1514</v>
      </c>
      <c r="F107" s="13" t="n">
        <f aca="false">CEILING(E107/0.75,5)</f>
        <v>2020</v>
      </c>
      <c r="G107" s="12" t="n">
        <f aca="false">F107*0.75</f>
        <v>1515</v>
      </c>
      <c r="H107" s="10" t="n">
        <f aca="false">ROUND((D107+0.45)/(1-ASM!$B$9),0)</f>
        <v>1092</v>
      </c>
      <c r="I107" s="10" t="n">
        <f aca="false">ROUND((D107+0.45)/(1-ASM!$B$9-ASM!$B$10),0)</f>
        <v>1312</v>
      </c>
      <c r="J107" s="10" t="str">
        <f aca="false">IF(G107&gt;=H107,"OK","FLOOR ALTI")</f>
        <v>OK</v>
      </c>
    </row>
    <row r="108" customFormat="false" ht="15" hidden="false" customHeight="true" outlineLevel="0" collapsed="false">
      <c r="A108" s="10" t="n">
        <v>10</v>
      </c>
      <c r="B108" s="10" t="n">
        <v>6</v>
      </c>
      <c r="C108" s="11" t="n">
        <v>11.69</v>
      </c>
      <c r="D108" s="12" t="n">
        <f aca="false">ROUND(C108*ASM!$B$8*ASM!$B$12*(1+ASM!$B$3)+ASM!$B$4+ASM!$B$5+ASM!$B$6,2)</f>
        <v>1018.92</v>
      </c>
      <c r="E108" s="10" t="n">
        <f aca="false">ROUND(D108*ASM!$B$7,0)</f>
        <v>1579</v>
      </c>
      <c r="F108" s="13" t="n">
        <f aca="false">CEILING(E108/0.75,5)</f>
        <v>2110</v>
      </c>
      <c r="G108" s="12" t="n">
        <f aca="false">F108*0.75</f>
        <v>1582.5</v>
      </c>
      <c r="H108" s="10" t="n">
        <f aca="false">ROUND((D108+0.45)/(1-ASM!$B$9),0)</f>
        <v>1139</v>
      </c>
      <c r="I108" s="10" t="n">
        <f aca="false">ROUND((D108+0.45)/(1-ASM!$B$9-ASM!$B$10),0)</f>
        <v>1368</v>
      </c>
      <c r="J108" s="10" t="str">
        <f aca="false">IF(G108&gt;=H108,"OK","FLOOR ALTI")</f>
        <v>OK</v>
      </c>
    </row>
    <row r="109" customFormat="false" ht="15" hidden="false" customHeight="true" outlineLevel="0" collapsed="false">
      <c r="A109" s="10" t="n">
        <v>10</v>
      </c>
      <c r="B109" s="10" t="n">
        <v>7</v>
      </c>
      <c r="C109" s="11" t="n">
        <v>12.19</v>
      </c>
      <c r="D109" s="12" t="n">
        <f aca="false">ROUND(C109*ASM!$B$8*ASM!$B$12*(1+ASM!$B$3)+ASM!$B$4+ASM!$B$5+ASM!$B$6,2)</f>
        <v>1059.93</v>
      </c>
      <c r="E109" s="10" t="n">
        <f aca="false">ROUND(D109*ASM!$B$7,0)</f>
        <v>1643</v>
      </c>
      <c r="F109" s="13" t="n">
        <f aca="false">CEILING(E109/0.75,5)</f>
        <v>2195</v>
      </c>
      <c r="G109" s="12" t="n">
        <f aca="false">F109*0.75</f>
        <v>1646.25</v>
      </c>
      <c r="H109" s="10" t="n">
        <f aca="false">ROUND((D109+0.45)/(1-ASM!$B$9),0)</f>
        <v>1185</v>
      </c>
      <c r="I109" s="10" t="n">
        <f aca="false">ROUND((D109+0.45)/(1-ASM!$B$9-ASM!$B$10),0)</f>
        <v>1423</v>
      </c>
      <c r="J109" s="10" t="str">
        <f aca="false">IF(G109&gt;=H109,"OK","FLOOR ALTI")</f>
        <v>OK</v>
      </c>
    </row>
    <row r="110" customFormat="false" ht="15" hidden="false" customHeight="true" outlineLevel="0" collapsed="false">
      <c r="A110" s="10" t="n">
        <v>10</v>
      </c>
      <c r="B110" s="10" t="n">
        <v>8</v>
      </c>
      <c r="C110" s="11" t="n">
        <v>12.69</v>
      </c>
      <c r="D110" s="12" t="n">
        <f aca="false">ROUND(C110*ASM!$B$8*ASM!$B$12*(1+ASM!$B$3)+ASM!$B$4+ASM!$B$5+ASM!$B$6,2)</f>
        <v>1100.95</v>
      </c>
      <c r="E110" s="10" t="n">
        <f aca="false">ROUND(D110*ASM!$B$7,0)</f>
        <v>1706</v>
      </c>
      <c r="F110" s="13" t="n">
        <f aca="false">CEILING(E110/0.75,5)</f>
        <v>2275</v>
      </c>
      <c r="G110" s="12" t="n">
        <f aca="false">F110*0.75</f>
        <v>1706.25</v>
      </c>
      <c r="H110" s="10" t="n">
        <f aca="false">ROUND((D110+0.45)/(1-ASM!$B$9),0)</f>
        <v>1231</v>
      </c>
      <c r="I110" s="10" t="n">
        <f aca="false">ROUND((D110+0.45)/(1-ASM!$B$9-ASM!$B$10),0)</f>
        <v>1478</v>
      </c>
      <c r="J110" s="10" t="str">
        <f aca="false">IF(G110&gt;=H110,"OK","FLOOR ALTI")</f>
        <v>OK</v>
      </c>
    </row>
    <row r="111" customFormat="false" ht="15" hidden="false" customHeight="true" outlineLevel="0" collapsed="false">
      <c r="A111" s="10" t="n">
        <v>10</v>
      </c>
      <c r="B111" s="10" t="n">
        <v>9</v>
      </c>
      <c r="C111" s="11" t="n">
        <v>13.19</v>
      </c>
      <c r="D111" s="12" t="n">
        <f aca="false">ROUND(C111*ASM!$B$8*ASM!$B$12*(1+ASM!$B$3)+ASM!$B$4+ASM!$B$5+ASM!$B$6,2)</f>
        <v>1141.96</v>
      </c>
      <c r="E111" s="10" t="n">
        <f aca="false">ROUND(D111*ASM!$B$7,0)</f>
        <v>1770</v>
      </c>
      <c r="F111" s="13" t="n">
        <f aca="false">CEILING(E111/0.75,5)</f>
        <v>2360</v>
      </c>
      <c r="G111" s="12" t="n">
        <f aca="false">F111*0.75</f>
        <v>1770</v>
      </c>
      <c r="H111" s="10" t="n">
        <f aca="false">ROUND((D111+0.45)/(1-ASM!$B$9),0)</f>
        <v>1276</v>
      </c>
      <c r="I111" s="10" t="n">
        <f aca="false">ROUND((D111+0.45)/(1-ASM!$B$9-ASM!$B$10),0)</f>
        <v>1533</v>
      </c>
      <c r="J111" s="10" t="str">
        <f aca="false">IF(G111&gt;=H111,"OK","FLOOR ALTI")</f>
        <v>OK</v>
      </c>
    </row>
    <row r="112" customFormat="false" ht="15" hidden="false" customHeight="true" outlineLevel="0" collapsed="false">
      <c r="A112" s="10" t="n">
        <v>10</v>
      </c>
      <c r="B112" s="10" t="n">
        <v>10</v>
      </c>
      <c r="C112" s="11" t="n">
        <v>13.7</v>
      </c>
      <c r="D112" s="12" t="n">
        <f aca="false">ROUND(C112*ASM!$B$8*ASM!$B$12*(1+ASM!$B$3)+ASM!$B$4+ASM!$B$5+ASM!$B$6,2)</f>
        <v>1183.79</v>
      </c>
      <c r="E112" s="10" t="n">
        <f aca="false">ROUND(D112*ASM!$B$7,0)</f>
        <v>1835</v>
      </c>
      <c r="F112" s="13" t="n">
        <f aca="false">CEILING(E112/0.75,5)</f>
        <v>2450</v>
      </c>
      <c r="G112" s="12" t="n">
        <f aca="false">F112*0.75</f>
        <v>1837.5</v>
      </c>
      <c r="H112" s="10" t="n">
        <f aca="false">ROUND((D112+0.45)/(1-ASM!$B$9),0)</f>
        <v>1323</v>
      </c>
      <c r="I112" s="10" t="n">
        <f aca="false">ROUND((D112+0.45)/(1-ASM!$B$9-ASM!$B$10),0)</f>
        <v>1590</v>
      </c>
      <c r="J112" s="10" t="str">
        <f aca="false">IF(G112&gt;=H112,"OK","FLOOR ALTI")</f>
        <v>OK</v>
      </c>
    </row>
    <row r="113" customFormat="false" ht="15" hidden="false" customHeight="true" outlineLevel="0" collapsed="false">
      <c r="A113" s="10" t="n">
        <v>10</v>
      </c>
      <c r="B113" s="10" t="n">
        <v>11</v>
      </c>
      <c r="C113" s="11" t="n">
        <v>14.2</v>
      </c>
      <c r="D113" s="12" t="n">
        <f aca="false">ROUND(C113*ASM!$B$8*ASM!$B$12*(1+ASM!$B$3)+ASM!$B$4+ASM!$B$5+ASM!$B$6,2)</f>
        <v>1224.81</v>
      </c>
      <c r="E113" s="10" t="n">
        <f aca="false">ROUND(D113*ASM!$B$7,0)</f>
        <v>1898</v>
      </c>
      <c r="F113" s="13" t="n">
        <f aca="false">CEILING(E113/0.75,5)</f>
        <v>2535</v>
      </c>
      <c r="G113" s="12" t="n">
        <f aca="false">F113*0.75</f>
        <v>1901.25</v>
      </c>
      <c r="H113" s="10" t="n">
        <f aca="false">ROUND((D113+0.45)/(1-ASM!$B$9),0)</f>
        <v>1369</v>
      </c>
      <c r="I113" s="10" t="n">
        <f aca="false">ROUND((D113+0.45)/(1-ASM!$B$9-ASM!$B$10),0)</f>
        <v>1645</v>
      </c>
      <c r="J113" s="10" t="str">
        <f aca="false">IF(G113&gt;=H113,"OK","FLOOR ALTI")</f>
        <v>OK</v>
      </c>
    </row>
    <row r="114" customFormat="false" ht="15" hidden="false" customHeight="true" outlineLevel="0" collapsed="false">
      <c r="A114" s="10" t="n">
        <v>10</v>
      </c>
      <c r="B114" s="10" t="n">
        <v>12</v>
      </c>
      <c r="C114" s="11" t="n">
        <v>14.7</v>
      </c>
      <c r="D114" s="12" t="n">
        <f aca="false">ROUND(C114*ASM!$B$8*ASM!$B$12*(1+ASM!$B$3)+ASM!$B$4+ASM!$B$5+ASM!$B$6,2)</f>
        <v>1265.82</v>
      </c>
      <c r="E114" s="10" t="n">
        <f aca="false">ROUND(D114*ASM!$B$7,0)</f>
        <v>1962</v>
      </c>
      <c r="F114" s="13" t="n">
        <f aca="false">CEILING(E114/0.75,5)</f>
        <v>2620</v>
      </c>
      <c r="G114" s="12" t="n">
        <f aca="false">F114*0.75</f>
        <v>1965</v>
      </c>
      <c r="H114" s="10" t="n">
        <f aca="false">ROUND((D114+0.45)/(1-ASM!$B$9),0)</f>
        <v>1415</v>
      </c>
      <c r="I114" s="10" t="n">
        <f aca="false">ROUND((D114+0.45)/(1-ASM!$B$9-ASM!$B$10),0)</f>
        <v>1700</v>
      </c>
      <c r="J114" s="10" t="str">
        <f aca="false">IF(G114&gt;=H114,"OK","FLOOR ALTI")</f>
        <v>OK</v>
      </c>
    </row>
    <row r="115" customFormat="false" ht="15" hidden="false" customHeight="true" outlineLevel="0" collapsed="false">
      <c r="A115" s="10" t="n">
        <v>10</v>
      </c>
      <c r="B115" s="10" t="n">
        <v>13</v>
      </c>
      <c r="C115" s="11" t="n">
        <v>15.21</v>
      </c>
      <c r="D115" s="12" t="n">
        <f aca="false">ROUND(C115*ASM!$B$8*ASM!$B$12*(1+ASM!$B$3)+ASM!$B$4+ASM!$B$5+ASM!$B$6,2)</f>
        <v>1307.66</v>
      </c>
      <c r="E115" s="10" t="n">
        <f aca="false">ROUND(D115*ASM!$B$7,0)</f>
        <v>2027</v>
      </c>
      <c r="F115" s="13" t="n">
        <f aca="false">CEILING(E115/0.75,5)</f>
        <v>2705</v>
      </c>
      <c r="G115" s="12" t="n">
        <f aca="false">F115*0.75</f>
        <v>2028.75</v>
      </c>
      <c r="H115" s="10" t="n">
        <f aca="false">ROUND((D115+0.45)/(1-ASM!$B$9),0)</f>
        <v>1462</v>
      </c>
      <c r="I115" s="10" t="n">
        <f aca="false">ROUND((D115+0.45)/(1-ASM!$B$9-ASM!$B$10),0)</f>
        <v>1756</v>
      </c>
      <c r="J115" s="10" t="str">
        <f aca="false">IF(G115&gt;=H115,"OK","FLOOR ALTI")</f>
        <v>OK</v>
      </c>
    </row>
    <row r="116" customFormat="false" ht="15" hidden="false" customHeight="true" outlineLevel="0" collapsed="false">
      <c r="A116" s="10" t="n">
        <v>10</v>
      </c>
      <c r="B116" s="10" t="n">
        <v>14</v>
      </c>
      <c r="C116" s="11" t="n">
        <v>15.71</v>
      </c>
      <c r="D116" s="12" t="n">
        <f aca="false">ROUND(C116*ASM!$B$8*ASM!$B$12*(1+ASM!$B$3)+ASM!$B$4+ASM!$B$5+ASM!$B$6,2)</f>
        <v>1348.67</v>
      </c>
      <c r="E116" s="10" t="n">
        <f aca="false">ROUND(D116*ASM!$B$7,0)</f>
        <v>2090</v>
      </c>
      <c r="F116" s="13" t="n">
        <f aca="false">CEILING(E116/0.75,5)</f>
        <v>2790</v>
      </c>
      <c r="G116" s="12" t="n">
        <f aca="false">F116*0.75</f>
        <v>2092.5</v>
      </c>
      <c r="H116" s="10" t="n">
        <f aca="false">ROUND((D116+0.45)/(1-ASM!$B$9),0)</f>
        <v>1507</v>
      </c>
      <c r="I116" s="10" t="n">
        <f aca="false">ROUND((D116+0.45)/(1-ASM!$B$9-ASM!$B$10),0)</f>
        <v>1811</v>
      </c>
      <c r="J116" s="10" t="str">
        <f aca="false">IF(G116&gt;=H116,"OK","FLOOR ALTI")</f>
        <v>OK</v>
      </c>
    </row>
    <row r="117" customFormat="false" ht="15" hidden="false" customHeight="true" outlineLevel="0" collapsed="false">
      <c r="A117" s="10" t="n">
        <v>10</v>
      </c>
      <c r="B117" s="10" t="n">
        <v>15</v>
      </c>
      <c r="C117" s="11" t="n">
        <v>16.21</v>
      </c>
      <c r="D117" s="12" t="n">
        <f aca="false">ROUND(C117*ASM!$B$8*ASM!$B$12*(1+ASM!$B$3)+ASM!$B$4+ASM!$B$5+ASM!$B$6,2)</f>
        <v>1389.69</v>
      </c>
      <c r="E117" s="10" t="n">
        <f aca="false">ROUND(D117*ASM!$B$7,0)</f>
        <v>2154</v>
      </c>
      <c r="F117" s="13" t="n">
        <f aca="false">CEILING(E117/0.75,5)</f>
        <v>2875</v>
      </c>
      <c r="G117" s="12" t="n">
        <f aca="false">F117*0.75</f>
        <v>2156.25</v>
      </c>
      <c r="H117" s="10" t="n">
        <f aca="false">ROUND((D117+0.45)/(1-ASM!$B$9),0)</f>
        <v>1553</v>
      </c>
      <c r="I117" s="10" t="n">
        <f aca="false">ROUND((D117+0.45)/(1-ASM!$B$9-ASM!$B$10),0)</f>
        <v>1866</v>
      </c>
      <c r="J117" s="10" t="str">
        <f aca="false">IF(G117&gt;=H117,"OK","FLOOR ALTI")</f>
        <v>OK</v>
      </c>
    </row>
    <row r="118" customFormat="false" ht="15" hidden="false" customHeight="true" outlineLevel="0" collapsed="false">
      <c r="A118" s="10" t="n">
        <v>10</v>
      </c>
      <c r="B118" s="10" t="n">
        <v>16</v>
      </c>
      <c r="C118" s="11" t="n">
        <v>16.71</v>
      </c>
      <c r="D118" s="12" t="n">
        <f aca="false">ROUND(C118*ASM!$B$8*ASM!$B$12*(1+ASM!$B$3)+ASM!$B$4+ASM!$B$5+ASM!$B$6,2)</f>
        <v>1430.7</v>
      </c>
      <c r="E118" s="10" t="n">
        <f aca="false">ROUND(D118*ASM!$B$7,0)</f>
        <v>2218</v>
      </c>
      <c r="F118" s="13" t="n">
        <f aca="false">CEILING(E118/0.75,5)</f>
        <v>2960</v>
      </c>
      <c r="G118" s="12" t="n">
        <f aca="false">F118*0.75</f>
        <v>2220</v>
      </c>
      <c r="H118" s="10" t="n">
        <f aca="false">ROUND((D118+0.45)/(1-ASM!$B$9),0)</f>
        <v>1599</v>
      </c>
      <c r="I118" s="10" t="n">
        <f aca="false">ROUND((D118+0.45)/(1-ASM!$B$9-ASM!$B$10),0)</f>
        <v>1921</v>
      </c>
      <c r="J118" s="10" t="str">
        <f aca="false">IF(G118&gt;=H118,"OK","FLOOR ALTI")</f>
        <v>OK</v>
      </c>
    </row>
    <row r="119" customFormat="false" ht="15" hidden="false" customHeight="true" outlineLevel="0" collapsed="false">
      <c r="A119" s="10" t="n">
        <v>11</v>
      </c>
      <c r="B119" s="10" t="n">
        <v>4</v>
      </c>
      <c r="C119" s="11" t="n">
        <v>11.75</v>
      </c>
      <c r="D119" s="12" t="n">
        <f aca="false">ROUND(C119*ASM!$B$8*ASM!$B$12*(1+ASM!$B$3)+ASM!$B$4+ASM!$B$5+ASM!$B$6,2)</f>
        <v>1023.84</v>
      </c>
      <c r="E119" s="10" t="n">
        <f aca="false">ROUND(D119*ASM!$B$7,0)</f>
        <v>1587</v>
      </c>
      <c r="F119" s="13" t="n">
        <f aca="false">CEILING(E119/0.75,5)</f>
        <v>2120</v>
      </c>
      <c r="G119" s="12" t="n">
        <f aca="false">F119*0.75</f>
        <v>1590</v>
      </c>
      <c r="H119" s="10" t="n">
        <f aca="false">ROUND((D119+0.45)/(1-ASM!$B$9),0)</f>
        <v>1144</v>
      </c>
      <c r="I119" s="10" t="n">
        <f aca="false">ROUND((D119+0.45)/(1-ASM!$B$9-ASM!$B$10),0)</f>
        <v>1375</v>
      </c>
      <c r="J119" s="10" t="str">
        <f aca="false">IF(G119&gt;=H119,"OK","FLOOR ALTI")</f>
        <v>OK</v>
      </c>
    </row>
    <row r="120" customFormat="false" ht="15" hidden="false" customHeight="true" outlineLevel="0" collapsed="false">
      <c r="A120" s="10" t="n">
        <v>11</v>
      </c>
      <c r="B120" s="10" t="n">
        <v>5</v>
      </c>
      <c r="C120" s="11" t="n">
        <v>12.3</v>
      </c>
      <c r="D120" s="12" t="n">
        <f aca="false">ROUND(C120*ASM!$B$8*ASM!$B$12*(1+ASM!$B$3)+ASM!$B$4+ASM!$B$5+ASM!$B$6,2)</f>
        <v>1068.95</v>
      </c>
      <c r="E120" s="10" t="n">
        <f aca="false">ROUND(D120*ASM!$B$7,0)</f>
        <v>1657</v>
      </c>
      <c r="F120" s="13" t="n">
        <f aca="false">CEILING(E120/0.75,5)</f>
        <v>2210</v>
      </c>
      <c r="G120" s="12" t="n">
        <f aca="false">F120*0.75</f>
        <v>1657.5</v>
      </c>
      <c r="H120" s="10" t="n">
        <f aca="false">ROUND((D120+0.45)/(1-ASM!$B$9),0)</f>
        <v>1195</v>
      </c>
      <c r="I120" s="10" t="n">
        <f aca="false">ROUND((D120+0.45)/(1-ASM!$B$9-ASM!$B$10),0)</f>
        <v>1435</v>
      </c>
      <c r="J120" s="10" t="str">
        <f aca="false">IF(G120&gt;=H120,"OK","FLOOR ALTI")</f>
        <v>OK</v>
      </c>
    </row>
    <row r="121" customFormat="false" ht="15" hidden="false" customHeight="true" outlineLevel="0" collapsed="false">
      <c r="A121" s="10" t="n">
        <v>11</v>
      </c>
      <c r="B121" s="10" t="n">
        <v>6</v>
      </c>
      <c r="C121" s="11" t="n">
        <v>12.86</v>
      </c>
      <c r="D121" s="12" t="n">
        <f aca="false">ROUND(C121*ASM!$B$8*ASM!$B$12*(1+ASM!$B$3)+ASM!$B$4+ASM!$B$5+ASM!$B$6,2)</f>
        <v>1114.89</v>
      </c>
      <c r="E121" s="10" t="n">
        <f aca="false">ROUND(D121*ASM!$B$7,0)</f>
        <v>1728</v>
      </c>
      <c r="F121" s="13" t="n">
        <f aca="false">CEILING(E121/0.75,5)</f>
        <v>2305</v>
      </c>
      <c r="G121" s="12" t="n">
        <f aca="false">F121*0.75</f>
        <v>1728.75</v>
      </c>
      <c r="H121" s="10" t="n">
        <f aca="false">ROUND((D121+0.45)/(1-ASM!$B$9),0)</f>
        <v>1246</v>
      </c>
      <c r="I121" s="10" t="n">
        <f aca="false">ROUND((D121+0.45)/(1-ASM!$B$9-ASM!$B$10),0)</f>
        <v>1497</v>
      </c>
      <c r="J121" s="10" t="str">
        <f aca="false">IF(G121&gt;=H121,"OK","FLOOR ALTI")</f>
        <v>OK</v>
      </c>
    </row>
    <row r="122" customFormat="false" ht="15" hidden="false" customHeight="true" outlineLevel="0" collapsed="false">
      <c r="A122" s="10" t="n">
        <v>11</v>
      </c>
      <c r="B122" s="10" t="n">
        <v>7</v>
      </c>
      <c r="C122" s="11" t="n">
        <v>13.41</v>
      </c>
      <c r="D122" s="12" t="n">
        <f aca="false">ROUND(C122*ASM!$B$8*ASM!$B$12*(1+ASM!$B$3)+ASM!$B$4+ASM!$B$5+ASM!$B$6,2)</f>
        <v>1160.01</v>
      </c>
      <c r="E122" s="10" t="n">
        <f aca="false">ROUND(D122*ASM!$B$7,0)</f>
        <v>1798</v>
      </c>
      <c r="F122" s="13" t="n">
        <f aca="false">CEILING(E122/0.75,5)</f>
        <v>2400</v>
      </c>
      <c r="G122" s="12" t="n">
        <f aca="false">F122*0.75</f>
        <v>1800</v>
      </c>
      <c r="H122" s="10" t="n">
        <f aca="false">ROUND((D122+0.45)/(1-ASM!$B$9),0)</f>
        <v>1297</v>
      </c>
      <c r="I122" s="10" t="n">
        <f aca="false">ROUND((D122+0.45)/(1-ASM!$B$9-ASM!$B$10),0)</f>
        <v>1558</v>
      </c>
      <c r="J122" s="10" t="str">
        <f aca="false">IF(G122&gt;=H122,"OK","FLOOR ALTI")</f>
        <v>OK</v>
      </c>
    </row>
    <row r="123" customFormat="false" ht="15" hidden="false" customHeight="true" outlineLevel="0" collapsed="false">
      <c r="A123" s="10" t="n">
        <v>11</v>
      </c>
      <c r="B123" s="10" t="n">
        <v>8</v>
      </c>
      <c r="C123" s="11" t="n">
        <v>13.96</v>
      </c>
      <c r="D123" s="12" t="n">
        <f aca="false">ROUND(C123*ASM!$B$8*ASM!$B$12*(1+ASM!$B$3)+ASM!$B$4+ASM!$B$5+ASM!$B$6,2)</f>
        <v>1205.12</v>
      </c>
      <c r="E123" s="10" t="n">
        <f aca="false">ROUND(D123*ASM!$B$7,0)</f>
        <v>1868</v>
      </c>
      <c r="F123" s="13" t="n">
        <f aca="false">CEILING(E123/0.75,5)</f>
        <v>2495</v>
      </c>
      <c r="G123" s="12" t="n">
        <f aca="false">F123*0.75</f>
        <v>1871.25</v>
      </c>
      <c r="H123" s="10" t="n">
        <f aca="false">ROUND((D123+0.45)/(1-ASM!$B$9),0)</f>
        <v>1347</v>
      </c>
      <c r="I123" s="10" t="n">
        <f aca="false">ROUND((D123+0.45)/(1-ASM!$B$9-ASM!$B$10),0)</f>
        <v>1618</v>
      </c>
      <c r="J123" s="10" t="str">
        <f aca="false">IF(G123&gt;=H123,"OK","FLOOR ALTI")</f>
        <v>OK</v>
      </c>
    </row>
    <row r="124" customFormat="false" ht="15" hidden="false" customHeight="true" outlineLevel="0" collapsed="false">
      <c r="A124" s="10" t="n">
        <v>11</v>
      </c>
      <c r="B124" s="10" t="n">
        <v>9</v>
      </c>
      <c r="C124" s="11" t="n">
        <v>14.51</v>
      </c>
      <c r="D124" s="12" t="n">
        <f aca="false">ROUND(C124*ASM!$B$8*ASM!$B$12*(1+ASM!$B$3)+ASM!$B$4+ASM!$B$5+ASM!$B$6,2)</f>
        <v>1250.24</v>
      </c>
      <c r="E124" s="10" t="n">
        <f aca="false">ROUND(D124*ASM!$B$7,0)</f>
        <v>1938</v>
      </c>
      <c r="F124" s="13" t="n">
        <f aca="false">CEILING(E124/0.75,5)</f>
        <v>2585</v>
      </c>
      <c r="G124" s="12" t="n">
        <f aca="false">F124*0.75</f>
        <v>1938.75</v>
      </c>
      <c r="H124" s="10" t="n">
        <f aca="false">ROUND((D124+0.45)/(1-ASM!$B$9),0)</f>
        <v>1397</v>
      </c>
      <c r="I124" s="10" t="n">
        <f aca="false">ROUND((D124+0.45)/(1-ASM!$B$9-ASM!$B$10),0)</f>
        <v>1679</v>
      </c>
      <c r="J124" s="10" t="str">
        <f aca="false">IF(G124&gt;=H124,"OK","FLOOR ALTI")</f>
        <v>OK</v>
      </c>
    </row>
    <row r="125" customFormat="false" ht="15" hidden="false" customHeight="true" outlineLevel="0" collapsed="false">
      <c r="A125" s="10" t="n">
        <v>11</v>
      </c>
      <c r="B125" s="10" t="n">
        <v>10</v>
      </c>
      <c r="C125" s="11" t="n">
        <v>15.07</v>
      </c>
      <c r="D125" s="12" t="n">
        <f aca="false">ROUND(C125*ASM!$B$8*ASM!$B$12*(1+ASM!$B$3)+ASM!$B$4+ASM!$B$5+ASM!$B$6,2)</f>
        <v>1296.17</v>
      </c>
      <c r="E125" s="10" t="n">
        <f aca="false">ROUND(D125*ASM!$B$7,0)</f>
        <v>2009</v>
      </c>
      <c r="F125" s="13" t="n">
        <f aca="false">CEILING(E125/0.75,5)</f>
        <v>2680</v>
      </c>
      <c r="G125" s="12" t="n">
        <f aca="false">F125*0.75</f>
        <v>2010</v>
      </c>
      <c r="H125" s="10" t="n">
        <f aca="false">ROUND((D125+0.45)/(1-ASM!$B$9),0)</f>
        <v>1449</v>
      </c>
      <c r="I125" s="10" t="n">
        <f aca="false">ROUND((D125+0.45)/(1-ASM!$B$9-ASM!$B$10),0)</f>
        <v>1740</v>
      </c>
      <c r="J125" s="10" t="str">
        <f aca="false">IF(G125&gt;=H125,"OK","FLOOR ALTI")</f>
        <v>OK</v>
      </c>
    </row>
    <row r="126" customFormat="false" ht="15" hidden="false" customHeight="true" outlineLevel="0" collapsed="false">
      <c r="A126" s="10" t="n">
        <v>11</v>
      </c>
      <c r="B126" s="10" t="n">
        <v>11</v>
      </c>
      <c r="C126" s="11" t="n">
        <v>15.62</v>
      </c>
      <c r="D126" s="12" t="n">
        <f aca="false">ROUND(C126*ASM!$B$8*ASM!$B$12*(1+ASM!$B$3)+ASM!$B$4+ASM!$B$5+ASM!$B$6,2)</f>
        <v>1341.29</v>
      </c>
      <c r="E126" s="10" t="n">
        <f aca="false">ROUND(D126*ASM!$B$7,0)</f>
        <v>2079</v>
      </c>
      <c r="F126" s="13" t="n">
        <f aca="false">CEILING(E126/0.75,5)</f>
        <v>2775</v>
      </c>
      <c r="G126" s="12" t="n">
        <f aca="false">F126*0.75</f>
        <v>2081.25</v>
      </c>
      <c r="H126" s="10" t="n">
        <f aca="false">ROUND((D126+0.45)/(1-ASM!$B$9),0)</f>
        <v>1499</v>
      </c>
      <c r="I126" s="10" t="n">
        <f aca="false">ROUND((D126+0.45)/(1-ASM!$B$9-ASM!$B$10),0)</f>
        <v>1801</v>
      </c>
      <c r="J126" s="10" t="str">
        <f aca="false">IF(G126&gt;=H126,"OK","FLOOR ALTI")</f>
        <v>OK</v>
      </c>
    </row>
    <row r="127" customFormat="false" ht="15" hidden="false" customHeight="true" outlineLevel="0" collapsed="false">
      <c r="A127" s="10" t="n">
        <v>11</v>
      </c>
      <c r="B127" s="10" t="n">
        <v>12</v>
      </c>
      <c r="C127" s="11" t="n">
        <v>16.17</v>
      </c>
      <c r="D127" s="12" t="n">
        <f aca="false">ROUND(C127*ASM!$B$8*ASM!$B$12*(1+ASM!$B$3)+ASM!$B$4+ASM!$B$5+ASM!$B$6,2)</f>
        <v>1386.41</v>
      </c>
      <c r="E127" s="10" t="n">
        <f aca="false">ROUND(D127*ASM!$B$7,0)</f>
        <v>2149</v>
      </c>
      <c r="F127" s="13" t="n">
        <f aca="false">CEILING(E127/0.75,5)</f>
        <v>2870</v>
      </c>
      <c r="G127" s="12" t="n">
        <f aca="false">F127*0.75</f>
        <v>2152.5</v>
      </c>
      <c r="H127" s="10" t="n">
        <f aca="false">ROUND((D127+0.45)/(1-ASM!$B$9),0)</f>
        <v>1550</v>
      </c>
      <c r="I127" s="10" t="n">
        <f aca="false">ROUND((D127+0.45)/(1-ASM!$B$9-ASM!$B$10),0)</f>
        <v>1862</v>
      </c>
      <c r="J127" s="10" t="str">
        <f aca="false">IF(G127&gt;=H127,"OK","FLOOR ALTI")</f>
        <v>OK</v>
      </c>
    </row>
    <row r="128" customFormat="false" ht="15" hidden="false" customHeight="true" outlineLevel="0" collapsed="false">
      <c r="A128" s="10" t="n">
        <v>11</v>
      </c>
      <c r="B128" s="10" t="n">
        <v>13</v>
      </c>
      <c r="C128" s="11" t="n">
        <v>16.73</v>
      </c>
      <c r="D128" s="12" t="n">
        <f aca="false">ROUND(C128*ASM!$B$8*ASM!$B$12*(1+ASM!$B$3)+ASM!$B$4+ASM!$B$5+ASM!$B$6,2)</f>
        <v>1432.34</v>
      </c>
      <c r="E128" s="10" t="n">
        <f aca="false">ROUND(D128*ASM!$B$7,0)</f>
        <v>2220</v>
      </c>
      <c r="F128" s="13" t="n">
        <f aca="false">CEILING(E128/0.75,5)</f>
        <v>2960</v>
      </c>
      <c r="G128" s="12" t="n">
        <f aca="false">F128*0.75</f>
        <v>2220</v>
      </c>
      <c r="H128" s="10" t="n">
        <f aca="false">ROUND((D128+0.45)/(1-ASM!$B$9),0)</f>
        <v>1601</v>
      </c>
      <c r="I128" s="10" t="n">
        <f aca="false">ROUND((D128+0.45)/(1-ASM!$B$9-ASM!$B$10),0)</f>
        <v>1923</v>
      </c>
      <c r="J128" s="10" t="str">
        <f aca="false">IF(G128&gt;=H128,"OK","FLOOR ALTI")</f>
        <v>OK</v>
      </c>
    </row>
    <row r="129" customFormat="false" ht="15" hidden="false" customHeight="true" outlineLevel="0" collapsed="false">
      <c r="A129" s="10" t="n">
        <v>11</v>
      </c>
      <c r="B129" s="10" t="n">
        <v>14</v>
      </c>
      <c r="C129" s="11" t="n">
        <v>17.28</v>
      </c>
      <c r="D129" s="12" t="n">
        <f aca="false">ROUND(C129*ASM!$B$8*ASM!$B$12*(1+ASM!$B$3)+ASM!$B$4+ASM!$B$5+ASM!$B$6,2)</f>
        <v>1477.46</v>
      </c>
      <c r="E129" s="10" t="n">
        <f aca="false">ROUND(D129*ASM!$B$7,0)</f>
        <v>2290</v>
      </c>
      <c r="F129" s="13" t="n">
        <f aca="false">CEILING(E129/0.75,5)</f>
        <v>3055</v>
      </c>
      <c r="G129" s="12" t="n">
        <f aca="false">F129*0.75</f>
        <v>2291.25</v>
      </c>
      <c r="H129" s="10" t="n">
        <f aca="false">ROUND((D129+0.45)/(1-ASM!$B$9),0)</f>
        <v>1651</v>
      </c>
      <c r="I129" s="10" t="n">
        <f aca="false">ROUND((D129+0.45)/(1-ASM!$B$9-ASM!$B$10),0)</f>
        <v>1984</v>
      </c>
      <c r="J129" s="10" t="str">
        <f aca="false">IF(G129&gt;=H129,"OK","FLOOR ALTI")</f>
        <v>OK</v>
      </c>
    </row>
    <row r="130" customFormat="false" ht="15" hidden="false" customHeight="true" outlineLevel="0" collapsed="false">
      <c r="A130" s="10" t="n">
        <v>11</v>
      </c>
      <c r="B130" s="10" t="n">
        <v>15</v>
      </c>
      <c r="C130" s="11" t="n">
        <v>17.83</v>
      </c>
      <c r="D130" s="12" t="n">
        <f aca="false">ROUND(C130*ASM!$B$8*ASM!$B$12*(1+ASM!$B$3)+ASM!$B$4+ASM!$B$5+ASM!$B$6,2)</f>
        <v>1522.57</v>
      </c>
      <c r="E130" s="10" t="n">
        <f aca="false">ROUND(D130*ASM!$B$7,0)</f>
        <v>2360</v>
      </c>
      <c r="F130" s="13" t="n">
        <f aca="false">CEILING(E130/0.75,5)</f>
        <v>3150</v>
      </c>
      <c r="G130" s="12" t="n">
        <f aca="false">F130*0.75</f>
        <v>2362.5</v>
      </c>
      <c r="H130" s="10" t="n">
        <f aca="false">ROUND((D130+0.45)/(1-ASM!$B$9),0)</f>
        <v>1702</v>
      </c>
      <c r="I130" s="10" t="n">
        <f aca="false">ROUND((D130+0.45)/(1-ASM!$B$9-ASM!$B$10),0)</f>
        <v>2044</v>
      </c>
      <c r="J130" s="10" t="str">
        <f aca="false">IF(G130&gt;=H130,"OK","FLOOR ALTI")</f>
        <v>OK</v>
      </c>
    </row>
    <row r="131" customFormat="false" ht="15" hidden="false" customHeight="true" outlineLevel="0" collapsed="false">
      <c r="A131" s="10" t="n">
        <v>11</v>
      </c>
      <c r="B131" s="10" t="n">
        <v>16</v>
      </c>
      <c r="C131" s="11" t="n">
        <v>18.38</v>
      </c>
      <c r="D131" s="12" t="n">
        <f aca="false">ROUND(C131*ASM!$B$8*ASM!$B$12*(1+ASM!$B$3)+ASM!$B$4+ASM!$B$5+ASM!$B$6,2)</f>
        <v>1567.69</v>
      </c>
      <c r="E131" s="10" t="n">
        <f aca="false">ROUND(D131*ASM!$B$7,0)</f>
        <v>2430</v>
      </c>
      <c r="F131" s="13" t="n">
        <f aca="false">CEILING(E131/0.75,5)</f>
        <v>3240</v>
      </c>
      <c r="G131" s="12" t="n">
        <f aca="false">F131*0.75</f>
        <v>2430</v>
      </c>
      <c r="H131" s="10" t="n">
        <f aca="false">ROUND((D131+0.45)/(1-ASM!$B$9),0)</f>
        <v>1752</v>
      </c>
      <c r="I131" s="10" t="n">
        <f aca="false">ROUND((D131+0.45)/(1-ASM!$B$9-ASM!$B$10),0)</f>
        <v>2105</v>
      </c>
      <c r="J131" s="10" t="str">
        <f aca="false">IF(G131&gt;=H131,"OK","FLOOR ALTI")</f>
        <v>OK</v>
      </c>
    </row>
    <row r="132" customFormat="false" ht="15" hidden="false" customHeight="true" outlineLevel="0" collapsed="false">
      <c r="A132" s="10" t="n">
        <v>12</v>
      </c>
      <c r="B132" s="10" t="n">
        <v>4</v>
      </c>
      <c r="C132" s="11" t="n">
        <v>12.82</v>
      </c>
      <c r="D132" s="12" t="n">
        <f aca="false">ROUND(C132*ASM!$B$8*ASM!$B$12*(1+ASM!$B$3)+ASM!$B$4+ASM!$B$5+ASM!$B$6,2)</f>
        <v>1111.61</v>
      </c>
      <c r="E132" s="10" t="n">
        <f aca="false">ROUND(D132*ASM!$B$7,0)</f>
        <v>1723</v>
      </c>
      <c r="F132" s="13" t="n">
        <f aca="false">CEILING(E132/0.75,5)</f>
        <v>2300</v>
      </c>
      <c r="G132" s="12" t="n">
        <f aca="false">F132*0.75</f>
        <v>1725</v>
      </c>
      <c r="H132" s="10" t="n">
        <f aca="false">ROUND((D132+0.45)/(1-ASM!$B$9),0)</f>
        <v>1243</v>
      </c>
      <c r="I132" s="10" t="n">
        <f aca="false">ROUND((D132+0.45)/(1-ASM!$B$9-ASM!$B$10),0)</f>
        <v>1493</v>
      </c>
      <c r="J132" s="10" t="str">
        <f aca="false">IF(G132&gt;=H132,"OK","FLOOR ALTI")</f>
        <v>OK</v>
      </c>
    </row>
    <row r="133" customFormat="false" ht="15" hidden="false" customHeight="true" outlineLevel="0" collapsed="false">
      <c r="A133" s="10" t="n">
        <v>12</v>
      </c>
      <c r="B133" s="10" t="n">
        <v>5</v>
      </c>
      <c r="C133" s="11" t="n">
        <v>13.42</v>
      </c>
      <c r="D133" s="12" t="n">
        <f aca="false">ROUND(C133*ASM!$B$8*ASM!$B$12*(1+ASM!$B$3)+ASM!$B$4+ASM!$B$5+ASM!$B$6,2)</f>
        <v>1160.83</v>
      </c>
      <c r="E133" s="10" t="n">
        <f aca="false">ROUND(D133*ASM!$B$7,0)</f>
        <v>1799</v>
      </c>
      <c r="F133" s="13" t="n">
        <f aca="false">CEILING(E133/0.75,5)</f>
        <v>2400</v>
      </c>
      <c r="G133" s="12" t="n">
        <f aca="false">F133*0.75</f>
        <v>1800</v>
      </c>
      <c r="H133" s="10" t="n">
        <f aca="false">ROUND((D133+0.45)/(1-ASM!$B$9),0)</f>
        <v>1298</v>
      </c>
      <c r="I133" s="10" t="n">
        <f aca="false">ROUND((D133+0.45)/(1-ASM!$B$9-ASM!$B$10),0)</f>
        <v>1559</v>
      </c>
      <c r="J133" s="10" t="str">
        <f aca="false">IF(G133&gt;=H133,"OK","FLOOR ALTI")</f>
        <v>OK</v>
      </c>
    </row>
    <row r="134" customFormat="false" ht="15" hidden="false" customHeight="true" outlineLevel="0" collapsed="false">
      <c r="A134" s="10" t="n">
        <v>12</v>
      </c>
      <c r="B134" s="10" t="n">
        <v>6</v>
      </c>
      <c r="C134" s="11" t="n">
        <v>14.02</v>
      </c>
      <c r="D134" s="12" t="n">
        <f aca="false">ROUND(C134*ASM!$B$8*ASM!$B$12*(1+ASM!$B$3)+ASM!$B$4+ASM!$B$5+ASM!$B$6,2)</f>
        <v>1210.04</v>
      </c>
      <c r="E134" s="10" t="n">
        <f aca="false">ROUND(D134*ASM!$B$7,0)</f>
        <v>1876</v>
      </c>
      <c r="F134" s="13" t="n">
        <f aca="false">CEILING(E134/0.75,5)</f>
        <v>2505</v>
      </c>
      <c r="G134" s="12" t="n">
        <f aca="false">F134*0.75</f>
        <v>1878.75</v>
      </c>
      <c r="H134" s="10" t="n">
        <f aca="false">ROUND((D134+0.45)/(1-ASM!$B$9),0)</f>
        <v>1353</v>
      </c>
      <c r="I134" s="10" t="n">
        <f aca="false">ROUND((D134+0.45)/(1-ASM!$B$9-ASM!$B$10),0)</f>
        <v>1625</v>
      </c>
      <c r="J134" s="10" t="str">
        <f aca="false">IF(G134&gt;=H134,"OK","FLOOR ALTI")</f>
        <v>OK</v>
      </c>
    </row>
    <row r="135" customFormat="false" ht="15" hidden="false" customHeight="true" outlineLevel="0" collapsed="false">
      <c r="A135" s="10" t="n">
        <v>12</v>
      </c>
      <c r="B135" s="10" t="n">
        <v>7</v>
      </c>
      <c r="C135" s="11" t="n">
        <v>14.63</v>
      </c>
      <c r="D135" s="12" t="n">
        <f aca="false">ROUND(C135*ASM!$B$8*ASM!$B$12*(1+ASM!$B$3)+ASM!$B$4+ASM!$B$5+ASM!$B$6,2)</f>
        <v>1260.08</v>
      </c>
      <c r="E135" s="10" t="n">
        <f aca="false">ROUND(D135*ASM!$B$7,0)</f>
        <v>1953</v>
      </c>
      <c r="F135" s="13" t="n">
        <f aca="false">CEILING(E135/0.75,5)</f>
        <v>2605</v>
      </c>
      <c r="G135" s="12" t="n">
        <f aca="false">F135*0.75</f>
        <v>1953.75</v>
      </c>
      <c r="H135" s="10" t="n">
        <f aca="false">ROUND((D135+0.45)/(1-ASM!$B$9),0)</f>
        <v>1408</v>
      </c>
      <c r="I135" s="10" t="n">
        <f aca="false">ROUND((D135+0.45)/(1-ASM!$B$9-ASM!$B$10),0)</f>
        <v>1692</v>
      </c>
      <c r="J135" s="10" t="str">
        <f aca="false">IF(G135&gt;=H135,"OK","FLOOR ALTI")</f>
        <v>OK</v>
      </c>
    </row>
    <row r="136" customFormat="false" ht="15" hidden="false" customHeight="true" outlineLevel="0" collapsed="false">
      <c r="A136" s="10" t="n">
        <v>12</v>
      </c>
      <c r="B136" s="10" t="n">
        <v>8</v>
      </c>
      <c r="C136" s="11" t="n">
        <v>15.23</v>
      </c>
      <c r="D136" s="12" t="n">
        <f aca="false">ROUND(C136*ASM!$B$8*ASM!$B$12*(1+ASM!$B$3)+ASM!$B$4+ASM!$B$5+ASM!$B$6,2)</f>
        <v>1309.3</v>
      </c>
      <c r="E136" s="10" t="n">
        <f aca="false">ROUND(D136*ASM!$B$7,0)</f>
        <v>2029</v>
      </c>
      <c r="F136" s="13" t="n">
        <f aca="false">CEILING(E136/0.75,5)</f>
        <v>2710</v>
      </c>
      <c r="G136" s="12" t="n">
        <f aca="false">F136*0.75</f>
        <v>2032.5</v>
      </c>
      <c r="H136" s="10" t="n">
        <f aca="false">ROUND((D136+0.45)/(1-ASM!$B$9),0)</f>
        <v>1463</v>
      </c>
      <c r="I136" s="10" t="n">
        <f aca="false">ROUND((D136+0.45)/(1-ASM!$B$9-ASM!$B$10),0)</f>
        <v>1758</v>
      </c>
      <c r="J136" s="10" t="str">
        <f aca="false">IF(G136&gt;=H136,"OK","FLOOR ALTI")</f>
        <v>OK</v>
      </c>
    </row>
    <row r="137" customFormat="false" ht="15" hidden="false" customHeight="true" outlineLevel="0" collapsed="false">
      <c r="A137" s="10" t="n">
        <v>12</v>
      </c>
      <c r="B137" s="10" t="n">
        <v>9</v>
      </c>
      <c r="C137" s="11" t="n">
        <v>15.83</v>
      </c>
      <c r="D137" s="12" t="n">
        <f aca="false">ROUND(C137*ASM!$B$8*ASM!$B$12*(1+ASM!$B$3)+ASM!$B$4+ASM!$B$5+ASM!$B$6,2)</f>
        <v>1358.52</v>
      </c>
      <c r="E137" s="10" t="n">
        <f aca="false">ROUND(D137*ASM!$B$7,0)</f>
        <v>2106</v>
      </c>
      <c r="F137" s="13" t="n">
        <f aca="false">CEILING(E137/0.75,5)</f>
        <v>2810</v>
      </c>
      <c r="G137" s="12" t="n">
        <f aca="false">F137*0.75</f>
        <v>2107.5</v>
      </c>
      <c r="H137" s="10" t="n">
        <f aca="false">ROUND((D137+0.45)/(1-ASM!$B$9),0)</f>
        <v>1518</v>
      </c>
      <c r="I137" s="10" t="n">
        <f aca="false">ROUND((D137+0.45)/(1-ASM!$B$9-ASM!$B$10),0)</f>
        <v>1824</v>
      </c>
      <c r="J137" s="10" t="str">
        <f aca="false">IF(G137&gt;=H137,"OK","FLOOR ALTI")</f>
        <v>OK</v>
      </c>
    </row>
    <row r="138" customFormat="false" ht="15" hidden="false" customHeight="true" outlineLevel="0" collapsed="false">
      <c r="A138" s="10" t="n">
        <v>12</v>
      </c>
      <c r="B138" s="10" t="n">
        <v>10</v>
      </c>
      <c r="C138" s="11" t="n">
        <v>16.44</v>
      </c>
      <c r="D138" s="12" t="n">
        <f aca="false">ROUND(C138*ASM!$B$8*ASM!$B$12*(1+ASM!$B$3)+ASM!$B$4+ASM!$B$5+ASM!$B$6,2)</f>
        <v>1408.55</v>
      </c>
      <c r="E138" s="10" t="n">
        <f aca="false">ROUND(D138*ASM!$B$7,0)</f>
        <v>2183</v>
      </c>
      <c r="F138" s="13" t="n">
        <f aca="false">CEILING(E138/0.75,5)</f>
        <v>2915</v>
      </c>
      <c r="G138" s="12" t="n">
        <f aca="false">F138*0.75</f>
        <v>2186.25</v>
      </c>
      <c r="H138" s="10" t="n">
        <f aca="false">ROUND((D138+0.45)/(1-ASM!$B$9),0)</f>
        <v>1574</v>
      </c>
      <c r="I138" s="10" t="n">
        <f aca="false">ROUND((D138+0.45)/(1-ASM!$B$9-ASM!$B$10),0)</f>
        <v>1891</v>
      </c>
      <c r="J138" s="10" t="str">
        <f aca="false">IF(G138&gt;=H138,"OK","FLOOR ALTI")</f>
        <v>OK</v>
      </c>
    </row>
    <row r="139" customFormat="false" ht="15" hidden="false" customHeight="true" outlineLevel="0" collapsed="false">
      <c r="A139" s="10" t="n">
        <v>12</v>
      </c>
      <c r="B139" s="10" t="n">
        <v>11</v>
      </c>
      <c r="C139" s="11" t="n">
        <v>17.04</v>
      </c>
      <c r="D139" s="12" t="n">
        <f aca="false">ROUND(C139*ASM!$B$8*ASM!$B$12*(1+ASM!$B$3)+ASM!$B$4+ASM!$B$5+ASM!$B$6,2)</f>
        <v>1457.77</v>
      </c>
      <c r="E139" s="10" t="n">
        <f aca="false">ROUND(D139*ASM!$B$7,0)</f>
        <v>2260</v>
      </c>
      <c r="F139" s="13" t="n">
        <f aca="false">CEILING(E139/0.75,5)</f>
        <v>3015</v>
      </c>
      <c r="G139" s="12" t="n">
        <f aca="false">F139*0.75</f>
        <v>2261.25</v>
      </c>
      <c r="H139" s="10" t="n">
        <f aca="false">ROUND((D139+0.45)/(1-ASM!$B$9),0)</f>
        <v>1629</v>
      </c>
      <c r="I139" s="10" t="n">
        <f aca="false">ROUND((D139+0.45)/(1-ASM!$B$9-ASM!$B$10),0)</f>
        <v>1957</v>
      </c>
      <c r="J139" s="10" t="str">
        <f aca="false">IF(G139&gt;=H139,"OK","FLOOR ALTI")</f>
        <v>OK</v>
      </c>
    </row>
    <row r="140" customFormat="false" ht="15" hidden="false" customHeight="true" outlineLevel="0" collapsed="false">
      <c r="A140" s="10" t="n">
        <v>12</v>
      </c>
      <c r="B140" s="10" t="n">
        <v>12</v>
      </c>
      <c r="C140" s="11" t="n">
        <v>17.64</v>
      </c>
      <c r="D140" s="12" t="n">
        <f aca="false">ROUND(C140*ASM!$B$8*ASM!$B$12*(1+ASM!$B$3)+ASM!$B$4+ASM!$B$5+ASM!$B$6,2)</f>
        <v>1506.99</v>
      </c>
      <c r="E140" s="10" t="n">
        <f aca="false">ROUND(D140*ASM!$B$7,0)</f>
        <v>2336</v>
      </c>
      <c r="F140" s="13" t="n">
        <f aca="false">CEILING(E140/0.75,5)</f>
        <v>3115</v>
      </c>
      <c r="G140" s="12" t="n">
        <f aca="false">F140*0.75</f>
        <v>2336.25</v>
      </c>
      <c r="H140" s="10" t="n">
        <f aca="false">ROUND((D140+0.45)/(1-ASM!$B$9),0)</f>
        <v>1684</v>
      </c>
      <c r="I140" s="10" t="n">
        <f aca="false">ROUND((D140+0.45)/(1-ASM!$B$9-ASM!$B$10),0)</f>
        <v>2023</v>
      </c>
      <c r="J140" s="10" t="str">
        <f aca="false">IF(G140&gt;=H140,"OK","FLOOR ALTI")</f>
        <v>OK</v>
      </c>
    </row>
    <row r="141" customFormat="false" ht="15" hidden="false" customHeight="true" outlineLevel="0" collapsed="false">
      <c r="A141" s="10" t="n">
        <v>12</v>
      </c>
      <c r="B141" s="10" t="n">
        <v>13</v>
      </c>
      <c r="C141" s="11" t="n">
        <v>18.25</v>
      </c>
      <c r="D141" s="12" t="n">
        <f aca="false">ROUND(C141*ASM!$B$8*ASM!$B$12*(1+ASM!$B$3)+ASM!$B$4+ASM!$B$5+ASM!$B$6,2)</f>
        <v>1557.03</v>
      </c>
      <c r="E141" s="10" t="n">
        <f aca="false">ROUND(D141*ASM!$B$7,0)</f>
        <v>2413</v>
      </c>
      <c r="F141" s="13" t="n">
        <f aca="false">CEILING(E141/0.75,5)</f>
        <v>3220</v>
      </c>
      <c r="G141" s="12" t="n">
        <f aca="false">F141*0.75</f>
        <v>2415</v>
      </c>
      <c r="H141" s="10" t="n">
        <f aca="false">ROUND((D141+0.45)/(1-ASM!$B$9),0)</f>
        <v>1740</v>
      </c>
      <c r="I141" s="10" t="n">
        <f aca="false">ROUND((D141+0.45)/(1-ASM!$B$9-ASM!$B$10),0)</f>
        <v>2091</v>
      </c>
      <c r="J141" s="10" t="str">
        <f aca="false">IF(G141&gt;=H141,"OK","FLOOR ALTI")</f>
        <v>OK</v>
      </c>
    </row>
    <row r="142" customFormat="false" ht="15" hidden="false" customHeight="true" outlineLevel="0" collapsed="false">
      <c r="A142" s="10" t="n">
        <v>12</v>
      </c>
      <c r="B142" s="10" t="n">
        <v>14</v>
      </c>
      <c r="C142" s="11" t="n">
        <v>18.85</v>
      </c>
      <c r="D142" s="12" t="n">
        <f aca="false">ROUND(C142*ASM!$B$8*ASM!$B$12*(1+ASM!$B$3)+ASM!$B$4+ASM!$B$5+ASM!$B$6,2)</f>
        <v>1606.24</v>
      </c>
      <c r="E142" s="10" t="n">
        <f aca="false">ROUND(D142*ASM!$B$7,0)</f>
        <v>2490</v>
      </c>
      <c r="F142" s="13" t="n">
        <f aca="false">CEILING(E142/0.75,5)</f>
        <v>3320</v>
      </c>
      <c r="G142" s="12" t="n">
        <f aca="false">F142*0.75</f>
        <v>2490</v>
      </c>
      <c r="H142" s="10" t="n">
        <f aca="false">ROUND((D142+0.45)/(1-ASM!$B$9),0)</f>
        <v>1795</v>
      </c>
      <c r="I142" s="10" t="n">
        <f aca="false">ROUND((D142+0.45)/(1-ASM!$B$9-ASM!$B$10),0)</f>
        <v>2157</v>
      </c>
      <c r="J142" s="10" t="str">
        <f aca="false">IF(G142&gt;=H142,"OK","FLOOR ALTI")</f>
        <v>OK</v>
      </c>
    </row>
    <row r="143" customFormat="false" ht="15" hidden="false" customHeight="true" outlineLevel="0" collapsed="false">
      <c r="A143" s="10" t="n">
        <v>12</v>
      </c>
      <c r="B143" s="10" t="n">
        <v>15</v>
      </c>
      <c r="C143" s="11" t="n">
        <v>19.45</v>
      </c>
      <c r="D143" s="12" t="n">
        <f aca="false">ROUND(C143*ASM!$B$8*ASM!$B$12*(1+ASM!$B$3)+ASM!$B$4+ASM!$B$5+ASM!$B$6,2)</f>
        <v>1655.46</v>
      </c>
      <c r="E143" s="10" t="n">
        <f aca="false">ROUND(D143*ASM!$B$7,0)</f>
        <v>2566</v>
      </c>
      <c r="F143" s="13" t="n">
        <f aca="false">CEILING(E143/0.75,5)</f>
        <v>3425</v>
      </c>
      <c r="G143" s="12" t="n">
        <f aca="false">F143*0.75</f>
        <v>2568.75</v>
      </c>
      <c r="H143" s="10" t="n">
        <f aca="false">ROUND((D143+0.45)/(1-ASM!$B$9),0)</f>
        <v>1850</v>
      </c>
      <c r="I143" s="10" t="n">
        <f aca="false">ROUND((D143+0.45)/(1-ASM!$B$9-ASM!$B$10),0)</f>
        <v>2223</v>
      </c>
      <c r="J143" s="10" t="str">
        <f aca="false">IF(G143&gt;=H143,"OK","FLOOR ALTI")</f>
        <v>OK</v>
      </c>
    </row>
    <row r="144" customFormat="false" ht="15" hidden="false" customHeight="true" outlineLevel="0" collapsed="false">
      <c r="A144" s="10" t="n">
        <v>12</v>
      </c>
      <c r="B144" s="10" t="n">
        <v>16</v>
      </c>
      <c r="C144" s="11" t="n">
        <v>20.06</v>
      </c>
      <c r="D144" s="12" t="n">
        <f aca="false">ROUND(C144*ASM!$B$8*ASM!$B$12*(1+ASM!$B$3)+ASM!$B$4+ASM!$B$5+ASM!$B$6,2)</f>
        <v>1705.5</v>
      </c>
      <c r="E144" s="10" t="n">
        <f aca="false">ROUND(D144*ASM!$B$7,0)</f>
        <v>2644</v>
      </c>
      <c r="F144" s="13" t="n">
        <f aca="false">CEILING(E144/0.75,5)</f>
        <v>3530</v>
      </c>
      <c r="G144" s="12" t="n">
        <f aca="false">F144*0.75</f>
        <v>2647.5</v>
      </c>
      <c r="H144" s="10" t="n">
        <f aca="false">ROUND((D144+0.45)/(1-ASM!$B$9),0)</f>
        <v>1906</v>
      </c>
      <c r="I144" s="10" t="n">
        <f aca="false">ROUND((D144+0.45)/(1-ASM!$B$9-ASM!$B$10),0)</f>
        <v>2290</v>
      </c>
      <c r="J144" s="10" t="str">
        <f aca="false">IF(G144&gt;=H144,"OK","FLOOR ALTI")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9"/>
    <col collapsed="false" customWidth="true" hidden="false" outlineLevel="0" max="4" min="3" style="1" width="11"/>
    <col collapsed="false" customWidth="true" hidden="false" outlineLevel="0" max="5" min="5" style="1" width="10"/>
    <col collapsed="false" customWidth="true" hidden="false" outlineLevel="0" max="6" min="6" style="1" width="15"/>
    <col collapsed="false" customWidth="true" hidden="false" outlineLevel="0" max="7" min="7" style="1" width="14"/>
    <col collapsed="false" customWidth="true" hidden="false" outlineLevel="0" max="8" min="8" style="1" width="10"/>
    <col collapsed="false" customWidth="true" hidden="false" outlineLevel="0" max="9" min="9" style="1" width="14"/>
    <col collapsed="false" customWidth="true" hidden="false" outlineLevel="0" max="10" min="10" style="1" width="12"/>
  </cols>
  <sheetData>
    <row r="1" customFormat="false" ht="23.25" hidden="false" customHeight="true" outlineLevel="0" collapsed="false">
      <c r="A1" s="9" t="s">
        <v>39</v>
      </c>
      <c r="B1" s="9" t="s">
        <v>40</v>
      </c>
      <c r="C1" s="9" t="s">
        <v>41</v>
      </c>
      <c r="D1" s="9" t="s">
        <v>42</v>
      </c>
      <c r="E1" s="9" t="s">
        <v>43</v>
      </c>
      <c r="F1" s="9" t="s">
        <v>44</v>
      </c>
      <c r="G1" s="9" t="s">
        <v>45</v>
      </c>
      <c r="H1" s="9" t="s">
        <v>46</v>
      </c>
      <c r="I1" s="9" t="s">
        <v>47</v>
      </c>
      <c r="J1" s="9" t="s">
        <v>48</v>
      </c>
    </row>
    <row r="2" customFormat="false" ht="15" hidden="false" customHeight="true" outlineLevel="0" collapsed="false">
      <c r="A2" s="10" t="n">
        <v>2</v>
      </c>
      <c r="B2" s="10" t="n">
        <v>4</v>
      </c>
      <c r="C2" s="11" t="n">
        <v>2.52</v>
      </c>
      <c r="D2" s="12" t="n">
        <f aca="false">ROUND(C2*ASM!$B$8*ASM!$B$13*(1+ASM!$B$3)+ASM!$B$4+ASM!$B$5+ASM!$B$6,2)</f>
        <v>325.93</v>
      </c>
      <c r="E2" s="10" t="n">
        <f aca="false">ROUND(D2*ASM!$B$7,0)</f>
        <v>505</v>
      </c>
      <c r="F2" s="13" t="n">
        <f aca="false">CEILING(E2/0.75,5)</f>
        <v>675</v>
      </c>
      <c r="G2" s="12" t="n">
        <f aca="false">F2*0.75</f>
        <v>506.25</v>
      </c>
      <c r="H2" s="10" t="n">
        <f aca="false">ROUND((D2+0.45)/(1-ASM!$B$9),0)</f>
        <v>365</v>
      </c>
      <c r="I2" s="10" t="n">
        <f aca="false">ROUND((D2+0.45)/(1-ASM!$B$9-ASM!$B$10),0)</f>
        <v>438</v>
      </c>
      <c r="J2" s="10" t="str">
        <f aca="false">IF(G2&gt;=H2,"OK","FLOOR ALTI")</f>
        <v>OK</v>
      </c>
    </row>
    <row r="3" customFormat="false" ht="15" hidden="false" customHeight="true" outlineLevel="0" collapsed="false">
      <c r="A3" s="10" t="n">
        <v>2</v>
      </c>
      <c r="B3" s="10" t="n">
        <v>5</v>
      </c>
      <c r="C3" s="11" t="n">
        <v>2.69</v>
      </c>
      <c r="D3" s="12" t="n">
        <f aca="false">ROUND(C3*ASM!$B$8*ASM!$B$13*(1+ASM!$B$3)+ASM!$B$4+ASM!$B$5+ASM!$B$6,2)</f>
        <v>343.86</v>
      </c>
      <c r="E3" s="10" t="n">
        <f aca="false">ROUND(D3*ASM!$B$7,0)</f>
        <v>533</v>
      </c>
      <c r="F3" s="13" t="n">
        <f aca="false">CEILING(E3/0.75,5)</f>
        <v>715</v>
      </c>
      <c r="G3" s="12" t="n">
        <f aca="false">F3*0.75</f>
        <v>536.25</v>
      </c>
      <c r="H3" s="10" t="n">
        <f aca="false">ROUND((D3+0.45)/(1-ASM!$B$9),0)</f>
        <v>385</v>
      </c>
      <c r="I3" s="10" t="n">
        <f aca="false">ROUND((D3+0.45)/(1-ASM!$B$9-ASM!$B$10),0)</f>
        <v>462</v>
      </c>
      <c r="J3" s="10" t="str">
        <f aca="false">IF(G3&gt;=H3,"OK","FLOOR ALTI")</f>
        <v>OK</v>
      </c>
    </row>
    <row r="4" customFormat="false" ht="15" hidden="false" customHeight="true" outlineLevel="0" collapsed="false">
      <c r="A4" s="10" t="n">
        <v>2</v>
      </c>
      <c r="B4" s="10" t="n">
        <v>6</v>
      </c>
      <c r="C4" s="11" t="n">
        <v>2.87</v>
      </c>
      <c r="D4" s="12" t="n">
        <f aca="false">ROUND(C4*ASM!$B$8*ASM!$B$13*(1+ASM!$B$3)+ASM!$B$4+ASM!$B$5+ASM!$B$6,2)</f>
        <v>362.86</v>
      </c>
      <c r="E4" s="10" t="n">
        <f aca="false">ROUND(D4*ASM!$B$7,0)</f>
        <v>562</v>
      </c>
      <c r="F4" s="13" t="n">
        <f aca="false">CEILING(E4/0.75,5)</f>
        <v>750</v>
      </c>
      <c r="G4" s="12" t="n">
        <f aca="false">F4*0.75</f>
        <v>562.5</v>
      </c>
      <c r="H4" s="10" t="n">
        <f aca="false">ROUND((D4+0.45)/(1-ASM!$B$9),0)</f>
        <v>406</v>
      </c>
      <c r="I4" s="10" t="n">
        <f aca="false">ROUND((D4+0.45)/(1-ASM!$B$9-ASM!$B$10),0)</f>
        <v>488</v>
      </c>
      <c r="J4" s="10" t="str">
        <f aca="false">IF(G4&gt;=H4,"OK","FLOOR ALTI")</f>
        <v>OK</v>
      </c>
    </row>
    <row r="5" customFormat="false" ht="15" hidden="false" customHeight="true" outlineLevel="0" collapsed="false">
      <c r="A5" s="10" t="n">
        <v>2</v>
      </c>
      <c r="B5" s="10" t="n">
        <v>7</v>
      </c>
      <c r="C5" s="11" t="n">
        <v>3.04</v>
      </c>
      <c r="D5" s="12" t="n">
        <f aca="false">ROUND(C5*ASM!$B$8*ASM!$B$13*(1+ASM!$B$3)+ASM!$B$4+ASM!$B$5+ASM!$B$6,2)</f>
        <v>380.8</v>
      </c>
      <c r="E5" s="10" t="n">
        <f aca="false">ROUND(D5*ASM!$B$7,0)</f>
        <v>590</v>
      </c>
      <c r="F5" s="13" t="n">
        <f aca="false">CEILING(E5/0.75,5)</f>
        <v>790</v>
      </c>
      <c r="G5" s="12" t="n">
        <f aca="false">F5*0.75</f>
        <v>592.5</v>
      </c>
      <c r="H5" s="10" t="n">
        <f aca="false">ROUND((D5+0.45)/(1-ASM!$B$9),0)</f>
        <v>426</v>
      </c>
      <c r="I5" s="10" t="n">
        <f aca="false">ROUND((D5+0.45)/(1-ASM!$B$9-ASM!$B$10),0)</f>
        <v>512</v>
      </c>
      <c r="J5" s="10" t="str">
        <f aca="false">IF(G5&gt;=H5,"OK","FLOOR ALTI")</f>
        <v>OK</v>
      </c>
    </row>
    <row r="6" customFormat="false" ht="15" hidden="false" customHeight="true" outlineLevel="0" collapsed="false">
      <c r="A6" s="10" t="n">
        <v>2</v>
      </c>
      <c r="B6" s="10" t="n">
        <v>8</v>
      </c>
      <c r="C6" s="11" t="n">
        <v>3.22</v>
      </c>
      <c r="D6" s="12" t="n">
        <f aca="false">ROUND(C6*ASM!$B$8*ASM!$B$13*(1+ASM!$B$3)+ASM!$B$4+ASM!$B$5+ASM!$B$6,2)</f>
        <v>399.79</v>
      </c>
      <c r="E6" s="10" t="n">
        <f aca="false">ROUND(D6*ASM!$B$7,0)</f>
        <v>620</v>
      </c>
      <c r="F6" s="13" t="n">
        <f aca="false">CEILING(E6/0.75,5)</f>
        <v>830</v>
      </c>
      <c r="G6" s="12" t="n">
        <f aca="false">F6*0.75</f>
        <v>622.5</v>
      </c>
      <c r="H6" s="10" t="n">
        <f aca="false">ROUND((D6+0.45)/(1-ASM!$B$9),0)</f>
        <v>447</v>
      </c>
      <c r="I6" s="10" t="n">
        <f aca="false">ROUND((D6+0.45)/(1-ASM!$B$9-ASM!$B$10),0)</f>
        <v>537</v>
      </c>
      <c r="J6" s="10" t="str">
        <f aca="false">IF(G6&gt;=H6,"OK","FLOOR ALTI")</f>
        <v>OK</v>
      </c>
    </row>
    <row r="7" customFormat="false" ht="15" hidden="false" customHeight="true" outlineLevel="0" collapsed="false">
      <c r="A7" s="10" t="n">
        <v>2</v>
      </c>
      <c r="B7" s="10" t="n">
        <v>9</v>
      </c>
      <c r="C7" s="11" t="n">
        <v>3.38</v>
      </c>
      <c r="D7" s="12" t="n">
        <f aca="false">ROUND(C7*ASM!$B$8*ASM!$B$13*(1+ASM!$B$3)+ASM!$B$4+ASM!$B$5+ASM!$B$6,2)</f>
        <v>416.68</v>
      </c>
      <c r="E7" s="10" t="n">
        <f aca="false">ROUND(D7*ASM!$B$7,0)</f>
        <v>646</v>
      </c>
      <c r="F7" s="13" t="n">
        <f aca="false">CEILING(E7/0.75,5)</f>
        <v>865</v>
      </c>
      <c r="G7" s="12" t="n">
        <f aca="false">F7*0.75</f>
        <v>648.75</v>
      </c>
      <c r="H7" s="10" t="n">
        <f aca="false">ROUND((D7+0.45)/(1-ASM!$B$9),0)</f>
        <v>466</v>
      </c>
      <c r="I7" s="10" t="n">
        <f aca="false">ROUND((D7+0.45)/(1-ASM!$B$9-ASM!$B$10),0)</f>
        <v>560</v>
      </c>
      <c r="J7" s="10" t="str">
        <f aca="false">IF(G7&gt;=H7,"OK","FLOOR ALTI")</f>
        <v>OK</v>
      </c>
    </row>
    <row r="8" customFormat="false" ht="15" hidden="false" customHeight="true" outlineLevel="0" collapsed="false">
      <c r="A8" s="10" t="n">
        <v>2</v>
      </c>
      <c r="B8" s="10" t="n">
        <v>10</v>
      </c>
      <c r="C8" s="11" t="n">
        <v>3.58</v>
      </c>
      <c r="D8" s="12" t="n">
        <f aca="false">ROUND(C8*ASM!$B$8*ASM!$B$13*(1+ASM!$B$3)+ASM!$B$4+ASM!$B$5+ASM!$B$6,2)</f>
        <v>437.78</v>
      </c>
      <c r="E8" s="10" t="n">
        <f aca="false">ROUND(D8*ASM!$B$7,0)</f>
        <v>679</v>
      </c>
      <c r="F8" s="13" t="n">
        <f aca="false">CEILING(E8/0.75,5)</f>
        <v>910</v>
      </c>
      <c r="G8" s="12" t="n">
        <f aca="false">F8*0.75</f>
        <v>682.5</v>
      </c>
      <c r="H8" s="10" t="n">
        <f aca="false">ROUND((D8+0.45)/(1-ASM!$B$9),0)</f>
        <v>490</v>
      </c>
      <c r="I8" s="10" t="n">
        <f aca="false">ROUND((D8+0.45)/(1-ASM!$B$9-ASM!$B$10),0)</f>
        <v>588</v>
      </c>
      <c r="J8" s="10" t="str">
        <f aca="false">IF(G8&gt;=H8,"OK","FLOOR ALTI")</f>
        <v>OK</v>
      </c>
    </row>
    <row r="9" customFormat="false" ht="15" hidden="false" customHeight="true" outlineLevel="0" collapsed="false">
      <c r="A9" s="10" t="n">
        <v>2</v>
      </c>
      <c r="B9" s="10" t="n">
        <v>11</v>
      </c>
      <c r="C9" s="11" t="n">
        <v>3.73</v>
      </c>
      <c r="D9" s="12" t="n">
        <f aca="false">ROUND(C9*ASM!$B$8*ASM!$B$13*(1+ASM!$B$3)+ASM!$B$4+ASM!$B$5+ASM!$B$6,2)</f>
        <v>453.61</v>
      </c>
      <c r="E9" s="10" t="n">
        <f aca="false">ROUND(D9*ASM!$B$7,0)</f>
        <v>703</v>
      </c>
      <c r="F9" s="13" t="n">
        <f aca="false">CEILING(E9/0.75,5)</f>
        <v>940</v>
      </c>
      <c r="G9" s="12" t="n">
        <f aca="false">F9*0.75</f>
        <v>705</v>
      </c>
      <c r="H9" s="10" t="n">
        <f aca="false">ROUND((D9+0.45)/(1-ASM!$B$9),0)</f>
        <v>507</v>
      </c>
      <c r="I9" s="10" t="n">
        <f aca="false">ROUND((D9+0.45)/(1-ASM!$B$9-ASM!$B$10),0)</f>
        <v>609</v>
      </c>
      <c r="J9" s="10" t="str">
        <f aca="false">IF(G9&gt;=H9,"OK","FLOOR ALTI")</f>
        <v>OK</v>
      </c>
    </row>
    <row r="10" customFormat="false" ht="15" hidden="false" customHeight="true" outlineLevel="0" collapsed="false">
      <c r="A10" s="10" t="n">
        <v>2</v>
      </c>
      <c r="B10" s="10" t="n">
        <v>12</v>
      </c>
      <c r="C10" s="11" t="n">
        <v>3.91</v>
      </c>
      <c r="D10" s="12" t="n">
        <f aca="false">ROUND(C10*ASM!$B$8*ASM!$B$13*(1+ASM!$B$3)+ASM!$B$4+ASM!$B$5+ASM!$B$6,2)</f>
        <v>472.61</v>
      </c>
      <c r="E10" s="10" t="n">
        <f aca="false">ROUND(D10*ASM!$B$7,0)</f>
        <v>733</v>
      </c>
      <c r="F10" s="13" t="n">
        <f aca="false">CEILING(E10/0.75,5)</f>
        <v>980</v>
      </c>
      <c r="G10" s="12" t="n">
        <f aca="false">F10*0.75</f>
        <v>735</v>
      </c>
      <c r="H10" s="10" t="n">
        <f aca="false">ROUND((D10+0.45)/(1-ASM!$B$9),0)</f>
        <v>529</v>
      </c>
      <c r="I10" s="10" t="n">
        <f aca="false">ROUND((D10+0.45)/(1-ASM!$B$9-ASM!$B$10),0)</f>
        <v>635</v>
      </c>
      <c r="J10" s="10" t="str">
        <f aca="false">IF(G10&gt;=H10,"OK","FLOOR ALTI")</f>
        <v>OK</v>
      </c>
    </row>
    <row r="11" customFormat="false" ht="15" hidden="false" customHeight="true" outlineLevel="0" collapsed="false">
      <c r="A11" s="10" t="n">
        <v>2</v>
      </c>
      <c r="B11" s="10" t="n">
        <v>13</v>
      </c>
      <c r="C11" s="11" t="n">
        <v>4.08</v>
      </c>
      <c r="D11" s="12" t="n">
        <f aca="false">ROUND(C11*ASM!$B$8*ASM!$B$13*(1+ASM!$B$3)+ASM!$B$4+ASM!$B$5+ASM!$B$6,2)</f>
        <v>490.55</v>
      </c>
      <c r="E11" s="10" t="n">
        <f aca="false">ROUND(D11*ASM!$B$7,0)</f>
        <v>760</v>
      </c>
      <c r="F11" s="13" t="n">
        <f aca="false">CEILING(E11/0.75,5)</f>
        <v>1015</v>
      </c>
      <c r="G11" s="12" t="n">
        <f aca="false">F11*0.75</f>
        <v>761.25</v>
      </c>
      <c r="H11" s="10" t="n">
        <f aca="false">ROUND((D11+0.45)/(1-ASM!$B$9),0)</f>
        <v>549</v>
      </c>
      <c r="I11" s="10" t="n">
        <f aca="false">ROUND((D11+0.45)/(1-ASM!$B$9-ASM!$B$10),0)</f>
        <v>659</v>
      </c>
      <c r="J11" s="10" t="str">
        <f aca="false">IF(G11&gt;=H11,"OK","FLOOR ALTI")</f>
        <v>OK</v>
      </c>
    </row>
    <row r="12" customFormat="false" ht="15" hidden="false" customHeight="true" outlineLevel="0" collapsed="false">
      <c r="A12" s="10" t="n">
        <v>2</v>
      </c>
      <c r="B12" s="10" t="n">
        <v>14</v>
      </c>
      <c r="C12" s="11" t="n">
        <v>4.21</v>
      </c>
      <c r="D12" s="12" t="n">
        <f aca="false">ROUND(C12*ASM!$B$8*ASM!$B$13*(1+ASM!$B$3)+ASM!$B$4+ASM!$B$5+ASM!$B$6,2)</f>
        <v>504.26</v>
      </c>
      <c r="E12" s="10" t="n">
        <f aca="false">ROUND(D12*ASM!$B$7,0)</f>
        <v>782</v>
      </c>
      <c r="F12" s="13" t="n">
        <f aca="false">CEILING(E12/0.75,5)</f>
        <v>1045</v>
      </c>
      <c r="G12" s="12" t="n">
        <f aca="false">F12*0.75</f>
        <v>783.75</v>
      </c>
      <c r="H12" s="10" t="n">
        <f aca="false">ROUND((D12+0.45)/(1-ASM!$B$9),0)</f>
        <v>564</v>
      </c>
      <c r="I12" s="10" t="n">
        <f aca="false">ROUND((D12+0.45)/(1-ASM!$B$9-ASM!$B$10),0)</f>
        <v>677</v>
      </c>
      <c r="J12" s="10" t="str">
        <f aca="false">IF(G12&gt;=H12,"OK","FLOOR ALTI")</f>
        <v>OK</v>
      </c>
    </row>
    <row r="13" customFormat="false" ht="15" hidden="false" customHeight="true" outlineLevel="0" collapsed="false">
      <c r="A13" s="10" t="n">
        <v>2</v>
      </c>
      <c r="B13" s="10" t="n">
        <v>15</v>
      </c>
      <c r="C13" s="11" t="n">
        <v>4.36</v>
      </c>
      <c r="D13" s="12" t="n">
        <f aca="false">ROUND(C13*ASM!$B$8*ASM!$B$13*(1+ASM!$B$3)+ASM!$B$4+ASM!$B$5+ASM!$B$6,2)</f>
        <v>520.09</v>
      </c>
      <c r="E13" s="10" t="n">
        <f aca="false">ROUND(D13*ASM!$B$7,0)</f>
        <v>806</v>
      </c>
      <c r="F13" s="13" t="n">
        <f aca="false">CEILING(E13/0.75,5)</f>
        <v>1075</v>
      </c>
      <c r="G13" s="12" t="n">
        <f aca="false">F13*0.75</f>
        <v>806.25</v>
      </c>
      <c r="H13" s="10" t="n">
        <f aca="false">ROUND((D13+0.45)/(1-ASM!$B$9),0)</f>
        <v>582</v>
      </c>
      <c r="I13" s="10" t="n">
        <f aca="false">ROUND((D13+0.45)/(1-ASM!$B$9-ASM!$B$10),0)</f>
        <v>699</v>
      </c>
      <c r="J13" s="10" t="str">
        <f aca="false">IF(G13&gt;=H13,"OK","FLOOR ALTI")</f>
        <v>OK</v>
      </c>
    </row>
    <row r="14" customFormat="false" ht="15" hidden="false" customHeight="true" outlineLevel="0" collapsed="false">
      <c r="A14" s="10" t="n">
        <v>2</v>
      </c>
      <c r="B14" s="10" t="n">
        <v>16</v>
      </c>
      <c r="C14" s="11" t="n">
        <v>4.57</v>
      </c>
      <c r="D14" s="12" t="n">
        <f aca="false">ROUND(C14*ASM!$B$8*ASM!$B$13*(1+ASM!$B$3)+ASM!$B$4+ASM!$B$5+ASM!$B$6,2)</f>
        <v>542.25</v>
      </c>
      <c r="E14" s="10" t="n">
        <f aca="false">ROUND(D14*ASM!$B$7,0)</f>
        <v>840</v>
      </c>
      <c r="F14" s="13" t="n">
        <f aca="false">CEILING(E14/0.75,5)</f>
        <v>1120</v>
      </c>
      <c r="G14" s="12" t="n">
        <f aca="false">F14*0.75</f>
        <v>840</v>
      </c>
      <c r="H14" s="10" t="n">
        <f aca="false">ROUND((D14+0.45)/(1-ASM!$B$9),0)</f>
        <v>606</v>
      </c>
      <c r="I14" s="10" t="n">
        <f aca="false">ROUND((D14+0.45)/(1-ASM!$B$9-ASM!$B$10),0)</f>
        <v>728</v>
      </c>
      <c r="J14" s="10" t="str">
        <f aca="false">IF(G14&gt;=H14,"OK","FLOOR ALTI")</f>
        <v>OK</v>
      </c>
    </row>
    <row r="15" customFormat="false" ht="15" hidden="false" customHeight="true" outlineLevel="0" collapsed="false">
      <c r="A15" s="10" t="n">
        <v>3</v>
      </c>
      <c r="B15" s="10" t="n">
        <v>4</v>
      </c>
      <c r="C15" s="11" t="n">
        <v>3.96</v>
      </c>
      <c r="D15" s="12" t="n">
        <f aca="false">ROUND(C15*ASM!$B$8*ASM!$B$13*(1+ASM!$B$3)+ASM!$B$4+ASM!$B$5+ASM!$B$6,2)</f>
        <v>477.88</v>
      </c>
      <c r="E15" s="10" t="n">
        <f aca="false">ROUND(D15*ASM!$B$7,0)</f>
        <v>741</v>
      </c>
      <c r="F15" s="13" t="n">
        <f aca="false">CEILING(E15/0.75,5)</f>
        <v>990</v>
      </c>
      <c r="G15" s="12" t="n">
        <f aca="false">F15*0.75</f>
        <v>742.5</v>
      </c>
      <c r="H15" s="10" t="n">
        <f aca="false">ROUND((D15+0.45)/(1-ASM!$B$9),0)</f>
        <v>534</v>
      </c>
      <c r="I15" s="10" t="n">
        <f aca="false">ROUND((D15+0.45)/(1-ASM!$B$9-ASM!$B$10),0)</f>
        <v>642</v>
      </c>
      <c r="J15" s="10" t="str">
        <f aca="false">IF(G15&gt;=H15,"OK","FLOOR ALTI")</f>
        <v>OK</v>
      </c>
    </row>
    <row r="16" customFormat="false" ht="15" hidden="false" customHeight="true" outlineLevel="0" collapsed="false">
      <c r="A16" s="10" t="n">
        <v>3</v>
      </c>
      <c r="B16" s="10" t="n">
        <v>5</v>
      </c>
      <c r="C16" s="11" t="n">
        <v>4.16</v>
      </c>
      <c r="D16" s="12" t="n">
        <f aca="false">ROUND(C16*ASM!$B$8*ASM!$B$13*(1+ASM!$B$3)+ASM!$B$4+ASM!$B$5+ASM!$B$6,2)</f>
        <v>498.99</v>
      </c>
      <c r="E16" s="10" t="n">
        <f aca="false">ROUND(D16*ASM!$B$7,0)</f>
        <v>773</v>
      </c>
      <c r="F16" s="13" t="n">
        <f aca="false">CEILING(E16/0.75,5)</f>
        <v>1035</v>
      </c>
      <c r="G16" s="12" t="n">
        <f aca="false">F16*0.75</f>
        <v>776.25</v>
      </c>
      <c r="H16" s="10" t="n">
        <f aca="false">ROUND((D16+0.45)/(1-ASM!$B$9),0)</f>
        <v>558</v>
      </c>
      <c r="I16" s="10" t="n">
        <f aca="false">ROUND((D16+0.45)/(1-ASM!$B$9-ASM!$B$10),0)</f>
        <v>670</v>
      </c>
      <c r="J16" s="10" t="str">
        <f aca="false">IF(G16&gt;=H16,"OK","FLOOR ALTI")</f>
        <v>OK</v>
      </c>
    </row>
    <row r="17" customFormat="false" ht="15" hidden="false" customHeight="true" outlineLevel="0" collapsed="false">
      <c r="A17" s="10" t="n">
        <v>3</v>
      </c>
      <c r="B17" s="10" t="n">
        <v>6</v>
      </c>
      <c r="C17" s="11" t="n">
        <v>4.36</v>
      </c>
      <c r="D17" s="12" t="n">
        <f aca="false">ROUND(C17*ASM!$B$8*ASM!$B$13*(1+ASM!$B$3)+ASM!$B$4+ASM!$B$5+ASM!$B$6,2)</f>
        <v>520.09</v>
      </c>
      <c r="E17" s="10" t="n">
        <f aca="false">ROUND(D17*ASM!$B$7,0)</f>
        <v>806</v>
      </c>
      <c r="F17" s="13" t="n">
        <f aca="false">CEILING(E17/0.75,5)</f>
        <v>1075</v>
      </c>
      <c r="G17" s="12" t="n">
        <f aca="false">F17*0.75</f>
        <v>806.25</v>
      </c>
      <c r="H17" s="10" t="n">
        <f aca="false">ROUND((D17+0.45)/(1-ASM!$B$9),0)</f>
        <v>582</v>
      </c>
      <c r="I17" s="10" t="n">
        <f aca="false">ROUND((D17+0.45)/(1-ASM!$B$9-ASM!$B$10),0)</f>
        <v>699</v>
      </c>
      <c r="J17" s="10" t="str">
        <f aca="false">IF(G17&gt;=H17,"OK","FLOOR ALTI")</f>
        <v>OK</v>
      </c>
    </row>
    <row r="18" customFormat="false" ht="15" hidden="false" customHeight="true" outlineLevel="0" collapsed="false">
      <c r="A18" s="10" t="n">
        <v>3</v>
      </c>
      <c r="B18" s="10" t="n">
        <v>7</v>
      </c>
      <c r="C18" s="11" t="n">
        <v>4.56</v>
      </c>
      <c r="D18" s="12" t="n">
        <f aca="false">ROUND(C18*ASM!$B$8*ASM!$B$13*(1+ASM!$B$3)+ASM!$B$4+ASM!$B$5+ASM!$B$6,2)</f>
        <v>541.2</v>
      </c>
      <c r="E18" s="10" t="n">
        <f aca="false">ROUND(D18*ASM!$B$7,0)</f>
        <v>839</v>
      </c>
      <c r="F18" s="13" t="n">
        <f aca="false">CEILING(E18/0.75,5)</f>
        <v>1120</v>
      </c>
      <c r="G18" s="12" t="n">
        <f aca="false">F18*0.75</f>
        <v>840</v>
      </c>
      <c r="H18" s="10" t="n">
        <f aca="false">ROUND((D18+0.45)/(1-ASM!$B$9),0)</f>
        <v>605</v>
      </c>
      <c r="I18" s="10" t="n">
        <f aca="false">ROUND((D18+0.45)/(1-ASM!$B$9-ASM!$B$10),0)</f>
        <v>727</v>
      </c>
      <c r="J18" s="10" t="str">
        <f aca="false">IF(G18&gt;=H18,"OK","FLOOR ALTI")</f>
        <v>OK</v>
      </c>
    </row>
    <row r="19" customFormat="false" ht="15" hidden="false" customHeight="true" outlineLevel="0" collapsed="false">
      <c r="A19" s="10" t="n">
        <v>3</v>
      </c>
      <c r="B19" s="10" t="n">
        <v>8</v>
      </c>
      <c r="C19" s="11" t="n">
        <v>4.76</v>
      </c>
      <c r="D19" s="12" t="n">
        <f aca="false">ROUND(C19*ASM!$B$8*ASM!$B$13*(1+ASM!$B$3)+ASM!$B$4+ASM!$B$5+ASM!$B$6,2)</f>
        <v>562.3</v>
      </c>
      <c r="E19" s="10" t="n">
        <f aca="false">ROUND(D19*ASM!$B$7,0)</f>
        <v>872</v>
      </c>
      <c r="F19" s="13" t="n">
        <f aca="false">CEILING(E19/0.75,5)</f>
        <v>1165</v>
      </c>
      <c r="G19" s="12" t="n">
        <f aca="false">F19*0.75</f>
        <v>873.75</v>
      </c>
      <c r="H19" s="10" t="n">
        <f aca="false">ROUND((D19+0.45)/(1-ASM!$B$9),0)</f>
        <v>629</v>
      </c>
      <c r="I19" s="10" t="n">
        <f aca="false">ROUND((D19+0.45)/(1-ASM!$B$9-ASM!$B$10),0)</f>
        <v>755</v>
      </c>
      <c r="J19" s="10" t="str">
        <f aca="false">IF(G19&gt;=H19,"OK","FLOOR ALTI")</f>
        <v>OK</v>
      </c>
    </row>
    <row r="20" customFormat="false" ht="15" hidden="false" customHeight="true" outlineLevel="0" collapsed="false">
      <c r="A20" s="10" t="n">
        <v>3</v>
      </c>
      <c r="B20" s="10" t="n">
        <v>9</v>
      </c>
      <c r="C20" s="11" t="n">
        <v>4.96</v>
      </c>
      <c r="D20" s="12" t="n">
        <f aca="false">ROUND(C20*ASM!$B$8*ASM!$B$13*(1+ASM!$B$3)+ASM!$B$4+ASM!$B$5+ASM!$B$6,2)</f>
        <v>583.41</v>
      </c>
      <c r="E20" s="10" t="n">
        <f aca="false">ROUND(D20*ASM!$B$7,0)</f>
        <v>904</v>
      </c>
      <c r="F20" s="13" t="n">
        <f aca="false">CEILING(E20/0.75,5)</f>
        <v>1210</v>
      </c>
      <c r="G20" s="12" t="n">
        <f aca="false">F20*0.75</f>
        <v>907.5</v>
      </c>
      <c r="H20" s="10" t="n">
        <f aca="false">ROUND((D20+0.45)/(1-ASM!$B$9),0)</f>
        <v>652</v>
      </c>
      <c r="I20" s="10" t="n">
        <f aca="false">ROUND((D20+0.45)/(1-ASM!$B$9-ASM!$B$10),0)</f>
        <v>784</v>
      </c>
      <c r="J20" s="10" t="str">
        <f aca="false">IF(G20&gt;=H20,"OK","FLOOR ALTI")</f>
        <v>OK</v>
      </c>
    </row>
    <row r="21" customFormat="false" ht="15" hidden="false" customHeight="true" outlineLevel="0" collapsed="false">
      <c r="A21" s="10" t="n">
        <v>3</v>
      </c>
      <c r="B21" s="10" t="n">
        <v>10</v>
      </c>
      <c r="C21" s="11" t="n">
        <v>5.16</v>
      </c>
      <c r="D21" s="12" t="n">
        <f aca="false">ROUND(C21*ASM!$B$8*ASM!$B$13*(1+ASM!$B$3)+ASM!$B$4+ASM!$B$5+ASM!$B$6,2)</f>
        <v>604.51</v>
      </c>
      <c r="E21" s="10" t="n">
        <f aca="false">ROUND(D21*ASM!$B$7,0)</f>
        <v>937</v>
      </c>
      <c r="F21" s="13" t="n">
        <f aca="false">CEILING(E21/0.75,5)</f>
        <v>1250</v>
      </c>
      <c r="G21" s="12" t="n">
        <f aca="false">F21*0.75</f>
        <v>937.5</v>
      </c>
      <c r="H21" s="10" t="n">
        <f aca="false">ROUND((D21+0.45)/(1-ASM!$B$9),0)</f>
        <v>676</v>
      </c>
      <c r="I21" s="10" t="n">
        <f aca="false">ROUND((D21+0.45)/(1-ASM!$B$9-ASM!$B$10),0)</f>
        <v>812</v>
      </c>
      <c r="J21" s="10" t="str">
        <f aca="false">IF(G21&gt;=H21,"OK","FLOOR ALTI")</f>
        <v>OK</v>
      </c>
    </row>
    <row r="22" customFormat="false" ht="15" hidden="false" customHeight="true" outlineLevel="0" collapsed="false">
      <c r="A22" s="10" t="n">
        <v>3</v>
      </c>
      <c r="B22" s="10" t="n">
        <v>11</v>
      </c>
      <c r="C22" s="11" t="n">
        <v>5.36</v>
      </c>
      <c r="D22" s="12" t="n">
        <f aca="false">ROUND(C22*ASM!$B$8*ASM!$B$13*(1+ASM!$B$3)+ASM!$B$4+ASM!$B$5+ASM!$B$6,2)</f>
        <v>625.62</v>
      </c>
      <c r="E22" s="10" t="n">
        <f aca="false">ROUND(D22*ASM!$B$7,0)</f>
        <v>970</v>
      </c>
      <c r="F22" s="13" t="n">
        <f aca="false">CEILING(E22/0.75,5)</f>
        <v>1295</v>
      </c>
      <c r="G22" s="12" t="n">
        <f aca="false">F22*0.75</f>
        <v>971.25</v>
      </c>
      <c r="H22" s="10" t="n">
        <f aca="false">ROUND((D22+0.45)/(1-ASM!$B$9),0)</f>
        <v>700</v>
      </c>
      <c r="I22" s="10" t="n">
        <f aca="false">ROUND((D22+0.45)/(1-ASM!$B$9-ASM!$B$10),0)</f>
        <v>840</v>
      </c>
      <c r="J22" s="10" t="str">
        <f aca="false">IF(G22&gt;=H22,"OK","FLOOR ALTI")</f>
        <v>OK</v>
      </c>
    </row>
    <row r="23" customFormat="false" ht="15" hidden="false" customHeight="true" outlineLevel="0" collapsed="false">
      <c r="A23" s="10" t="n">
        <v>3</v>
      </c>
      <c r="B23" s="10" t="n">
        <v>12</v>
      </c>
      <c r="C23" s="11" t="n">
        <v>5.56</v>
      </c>
      <c r="D23" s="12" t="n">
        <f aca="false">ROUND(C23*ASM!$B$8*ASM!$B$13*(1+ASM!$B$3)+ASM!$B$4+ASM!$B$5+ASM!$B$6,2)</f>
        <v>646.72</v>
      </c>
      <c r="E23" s="10" t="n">
        <f aca="false">ROUND(D23*ASM!$B$7,0)</f>
        <v>1002</v>
      </c>
      <c r="F23" s="13" t="n">
        <f aca="false">CEILING(E23/0.75,5)</f>
        <v>1340</v>
      </c>
      <c r="G23" s="12" t="n">
        <f aca="false">F23*0.75</f>
        <v>1005</v>
      </c>
      <c r="H23" s="10" t="n">
        <f aca="false">ROUND((D23+0.45)/(1-ASM!$B$9),0)</f>
        <v>723</v>
      </c>
      <c r="I23" s="10" t="n">
        <f aca="false">ROUND((D23+0.45)/(1-ASM!$B$9-ASM!$B$10),0)</f>
        <v>869</v>
      </c>
      <c r="J23" s="10" t="str">
        <f aca="false">IF(G23&gt;=H23,"OK","FLOOR ALTI")</f>
        <v>OK</v>
      </c>
    </row>
    <row r="24" customFormat="false" ht="15" hidden="false" customHeight="true" outlineLevel="0" collapsed="false">
      <c r="A24" s="10" t="n">
        <v>3</v>
      </c>
      <c r="B24" s="10" t="n">
        <v>13</v>
      </c>
      <c r="C24" s="11" t="n">
        <v>5.76</v>
      </c>
      <c r="D24" s="12" t="n">
        <f aca="false">ROUND(C24*ASM!$B$8*ASM!$B$13*(1+ASM!$B$3)+ASM!$B$4+ASM!$B$5+ASM!$B$6,2)</f>
        <v>667.83</v>
      </c>
      <c r="E24" s="10" t="n">
        <f aca="false">ROUND(D24*ASM!$B$7,0)</f>
        <v>1035</v>
      </c>
      <c r="F24" s="13" t="n">
        <f aca="false">CEILING(E24/0.75,5)</f>
        <v>1380</v>
      </c>
      <c r="G24" s="12" t="n">
        <f aca="false">F24*0.75</f>
        <v>1035</v>
      </c>
      <c r="H24" s="10" t="n">
        <f aca="false">ROUND((D24+0.45)/(1-ASM!$B$9),0)</f>
        <v>747</v>
      </c>
      <c r="I24" s="10" t="n">
        <f aca="false">ROUND((D24+0.45)/(1-ASM!$B$9-ASM!$B$10),0)</f>
        <v>897</v>
      </c>
      <c r="J24" s="10" t="str">
        <f aca="false">IF(G24&gt;=H24,"OK","FLOOR ALTI")</f>
        <v>OK</v>
      </c>
    </row>
    <row r="25" customFormat="false" ht="15" hidden="false" customHeight="true" outlineLevel="0" collapsed="false">
      <c r="A25" s="10" t="n">
        <v>3</v>
      </c>
      <c r="B25" s="10" t="n">
        <v>14</v>
      </c>
      <c r="C25" s="11" t="n">
        <v>5.9</v>
      </c>
      <c r="D25" s="12" t="n">
        <f aca="false">ROUND(C25*ASM!$B$8*ASM!$B$13*(1+ASM!$B$3)+ASM!$B$4+ASM!$B$5+ASM!$B$6,2)</f>
        <v>682.6</v>
      </c>
      <c r="E25" s="10" t="n">
        <f aca="false">ROUND(D25*ASM!$B$7,0)</f>
        <v>1058</v>
      </c>
      <c r="F25" s="13" t="n">
        <f aca="false">CEILING(E25/0.75,5)</f>
        <v>1415</v>
      </c>
      <c r="G25" s="12" t="n">
        <f aca="false">F25*0.75</f>
        <v>1061.25</v>
      </c>
      <c r="H25" s="10" t="n">
        <f aca="false">ROUND((D25+0.45)/(1-ASM!$B$9),0)</f>
        <v>763</v>
      </c>
      <c r="I25" s="10" t="n">
        <f aca="false">ROUND((D25+0.45)/(1-ASM!$B$9-ASM!$B$10),0)</f>
        <v>917</v>
      </c>
      <c r="J25" s="10" t="str">
        <f aca="false">IF(G25&gt;=H25,"OK","FLOOR ALTI")</f>
        <v>OK</v>
      </c>
    </row>
    <row r="26" customFormat="false" ht="15" hidden="false" customHeight="true" outlineLevel="0" collapsed="false">
      <c r="A26" s="10" t="n">
        <v>3</v>
      </c>
      <c r="B26" s="10" t="n">
        <v>15</v>
      </c>
      <c r="C26" s="11" t="n">
        <v>6.16</v>
      </c>
      <c r="D26" s="12" t="n">
        <f aca="false">ROUND(C26*ASM!$B$8*ASM!$B$13*(1+ASM!$B$3)+ASM!$B$4+ASM!$B$5+ASM!$B$6,2)</f>
        <v>710.04</v>
      </c>
      <c r="E26" s="10" t="n">
        <f aca="false">ROUND(D26*ASM!$B$7,0)</f>
        <v>1101</v>
      </c>
      <c r="F26" s="13" t="n">
        <f aca="false">CEILING(E26/0.75,5)</f>
        <v>1470</v>
      </c>
      <c r="G26" s="12" t="n">
        <f aca="false">F26*0.75</f>
        <v>1102.5</v>
      </c>
      <c r="H26" s="10" t="n">
        <f aca="false">ROUND((D26+0.45)/(1-ASM!$B$9),0)</f>
        <v>794</v>
      </c>
      <c r="I26" s="10" t="n">
        <f aca="false">ROUND((D26+0.45)/(1-ASM!$B$9-ASM!$B$10),0)</f>
        <v>954</v>
      </c>
      <c r="J26" s="10" t="str">
        <f aca="false">IF(G26&gt;=H26,"OK","FLOOR ALTI")</f>
        <v>OK</v>
      </c>
    </row>
    <row r="27" customFormat="false" ht="15" hidden="false" customHeight="true" outlineLevel="0" collapsed="false">
      <c r="A27" s="10" t="n">
        <v>3</v>
      </c>
      <c r="B27" s="10" t="n">
        <v>16</v>
      </c>
      <c r="C27" s="11" t="n">
        <v>6.36</v>
      </c>
      <c r="D27" s="12" t="n">
        <f aca="false">ROUND(C27*ASM!$B$8*ASM!$B$13*(1+ASM!$B$3)+ASM!$B$4+ASM!$B$5+ASM!$B$6,2)</f>
        <v>731.14</v>
      </c>
      <c r="E27" s="10" t="n">
        <f aca="false">ROUND(D27*ASM!$B$7,0)</f>
        <v>1133</v>
      </c>
      <c r="F27" s="13" t="n">
        <f aca="false">CEILING(E27/0.75,5)</f>
        <v>1515</v>
      </c>
      <c r="G27" s="12" t="n">
        <f aca="false">F27*0.75</f>
        <v>1136.25</v>
      </c>
      <c r="H27" s="10" t="n">
        <f aca="false">ROUND((D27+0.45)/(1-ASM!$B$9),0)</f>
        <v>817</v>
      </c>
      <c r="I27" s="10" t="n">
        <f aca="false">ROUND((D27+0.45)/(1-ASM!$B$9-ASM!$B$10),0)</f>
        <v>982</v>
      </c>
      <c r="J27" s="10" t="str">
        <f aca="false">IF(G27&gt;=H27,"OK","FLOOR ALTI")</f>
        <v>OK</v>
      </c>
    </row>
    <row r="28" customFormat="false" ht="15" hidden="false" customHeight="true" outlineLevel="0" collapsed="false">
      <c r="A28" s="10" t="n">
        <v>4</v>
      </c>
      <c r="B28" s="10" t="n">
        <v>4</v>
      </c>
      <c r="C28" s="11" t="n">
        <v>5.16</v>
      </c>
      <c r="D28" s="12" t="n">
        <f aca="false">ROUND(C28*ASM!$B$8*ASM!$B$13*(1+ASM!$B$3)+ASM!$B$4+ASM!$B$5+ASM!$B$6,2)</f>
        <v>604.51</v>
      </c>
      <c r="E28" s="10" t="n">
        <f aca="false">ROUND(D28*ASM!$B$7,0)</f>
        <v>937</v>
      </c>
      <c r="F28" s="13" t="n">
        <f aca="false">CEILING(E28/0.75,5)</f>
        <v>1250</v>
      </c>
      <c r="G28" s="12" t="n">
        <f aca="false">F28*0.75</f>
        <v>937.5</v>
      </c>
      <c r="H28" s="10" t="n">
        <f aca="false">ROUND((D28+0.45)/(1-ASM!$B$9),0)</f>
        <v>676</v>
      </c>
      <c r="I28" s="10" t="n">
        <f aca="false">ROUND((D28+0.45)/(1-ASM!$B$9-ASM!$B$10),0)</f>
        <v>812</v>
      </c>
      <c r="J28" s="10" t="str">
        <f aca="false">IF(G28&gt;=H28,"OK","FLOOR ALTI")</f>
        <v>OK</v>
      </c>
    </row>
    <row r="29" customFormat="false" ht="15" hidden="false" customHeight="true" outlineLevel="0" collapsed="false">
      <c r="A29" s="10" t="n">
        <v>4</v>
      </c>
      <c r="B29" s="10" t="n">
        <v>5</v>
      </c>
      <c r="C29" s="11" t="n">
        <v>5.39</v>
      </c>
      <c r="D29" s="12" t="n">
        <f aca="false">ROUND(C29*ASM!$B$8*ASM!$B$13*(1+ASM!$B$3)+ASM!$B$4+ASM!$B$5+ASM!$B$6,2)</f>
        <v>628.78</v>
      </c>
      <c r="E29" s="10" t="n">
        <f aca="false">ROUND(D29*ASM!$B$7,0)</f>
        <v>975</v>
      </c>
      <c r="F29" s="13" t="n">
        <f aca="false">CEILING(E29/0.75,5)</f>
        <v>1300</v>
      </c>
      <c r="G29" s="12" t="n">
        <f aca="false">F29*0.75</f>
        <v>975</v>
      </c>
      <c r="H29" s="10" t="n">
        <f aca="false">ROUND((D29+0.45)/(1-ASM!$B$9),0)</f>
        <v>703</v>
      </c>
      <c r="I29" s="10" t="n">
        <f aca="false">ROUND((D29+0.45)/(1-ASM!$B$9-ASM!$B$10),0)</f>
        <v>845</v>
      </c>
      <c r="J29" s="10" t="str">
        <f aca="false">IF(G29&gt;=H29,"OK","FLOOR ALTI")</f>
        <v>OK</v>
      </c>
    </row>
    <row r="30" customFormat="false" ht="15" hidden="false" customHeight="true" outlineLevel="0" collapsed="false">
      <c r="A30" s="10" t="n">
        <v>4</v>
      </c>
      <c r="B30" s="10" t="n">
        <v>6</v>
      </c>
      <c r="C30" s="11" t="n">
        <v>5.62</v>
      </c>
      <c r="D30" s="12" t="n">
        <f aca="false">ROUND(C30*ASM!$B$8*ASM!$B$13*(1+ASM!$B$3)+ASM!$B$4+ASM!$B$5+ASM!$B$6,2)</f>
        <v>653.06</v>
      </c>
      <c r="E30" s="10" t="n">
        <f aca="false">ROUND(D30*ASM!$B$7,0)</f>
        <v>1012</v>
      </c>
      <c r="F30" s="13" t="n">
        <f aca="false">CEILING(E30/0.75,5)</f>
        <v>1350</v>
      </c>
      <c r="G30" s="12" t="n">
        <f aca="false">F30*0.75</f>
        <v>1012.5</v>
      </c>
      <c r="H30" s="10" t="n">
        <f aca="false">ROUND((D30+0.45)/(1-ASM!$B$9),0)</f>
        <v>730</v>
      </c>
      <c r="I30" s="10" t="n">
        <f aca="false">ROUND((D30+0.45)/(1-ASM!$B$9-ASM!$B$10),0)</f>
        <v>877</v>
      </c>
      <c r="J30" s="10" t="str">
        <f aca="false">IF(G30&gt;=H30,"OK","FLOOR ALTI")</f>
        <v>OK</v>
      </c>
    </row>
    <row r="31" customFormat="false" ht="15" hidden="false" customHeight="true" outlineLevel="0" collapsed="false">
      <c r="A31" s="10" t="n">
        <v>4</v>
      </c>
      <c r="B31" s="10" t="n">
        <v>7</v>
      </c>
      <c r="C31" s="11" t="n">
        <v>5.84</v>
      </c>
      <c r="D31" s="12" t="n">
        <f aca="false">ROUND(C31*ASM!$B$8*ASM!$B$13*(1+ASM!$B$3)+ASM!$B$4+ASM!$B$5+ASM!$B$6,2)</f>
        <v>676.27</v>
      </c>
      <c r="E31" s="10" t="n">
        <f aca="false">ROUND(D31*ASM!$B$7,0)</f>
        <v>1048</v>
      </c>
      <c r="F31" s="13" t="n">
        <f aca="false">CEILING(E31/0.75,5)</f>
        <v>1400</v>
      </c>
      <c r="G31" s="12" t="n">
        <f aca="false">F31*0.75</f>
        <v>1050</v>
      </c>
      <c r="H31" s="10" t="n">
        <f aca="false">ROUND((D31+0.45)/(1-ASM!$B$9),0)</f>
        <v>756</v>
      </c>
      <c r="I31" s="10" t="n">
        <f aca="false">ROUND((D31+0.45)/(1-ASM!$B$9-ASM!$B$10),0)</f>
        <v>908</v>
      </c>
      <c r="J31" s="10" t="str">
        <f aca="false">IF(G31&gt;=H31,"OK","FLOOR ALTI")</f>
        <v>OK</v>
      </c>
    </row>
    <row r="32" customFormat="false" ht="15" hidden="false" customHeight="true" outlineLevel="0" collapsed="false">
      <c r="A32" s="10" t="n">
        <v>4</v>
      </c>
      <c r="B32" s="10" t="n">
        <v>8</v>
      </c>
      <c r="C32" s="11" t="n">
        <v>6.07</v>
      </c>
      <c r="D32" s="12" t="n">
        <f aca="false">ROUND(C32*ASM!$B$8*ASM!$B$13*(1+ASM!$B$3)+ASM!$B$4+ASM!$B$5+ASM!$B$6,2)</f>
        <v>700.54</v>
      </c>
      <c r="E32" s="10" t="n">
        <f aca="false">ROUND(D32*ASM!$B$7,0)</f>
        <v>1086</v>
      </c>
      <c r="F32" s="13" t="n">
        <f aca="false">CEILING(E32/0.75,5)</f>
        <v>1450</v>
      </c>
      <c r="G32" s="12" t="n">
        <f aca="false">F32*0.75</f>
        <v>1087.5</v>
      </c>
      <c r="H32" s="10" t="n">
        <f aca="false">ROUND((D32+0.45)/(1-ASM!$B$9),0)</f>
        <v>783</v>
      </c>
      <c r="I32" s="10" t="n">
        <f aca="false">ROUND((D32+0.45)/(1-ASM!$B$9-ASM!$B$10),0)</f>
        <v>941</v>
      </c>
      <c r="J32" s="10" t="str">
        <f aca="false">IF(G32&gt;=H32,"OK","FLOOR ALTI")</f>
        <v>OK</v>
      </c>
    </row>
    <row r="33" customFormat="false" ht="15" hidden="false" customHeight="true" outlineLevel="0" collapsed="false">
      <c r="A33" s="10" t="n">
        <v>4</v>
      </c>
      <c r="B33" s="10" t="n">
        <v>9</v>
      </c>
      <c r="C33" s="11" t="n">
        <v>6.29</v>
      </c>
      <c r="D33" s="12" t="n">
        <f aca="false">ROUND(C33*ASM!$B$8*ASM!$B$13*(1+ASM!$B$3)+ASM!$B$4+ASM!$B$5+ASM!$B$6,2)</f>
        <v>723.76</v>
      </c>
      <c r="E33" s="10" t="n">
        <f aca="false">ROUND(D33*ASM!$B$7,0)</f>
        <v>1122</v>
      </c>
      <c r="F33" s="13" t="n">
        <f aca="false">CEILING(E33/0.75,5)</f>
        <v>1500</v>
      </c>
      <c r="G33" s="12" t="n">
        <f aca="false">F33*0.75</f>
        <v>1125</v>
      </c>
      <c r="H33" s="10" t="n">
        <f aca="false">ROUND((D33+0.45)/(1-ASM!$B$9),0)</f>
        <v>809</v>
      </c>
      <c r="I33" s="10" t="n">
        <f aca="false">ROUND((D33+0.45)/(1-ASM!$B$9-ASM!$B$10),0)</f>
        <v>972</v>
      </c>
      <c r="J33" s="10" t="str">
        <f aca="false">IF(G33&gt;=H33,"OK","FLOOR ALTI")</f>
        <v>OK</v>
      </c>
    </row>
    <row r="34" customFormat="false" ht="15" hidden="false" customHeight="true" outlineLevel="0" collapsed="false">
      <c r="A34" s="10" t="n">
        <v>4</v>
      </c>
      <c r="B34" s="10" t="n">
        <v>10</v>
      </c>
      <c r="C34" s="11" t="n">
        <v>6.52</v>
      </c>
      <c r="D34" s="12" t="n">
        <f aca="false">ROUND(C34*ASM!$B$8*ASM!$B$13*(1+ASM!$B$3)+ASM!$B$4+ASM!$B$5+ASM!$B$6,2)</f>
        <v>748.03</v>
      </c>
      <c r="E34" s="10" t="n">
        <f aca="false">ROUND(D34*ASM!$B$7,0)</f>
        <v>1159</v>
      </c>
      <c r="F34" s="13" t="n">
        <f aca="false">CEILING(E34/0.75,5)</f>
        <v>1550</v>
      </c>
      <c r="G34" s="12" t="n">
        <f aca="false">F34*0.75</f>
        <v>1162.5</v>
      </c>
      <c r="H34" s="10" t="n">
        <f aca="false">ROUND((D34+0.45)/(1-ASM!$B$9),0)</f>
        <v>836</v>
      </c>
      <c r="I34" s="10" t="n">
        <f aca="false">ROUND((D34+0.45)/(1-ASM!$B$9-ASM!$B$10),0)</f>
        <v>1005</v>
      </c>
      <c r="J34" s="10" t="str">
        <f aca="false">IF(G34&gt;=H34,"OK","FLOOR ALTI")</f>
        <v>OK</v>
      </c>
    </row>
    <row r="35" customFormat="false" ht="15" hidden="false" customHeight="true" outlineLevel="0" collapsed="false">
      <c r="A35" s="10" t="n">
        <v>4</v>
      </c>
      <c r="B35" s="10" t="n">
        <v>11</v>
      </c>
      <c r="C35" s="11" t="n">
        <v>6.74</v>
      </c>
      <c r="D35" s="12" t="n">
        <f aca="false">ROUND(C35*ASM!$B$8*ASM!$B$13*(1+ASM!$B$3)+ASM!$B$4+ASM!$B$5+ASM!$B$6,2)</f>
        <v>771.24</v>
      </c>
      <c r="E35" s="10" t="n">
        <f aca="false">ROUND(D35*ASM!$B$7,0)</f>
        <v>1195</v>
      </c>
      <c r="F35" s="13" t="n">
        <f aca="false">CEILING(E35/0.75,5)</f>
        <v>1595</v>
      </c>
      <c r="G35" s="12" t="n">
        <f aca="false">F35*0.75</f>
        <v>1196.25</v>
      </c>
      <c r="H35" s="10" t="n">
        <f aca="false">ROUND((D35+0.45)/(1-ASM!$B$9),0)</f>
        <v>862</v>
      </c>
      <c r="I35" s="10" t="n">
        <f aca="false">ROUND((D35+0.45)/(1-ASM!$B$9-ASM!$B$10),0)</f>
        <v>1036</v>
      </c>
      <c r="J35" s="10" t="str">
        <f aca="false">IF(G35&gt;=H35,"OK","FLOOR ALTI")</f>
        <v>OK</v>
      </c>
    </row>
    <row r="36" customFormat="false" ht="15" hidden="false" customHeight="true" outlineLevel="0" collapsed="false">
      <c r="A36" s="10" t="n">
        <v>4</v>
      </c>
      <c r="B36" s="10" t="n">
        <v>12</v>
      </c>
      <c r="C36" s="11" t="n">
        <v>6.97</v>
      </c>
      <c r="D36" s="12" t="n">
        <f aca="false">ROUND(C36*ASM!$B$8*ASM!$B$13*(1+ASM!$B$3)+ASM!$B$4+ASM!$B$5+ASM!$B$6,2)</f>
        <v>795.52</v>
      </c>
      <c r="E36" s="10" t="n">
        <f aca="false">ROUND(D36*ASM!$B$7,0)</f>
        <v>1233</v>
      </c>
      <c r="F36" s="13" t="n">
        <f aca="false">CEILING(E36/0.75,5)</f>
        <v>1645</v>
      </c>
      <c r="G36" s="12" t="n">
        <f aca="false">F36*0.75</f>
        <v>1233.75</v>
      </c>
      <c r="H36" s="10" t="n">
        <f aca="false">ROUND((D36+0.45)/(1-ASM!$B$9),0)</f>
        <v>889</v>
      </c>
      <c r="I36" s="10" t="n">
        <f aca="false">ROUND((D36+0.45)/(1-ASM!$B$9-ASM!$B$10),0)</f>
        <v>1068</v>
      </c>
      <c r="J36" s="10" t="str">
        <f aca="false">IF(G36&gt;=H36,"OK","FLOOR ALTI")</f>
        <v>OK</v>
      </c>
    </row>
    <row r="37" customFormat="false" ht="15" hidden="false" customHeight="true" outlineLevel="0" collapsed="false">
      <c r="A37" s="10" t="n">
        <v>4</v>
      </c>
      <c r="B37" s="10" t="n">
        <v>13</v>
      </c>
      <c r="C37" s="11" t="n">
        <v>7.2</v>
      </c>
      <c r="D37" s="12" t="n">
        <f aca="false">ROUND(C37*ASM!$B$8*ASM!$B$13*(1+ASM!$B$3)+ASM!$B$4+ASM!$B$5+ASM!$B$6,2)</f>
        <v>819.79</v>
      </c>
      <c r="E37" s="10" t="n">
        <f aca="false">ROUND(D37*ASM!$B$7,0)</f>
        <v>1271</v>
      </c>
      <c r="F37" s="13" t="n">
        <f aca="false">CEILING(E37/0.75,5)</f>
        <v>1695</v>
      </c>
      <c r="G37" s="12" t="n">
        <f aca="false">F37*0.75</f>
        <v>1271.25</v>
      </c>
      <c r="H37" s="10" t="n">
        <f aca="false">ROUND((D37+0.45)/(1-ASM!$B$9),0)</f>
        <v>916</v>
      </c>
      <c r="I37" s="10" t="n">
        <f aca="false">ROUND((D37+0.45)/(1-ASM!$B$9-ASM!$B$10),0)</f>
        <v>1101</v>
      </c>
      <c r="J37" s="10" t="str">
        <f aca="false">IF(G37&gt;=H37,"OK","FLOOR ALTI")</f>
        <v>OK</v>
      </c>
    </row>
    <row r="38" customFormat="false" ht="15" hidden="false" customHeight="true" outlineLevel="0" collapsed="false">
      <c r="A38" s="10" t="n">
        <v>4</v>
      </c>
      <c r="B38" s="10" t="n">
        <v>14</v>
      </c>
      <c r="C38" s="11" t="n">
        <v>7.44</v>
      </c>
      <c r="D38" s="12" t="n">
        <f aca="false">ROUND(C38*ASM!$B$8*ASM!$B$13*(1+ASM!$B$3)+ASM!$B$4+ASM!$B$5+ASM!$B$6,2)</f>
        <v>845.11</v>
      </c>
      <c r="E38" s="10" t="n">
        <f aca="false">ROUND(D38*ASM!$B$7,0)</f>
        <v>1310</v>
      </c>
      <c r="F38" s="13" t="n">
        <f aca="false">CEILING(E38/0.75,5)</f>
        <v>1750</v>
      </c>
      <c r="G38" s="12" t="n">
        <f aca="false">F38*0.75</f>
        <v>1312.5</v>
      </c>
      <c r="H38" s="10" t="n">
        <f aca="false">ROUND((D38+0.45)/(1-ASM!$B$9),0)</f>
        <v>945</v>
      </c>
      <c r="I38" s="10" t="n">
        <f aca="false">ROUND((D38+0.45)/(1-ASM!$B$9-ASM!$B$10),0)</f>
        <v>1135</v>
      </c>
      <c r="J38" s="10" t="str">
        <f aca="false">IF(G38&gt;=H38,"OK","FLOOR ALTI")</f>
        <v>OK</v>
      </c>
    </row>
    <row r="39" customFormat="false" ht="15" hidden="false" customHeight="true" outlineLevel="0" collapsed="false">
      <c r="A39" s="10" t="n">
        <v>4</v>
      </c>
      <c r="B39" s="10" t="n">
        <v>15</v>
      </c>
      <c r="C39" s="11" t="n">
        <v>7.68</v>
      </c>
      <c r="D39" s="12" t="n">
        <f aca="false">ROUND(C39*ASM!$B$8*ASM!$B$13*(1+ASM!$B$3)+ASM!$B$4+ASM!$B$5+ASM!$B$6,2)</f>
        <v>870.44</v>
      </c>
      <c r="E39" s="10" t="n">
        <f aca="false">ROUND(D39*ASM!$B$7,0)</f>
        <v>1349</v>
      </c>
      <c r="F39" s="13" t="n">
        <f aca="false">CEILING(E39/0.75,5)</f>
        <v>1800</v>
      </c>
      <c r="G39" s="12" t="n">
        <f aca="false">F39*0.75</f>
        <v>1350</v>
      </c>
      <c r="H39" s="10" t="n">
        <f aca="false">ROUND((D39+0.45)/(1-ASM!$B$9),0)</f>
        <v>973</v>
      </c>
      <c r="I39" s="10" t="n">
        <f aca="false">ROUND((D39+0.45)/(1-ASM!$B$9-ASM!$B$10),0)</f>
        <v>1169</v>
      </c>
      <c r="J39" s="10" t="str">
        <f aca="false">IF(G39&gt;=H39,"OK","FLOOR ALTI")</f>
        <v>OK</v>
      </c>
    </row>
    <row r="40" customFormat="false" ht="15" hidden="false" customHeight="true" outlineLevel="0" collapsed="false">
      <c r="A40" s="10" t="n">
        <v>4</v>
      </c>
      <c r="B40" s="10" t="n">
        <v>16</v>
      </c>
      <c r="C40" s="11" t="n">
        <v>7.9</v>
      </c>
      <c r="D40" s="12" t="n">
        <f aca="false">ROUND(C40*ASM!$B$8*ASM!$B$13*(1+ASM!$B$3)+ASM!$B$4+ASM!$B$5+ASM!$B$6,2)</f>
        <v>893.65</v>
      </c>
      <c r="E40" s="10" t="n">
        <f aca="false">ROUND(D40*ASM!$B$7,0)</f>
        <v>1385</v>
      </c>
      <c r="F40" s="13" t="n">
        <f aca="false">CEILING(E40/0.75,5)</f>
        <v>1850</v>
      </c>
      <c r="G40" s="12" t="n">
        <f aca="false">F40*0.75</f>
        <v>1387.5</v>
      </c>
      <c r="H40" s="10" t="n">
        <f aca="false">ROUND((D40+0.45)/(1-ASM!$B$9),0)</f>
        <v>999</v>
      </c>
      <c r="I40" s="10" t="n">
        <f aca="false">ROUND((D40+0.45)/(1-ASM!$B$9-ASM!$B$10),0)</f>
        <v>1200</v>
      </c>
      <c r="J40" s="10" t="str">
        <f aca="false">IF(G40&gt;=H40,"OK","FLOOR ALTI")</f>
        <v>OK</v>
      </c>
    </row>
    <row r="41" customFormat="false" ht="15" hidden="false" customHeight="true" outlineLevel="0" collapsed="false">
      <c r="A41" s="10" t="n">
        <v>5</v>
      </c>
      <c r="B41" s="10" t="n">
        <v>4</v>
      </c>
      <c r="C41" s="11" t="n">
        <v>6.72</v>
      </c>
      <c r="D41" s="12" t="n">
        <f aca="false">ROUND(C41*ASM!$B$8*ASM!$B$13*(1+ASM!$B$3)+ASM!$B$4+ASM!$B$5+ASM!$B$6,2)</f>
        <v>769.13</v>
      </c>
      <c r="E41" s="10" t="n">
        <f aca="false">ROUND(D41*ASM!$B$7,0)</f>
        <v>1192</v>
      </c>
      <c r="F41" s="13" t="n">
        <f aca="false">CEILING(E41/0.75,5)</f>
        <v>1590</v>
      </c>
      <c r="G41" s="12" t="n">
        <f aca="false">F41*0.75</f>
        <v>1192.5</v>
      </c>
      <c r="H41" s="10" t="n">
        <f aca="false">ROUND((D41+0.45)/(1-ASM!$B$9),0)</f>
        <v>860</v>
      </c>
      <c r="I41" s="10" t="n">
        <f aca="false">ROUND((D41+0.45)/(1-ASM!$B$9-ASM!$B$10),0)</f>
        <v>1033</v>
      </c>
      <c r="J41" s="10" t="str">
        <f aca="false">IF(G41&gt;=H41,"OK","FLOOR ALTI")</f>
        <v>OK</v>
      </c>
    </row>
    <row r="42" customFormat="false" ht="15" hidden="false" customHeight="true" outlineLevel="0" collapsed="false">
      <c r="A42" s="10" t="n">
        <v>5</v>
      </c>
      <c r="B42" s="10" t="n">
        <v>5</v>
      </c>
      <c r="C42" s="11" t="n">
        <v>6.98</v>
      </c>
      <c r="D42" s="12" t="n">
        <f aca="false">ROUND(C42*ASM!$B$8*ASM!$B$13*(1+ASM!$B$3)+ASM!$B$4+ASM!$B$5+ASM!$B$6,2)</f>
        <v>796.57</v>
      </c>
      <c r="E42" s="10" t="n">
        <f aca="false">ROUND(D42*ASM!$B$7,0)</f>
        <v>1235</v>
      </c>
      <c r="F42" s="13" t="n">
        <f aca="false">CEILING(E42/0.75,5)</f>
        <v>1650</v>
      </c>
      <c r="G42" s="12" t="n">
        <f aca="false">F42*0.75</f>
        <v>1237.5</v>
      </c>
      <c r="H42" s="10" t="n">
        <f aca="false">ROUND((D42+0.45)/(1-ASM!$B$9),0)</f>
        <v>891</v>
      </c>
      <c r="I42" s="10" t="n">
        <f aca="false">ROUND((D42+0.45)/(1-ASM!$B$9-ASM!$B$10),0)</f>
        <v>1070</v>
      </c>
      <c r="J42" s="10" t="str">
        <f aca="false">IF(G42&gt;=H42,"OK","FLOOR ALTI")</f>
        <v>OK</v>
      </c>
    </row>
    <row r="43" customFormat="false" ht="15" hidden="false" customHeight="true" outlineLevel="0" collapsed="false">
      <c r="A43" s="10" t="n">
        <v>5</v>
      </c>
      <c r="B43" s="10" t="n">
        <v>6</v>
      </c>
      <c r="C43" s="11" t="n">
        <v>7.25</v>
      </c>
      <c r="D43" s="12" t="n">
        <f aca="false">ROUND(C43*ASM!$B$8*ASM!$B$13*(1+ASM!$B$3)+ASM!$B$4+ASM!$B$5+ASM!$B$6,2)</f>
        <v>825.06</v>
      </c>
      <c r="E43" s="10" t="n">
        <f aca="false">ROUND(D43*ASM!$B$7,0)</f>
        <v>1279</v>
      </c>
      <c r="F43" s="13" t="n">
        <f aca="false">CEILING(E43/0.75,5)</f>
        <v>1710</v>
      </c>
      <c r="G43" s="12" t="n">
        <f aca="false">F43*0.75</f>
        <v>1282.5</v>
      </c>
      <c r="H43" s="10" t="n">
        <f aca="false">ROUND((D43+0.45)/(1-ASM!$B$9),0)</f>
        <v>922</v>
      </c>
      <c r="I43" s="10" t="n">
        <f aca="false">ROUND((D43+0.45)/(1-ASM!$B$9-ASM!$B$10),0)</f>
        <v>1108</v>
      </c>
      <c r="J43" s="10" t="str">
        <f aca="false">IF(G43&gt;=H43,"OK","FLOOR ALTI")</f>
        <v>OK</v>
      </c>
    </row>
    <row r="44" customFormat="false" ht="15" hidden="false" customHeight="true" outlineLevel="0" collapsed="false">
      <c r="A44" s="10" t="n">
        <v>5</v>
      </c>
      <c r="B44" s="10" t="n">
        <v>7</v>
      </c>
      <c r="C44" s="11" t="n">
        <v>7.52</v>
      </c>
      <c r="D44" s="12" t="n">
        <f aca="false">ROUND(C44*ASM!$B$8*ASM!$B$13*(1+ASM!$B$3)+ASM!$B$4+ASM!$B$5+ASM!$B$6,2)</f>
        <v>853.55</v>
      </c>
      <c r="E44" s="10" t="n">
        <f aca="false">ROUND(D44*ASM!$B$7,0)</f>
        <v>1323</v>
      </c>
      <c r="F44" s="13" t="n">
        <f aca="false">CEILING(E44/0.75,5)</f>
        <v>1765</v>
      </c>
      <c r="G44" s="12" t="n">
        <f aca="false">F44*0.75</f>
        <v>1323.75</v>
      </c>
      <c r="H44" s="10" t="n">
        <f aca="false">ROUND((D44+0.45)/(1-ASM!$B$9),0)</f>
        <v>954</v>
      </c>
      <c r="I44" s="10" t="n">
        <f aca="false">ROUND((D44+0.45)/(1-ASM!$B$9-ASM!$B$10),0)</f>
        <v>1146</v>
      </c>
      <c r="J44" s="10" t="str">
        <f aca="false">IF(G44&gt;=H44,"OK","FLOOR ALTI")</f>
        <v>OK</v>
      </c>
    </row>
    <row r="45" customFormat="false" ht="15" hidden="false" customHeight="true" outlineLevel="0" collapsed="false">
      <c r="A45" s="10" t="n">
        <v>5</v>
      </c>
      <c r="B45" s="10" t="n">
        <v>8</v>
      </c>
      <c r="C45" s="11" t="n">
        <v>7.79</v>
      </c>
      <c r="D45" s="12" t="n">
        <f aca="false">ROUND(C45*ASM!$B$8*ASM!$B$13*(1+ASM!$B$3)+ASM!$B$4+ASM!$B$5+ASM!$B$6,2)</f>
        <v>882.05</v>
      </c>
      <c r="E45" s="10" t="n">
        <f aca="false">ROUND(D45*ASM!$B$7,0)</f>
        <v>1367</v>
      </c>
      <c r="F45" s="13" t="n">
        <f aca="false">CEILING(E45/0.75,5)</f>
        <v>1825</v>
      </c>
      <c r="G45" s="12" t="n">
        <f aca="false">F45*0.75</f>
        <v>1368.75</v>
      </c>
      <c r="H45" s="10" t="n">
        <f aca="false">ROUND((D45+0.45)/(1-ASM!$B$9),0)</f>
        <v>986</v>
      </c>
      <c r="I45" s="10" t="n">
        <f aca="false">ROUND((D45+0.45)/(1-ASM!$B$9-ASM!$B$10),0)</f>
        <v>1185</v>
      </c>
      <c r="J45" s="10" t="str">
        <f aca="false">IF(G45&gt;=H45,"OK","FLOOR ALTI")</f>
        <v>OK</v>
      </c>
    </row>
    <row r="46" customFormat="false" ht="15" hidden="false" customHeight="true" outlineLevel="0" collapsed="false">
      <c r="A46" s="10" t="n">
        <v>5</v>
      </c>
      <c r="B46" s="10" t="n">
        <v>9</v>
      </c>
      <c r="C46" s="11" t="n">
        <v>8.05</v>
      </c>
      <c r="D46" s="12" t="n">
        <f aca="false">ROUND(C46*ASM!$B$8*ASM!$B$13*(1+ASM!$B$3)+ASM!$B$4+ASM!$B$5+ASM!$B$6,2)</f>
        <v>909.48</v>
      </c>
      <c r="E46" s="10" t="n">
        <f aca="false">ROUND(D46*ASM!$B$7,0)</f>
        <v>1410</v>
      </c>
      <c r="F46" s="13" t="n">
        <f aca="false">CEILING(E46/0.75,5)</f>
        <v>1880</v>
      </c>
      <c r="G46" s="12" t="n">
        <f aca="false">F46*0.75</f>
        <v>1410</v>
      </c>
      <c r="H46" s="10" t="n">
        <f aca="false">ROUND((D46+0.45)/(1-ASM!$B$9),0)</f>
        <v>1017</v>
      </c>
      <c r="I46" s="10" t="n">
        <f aca="false">ROUND((D46+0.45)/(1-ASM!$B$9-ASM!$B$10),0)</f>
        <v>1221</v>
      </c>
      <c r="J46" s="10" t="str">
        <f aca="false">IF(G46&gt;=H46,"OK","FLOOR ALTI")</f>
        <v>OK</v>
      </c>
    </row>
    <row r="47" customFormat="false" ht="15" hidden="false" customHeight="true" outlineLevel="0" collapsed="false">
      <c r="A47" s="10" t="n">
        <v>5</v>
      </c>
      <c r="B47" s="10" t="n">
        <v>10</v>
      </c>
      <c r="C47" s="11" t="n">
        <v>8.32</v>
      </c>
      <c r="D47" s="12" t="n">
        <f aca="false">ROUND(C47*ASM!$B$8*ASM!$B$13*(1+ASM!$B$3)+ASM!$B$4+ASM!$B$5+ASM!$B$6,2)</f>
        <v>937.98</v>
      </c>
      <c r="E47" s="10" t="n">
        <f aca="false">ROUND(D47*ASM!$B$7,0)</f>
        <v>1454</v>
      </c>
      <c r="F47" s="13" t="n">
        <f aca="false">CEILING(E47/0.75,5)</f>
        <v>1940</v>
      </c>
      <c r="G47" s="12" t="n">
        <f aca="false">F47*0.75</f>
        <v>1455</v>
      </c>
      <c r="H47" s="10" t="n">
        <f aca="false">ROUND((D47+0.45)/(1-ASM!$B$9),0)</f>
        <v>1049</v>
      </c>
      <c r="I47" s="10" t="n">
        <f aca="false">ROUND((D47+0.45)/(1-ASM!$B$9-ASM!$B$10),0)</f>
        <v>1260</v>
      </c>
      <c r="J47" s="10" t="str">
        <f aca="false">IF(G47&gt;=H47,"OK","FLOOR ALTI")</f>
        <v>OK</v>
      </c>
    </row>
    <row r="48" customFormat="false" ht="15" hidden="false" customHeight="true" outlineLevel="0" collapsed="false">
      <c r="A48" s="10" t="n">
        <v>5</v>
      </c>
      <c r="B48" s="10" t="n">
        <v>11</v>
      </c>
      <c r="C48" s="11" t="n">
        <v>8.59</v>
      </c>
      <c r="D48" s="12" t="n">
        <f aca="false">ROUND(C48*ASM!$B$8*ASM!$B$13*(1+ASM!$B$3)+ASM!$B$4+ASM!$B$5+ASM!$B$6,2)</f>
        <v>966.47</v>
      </c>
      <c r="E48" s="10" t="n">
        <f aca="false">ROUND(D48*ASM!$B$7,0)</f>
        <v>1498</v>
      </c>
      <c r="F48" s="13" t="n">
        <f aca="false">CEILING(E48/0.75,5)</f>
        <v>2000</v>
      </c>
      <c r="G48" s="12" t="n">
        <f aca="false">F48*0.75</f>
        <v>1500</v>
      </c>
      <c r="H48" s="10" t="n">
        <f aca="false">ROUND((D48+0.45)/(1-ASM!$B$9),0)</f>
        <v>1080</v>
      </c>
      <c r="I48" s="10" t="n">
        <f aca="false">ROUND((D48+0.45)/(1-ASM!$B$9-ASM!$B$10),0)</f>
        <v>1298</v>
      </c>
      <c r="J48" s="10" t="str">
        <f aca="false">IF(G48&gt;=H48,"OK","FLOOR ALTI")</f>
        <v>OK</v>
      </c>
    </row>
    <row r="49" customFormat="false" ht="15" hidden="false" customHeight="true" outlineLevel="0" collapsed="false">
      <c r="A49" s="10" t="n">
        <v>5</v>
      </c>
      <c r="B49" s="10" t="n">
        <v>12</v>
      </c>
      <c r="C49" s="11" t="n">
        <v>8.86</v>
      </c>
      <c r="D49" s="12" t="n">
        <f aca="false">ROUND(C49*ASM!$B$8*ASM!$B$13*(1+ASM!$B$3)+ASM!$B$4+ASM!$B$5+ASM!$B$6,2)</f>
        <v>994.96</v>
      </c>
      <c r="E49" s="10" t="n">
        <f aca="false">ROUND(D49*ASM!$B$7,0)</f>
        <v>1542</v>
      </c>
      <c r="F49" s="13" t="n">
        <f aca="false">CEILING(E49/0.75,5)</f>
        <v>2060</v>
      </c>
      <c r="G49" s="12" t="n">
        <f aca="false">F49*0.75</f>
        <v>1545</v>
      </c>
      <c r="H49" s="10" t="n">
        <f aca="false">ROUND((D49+0.45)/(1-ASM!$B$9),0)</f>
        <v>1112</v>
      </c>
      <c r="I49" s="10" t="n">
        <f aca="false">ROUND((D49+0.45)/(1-ASM!$B$9-ASM!$B$10),0)</f>
        <v>1336</v>
      </c>
      <c r="J49" s="10" t="str">
        <f aca="false">IF(G49&gt;=H49,"OK","FLOOR ALTI")</f>
        <v>OK</v>
      </c>
    </row>
    <row r="50" customFormat="false" ht="15" hidden="false" customHeight="true" outlineLevel="0" collapsed="false">
      <c r="A50" s="10" t="n">
        <v>5</v>
      </c>
      <c r="B50" s="10" t="n">
        <v>13</v>
      </c>
      <c r="C50" s="11" t="n">
        <v>9.12</v>
      </c>
      <c r="D50" s="12" t="n">
        <f aca="false">ROUND(C50*ASM!$B$8*ASM!$B$13*(1+ASM!$B$3)+ASM!$B$4+ASM!$B$5+ASM!$B$6,2)</f>
        <v>1022.4</v>
      </c>
      <c r="E50" s="10" t="n">
        <f aca="false">ROUND(D50*ASM!$B$7,0)</f>
        <v>1585</v>
      </c>
      <c r="F50" s="13" t="n">
        <f aca="false">CEILING(E50/0.75,5)</f>
        <v>2115</v>
      </c>
      <c r="G50" s="12" t="n">
        <f aca="false">F50*0.75</f>
        <v>1586.25</v>
      </c>
      <c r="H50" s="10" t="n">
        <f aca="false">ROUND((D50+0.45)/(1-ASM!$B$9),0)</f>
        <v>1143</v>
      </c>
      <c r="I50" s="10" t="n">
        <f aca="false">ROUND((D50+0.45)/(1-ASM!$B$9-ASM!$B$10),0)</f>
        <v>1373</v>
      </c>
      <c r="J50" s="10" t="str">
        <f aca="false">IF(G50&gt;=H50,"OK","FLOOR ALTI")</f>
        <v>OK</v>
      </c>
    </row>
    <row r="51" customFormat="false" ht="15" hidden="false" customHeight="true" outlineLevel="0" collapsed="false">
      <c r="A51" s="10" t="n">
        <v>5</v>
      </c>
      <c r="B51" s="10" t="n">
        <v>14</v>
      </c>
      <c r="C51" s="11" t="n">
        <v>9.36</v>
      </c>
      <c r="D51" s="12" t="n">
        <f aca="false">ROUND(C51*ASM!$B$8*ASM!$B$13*(1+ASM!$B$3)+ASM!$B$4+ASM!$B$5+ASM!$B$6,2)</f>
        <v>1047.72</v>
      </c>
      <c r="E51" s="10" t="n">
        <f aca="false">ROUND(D51*ASM!$B$7,0)</f>
        <v>1624</v>
      </c>
      <c r="F51" s="13" t="n">
        <f aca="false">CEILING(E51/0.75,5)</f>
        <v>2170</v>
      </c>
      <c r="G51" s="12" t="n">
        <f aca="false">F51*0.75</f>
        <v>1627.5</v>
      </c>
      <c r="H51" s="10" t="n">
        <f aca="false">ROUND((D51+0.45)/(1-ASM!$B$9),0)</f>
        <v>1171</v>
      </c>
      <c r="I51" s="10" t="n">
        <f aca="false">ROUND((D51+0.45)/(1-ASM!$B$9-ASM!$B$10),0)</f>
        <v>1407</v>
      </c>
      <c r="J51" s="10" t="str">
        <f aca="false">IF(G51&gt;=H51,"OK","FLOOR ALTI")</f>
        <v>OK</v>
      </c>
    </row>
    <row r="52" customFormat="false" ht="15" hidden="false" customHeight="true" outlineLevel="0" collapsed="false">
      <c r="A52" s="10" t="n">
        <v>5</v>
      </c>
      <c r="B52" s="10" t="n">
        <v>15</v>
      </c>
      <c r="C52" s="11" t="n">
        <v>9.6</v>
      </c>
      <c r="D52" s="12" t="n">
        <f aca="false">ROUND(C52*ASM!$B$8*ASM!$B$13*(1+ASM!$B$3)+ASM!$B$4+ASM!$B$5+ASM!$B$6,2)</f>
        <v>1073.05</v>
      </c>
      <c r="E52" s="10" t="n">
        <f aca="false">ROUND(D52*ASM!$B$7,0)</f>
        <v>1663</v>
      </c>
      <c r="F52" s="13" t="n">
        <f aca="false">CEILING(E52/0.75,5)</f>
        <v>2220</v>
      </c>
      <c r="G52" s="12" t="n">
        <f aca="false">F52*0.75</f>
        <v>1665</v>
      </c>
      <c r="H52" s="10" t="n">
        <f aca="false">ROUND((D52+0.45)/(1-ASM!$B$9),0)</f>
        <v>1199</v>
      </c>
      <c r="I52" s="10" t="n">
        <f aca="false">ROUND((D52+0.45)/(1-ASM!$B$9-ASM!$B$10),0)</f>
        <v>1441</v>
      </c>
      <c r="J52" s="10" t="str">
        <f aca="false">IF(G52&gt;=H52,"OK","FLOOR ALTI")</f>
        <v>OK</v>
      </c>
    </row>
    <row r="53" customFormat="false" ht="15" hidden="false" customHeight="true" outlineLevel="0" collapsed="false">
      <c r="A53" s="10" t="n">
        <v>5</v>
      </c>
      <c r="B53" s="10" t="n">
        <v>16</v>
      </c>
      <c r="C53" s="11" t="n">
        <v>9.94</v>
      </c>
      <c r="D53" s="12" t="n">
        <f aca="false">ROUND(C53*ASM!$B$8*ASM!$B$13*(1+ASM!$B$3)+ASM!$B$4+ASM!$B$5+ASM!$B$6,2)</f>
        <v>1108.93</v>
      </c>
      <c r="E53" s="10" t="n">
        <f aca="false">ROUND(D53*ASM!$B$7,0)</f>
        <v>1719</v>
      </c>
      <c r="F53" s="13" t="n">
        <f aca="false">CEILING(E53/0.75,5)</f>
        <v>2295</v>
      </c>
      <c r="G53" s="12" t="n">
        <f aca="false">F53*0.75</f>
        <v>1721.25</v>
      </c>
      <c r="H53" s="10" t="n">
        <f aca="false">ROUND((D53+0.45)/(1-ASM!$B$9),0)</f>
        <v>1240</v>
      </c>
      <c r="I53" s="10" t="n">
        <f aca="false">ROUND((D53+0.45)/(1-ASM!$B$9-ASM!$B$10),0)</f>
        <v>1489</v>
      </c>
      <c r="J53" s="10" t="str">
        <f aca="false">IF(G53&gt;=H53,"OK","FLOOR ALTI")</f>
        <v>OK</v>
      </c>
    </row>
    <row r="54" customFormat="false" ht="15" hidden="false" customHeight="true" outlineLevel="0" collapsed="false">
      <c r="A54" s="10" t="n">
        <v>6</v>
      </c>
      <c r="B54" s="10" t="n">
        <v>4</v>
      </c>
      <c r="C54" s="11" t="n">
        <v>8.04</v>
      </c>
      <c r="D54" s="12" t="n">
        <f aca="false">ROUND(C54*ASM!$B$8*ASM!$B$13*(1+ASM!$B$3)+ASM!$B$4+ASM!$B$5+ASM!$B$6,2)</f>
        <v>908.43</v>
      </c>
      <c r="E54" s="10" t="n">
        <f aca="false">ROUND(D54*ASM!$B$7,0)</f>
        <v>1408</v>
      </c>
      <c r="F54" s="13" t="n">
        <f aca="false">CEILING(E54/0.75,5)</f>
        <v>1880</v>
      </c>
      <c r="G54" s="12" t="n">
        <f aca="false">F54*0.75</f>
        <v>1410</v>
      </c>
      <c r="H54" s="10" t="n">
        <f aca="false">ROUND((D54+0.45)/(1-ASM!$B$9),0)</f>
        <v>1016</v>
      </c>
      <c r="I54" s="10" t="n">
        <f aca="false">ROUND((D54+0.45)/(1-ASM!$B$9-ASM!$B$10),0)</f>
        <v>1220</v>
      </c>
      <c r="J54" s="10" t="str">
        <f aca="false">IF(G54&gt;=H54,"OK","FLOOR ALTI")</f>
        <v>OK</v>
      </c>
    </row>
    <row r="55" customFormat="false" ht="15" hidden="false" customHeight="true" outlineLevel="0" collapsed="false">
      <c r="A55" s="10" t="n">
        <v>6</v>
      </c>
      <c r="B55" s="10" t="n">
        <v>5</v>
      </c>
      <c r="C55" s="11" t="n">
        <v>8.35</v>
      </c>
      <c r="D55" s="12" t="n">
        <f aca="false">ROUND(C55*ASM!$B$8*ASM!$B$13*(1+ASM!$B$3)+ASM!$B$4+ASM!$B$5+ASM!$B$6,2)</f>
        <v>941.14</v>
      </c>
      <c r="E55" s="10" t="n">
        <f aca="false">ROUND(D55*ASM!$B$7,0)</f>
        <v>1459</v>
      </c>
      <c r="F55" s="13" t="n">
        <f aca="false">CEILING(E55/0.75,5)</f>
        <v>1950</v>
      </c>
      <c r="G55" s="12" t="n">
        <f aca="false">F55*0.75</f>
        <v>1462.5</v>
      </c>
      <c r="H55" s="10" t="n">
        <f aca="false">ROUND((D55+0.45)/(1-ASM!$B$9),0)</f>
        <v>1052</v>
      </c>
      <c r="I55" s="10" t="n">
        <f aca="false">ROUND((D55+0.45)/(1-ASM!$B$9-ASM!$B$10),0)</f>
        <v>1264</v>
      </c>
      <c r="J55" s="10" t="str">
        <f aca="false">IF(G55&gt;=H55,"OK","FLOOR ALTI")</f>
        <v>OK</v>
      </c>
    </row>
    <row r="56" customFormat="false" ht="15" hidden="false" customHeight="true" outlineLevel="0" collapsed="false">
      <c r="A56" s="10" t="n">
        <v>6</v>
      </c>
      <c r="B56" s="10" t="n">
        <v>6</v>
      </c>
      <c r="C56" s="11" t="n">
        <v>8.65</v>
      </c>
      <c r="D56" s="12" t="n">
        <f aca="false">ROUND(C56*ASM!$B$8*ASM!$B$13*(1+ASM!$B$3)+ASM!$B$4+ASM!$B$5+ASM!$B$6,2)</f>
        <v>972.8</v>
      </c>
      <c r="E56" s="10" t="n">
        <f aca="false">ROUND(D56*ASM!$B$7,0)</f>
        <v>1508</v>
      </c>
      <c r="F56" s="13" t="n">
        <f aca="false">CEILING(E56/0.75,5)</f>
        <v>2015</v>
      </c>
      <c r="G56" s="12" t="n">
        <f aca="false">F56*0.75</f>
        <v>1511.25</v>
      </c>
      <c r="H56" s="10" t="n">
        <f aca="false">ROUND((D56+0.45)/(1-ASM!$B$9),0)</f>
        <v>1087</v>
      </c>
      <c r="I56" s="10" t="n">
        <f aca="false">ROUND((D56+0.45)/(1-ASM!$B$9-ASM!$B$10),0)</f>
        <v>1306</v>
      </c>
      <c r="J56" s="10" t="str">
        <f aca="false">IF(G56&gt;=H56,"OK","FLOOR ALTI")</f>
        <v>OK</v>
      </c>
    </row>
    <row r="57" customFormat="false" ht="15" hidden="false" customHeight="true" outlineLevel="0" collapsed="false">
      <c r="A57" s="10" t="n">
        <v>6</v>
      </c>
      <c r="B57" s="10" t="n">
        <v>7</v>
      </c>
      <c r="C57" s="11" t="n">
        <v>8.96</v>
      </c>
      <c r="D57" s="12" t="n">
        <f aca="false">ROUND(C57*ASM!$B$8*ASM!$B$13*(1+ASM!$B$3)+ASM!$B$4+ASM!$B$5+ASM!$B$6,2)</f>
        <v>1005.51</v>
      </c>
      <c r="E57" s="10" t="n">
        <f aca="false">ROUND(D57*ASM!$B$7,0)</f>
        <v>1559</v>
      </c>
      <c r="F57" s="13" t="n">
        <f aca="false">CEILING(E57/0.75,5)</f>
        <v>2080</v>
      </c>
      <c r="G57" s="12" t="n">
        <f aca="false">F57*0.75</f>
        <v>1560</v>
      </c>
      <c r="H57" s="10" t="n">
        <f aca="false">ROUND((D57+0.45)/(1-ASM!$B$9),0)</f>
        <v>1124</v>
      </c>
      <c r="I57" s="10" t="n">
        <f aca="false">ROUND((D57+0.45)/(1-ASM!$B$9-ASM!$B$10),0)</f>
        <v>1350</v>
      </c>
      <c r="J57" s="10" t="str">
        <f aca="false">IF(G57&gt;=H57,"OK","FLOOR ALTI")</f>
        <v>OK</v>
      </c>
    </row>
    <row r="58" customFormat="false" ht="15" hidden="false" customHeight="true" outlineLevel="0" collapsed="false">
      <c r="A58" s="10" t="n">
        <v>6</v>
      </c>
      <c r="B58" s="10" t="n">
        <v>8</v>
      </c>
      <c r="C58" s="11" t="n">
        <v>9.26</v>
      </c>
      <c r="D58" s="12" t="n">
        <f aca="false">ROUND(C58*ASM!$B$8*ASM!$B$13*(1+ASM!$B$3)+ASM!$B$4+ASM!$B$5+ASM!$B$6,2)</f>
        <v>1037.17</v>
      </c>
      <c r="E58" s="10" t="n">
        <f aca="false">ROUND(D58*ASM!$B$7,0)</f>
        <v>1608</v>
      </c>
      <c r="F58" s="13" t="n">
        <f aca="false">CEILING(E58/0.75,5)</f>
        <v>2145</v>
      </c>
      <c r="G58" s="12" t="n">
        <f aca="false">F58*0.75</f>
        <v>1608.75</v>
      </c>
      <c r="H58" s="10" t="n">
        <f aca="false">ROUND((D58+0.45)/(1-ASM!$B$9),0)</f>
        <v>1159</v>
      </c>
      <c r="I58" s="10" t="n">
        <f aca="false">ROUND((D58+0.45)/(1-ASM!$B$9-ASM!$B$10),0)</f>
        <v>1393</v>
      </c>
      <c r="J58" s="10" t="str">
        <f aca="false">IF(G58&gt;=H58,"OK","FLOOR ALTI")</f>
        <v>OK</v>
      </c>
    </row>
    <row r="59" customFormat="false" ht="15" hidden="false" customHeight="true" outlineLevel="0" collapsed="false">
      <c r="A59" s="10" t="n">
        <v>6</v>
      </c>
      <c r="B59" s="10" t="n">
        <v>9</v>
      </c>
      <c r="C59" s="11" t="n">
        <v>9.58</v>
      </c>
      <c r="D59" s="12" t="n">
        <f aca="false">ROUND(C59*ASM!$B$8*ASM!$B$13*(1+ASM!$B$3)+ASM!$B$4+ASM!$B$5+ASM!$B$6,2)</f>
        <v>1070.94</v>
      </c>
      <c r="E59" s="10" t="n">
        <f aca="false">ROUND(D59*ASM!$B$7,0)</f>
        <v>1660</v>
      </c>
      <c r="F59" s="13" t="n">
        <f aca="false">CEILING(E59/0.75,5)</f>
        <v>2215</v>
      </c>
      <c r="G59" s="12" t="n">
        <f aca="false">F59*0.75</f>
        <v>1661.25</v>
      </c>
      <c r="H59" s="10" t="n">
        <f aca="false">ROUND((D59+0.45)/(1-ASM!$B$9),0)</f>
        <v>1197</v>
      </c>
      <c r="I59" s="10" t="n">
        <f aca="false">ROUND((D59+0.45)/(1-ASM!$B$9-ASM!$B$10),0)</f>
        <v>1438</v>
      </c>
      <c r="J59" s="10" t="str">
        <f aca="false">IF(G59&gt;=H59,"OK","FLOOR ALTI")</f>
        <v>OK</v>
      </c>
    </row>
    <row r="60" customFormat="false" ht="15" hidden="false" customHeight="true" outlineLevel="0" collapsed="false">
      <c r="A60" s="10" t="n">
        <v>6</v>
      </c>
      <c r="B60" s="10" t="n">
        <v>10</v>
      </c>
      <c r="C60" s="11" t="n">
        <v>9.88</v>
      </c>
      <c r="D60" s="12" t="n">
        <f aca="false">ROUND(C60*ASM!$B$8*ASM!$B$13*(1+ASM!$B$3)+ASM!$B$4+ASM!$B$5+ASM!$B$6,2)</f>
        <v>1102.6</v>
      </c>
      <c r="E60" s="10" t="n">
        <f aca="false">ROUND(D60*ASM!$B$7,0)</f>
        <v>1709</v>
      </c>
      <c r="F60" s="13" t="n">
        <f aca="false">CEILING(E60/0.75,5)</f>
        <v>2280</v>
      </c>
      <c r="G60" s="12" t="n">
        <f aca="false">F60*0.75</f>
        <v>1710</v>
      </c>
      <c r="H60" s="10" t="n">
        <f aca="false">ROUND((D60+0.45)/(1-ASM!$B$9),0)</f>
        <v>1232</v>
      </c>
      <c r="I60" s="10" t="n">
        <f aca="false">ROUND((D60+0.45)/(1-ASM!$B$9-ASM!$B$10),0)</f>
        <v>1481</v>
      </c>
      <c r="J60" s="10" t="str">
        <f aca="false">IF(G60&gt;=H60,"OK","FLOOR ALTI")</f>
        <v>OK</v>
      </c>
    </row>
    <row r="61" customFormat="false" ht="15" hidden="false" customHeight="true" outlineLevel="0" collapsed="false">
      <c r="A61" s="10" t="n">
        <v>6</v>
      </c>
      <c r="B61" s="10" t="n">
        <v>11</v>
      </c>
      <c r="C61" s="11" t="n">
        <v>10.19</v>
      </c>
      <c r="D61" s="12" t="n">
        <f aca="false">ROUND(C61*ASM!$B$8*ASM!$B$13*(1+ASM!$B$3)+ASM!$B$4+ASM!$B$5+ASM!$B$6,2)</f>
        <v>1135.31</v>
      </c>
      <c r="E61" s="10" t="n">
        <f aca="false">ROUND(D61*ASM!$B$7,0)</f>
        <v>1760</v>
      </c>
      <c r="F61" s="13" t="n">
        <f aca="false">CEILING(E61/0.75,5)</f>
        <v>2350</v>
      </c>
      <c r="G61" s="12" t="n">
        <f aca="false">F61*0.75</f>
        <v>1762.5</v>
      </c>
      <c r="H61" s="10" t="n">
        <f aca="false">ROUND((D61+0.45)/(1-ASM!$B$9),0)</f>
        <v>1269</v>
      </c>
      <c r="I61" s="10" t="n">
        <f aca="false">ROUND((D61+0.45)/(1-ASM!$B$9-ASM!$B$10),0)</f>
        <v>1525</v>
      </c>
      <c r="J61" s="10" t="str">
        <f aca="false">IF(G61&gt;=H61,"OK","FLOOR ALTI")</f>
        <v>OK</v>
      </c>
    </row>
    <row r="62" customFormat="false" ht="15" hidden="false" customHeight="true" outlineLevel="0" collapsed="false">
      <c r="A62" s="10" t="n">
        <v>6</v>
      </c>
      <c r="B62" s="10" t="n">
        <v>12</v>
      </c>
      <c r="C62" s="11" t="n">
        <v>10.49</v>
      </c>
      <c r="D62" s="12" t="n">
        <f aca="false">ROUND(C62*ASM!$B$8*ASM!$B$13*(1+ASM!$B$3)+ASM!$B$4+ASM!$B$5+ASM!$B$6,2)</f>
        <v>1166.97</v>
      </c>
      <c r="E62" s="10" t="n">
        <f aca="false">ROUND(D62*ASM!$B$7,0)</f>
        <v>1809</v>
      </c>
      <c r="F62" s="13" t="n">
        <f aca="false">CEILING(E62/0.75,5)</f>
        <v>2415</v>
      </c>
      <c r="G62" s="12" t="n">
        <f aca="false">F62*0.75</f>
        <v>1811.25</v>
      </c>
      <c r="H62" s="10" t="n">
        <f aca="false">ROUND((D62+0.45)/(1-ASM!$B$9),0)</f>
        <v>1304</v>
      </c>
      <c r="I62" s="10" t="n">
        <f aca="false">ROUND((D62+0.45)/(1-ASM!$B$9-ASM!$B$10),0)</f>
        <v>1567</v>
      </c>
      <c r="J62" s="10" t="str">
        <f aca="false">IF(G62&gt;=H62,"OK","FLOOR ALTI")</f>
        <v>OK</v>
      </c>
    </row>
    <row r="63" customFormat="false" ht="15" hidden="false" customHeight="true" outlineLevel="0" collapsed="false">
      <c r="A63" s="10" t="n">
        <v>6</v>
      </c>
      <c r="B63" s="10" t="n">
        <v>13</v>
      </c>
      <c r="C63" s="11" t="n">
        <v>10.8</v>
      </c>
      <c r="D63" s="12" t="n">
        <f aca="false">ROUND(C63*ASM!$B$8*ASM!$B$13*(1+ASM!$B$3)+ASM!$B$4+ASM!$B$5+ASM!$B$6,2)</f>
        <v>1199.68</v>
      </c>
      <c r="E63" s="10" t="n">
        <f aca="false">ROUND(D63*ASM!$B$7,0)</f>
        <v>1860</v>
      </c>
      <c r="F63" s="13" t="n">
        <f aca="false">CEILING(E63/0.75,5)</f>
        <v>2480</v>
      </c>
      <c r="G63" s="12" t="n">
        <f aca="false">F63*0.75</f>
        <v>1860</v>
      </c>
      <c r="H63" s="10" t="n">
        <f aca="false">ROUND((D63+0.45)/(1-ASM!$B$9),0)</f>
        <v>1341</v>
      </c>
      <c r="I63" s="10" t="n">
        <f aca="false">ROUND((D63+0.45)/(1-ASM!$B$9-ASM!$B$10),0)</f>
        <v>1611</v>
      </c>
      <c r="J63" s="10" t="str">
        <f aca="false">IF(G63&gt;=H63,"OK","FLOOR ALTI")</f>
        <v>OK</v>
      </c>
    </row>
    <row r="64" customFormat="false" ht="15" hidden="false" customHeight="true" outlineLevel="0" collapsed="false">
      <c r="A64" s="10" t="n">
        <v>6</v>
      </c>
      <c r="B64" s="10" t="n">
        <v>14</v>
      </c>
      <c r="C64" s="11" t="n">
        <v>11.04</v>
      </c>
      <c r="D64" s="12" t="n">
        <f aca="false">ROUND(C64*ASM!$B$8*ASM!$B$13*(1+ASM!$B$3)+ASM!$B$4+ASM!$B$5+ASM!$B$6,2)</f>
        <v>1225.01</v>
      </c>
      <c r="E64" s="10" t="n">
        <f aca="false">ROUND(D64*ASM!$B$7,0)</f>
        <v>1899</v>
      </c>
      <c r="F64" s="13" t="n">
        <f aca="false">CEILING(E64/0.75,5)</f>
        <v>2535</v>
      </c>
      <c r="G64" s="12" t="n">
        <f aca="false">F64*0.75</f>
        <v>1901.25</v>
      </c>
      <c r="H64" s="10" t="n">
        <f aca="false">ROUND((D64+0.45)/(1-ASM!$B$9),0)</f>
        <v>1369</v>
      </c>
      <c r="I64" s="10" t="n">
        <f aca="false">ROUND((D64+0.45)/(1-ASM!$B$9-ASM!$B$10),0)</f>
        <v>1645</v>
      </c>
      <c r="J64" s="10" t="str">
        <f aca="false">IF(G64&gt;=H64,"OK","FLOOR ALTI")</f>
        <v>OK</v>
      </c>
    </row>
    <row r="65" customFormat="false" ht="15" hidden="false" customHeight="true" outlineLevel="0" collapsed="false">
      <c r="A65" s="10" t="n">
        <v>6</v>
      </c>
      <c r="B65" s="10" t="n">
        <v>15</v>
      </c>
      <c r="C65" s="11" t="n">
        <v>11.28</v>
      </c>
      <c r="D65" s="12" t="n">
        <f aca="false">ROUND(C65*ASM!$B$8*ASM!$B$13*(1+ASM!$B$3)+ASM!$B$4+ASM!$B$5+ASM!$B$6,2)</f>
        <v>1250.33</v>
      </c>
      <c r="E65" s="10" t="n">
        <f aca="false">ROUND(D65*ASM!$B$7,0)</f>
        <v>1938</v>
      </c>
      <c r="F65" s="13" t="n">
        <f aca="false">CEILING(E65/0.75,5)</f>
        <v>2585</v>
      </c>
      <c r="G65" s="12" t="n">
        <f aca="false">F65*0.75</f>
        <v>1938.75</v>
      </c>
      <c r="H65" s="10" t="n">
        <f aca="false">ROUND((D65+0.45)/(1-ASM!$B$9),0)</f>
        <v>1398</v>
      </c>
      <c r="I65" s="10" t="n">
        <f aca="false">ROUND((D65+0.45)/(1-ASM!$B$9-ASM!$B$10),0)</f>
        <v>1679</v>
      </c>
      <c r="J65" s="10" t="str">
        <f aca="false">IF(G65&gt;=H65,"OK","FLOOR ALTI")</f>
        <v>OK</v>
      </c>
    </row>
    <row r="66" customFormat="false" ht="15" hidden="false" customHeight="true" outlineLevel="0" collapsed="false">
      <c r="A66" s="10" t="n">
        <v>6</v>
      </c>
      <c r="B66" s="10" t="n">
        <v>16</v>
      </c>
      <c r="C66" s="11" t="n">
        <v>11.66</v>
      </c>
      <c r="D66" s="12" t="n">
        <f aca="false">ROUND(C66*ASM!$B$8*ASM!$B$13*(1+ASM!$B$3)+ASM!$B$4+ASM!$B$5+ASM!$B$6,2)</f>
        <v>1290.43</v>
      </c>
      <c r="E66" s="10" t="n">
        <f aca="false">ROUND(D66*ASM!$B$7,0)</f>
        <v>2000</v>
      </c>
      <c r="F66" s="13" t="n">
        <f aca="false">CEILING(E66/0.75,5)</f>
        <v>2670</v>
      </c>
      <c r="G66" s="12" t="n">
        <f aca="false">F66*0.75</f>
        <v>2002.5</v>
      </c>
      <c r="H66" s="10" t="n">
        <f aca="false">ROUND((D66+0.45)/(1-ASM!$B$9),0)</f>
        <v>1442</v>
      </c>
      <c r="I66" s="10" t="n">
        <f aca="false">ROUND((D66+0.45)/(1-ASM!$B$9-ASM!$B$10),0)</f>
        <v>1733</v>
      </c>
      <c r="J66" s="10" t="str">
        <f aca="false">IF(G66&gt;=H66,"OK","FLOOR ALTI")</f>
        <v>OK</v>
      </c>
    </row>
    <row r="67" customFormat="false" ht="15" hidden="false" customHeight="true" outlineLevel="0" collapsed="false">
      <c r="A67" s="10" t="n">
        <v>7</v>
      </c>
      <c r="B67" s="10" t="n">
        <v>4</v>
      </c>
      <c r="C67" s="11" t="n">
        <v>9.2</v>
      </c>
      <c r="D67" s="12" t="n">
        <f aca="false">ROUND(C67*ASM!$B$8*ASM!$B$13*(1+ASM!$B$3)+ASM!$B$4+ASM!$B$5+ASM!$B$6,2)</f>
        <v>1030.84</v>
      </c>
      <c r="E67" s="10" t="n">
        <f aca="false">ROUND(D67*ASM!$B$7,0)</f>
        <v>1598</v>
      </c>
      <c r="F67" s="13" t="n">
        <f aca="false">CEILING(E67/0.75,5)</f>
        <v>2135</v>
      </c>
      <c r="G67" s="12" t="n">
        <f aca="false">F67*0.75</f>
        <v>1601.25</v>
      </c>
      <c r="H67" s="10" t="n">
        <f aca="false">ROUND((D67+0.45)/(1-ASM!$B$9),0)</f>
        <v>1152</v>
      </c>
      <c r="I67" s="10" t="n">
        <f aca="false">ROUND((D67+0.45)/(1-ASM!$B$9-ASM!$B$10),0)</f>
        <v>1384</v>
      </c>
      <c r="J67" s="10" t="str">
        <f aca="false">IF(G67&gt;=H67,"OK","FLOOR ALTI")</f>
        <v>OK</v>
      </c>
    </row>
    <row r="68" customFormat="false" ht="15" hidden="false" customHeight="true" outlineLevel="0" collapsed="false">
      <c r="A68" s="10" t="n">
        <v>7</v>
      </c>
      <c r="B68" s="10" t="n">
        <v>5</v>
      </c>
      <c r="C68" s="11" t="n">
        <v>9.65</v>
      </c>
      <c r="D68" s="12" t="n">
        <f aca="false">ROUND(C68*ASM!$B$8*ASM!$B$13*(1+ASM!$B$3)+ASM!$B$4+ASM!$B$5+ASM!$B$6,2)</f>
        <v>1078.32</v>
      </c>
      <c r="E68" s="10" t="n">
        <f aca="false">ROUND(D68*ASM!$B$7,0)</f>
        <v>1671</v>
      </c>
      <c r="F68" s="13" t="n">
        <f aca="false">CEILING(E68/0.75,5)</f>
        <v>2230</v>
      </c>
      <c r="G68" s="12" t="n">
        <f aca="false">F68*0.75</f>
        <v>1672.5</v>
      </c>
      <c r="H68" s="10" t="n">
        <f aca="false">ROUND((D68+0.45)/(1-ASM!$B$9),0)</f>
        <v>1205</v>
      </c>
      <c r="I68" s="10" t="n">
        <f aca="false">ROUND((D68+0.45)/(1-ASM!$B$9-ASM!$B$10),0)</f>
        <v>1448</v>
      </c>
      <c r="J68" s="10" t="str">
        <f aca="false">IF(G68&gt;=H68,"OK","FLOOR ALTI")</f>
        <v>OK</v>
      </c>
    </row>
    <row r="69" customFormat="false" ht="15" hidden="false" customHeight="true" outlineLevel="0" collapsed="false">
      <c r="A69" s="10" t="n">
        <v>7</v>
      </c>
      <c r="B69" s="10" t="n">
        <v>6</v>
      </c>
      <c r="C69" s="11" t="n">
        <v>10.09</v>
      </c>
      <c r="D69" s="12" t="n">
        <f aca="false">ROUND(C69*ASM!$B$8*ASM!$B$13*(1+ASM!$B$3)+ASM!$B$4+ASM!$B$5+ASM!$B$6,2)</f>
        <v>1124.76</v>
      </c>
      <c r="E69" s="10" t="n">
        <f aca="false">ROUND(D69*ASM!$B$7,0)</f>
        <v>1743</v>
      </c>
      <c r="F69" s="13" t="n">
        <f aca="false">CEILING(E69/0.75,5)</f>
        <v>2325</v>
      </c>
      <c r="G69" s="12" t="n">
        <f aca="false">F69*0.75</f>
        <v>1743.75</v>
      </c>
      <c r="H69" s="10" t="n">
        <f aca="false">ROUND((D69+0.45)/(1-ASM!$B$9),0)</f>
        <v>1257</v>
      </c>
      <c r="I69" s="10" t="n">
        <f aca="false">ROUND((D69+0.45)/(1-ASM!$B$9-ASM!$B$10),0)</f>
        <v>1510</v>
      </c>
      <c r="J69" s="10" t="str">
        <f aca="false">IF(G69&gt;=H69,"OK","FLOOR ALTI")</f>
        <v>OK</v>
      </c>
    </row>
    <row r="70" customFormat="false" ht="15" hidden="false" customHeight="true" outlineLevel="0" collapsed="false">
      <c r="A70" s="10" t="n">
        <v>7</v>
      </c>
      <c r="B70" s="10" t="n">
        <v>7</v>
      </c>
      <c r="C70" s="11" t="n">
        <v>10.53</v>
      </c>
      <c r="D70" s="12" t="n">
        <f aca="false">ROUND(C70*ASM!$B$8*ASM!$B$13*(1+ASM!$B$3)+ASM!$B$4+ASM!$B$5+ASM!$B$6,2)</f>
        <v>1171.19</v>
      </c>
      <c r="E70" s="10" t="n">
        <f aca="false">ROUND(D70*ASM!$B$7,0)</f>
        <v>1815</v>
      </c>
      <c r="F70" s="13" t="n">
        <f aca="false">CEILING(E70/0.75,5)</f>
        <v>2420</v>
      </c>
      <c r="G70" s="12" t="n">
        <f aca="false">F70*0.75</f>
        <v>1815</v>
      </c>
      <c r="H70" s="10" t="n">
        <f aca="false">ROUND((D70+0.45)/(1-ASM!$B$9),0)</f>
        <v>1309</v>
      </c>
      <c r="I70" s="10" t="n">
        <f aca="false">ROUND((D70+0.45)/(1-ASM!$B$9-ASM!$B$10),0)</f>
        <v>1573</v>
      </c>
      <c r="J70" s="10" t="str">
        <f aca="false">IF(G70&gt;=H70,"OK","FLOOR ALTI")</f>
        <v>OK</v>
      </c>
    </row>
    <row r="71" customFormat="false" ht="15" hidden="false" customHeight="true" outlineLevel="0" collapsed="false">
      <c r="A71" s="10" t="n">
        <v>7</v>
      </c>
      <c r="B71" s="10" t="n">
        <v>8</v>
      </c>
      <c r="C71" s="11" t="n">
        <v>10.97</v>
      </c>
      <c r="D71" s="12" t="n">
        <f aca="false">ROUND(C71*ASM!$B$8*ASM!$B$13*(1+ASM!$B$3)+ASM!$B$4+ASM!$B$5+ASM!$B$6,2)</f>
        <v>1217.62</v>
      </c>
      <c r="E71" s="10" t="n">
        <f aca="false">ROUND(D71*ASM!$B$7,0)</f>
        <v>1887</v>
      </c>
      <c r="F71" s="13" t="n">
        <f aca="false">CEILING(E71/0.75,5)</f>
        <v>2520</v>
      </c>
      <c r="G71" s="12" t="n">
        <f aca="false">F71*0.75</f>
        <v>1890</v>
      </c>
      <c r="H71" s="10" t="n">
        <f aca="false">ROUND((D71+0.45)/(1-ASM!$B$9),0)</f>
        <v>1361</v>
      </c>
      <c r="I71" s="10" t="n">
        <f aca="false">ROUND((D71+0.45)/(1-ASM!$B$9-ASM!$B$10),0)</f>
        <v>1635</v>
      </c>
      <c r="J71" s="10" t="str">
        <f aca="false">IF(G71&gt;=H71,"OK","FLOOR ALTI")</f>
        <v>OK</v>
      </c>
    </row>
    <row r="72" customFormat="false" ht="15" hidden="false" customHeight="true" outlineLevel="0" collapsed="false">
      <c r="A72" s="10" t="n">
        <v>7</v>
      </c>
      <c r="B72" s="10" t="n">
        <v>9</v>
      </c>
      <c r="C72" s="11" t="n">
        <v>11.47</v>
      </c>
      <c r="D72" s="12" t="n">
        <f aca="false">ROUND(C72*ASM!$B$8*ASM!$B$13*(1+ASM!$B$3)+ASM!$B$4+ASM!$B$5+ASM!$B$6,2)</f>
        <v>1270.38</v>
      </c>
      <c r="E72" s="10" t="n">
        <f aca="false">ROUND(D72*ASM!$B$7,0)</f>
        <v>1969</v>
      </c>
      <c r="F72" s="13" t="n">
        <f aca="false">CEILING(E72/0.75,5)</f>
        <v>2630</v>
      </c>
      <c r="G72" s="12" t="n">
        <f aca="false">F72*0.75</f>
        <v>1972.5</v>
      </c>
      <c r="H72" s="10" t="n">
        <f aca="false">ROUND((D72+0.45)/(1-ASM!$B$9),0)</f>
        <v>1420</v>
      </c>
      <c r="I72" s="10" t="n">
        <f aca="false">ROUND((D72+0.45)/(1-ASM!$B$9-ASM!$B$10),0)</f>
        <v>1706</v>
      </c>
      <c r="J72" s="10" t="str">
        <f aca="false">IF(G72&gt;=H72,"OK","FLOOR ALTI")</f>
        <v>OK</v>
      </c>
    </row>
    <row r="73" customFormat="false" ht="15" hidden="false" customHeight="true" outlineLevel="0" collapsed="false">
      <c r="A73" s="10" t="n">
        <v>7</v>
      </c>
      <c r="B73" s="10" t="n">
        <v>10</v>
      </c>
      <c r="C73" s="11" t="n">
        <v>11.86</v>
      </c>
      <c r="D73" s="12" t="n">
        <f aca="false">ROUND(C73*ASM!$B$8*ASM!$B$13*(1+ASM!$B$3)+ASM!$B$4+ASM!$B$5+ASM!$B$6,2)</f>
        <v>1311.54</v>
      </c>
      <c r="E73" s="10" t="n">
        <f aca="false">ROUND(D73*ASM!$B$7,0)</f>
        <v>2033</v>
      </c>
      <c r="F73" s="13" t="n">
        <f aca="false">CEILING(E73/0.75,5)</f>
        <v>2715</v>
      </c>
      <c r="G73" s="12" t="n">
        <f aca="false">F73*0.75</f>
        <v>2036.25</v>
      </c>
      <c r="H73" s="10" t="n">
        <f aca="false">ROUND((D73+0.45)/(1-ASM!$B$9),0)</f>
        <v>1466</v>
      </c>
      <c r="I73" s="10" t="n">
        <f aca="false">ROUND((D73+0.45)/(1-ASM!$B$9-ASM!$B$10),0)</f>
        <v>1761</v>
      </c>
      <c r="J73" s="10" t="str">
        <f aca="false">IF(G73&gt;=H73,"OK","FLOOR ALTI")</f>
        <v>OK</v>
      </c>
    </row>
    <row r="74" customFormat="false" ht="15" hidden="false" customHeight="true" outlineLevel="0" collapsed="false">
      <c r="A74" s="10" t="n">
        <v>7</v>
      </c>
      <c r="B74" s="10" t="n">
        <v>11</v>
      </c>
      <c r="C74" s="11" t="n">
        <v>12.38</v>
      </c>
      <c r="D74" s="12" t="n">
        <f aca="false">ROUND(C74*ASM!$B$8*ASM!$B$13*(1+ASM!$B$3)+ASM!$B$4+ASM!$B$5+ASM!$B$6,2)</f>
        <v>1366.41</v>
      </c>
      <c r="E74" s="10" t="n">
        <f aca="false">ROUND(D74*ASM!$B$7,0)</f>
        <v>2118</v>
      </c>
      <c r="F74" s="13" t="n">
        <f aca="false">CEILING(E74/0.75,5)</f>
        <v>2825</v>
      </c>
      <c r="G74" s="12" t="n">
        <f aca="false">F74*0.75</f>
        <v>2118.75</v>
      </c>
      <c r="H74" s="10" t="n">
        <f aca="false">ROUND((D74+0.45)/(1-ASM!$B$9),0)</f>
        <v>1527</v>
      </c>
      <c r="I74" s="10" t="n">
        <f aca="false">ROUND((D74+0.45)/(1-ASM!$B$9-ASM!$B$10),0)</f>
        <v>1835</v>
      </c>
      <c r="J74" s="10" t="str">
        <f aca="false">IF(G74&gt;=H74,"OK","FLOOR ALTI")</f>
        <v>OK</v>
      </c>
    </row>
    <row r="75" customFormat="false" ht="15" hidden="false" customHeight="true" outlineLevel="0" collapsed="false">
      <c r="A75" s="10" t="n">
        <v>7</v>
      </c>
      <c r="B75" s="10" t="n">
        <v>12</v>
      </c>
      <c r="C75" s="11" t="n">
        <v>12.73</v>
      </c>
      <c r="D75" s="12" t="n">
        <f aca="false">ROUND(C75*ASM!$B$8*ASM!$B$13*(1+ASM!$B$3)+ASM!$B$4+ASM!$B$5+ASM!$B$6,2)</f>
        <v>1403.34</v>
      </c>
      <c r="E75" s="10" t="n">
        <f aca="false">ROUND(D75*ASM!$B$7,0)</f>
        <v>2175</v>
      </c>
      <c r="F75" s="13" t="n">
        <f aca="false">CEILING(E75/0.75,5)</f>
        <v>2900</v>
      </c>
      <c r="G75" s="12" t="n">
        <f aca="false">F75*0.75</f>
        <v>2175</v>
      </c>
      <c r="H75" s="10" t="n">
        <f aca="false">ROUND((D75+0.45)/(1-ASM!$B$9),0)</f>
        <v>1568</v>
      </c>
      <c r="I75" s="10" t="n">
        <f aca="false">ROUND((D75+0.45)/(1-ASM!$B$9-ASM!$B$10),0)</f>
        <v>1884</v>
      </c>
      <c r="J75" s="10" t="str">
        <f aca="false">IF(G75&gt;=H75,"OK","FLOOR ALTI")</f>
        <v>OK</v>
      </c>
    </row>
    <row r="76" customFormat="false" ht="15" hidden="false" customHeight="true" outlineLevel="0" collapsed="false">
      <c r="A76" s="10" t="n">
        <v>7</v>
      </c>
      <c r="B76" s="10" t="n">
        <v>13</v>
      </c>
      <c r="C76" s="11" t="n">
        <v>13.18</v>
      </c>
      <c r="D76" s="12" t="n">
        <f aca="false">ROUND(C76*ASM!$B$8*ASM!$B$13*(1+ASM!$B$3)+ASM!$B$4+ASM!$B$5+ASM!$B$6,2)</f>
        <v>1450.83</v>
      </c>
      <c r="E76" s="10" t="n">
        <f aca="false">ROUND(D76*ASM!$B$7,0)</f>
        <v>2249</v>
      </c>
      <c r="F76" s="13" t="n">
        <f aca="false">CEILING(E76/0.75,5)</f>
        <v>3000</v>
      </c>
      <c r="G76" s="12" t="n">
        <f aca="false">F76*0.75</f>
        <v>2250</v>
      </c>
      <c r="H76" s="10" t="n">
        <f aca="false">ROUND((D76+0.45)/(1-ASM!$B$9),0)</f>
        <v>1622</v>
      </c>
      <c r="I76" s="10" t="n">
        <f aca="false">ROUND((D76+0.45)/(1-ASM!$B$9-ASM!$B$10),0)</f>
        <v>1948</v>
      </c>
      <c r="J76" s="10" t="str">
        <f aca="false">IF(G76&gt;=H76,"OK","FLOOR ALTI")</f>
        <v>OK</v>
      </c>
    </row>
    <row r="77" customFormat="false" ht="15" hidden="false" customHeight="true" outlineLevel="0" collapsed="false">
      <c r="A77" s="10" t="n">
        <v>7</v>
      </c>
      <c r="B77" s="10" t="n">
        <v>14</v>
      </c>
      <c r="C77" s="11" t="n">
        <v>13.63</v>
      </c>
      <c r="D77" s="12" t="n">
        <f aca="false">ROUND(C77*ASM!$B$8*ASM!$B$13*(1+ASM!$B$3)+ASM!$B$4+ASM!$B$5+ASM!$B$6,2)</f>
        <v>1498.32</v>
      </c>
      <c r="E77" s="10" t="n">
        <f aca="false">ROUND(D77*ASM!$B$7,0)</f>
        <v>2322</v>
      </c>
      <c r="F77" s="13" t="n">
        <f aca="false">CEILING(E77/0.75,5)</f>
        <v>3100</v>
      </c>
      <c r="G77" s="12" t="n">
        <f aca="false">F77*0.75</f>
        <v>2325</v>
      </c>
      <c r="H77" s="10" t="n">
        <f aca="false">ROUND((D77+0.45)/(1-ASM!$B$9),0)</f>
        <v>1675</v>
      </c>
      <c r="I77" s="10" t="n">
        <f aca="false">ROUND((D77+0.45)/(1-ASM!$B$9-ASM!$B$10),0)</f>
        <v>2012</v>
      </c>
      <c r="J77" s="10" t="str">
        <f aca="false">IF(G77&gt;=H77,"OK","FLOOR ALTI")</f>
        <v>OK</v>
      </c>
    </row>
    <row r="78" customFormat="false" ht="15" hidden="false" customHeight="true" outlineLevel="0" collapsed="false">
      <c r="A78" s="10" t="n">
        <v>7</v>
      </c>
      <c r="B78" s="10" t="n">
        <v>15</v>
      </c>
      <c r="C78" s="11" t="n">
        <v>14.05</v>
      </c>
      <c r="D78" s="12" t="n">
        <f aca="false">ROUND(C78*ASM!$B$8*ASM!$B$13*(1+ASM!$B$3)+ASM!$B$4+ASM!$B$5+ASM!$B$6,2)</f>
        <v>1542.64</v>
      </c>
      <c r="E78" s="10" t="n">
        <f aca="false">ROUND(D78*ASM!$B$7,0)</f>
        <v>2391</v>
      </c>
      <c r="F78" s="13" t="n">
        <f aca="false">CEILING(E78/0.75,5)</f>
        <v>3190</v>
      </c>
      <c r="G78" s="12" t="n">
        <f aca="false">F78*0.75</f>
        <v>2392.5</v>
      </c>
      <c r="H78" s="10" t="n">
        <f aca="false">ROUND((D78+0.45)/(1-ASM!$B$9),0)</f>
        <v>1724</v>
      </c>
      <c r="I78" s="10" t="n">
        <f aca="false">ROUND((D78+0.45)/(1-ASM!$B$9-ASM!$B$10),0)</f>
        <v>2071</v>
      </c>
      <c r="J78" s="10" t="str">
        <f aca="false">IF(G78&gt;=H78,"OK","FLOOR ALTI")</f>
        <v>OK</v>
      </c>
    </row>
    <row r="79" customFormat="false" ht="15" hidden="false" customHeight="true" outlineLevel="0" collapsed="false">
      <c r="A79" s="10" t="n">
        <v>7</v>
      </c>
      <c r="B79" s="10" t="n">
        <v>16</v>
      </c>
      <c r="C79" s="11" t="n">
        <v>14.49</v>
      </c>
      <c r="D79" s="12" t="n">
        <f aca="false">ROUND(C79*ASM!$B$8*ASM!$B$13*(1+ASM!$B$3)+ASM!$B$4+ASM!$B$5+ASM!$B$6,2)</f>
        <v>1589.07</v>
      </c>
      <c r="E79" s="10" t="n">
        <f aca="false">ROUND(D79*ASM!$B$7,0)</f>
        <v>2463</v>
      </c>
      <c r="F79" s="13" t="n">
        <f aca="false">CEILING(E79/0.75,5)</f>
        <v>3285</v>
      </c>
      <c r="G79" s="12" t="n">
        <f aca="false">F79*0.75</f>
        <v>2463.75</v>
      </c>
      <c r="H79" s="10" t="n">
        <f aca="false">ROUND((D79+0.45)/(1-ASM!$B$9),0)</f>
        <v>1776</v>
      </c>
      <c r="I79" s="10" t="n">
        <f aca="false">ROUND((D79+0.45)/(1-ASM!$B$9-ASM!$B$10),0)</f>
        <v>2134</v>
      </c>
      <c r="J79" s="10" t="str">
        <f aca="false">IF(G79&gt;=H79,"OK","FLOOR ALTI")</f>
        <v>OK</v>
      </c>
    </row>
    <row r="80" customFormat="false" ht="15" hidden="false" customHeight="true" outlineLevel="0" collapsed="false">
      <c r="A80" s="10" t="n">
        <v>8</v>
      </c>
      <c r="B80" s="10" t="n">
        <v>4</v>
      </c>
      <c r="C80" s="11" t="n">
        <v>10.5</v>
      </c>
      <c r="D80" s="12" t="n">
        <f aca="false">ROUND(C80*ASM!$B$8*ASM!$B$13*(1+ASM!$B$3)+ASM!$B$4+ASM!$B$5+ASM!$B$6,2)</f>
        <v>1168.02</v>
      </c>
      <c r="E80" s="10" t="n">
        <f aca="false">ROUND(D80*ASM!$B$7,0)</f>
        <v>1810</v>
      </c>
      <c r="F80" s="13" t="n">
        <f aca="false">CEILING(E80/0.75,5)</f>
        <v>2415</v>
      </c>
      <c r="G80" s="12" t="n">
        <f aca="false">F80*0.75</f>
        <v>1811.25</v>
      </c>
      <c r="H80" s="10" t="n">
        <f aca="false">ROUND((D80+0.45)/(1-ASM!$B$9),0)</f>
        <v>1306</v>
      </c>
      <c r="I80" s="10" t="n">
        <f aca="false">ROUND((D80+0.45)/(1-ASM!$B$9-ASM!$B$10),0)</f>
        <v>1568</v>
      </c>
      <c r="J80" s="10" t="str">
        <f aca="false">IF(G80&gt;=H80,"OK","FLOOR ALTI")</f>
        <v>OK</v>
      </c>
    </row>
    <row r="81" customFormat="false" ht="15" hidden="false" customHeight="true" outlineLevel="0" collapsed="false">
      <c r="A81" s="10" t="n">
        <v>8</v>
      </c>
      <c r="B81" s="10" t="n">
        <v>5</v>
      </c>
      <c r="C81" s="11" t="n">
        <v>10.92</v>
      </c>
      <c r="D81" s="12" t="n">
        <f aca="false">ROUND(C81*ASM!$B$8*ASM!$B$13*(1+ASM!$B$3)+ASM!$B$4+ASM!$B$5+ASM!$B$6,2)</f>
        <v>1212.34</v>
      </c>
      <c r="E81" s="10" t="n">
        <f aca="false">ROUND(D81*ASM!$B$7,0)</f>
        <v>1879</v>
      </c>
      <c r="F81" s="13" t="n">
        <f aca="false">CEILING(E81/0.75,5)</f>
        <v>2510</v>
      </c>
      <c r="G81" s="12" t="n">
        <f aca="false">F81*0.75</f>
        <v>1882.5</v>
      </c>
      <c r="H81" s="10" t="n">
        <f aca="false">ROUND((D81+0.45)/(1-ASM!$B$9),0)</f>
        <v>1355</v>
      </c>
      <c r="I81" s="10" t="n">
        <f aca="false">ROUND((D81+0.45)/(1-ASM!$B$9-ASM!$B$10),0)</f>
        <v>1628</v>
      </c>
      <c r="J81" s="10" t="str">
        <f aca="false">IF(G81&gt;=H81,"OK","FLOOR ALTI")</f>
        <v>OK</v>
      </c>
    </row>
    <row r="82" customFormat="false" ht="15" hidden="false" customHeight="true" outlineLevel="0" collapsed="false">
      <c r="A82" s="10" t="n">
        <v>8</v>
      </c>
      <c r="B82" s="10" t="n">
        <v>6</v>
      </c>
      <c r="C82" s="11" t="n">
        <v>11.34</v>
      </c>
      <c r="D82" s="12" t="n">
        <f aca="false">ROUND(C82*ASM!$B$8*ASM!$B$13*(1+ASM!$B$3)+ASM!$B$4+ASM!$B$5+ASM!$B$6,2)</f>
        <v>1256.66</v>
      </c>
      <c r="E82" s="10" t="n">
        <f aca="false">ROUND(D82*ASM!$B$7,0)</f>
        <v>1948</v>
      </c>
      <c r="F82" s="13" t="n">
        <f aca="false">CEILING(E82/0.75,5)</f>
        <v>2600</v>
      </c>
      <c r="G82" s="12" t="n">
        <f aca="false">F82*0.75</f>
        <v>1950</v>
      </c>
      <c r="H82" s="10" t="n">
        <f aca="false">ROUND((D82+0.45)/(1-ASM!$B$9),0)</f>
        <v>1405</v>
      </c>
      <c r="I82" s="10" t="n">
        <f aca="false">ROUND((D82+0.45)/(1-ASM!$B$9-ASM!$B$10),0)</f>
        <v>1687</v>
      </c>
      <c r="J82" s="10" t="str">
        <f aca="false">IF(G82&gt;=H82,"OK","FLOOR ALTI")</f>
        <v>OK</v>
      </c>
    </row>
    <row r="83" customFormat="false" ht="15" hidden="false" customHeight="true" outlineLevel="0" collapsed="false">
      <c r="A83" s="10" t="n">
        <v>8</v>
      </c>
      <c r="B83" s="10" t="n">
        <v>7</v>
      </c>
      <c r="C83" s="11" t="n">
        <v>11.7</v>
      </c>
      <c r="D83" s="12" t="n">
        <f aca="false">ROUND(C83*ASM!$B$8*ASM!$B$13*(1+ASM!$B$3)+ASM!$B$4+ASM!$B$5+ASM!$B$6,2)</f>
        <v>1294.65</v>
      </c>
      <c r="E83" s="10" t="n">
        <f aca="false">ROUND(D83*ASM!$B$7,0)</f>
        <v>2007</v>
      </c>
      <c r="F83" s="13" t="n">
        <f aca="false">CEILING(E83/0.75,5)</f>
        <v>2680</v>
      </c>
      <c r="G83" s="12" t="n">
        <f aca="false">F83*0.75</f>
        <v>2010</v>
      </c>
      <c r="H83" s="10" t="n">
        <f aca="false">ROUND((D83+0.45)/(1-ASM!$B$9),0)</f>
        <v>1447</v>
      </c>
      <c r="I83" s="10" t="n">
        <f aca="false">ROUND((D83+0.45)/(1-ASM!$B$9-ASM!$B$10),0)</f>
        <v>1738</v>
      </c>
      <c r="J83" s="10" t="str">
        <f aca="false">IF(G83&gt;=H83,"OK","FLOOR ALTI")</f>
        <v>OK</v>
      </c>
    </row>
    <row r="84" customFormat="false" ht="15" hidden="false" customHeight="true" outlineLevel="0" collapsed="false">
      <c r="A84" s="10" t="n">
        <v>8</v>
      </c>
      <c r="B84" s="10" t="n">
        <v>8</v>
      </c>
      <c r="C84" s="11" t="n">
        <v>12.12</v>
      </c>
      <c r="D84" s="12" t="n">
        <f aca="false">ROUND(C84*ASM!$B$8*ASM!$B$13*(1+ASM!$B$3)+ASM!$B$4+ASM!$B$5+ASM!$B$6,2)</f>
        <v>1338.97</v>
      </c>
      <c r="E84" s="10" t="n">
        <f aca="false">ROUND(D84*ASM!$B$7,0)</f>
        <v>2075</v>
      </c>
      <c r="F84" s="13" t="n">
        <f aca="false">CEILING(E84/0.75,5)</f>
        <v>2770</v>
      </c>
      <c r="G84" s="12" t="n">
        <f aca="false">F84*0.75</f>
        <v>2077.5</v>
      </c>
      <c r="H84" s="10" t="n">
        <f aca="false">ROUND((D84+0.45)/(1-ASM!$B$9),0)</f>
        <v>1497</v>
      </c>
      <c r="I84" s="10" t="n">
        <f aca="false">ROUND((D84+0.45)/(1-ASM!$B$9-ASM!$B$10),0)</f>
        <v>1798</v>
      </c>
      <c r="J84" s="10" t="str">
        <f aca="false">IF(G84&gt;=H84,"OK","FLOOR ALTI")</f>
        <v>OK</v>
      </c>
    </row>
    <row r="85" customFormat="false" ht="15" hidden="false" customHeight="true" outlineLevel="0" collapsed="false">
      <c r="A85" s="10" t="n">
        <v>8</v>
      </c>
      <c r="B85" s="10" t="n">
        <v>9</v>
      </c>
      <c r="C85" s="11" t="n">
        <v>12.6</v>
      </c>
      <c r="D85" s="12" t="n">
        <f aca="false">ROUND(C85*ASM!$B$8*ASM!$B$13*(1+ASM!$B$3)+ASM!$B$4+ASM!$B$5+ASM!$B$6,2)</f>
        <v>1389.63</v>
      </c>
      <c r="E85" s="10" t="n">
        <f aca="false">ROUND(D85*ASM!$B$7,0)</f>
        <v>2154</v>
      </c>
      <c r="F85" s="13" t="n">
        <f aca="false">CEILING(E85/0.75,5)</f>
        <v>2875</v>
      </c>
      <c r="G85" s="12" t="n">
        <f aca="false">F85*0.75</f>
        <v>2156.25</v>
      </c>
      <c r="H85" s="10" t="n">
        <f aca="false">ROUND((D85+0.45)/(1-ASM!$B$9),0)</f>
        <v>1553</v>
      </c>
      <c r="I85" s="10" t="n">
        <f aca="false">ROUND((D85+0.45)/(1-ASM!$B$9-ASM!$B$10),0)</f>
        <v>1866</v>
      </c>
      <c r="J85" s="10" t="str">
        <f aca="false">IF(G85&gt;=H85,"OK","FLOOR ALTI")</f>
        <v>OK</v>
      </c>
    </row>
    <row r="86" customFormat="false" ht="15" hidden="false" customHeight="true" outlineLevel="0" collapsed="false">
      <c r="A86" s="10" t="n">
        <v>8</v>
      </c>
      <c r="B86" s="10" t="n">
        <v>10</v>
      </c>
      <c r="C86" s="11" t="n">
        <v>13.06</v>
      </c>
      <c r="D86" s="12" t="n">
        <f aca="false">ROUND(C86*ASM!$B$8*ASM!$B$13*(1+ASM!$B$3)+ASM!$B$4+ASM!$B$5+ASM!$B$6,2)</f>
        <v>1438.17</v>
      </c>
      <c r="E86" s="10" t="n">
        <f aca="false">ROUND(D86*ASM!$B$7,0)</f>
        <v>2229</v>
      </c>
      <c r="F86" s="13" t="n">
        <f aca="false">CEILING(E86/0.75,5)</f>
        <v>2975</v>
      </c>
      <c r="G86" s="12" t="n">
        <f aca="false">F86*0.75</f>
        <v>2231.25</v>
      </c>
      <c r="H86" s="10" t="n">
        <f aca="false">ROUND((D86+0.45)/(1-ASM!$B$9),0)</f>
        <v>1607</v>
      </c>
      <c r="I86" s="10" t="n">
        <f aca="false">ROUND((D86+0.45)/(1-ASM!$B$9-ASM!$B$10),0)</f>
        <v>1931</v>
      </c>
      <c r="J86" s="10" t="str">
        <f aca="false">IF(G86&gt;=H86,"OK","FLOOR ALTI")</f>
        <v>OK</v>
      </c>
    </row>
    <row r="87" customFormat="false" ht="15" hidden="false" customHeight="true" outlineLevel="0" collapsed="false">
      <c r="A87" s="10" t="n">
        <v>8</v>
      </c>
      <c r="B87" s="10" t="n">
        <v>11</v>
      </c>
      <c r="C87" s="11" t="n">
        <v>13.44</v>
      </c>
      <c r="D87" s="12" t="n">
        <f aca="false">ROUND(C87*ASM!$B$8*ASM!$B$13*(1+ASM!$B$3)+ASM!$B$4+ASM!$B$5+ASM!$B$6,2)</f>
        <v>1478.27</v>
      </c>
      <c r="E87" s="10" t="n">
        <f aca="false">ROUND(D87*ASM!$B$7,0)</f>
        <v>2291</v>
      </c>
      <c r="F87" s="13" t="n">
        <f aca="false">CEILING(E87/0.75,5)</f>
        <v>3055</v>
      </c>
      <c r="G87" s="12" t="n">
        <f aca="false">F87*0.75</f>
        <v>2291.25</v>
      </c>
      <c r="H87" s="10" t="n">
        <f aca="false">ROUND((D87+0.45)/(1-ASM!$B$9),0)</f>
        <v>1652</v>
      </c>
      <c r="I87" s="10" t="n">
        <f aca="false">ROUND((D87+0.45)/(1-ASM!$B$9-ASM!$B$10),0)</f>
        <v>1985</v>
      </c>
      <c r="J87" s="10" t="str">
        <f aca="false">IF(G87&gt;=H87,"OK","FLOOR ALTI")</f>
        <v>OK</v>
      </c>
    </row>
    <row r="88" customFormat="false" ht="15" hidden="false" customHeight="true" outlineLevel="0" collapsed="false">
      <c r="A88" s="10" t="n">
        <v>8</v>
      </c>
      <c r="B88" s="10" t="n">
        <v>12</v>
      </c>
      <c r="C88" s="11" t="n">
        <v>13.86</v>
      </c>
      <c r="D88" s="12" t="n">
        <f aca="false">ROUND(C88*ASM!$B$8*ASM!$B$13*(1+ASM!$B$3)+ASM!$B$4+ASM!$B$5+ASM!$B$6,2)</f>
        <v>1522.59</v>
      </c>
      <c r="E88" s="10" t="n">
        <f aca="false">ROUND(D88*ASM!$B$7,0)</f>
        <v>2360</v>
      </c>
      <c r="F88" s="13" t="n">
        <f aca="false">CEILING(E88/0.75,5)</f>
        <v>3150</v>
      </c>
      <c r="G88" s="12" t="n">
        <f aca="false">F88*0.75</f>
        <v>2362.5</v>
      </c>
      <c r="H88" s="10" t="n">
        <f aca="false">ROUND((D88+0.45)/(1-ASM!$B$9),0)</f>
        <v>1702</v>
      </c>
      <c r="I88" s="10" t="n">
        <f aca="false">ROUND((D88+0.45)/(1-ASM!$B$9-ASM!$B$10),0)</f>
        <v>2044</v>
      </c>
      <c r="J88" s="10" t="str">
        <f aca="false">IF(G88&gt;=H88,"OK","FLOOR ALTI")</f>
        <v>OK</v>
      </c>
    </row>
    <row r="89" customFormat="false" ht="15" hidden="false" customHeight="true" outlineLevel="0" collapsed="false">
      <c r="A89" s="10" t="n">
        <v>8</v>
      </c>
      <c r="B89" s="10" t="n">
        <v>13</v>
      </c>
      <c r="C89" s="11" t="n">
        <v>14.28</v>
      </c>
      <c r="D89" s="12" t="n">
        <f aca="false">ROUND(C89*ASM!$B$8*ASM!$B$13*(1+ASM!$B$3)+ASM!$B$4+ASM!$B$5+ASM!$B$6,2)</f>
        <v>1566.91</v>
      </c>
      <c r="E89" s="10" t="n">
        <f aca="false">ROUND(D89*ASM!$B$7,0)</f>
        <v>2429</v>
      </c>
      <c r="F89" s="13" t="n">
        <f aca="false">CEILING(E89/0.75,5)</f>
        <v>3240</v>
      </c>
      <c r="G89" s="12" t="n">
        <f aca="false">F89*0.75</f>
        <v>2430</v>
      </c>
      <c r="H89" s="10" t="n">
        <f aca="false">ROUND((D89+0.45)/(1-ASM!$B$9),0)</f>
        <v>1751</v>
      </c>
      <c r="I89" s="10" t="n">
        <f aca="false">ROUND((D89+0.45)/(1-ASM!$B$9-ASM!$B$10),0)</f>
        <v>2104</v>
      </c>
      <c r="J89" s="10" t="str">
        <f aca="false">IF(G89&gt;=H89,"OK","FLOOR ALTI")</f>
        <v>OK</v>
      </c>
    </row>
    <row r="90" customFormat="false" ht="15" hidden="false" customHeight="true" outlineLevel="0" collapsed="false">
      <c r="A90" s="10" t="n">
        <v>8</v>
      </c>
      <c r="B90" s="10" t="n">
        <v>14</v>
      </c>
      <c r="C90" s="11" t="n">
        <v>14.7</v>
      </c>
      <c r="D90" s="12" t="n">
        <f aca="false">ROUND(C90*ASM!$B$8*ASM!$B$13*(1+ASM!$B$3)+ASM!$B$4+ASM!$B$5+ASM!$B$6,2)</f>
        <v>1611.23</v>
      </c>
      <c r="E90" s="10" t="n">
        <f aca="false">ROUND(D90*ASM!$B$7,0)</f>
        <v>2497</v>
      </c>
      <c r="F90" s="13" t="n">
        <f aca="false">CEILING(E90/0.75,5)</f>
        <v>3330</v>
      </c>
      <c r="G90" s="12" t="n">
        <f aca="false">F90*0.75</f>
        <v>2497.5</v>
      </c>
      <c r="H90" s="10" t="n">
        <f aca="false">ROUND((D90+0.45)/(1-ASM!$B$9),0)</f>
        <v>1801</v>
      </c>
      <c r="I90" s="10" t="n">
        <f aca="false">ROUND((D90+0.45)/(1-ASM!$B$9-ASM!$B$10),0)</f>
        <v>2163</v>
      </c>
      <c r="J90" s="10" t="str">
        <f aca="false">IF(G90&gt;=H90,"OK","FLOOR ALTI")</f>
        <v>OK</v>
      </c>
    </row>
    <row r="91" customFormat="false" ht="15" hidden="false" customHeight="true" outlineLevel="0" collapsed="false">
      <c r="A91" s="10" t="n">
        <v>8</v>
      </c>
      <c r="B91" s="10" t="n">
        <v>15</v>
      </c>
      <c r="C91" s="11" t="n">
        <v>15.12</v>
      </c>
      <c r="D91" s="12" t="n">
        <f aca="false">ROUND(C91*ASM!$B$8*ASM!$B$13*(1+ASM!$B$3)+ASM!$B$4+ASM!$B$5+ASM!$B$6,2)</f>
        <v>1655.55</v>
      </c>
      <c r="E91" s="10" t="n">
        <f aca="false">ROUND(D91*ASM!$B$7,0)</f>
        <v>2566</v>
      </c>
      <c r="F91" s="13" t="n">
        <f aca="false">CEILING(E91/0.75,5)</f>
        <v>3425</v>
      </c>
      <c r="G91" s="12" t="n">
        <f aca="false">F91*0.75</f>
        <v>2568.75</v>
      </c>
      <c r="H91" s="10" t="n">
        <f aca="false">ROUND((D91+0.45)/(1-ASM!$B$9),0)</f>
        <v>1850</v>
      </c>
      <c r="I91" s="10" t="n">
        <f aca="false">ROUND((D91+0.45)/(1-ASM!$B$9-ASM!$B$10),0)</f>
        <v>2223</v>
      </c>
      <c r="J91" s="10" t="str">
        <f aca="false">IF(G91&gt;=H91,"OK","FLOOR ALTI")</f>
        <v>OK</v>
      </c>
    </row>
    <row r="92" customFormat="false" ht="15" hidden="false" customHeight="true" outlineLevel="0" collapsed="false">
      <c r="A92" s="10" t="n">
        <v>8</v>
      </c>
      <c r="B92" s="10" t="n">
        <v>16</v>
      </c>
      <c r="C92" s="11" t="n">
        <v>15.54</v>
      </c>
      <c r="D92" s="12" t="n">
        <f aca="false">ROUND(C92*ASM!$B$8*ASM!$B$13*(1+ASM!$B$3)+ASM!$B$4+ASM!$B$5+ASM!$B$6,2)</f>
        <v>1699.87</v>
      </c>
      <c r="E92" s="10" t="n">
        <f aca="false">ROUND(D92*ASM!$B$7,0)</f>
        <v>2635</v>
      </c>
      <c r="F92" s="13" t="n">
        <f aca="false">CEILING(E92/0.75,5)</f>
        <v>3515</v>
      </c>
      <c r="G92" s="12" t="n">
        <f aca="false">F92*0.75</f>
        <v>2636.25</v>
      </c>
      <c r="H92" s="10" t="n">
        <f aca="false">ROUND((D92+0.45)/(1-ASM!$B$9),0)</f>
        <v>1900</v>
      </c>
      <c r="I92" s="10" t="n">
        <f aca="false">ROUND((D92+0.45)/(1-ASM!$B$9-ASM!$B$10),0)</f>
        <v>2282</v>
      </c>
      <c r="J92" s="10" t="str">
        <f aca="false">IF(G92&gt;=H92,"OK","FLOOR ALTI")</f>
        <v>OK</v>
      </c>
    </row>
    <row r="93" customFormat="false" ht="15" hidden="false" customHeight="true" outlineLevel="0" collapsed="false">
      <c r="A93" s="10" t="n">
        <v>9</v>
      </c>
      <c r="B93" s="10" t="n">
        <v>4</v>
      </c>
      <c r="C93" s="11" t="n">
        <v>10.96</v>
      </c>
      <c r="D93" s="12" t="n">
        <f aca="false">ROUND(C93*ASM!$B$8*ASM!$B$13*(1+ASM!$B$3)+ASM!$B$4+ASM!$B$5+ASM!$B$6,2)</f>
        <v>1216.56</v>
      </c>
      <c r="E93" s="10" t="n">
        <f aca="false">ROUND(D93*ASM!$B$7,0)</f>
        <v>1886</v>
      </c>
      <c r="F93" s="13" t="n">
        <f aca="false">CEILING(E93/0.75,5)</f>
        <v>2515</v>
      </c>
      <c r="G93" s="12" t="n">
        <f aca="false">F93*0.75</f>
        <v>1886.25</v>
      </c>
      <c r="H93" s="10" t="n">
        <f aca="false">ROUND((D93+0.45)/(1-ASM!$B$9),0)</f>
        <v>1360</v>
      </c>
      <c r="I93" s="10" t="n">
        <f aca="false">ROUND((D93+0.45)/(1-ASM!$B$9-ASM!$B$10),0)</f>
        <v>1634</v>
      </c>
      <c r="J93" s="10" t="str">
        <f aca="false">IF(G93&gt;=H93,"OK","FLOOR ALTI")</f>
        <v>OK</v>
      </c>
    </row>
    <row r="94" customFormat="false" ht="15" hidden="false" customHeight="true" outlineLevel="0" collapsed="false">
      <c r="A94" s="10" t="n">
        <v>9</v>
      </c>
      <c r="B94" s="10" t="n">
        <v>5</v>
      </c>
      <c r="C94" s="11" t="n">
        <v>11.47</v>
      </c>
      <c r="D94" s="12" t="n">
        <f aca="false">ROUND(C94*ASM!$B$8*ASM!$B$13*(1+ASM!$B$3)+ASM!$B$4+ASM!$B$5+ASM!$B$6,2)</f>
        <v>1270.38</v>
      </c>
      <c r="E94" s="10" t="n">
        <f aca="false">ROUND(D94*ASM!$B$7,0)</f>
        <v>1969</v>
      </c>
      <c r="F94" s="13" t="n">
        <f aca="false">CEILING(E94/0.75,5)</f>
        <v>2630</v>
      </c>
      <c r="G94" s="12" t="n">
        <f aca="false">F94*0.75</f>
        <v>1972.5</v>
      </c>
      <c r="H94" s="10" t="n">
        <f aca="false">ROUND((D94+0.45)/(1-ASM!$B$9),0)</f>
        <v>1420</v>
      </c>
      <c r="I94" s="10" t="n">
        <f aca="false">ROUND((D94+0.45)/(1-ASM!$B$9-ASM!$B$10),0)</f>
        <v>1706</v>
      </c>
      <c r="J94" s="10" t="str">
        <f aca="false">IF(G94&gt;=H94,"OK","FLOOR ALTI")</f>
        <v>OK</v>
      </c>
    </row>
    <row r="95" customFormat="false" ht="15" hidden="false" customHeight="true" outlineLevel="0" collapsed="false">
      <c r="A95" s="10" t="n">
        <v>9</v>
      </c>
      <c r="B95" s="10" t="n">
        <v>6</v>
      </c>
      <c r="C95" s="11" t="n">
        <v>11.99</v>
      </c>
      <c r="D95" s="12" t="n">
        <f aca="false">ROUND(C95*ASM!$B$8*ASM!$B$13*(1+ASM!$B$3)+ASM!$B$4+ASM!$B$5+ASM!$B$6,2)</f>
        <v>1325.26</v>
      </c>
      <c r="E95" s="10" t="n">
        <f aca="false">ROUND(D95*ASM!$B$7,0)</f>
        <v>2054</v>
      </c>
      <c r="F95" s="13" t="n">
        <f aca="false">CEILING(E95/0.75,5)</f>
        <v>2740</v>
      </c>
      <c r="G95" s="12" t="n">
        <f aca="false">F95*0.75</f>
        <v>2055</v>
      </c>
      <c r="H95" s="10" t="n">
        <f aca="false">ROUND((D95+0.45)/(1-ASM!$B$9),0)</f>
        <v>1481</v>
      </c>
      <c r="I95" s="10" t="n">
        <f aca="false">ROUND((D95+0.45)/(1-ASM!$B$9-ASM!$B$10),0)</f>
        <v>1779</v>
      </c>
      <c r="J95" s="10" t="str">
        <f aca="false">IF(G95&gt;=H95,"OK","FLOOR ALTI")</f>
        <v>OK</v>
      </c>
    </row>
    <row r="96" customFormat="false" ht="15" hidden="false" customHeight="true" outlineLevel="0" collapsed="false">
      <c r="A96" s="10" t="n">
        <v>9</v>
      </c>
      <c r="B96" s="10" t="n">
        <v>7</v>
      </c>
      <c r="C96" s="11" t="n">
        <v>12.51</v>
      </c>
      <c r="D96" s="12" t="n">
        <f aca="false">ROUND(C96*ASM!$B$8*ASM!$B$13*(1+ASM!$B$3)+ASM!$B$4+ASM!$B$5+ASM!$B$6,2)</f>
        <v>1380.13</v>
      </c>
      <c r="E96" s="10" t="n">
        <f aca="false">ROUND(D96*ASM!$B$7,0)</f>
        <v>2139</v>
      </c>
      <c r="F96" s="13" t="n">
        <f aca="false">CEILING(E96/0.75,5)</f>
        <v>2855</v>
      </c>
      <c r="G96" s="12" t="n">
        <f aca="false">F96*0.75</f>
        <v>2141.25</v>
      </c>
      <c r="H96" s="10" t="n">
        <f aca="false">ROUND((D96+0.45)/(1-ASM!$B$9),0)</f>
        <v>1543</v>
      </c>
      <c r="I96" s="10" t="n">
        <f aca="false">ROUND((D96+0.45)/(1-ASM!$B$9-ASM!$B$10),0)</f>
        <v>1853</v>
      </c>
      <c r="J96" s="10" t="str">
        <f aca="false">IF(G96&gt;=H96,"OK","FLOOR ALTI")</f>
        <v>OK</v>
      </c>
    </row>
    <row r="97" customFormat="false" ht="15" hidden="false" customHeight="true" outlineLevel="0" collapsed="false">
      <c r="A97" s="10" t="n">
        <v>9</v>
      </c>
      <c r="B97" s="10" t="n">
        <v>8</v>
      </c>
      <c r="C97" s="11" t="n">
        <v>13.02</v>
      </c>
      <c r="D97" s="12" t="n">
        <f aca="false">ROUND(C97*ASM!$B$8*ASM!$B$13*(1+ASM!$B$3)+ASM!$B$4+ASM!$B$5+ASM!$B$6,2)</f>
        <v>1433.95</v>
      </c>
      <c r="E97" s="10" t="n">
        <f aca="false">ROUND(D97*ASM!$B$7,0)</f>
        <v>2223</v>
      </c>
      <c r="F97" s="13" t="n">
        <f aca="false">CEILING(E97/0.75,5)</f>
        <v>2965</v>
      </c>
      <c r="G97" s="12" t="n">
        <f aca="false">F97*0.75</f>
        <v>2223.75</v>
      </c>
      <c r="H97" s="10" t="n">
        <f aca="false">ROUND((D97+0.45)/(1-ASM!$B$9),0)</f>
        <v>1603</v>
      </c>
      <c r="I97" s="10" t="n">
        <f aca="false">ROUND((D97+0.45)/(1-ASM!$B$9-ASM!$B$10),0)</f>
        <v>1925</v>
      </c>
      <c r="J97" s="10" t="str">
        <f aca="false">IF(G97&gt;=H97,"OK","FLOOR ALTI")</f>
        <v>OK</v>
      </c>
    </row>
    <row r="98" customFormat="false" ht="15" hidden="false" customHeight="true" outlineLevel="0" collapsed="false">
      <c r="A98" s="10" t="n">
        <v>9</v>
      </c>
      <c r="B98" s="10" t="n">
        <v>9</v>
      </c>
      <c r="C98" s="11" t="n">
        <v>13.51</v>
      </c>
      <c r="D98" s="12" t="n">
        <f aca="false">ROUND(C98*ASM!$B$8*ASM!$B$13*(1+ASM!$B$3)+ASM!$B$4+ASM!$B$5+ASM!$B$6,2)</f>
        <v>1485.65</v>
      </c>
      <c r="E98" s="10" t="n">
        <f aca="false">ROUND(D98*ASM!$B$7,0)</f>
        <v>2303</v>
      </c>
      <c r="F98" s="13" t="n">
        <f aca="false">CEILING(E98/0.75,5)</f>
        <v>3075</v>
      </c>
      <c r="G98" s="12" t="n">
        <f aca="false">F98*0.75</f>
        <v>2306.25</v>
      </c>
      <c r="H98" s="10" t="n">
        <f aca="false">ROUND((D98+0.45)/(1-ASM!$B$9),0)</f>
        <v>1660</v>
      </c>
      <c r="I98" s="10" t="n">
        <f aca="false">ROUND((D98+0.45)/(1-ASM!$B$9-ASM!$B$10),0)</f>
        <v>1995</v>
      </c>
      <c r="J98" s="10" t="str">
        <f aca="false">IF(G98&gt;=H98,"OK","FLOOR ALTI")</f>
        <v>OK</v>
      </c>
    </row>
    <row r="99" customFormat="false" ht="15" hidden="false" customHeight="true" outlineLevel="0" collapsed="false">
      <c r="A99" s="10" t="n">
        <v>9</v>
      </c>
      <c r="B99" s="10" t="n">
        <v>10</v>
      </c>
      <c r="C99" s="11" t="n">
        <v>14.05</v>
      </c>
      <c r="D99" s="12" t="n">
        <f aca="false">ROUND(C99*ASM!$B$8*ASM!$B$13*(1+ASM!$B$3)+ASM!$B$4+ASM!$B$5+ASM!$B$6,2)</f>
        <v>1542.64</v>
      </c>
      <c r="E99" s="10" t="n">
        <f aca="false">ROUND(D99*ASM!$B$7,0)</f>
        <v>2391</v>
      </c>
      <c r="F99" s="13" t="n">
        <f aca="false">CEILING(E99/0.75,5)</f>
        <v>3190</v>
      </c>
      <c r="G99" s="12" t="n">
        <f aca="false">F99*0.75</f>
        <v>2392.5</v>
      </c>
      <c r="H99" s="10" t="n">
        <f aca="false">ROUND((D99+0.45)/(1-ASM!$B$9),0)</f>
        <v>1724</v>
      </c>
      <c r="I99" s="10" t="n">
        <f aca="false">ROUND((D99+0.45)/(1-ASM!$B$9-ASM!$B$10),0)</f>
        <v>2071</v>
      </c>
      <c r="J99" s="10" t="str">
        <f aca="false">IF(G99&gt;=H99,"OK","FLOOR ALTI")</f>
        <v>OK</v>
      </c>
    </row>
    <row r="100" customFormat="false" ht="15" hidden="false" customHeight="true" outlineLevel="0" collapsed="false">
      <c r="A100" s="10" t="n">
        <v>9</v>
      </c>
      <c r="B100" s="10" t="n">
        <v>11</v>
      </c>
      <c r="C100" s="11" t="n">
        <v>14.57</v>
      </c>
      <c r="D100" s="12" t="n">
        <f aca="false">ROUND(C100*ASM!$B$8*ASM!$B$13*(1+ASM!$B$3)+ASM!$B$4+ASM!$B$5+ASM!$B$6,2)</f>
        <v>1597.51</v>
      </c>
      <c r="E100" s="10" t="n">
        <f aca="false">ROUND(D100*ASM!$B$7,0)</f>
        <v>2476</v>
      </c>
      <c r="F100" s="13" t="n">
        <f aca="false">CEILING(E100/0.75,5)</f>
        <v>3305</v>
      </c>
      <c r="G100" s="12" t="n">
        <f aca="false">F100*0.75</f>
        <v>2478.75</v>
      </c>
      <c r="H100" s="10" t="n">
        <f aca="false">ROUND((D100+0.45)/(1-ASM!$B$9),0)</f>
        <v>1785</v>
      </c>
      <c r="I100" s="10" t="n">
        <f aca="false">ROUND((D100+0.45)/(1-ASM!$B$9-ASM!$B$10),0)</f>
        <v>2145</v>
      </c>
      <c r="J100" s="10" t="str">
        <f aca="false">IF(G100&gt;=H100,"OK","FLOOR ALTI")</f>
        <v>OK</v>
      </c>
    </row>
    <row r="101" customFormat="false" ht="15" hidden="false" customHeight="true" outlineLevel="0" collapsed="false">
      <c r="A101" s="10" t="n">
        <v>9</v>
      </c>
      <c r="B101" s="10" t="n">
        <v>12</v>
      </c>
      <c r="C101" s="11" t="n">
        <v>15.08</v>
      </c>
      <c r="D101" s="12" t="n">
        <f aca="false">ROUND(C101*ASM!$B$8*ASM!$B$13*(1+ASM!$B$3)+ASM!$B$4+ASM!$B$5+ASM!$B$6,2)</f>
        <v>1651.33</v>
      </c>
      <c r="E101" s="10" t="n">
        <f aca="false">ROUND(D101*ASM!$B$7,0)</f>
        <v>2560</v>
      </c>
      <c r="F101" s="13" t="n">
        <f aca="false">CEILING(E101/0.75,5)</f>
        <v>3415</v>
      </c>
      <c r="G101" s="12" t="n">
        <f aca="false">F101*0.75</f>
        <v>2561.25</v>
      </c>
      <c r="H101" s="10" t="n">
        <f aca="false">ROUND((D101+0.45)/(1-ASM!$B$9),0)</f>
        <v>1846</v>
      </c>
      <c r="I101" s="10" t="n">
        <f aca="false">ROUND((D101+0.45)/(1-ASM!$B$9-ASM!$B$10),0)</f>
        <v>2217</v>
      </c>
      <c r="J101" s="10" t="str">
        <f aca="false">IF(G101&gt;=H101,"OK","FLOOR ALTI")</f>
        <v>OK</v>
      </c>
    </row>
    <row r="102" customFormat="false" ht="15" hidden="false" customHeight="true" outlineLevel="0" collapsed="false">
      <c r="A102" s="10" t="n">
        <v>9</v>
      </c>
      <c r="B102" s="10" t="n">
        <v>13</v>
      </c>
      <c r="C102" s="11" t="n">
        <v>15.6</v>
      </c>
      <c r="D102" s="12" t="n">
        <f aca="false">ROUND(C102*ASM!$B$8*ASM!$B$13*(1+ASM!$B$3)+ASM!$B$4+ASM!$B$5+ASM!$B$6,2)</f>
        <v>1706.2</v>
      </c>
      <c r="E102" s="10" t="n">
        <f aca="false">ROUND(D102*ASM!$B$7,0)</f>
        <v>2645</v>
      </c>
      <c r="F102" s="13" t="n">
        <f aca="false">CEILING(E102/0.75,5)</f>
        <v>3530</v>
      </c>
      <c r="G102" s="12" t="n">
        <f aca="false">F102*0.75</f>
        <v>2647.5</v>
      </c>
      <c r="H102" s="10" t="n">
        <f aca="false">ROUND((D102+0.45)/(1-ASM!$B$9),0)</f>
        <v>1907</v>
      </c>
      <c r="I102" s="10" t="n">
        <f aca="false">ROUND((D102+0.45)/(1-ASM!$B$9-ASM!$B$10),0)</f>
        <v>2291</v>
      </c>
      <c r="J102" s="10" t="str">
        <f aca="false">IF(G102&gt;=H102,"OK","FLOOR ALTI")</f>
        <v>OK</v>
      </c>
    </row>
    <row r="103" customFormat="false" ht="15" hidden="false" customHeight="true" outlineLevel="0" collapsed="false">
      <c r="A103" s="10" t="n">
        <v>9</v>
      </c>
      <c r="B103" s="10" t="n">
        <v>14</v>
      </c>
      <c r="C103" s="11" t="n">
        <v>16.12</v>
      </c>
      <c r="D103" s="12" t="n">
        <f aca="false">ROUND(C103*ASM!$B$8*ASM!$B$13*(1+ASM!$B$3)+ASM!$B$4+ASM!$B$5+ASM!$B$6,2)</f>
        <v>1761.08</v>
      </c>
      <c r="E103" s="10" t="n">
        <f aca="false">ROUND(D103*ASM!$B$7,0)</f>
        <v>2730</v>
      </c>
      <c r="F103" s="13" t="n">
        <f aca="false">CEILING(E103/0.75,5)</f>
        <v>3640</v>
      </c>
      <c r="G103" s="12" t="n">
        <f aca="false">F103*0.75</f>
        <v>2730</v>
      </c>
      <c r="H103" s="10" t="n">
        <f aca="false">ROUND((D103+0.45)/(1-ASM!$B$9),0)</f>
        <v>1968</v>
      </c>
      <c r="I103" s="10" t="n">
        <f aca="false">ROUND((D103+0.45)/(1-ASM!$B$9-ASM!$B$10),0)</f>
        <v>2364</v>
      </c>
      <c r="J103" s="10" t="str">
        <f aca="false">IF(G103&gt;=H103,"OK","FLOOR ALTI")</f>
        <v>OK</v>
      </c>
    </row>
    <row r="104" customFormat="false" ht="15" hidden="false" customHeight="true" outlineLevel="0" collapsed="false">
      <c r="A104" s="10" t="n">
        <v>9</v>
      </c>
      <c r="B104" s="10" t="n">
        <v>15</v>
      </c>
      <c r="C104" s="11" t="n">
        <v>16.63</v>
      </c>
      <c r="D104" s="12" t="n">
        <f aca="false">ROUND(C104*ASM!$B$8*ASM!$B$13*(1+ASM!$B$3)+ASM!$B$4+ASM!$B$5+ASM!$B$6,2)</f>
        <v>1814.9</v>
      </c>
      <c r="E104" s="10" t="n">
        <f aca="false">ROUND(D104*ASM!$B$7,0)</f>
        <v>2813</v>
      </c>
      <c r="F104" s="13" t="n">
        <f aca="false">CEILING(E104/0.75,5)</f>
        <v>3755</v>
      </c>
      <c r="G104" s="12" t="n">
        <f aca="false">F104*0.75</f>
        <v>2816.25</v>
      </c>
      <c r="H104" s="10" t="n">
        <f aca="false">ROUND((D104+0.45)/(1-ASM!$B$9),0)</f>
        <v>2028</v>
      </c>
      <c r="I104" s="10" t="n">
        <f aca="false">ROUND((D104+0.45)/(1-ASM!$B$9-ASM!$B$10),0)</f>
        <v>2437</v>
      </c>
      <c r="J104" s="10" t="str">
        <f aca="false">IF(G104&gt;=H104,"OK","FLOOR ALTI")</f>
        <v>OK</v>
      </c>
    </row>
    <row r="105" customFormat="false" ht="15" hidden="false" customHeight="true" outlineLevel="0" collapsed="false">
      <c r="A105" s="10" t="n">
        <v>9</v>
      </c>
      <c r="B105" s="10" t="n">
        <v>16</v>
      </c>
      <c r="C105" s="11" t="n">
        <v>17.15</v>
      </c>
      <c r="D105" s="12" t="n">
        <f aca="false">ROUND(C105*ASM!$B$8*ASM!$B$13*(1+ASM!$B$3)+ASM!$B$4+ASM!$B$5+ASM!$B$6,2)</f>
        <v>1869.77</v>
      </c>
      <c r="E105" s="10" t="n">
        <f aca="false">ROUND(D105*ASM!$B$7,0)</f>
        <v>2898</v>
      </c>
      <c r="F105" s="13" t="n">
        <f aca="false">CEILING(E105/0.75,5)</f>
        <v>3865</v>
      </c>
      <c r="G105" s="12" t="n">
        <f aca="false">F105*0.75</f>
        <v>2898.75</v>
      </c>
      <c r="H105" s="10" t="n">
        <f aca="false">ROUND((D105+0.45)/(1-ASM!$B$9),0)</f>
        <v>2090</v>
      </c>
      <c r="I105" s="10" t="n">
        <f aca="false">ROUND((D105+0.45)/(1-ASM!$B$9-ASM!$B$10),0)</f>
        <v>2510</v>
      </c>
      <c r="J105" s="10" t="str">
        <f aca="false">IF(G105&gt;=H105,"OK","FLOOR ALTI")</f>
        <v>OK</v>
      </c>
    </row>
    <row r="106" customFormat="false" ht="15" hidden="false" customHeight="true" outlineLevel="0" collapsed="false">
      <c r="A106" s="10" t="n">
        <v>10</v>
      </c>
      <c r="B106" s="10" t="n">
        <v>4</v>
      </c>
      <c r="C106" s="11" t="n">
        <v>12.18</v>
      </c>
      <c r="D106" s="12" t="n">
        <f aca="false">ROUND(C106*ASM!$B$8*ASM!$B$13*(1+ASM!$B$3)+ASM!$B$4+ASM!$B$5+ASM!$B$6,2)</f>
        <v>1345.31</v>
      </c>
      <c r="E106" s="10" t="n">
        <f aca="false">ROUND(D106*ASM!$B$7,0)</f>
        <v>2085</v>
      </c>
      <c r="F106" s="13" t="n">
        <f aca="false">CEILING(E106/0.75,5)</f>
        <v>2780</v>
      </c>
      <c r="G106" s="12" t="n">
        <f aca="false">F106*0.75</f>
        <v>2085</v>
      </c>
      <c r="H106" s="10" t="n">
        <f aca="false">ROUND((D106+0.45)/(1-ASM!$B$9),0)</f>
        <v>1504</v>
      </c>
      <c r="I106" s="10" t="n">
        <f aca="false">ROUND((D106+0.45)/(1-ASM!$B$9-ASM!$B$10),0)</f>
        <v>1806</v>
      </c>
      <c r="J106" s="10" t="str">
        <f aca="false">IF(G106&gt;=H106,"OK","FLOOR ALTI")</f>
        <v>OK</v>
      </c>
    </row>
    <row r="107" customFormat="false" ht="15" hidden="false" customHeight="true" outlineLevel="0" collapsed="false">
      <c r="A107" s="10" t="n">
        <v>10</v>
      </c>
      <c r="B107" s="10" t="n">
        <v>5</v>
      </c>
      <c r="C107" s="11" t="n">
        <v>12.75</v>
      </c>
      <c r="D107" s="12" t="n">
        <f aca="false">ROUND(C107*ASM!$B$8*ASM!$B$13*(1+ASM!$B$3)+ASM!$B$4+ASM!$B$5+ASM!$B$6,2)</f>
        <v>1405.46</v>
      </c>
      <c r="E107" s="10" t="n">
        <f aca="false">ROUND(D107*ASM!$B$7,0)</f>
        <v>2178</v>
      </c>
      <c r="F107" s="13" t="n">
        <f aca="false">CEILING(E107/0.75,5)</f>
        <v>2905</v>
      </c>
      <c r="G107" s="12" t="n">
        <f aca="false">F107*0.75</f>
        <v>2178.75</v>
      </c>
      <c r="H107" s="10" t="n">
        <f aca="false">ROUND((D107+0.45)/(1-ASM!$B$9),0)</f>
        <v>1571</v>
      </c>
      <c r="I107" s="10" t="n">
        <f aca="false">ROUND((D107+0.45)/(1-ASM!$B$9-ASM!$B$10),0)</f>
        <v>1887</v>
      </c>
      <c r="J107" s="10" t="str">
        <f aca="false">IF(G107&gt;=H107,"OK","FLOOR ALTI")</f>
        <v>OK</v>
      </c>
    </row>
    <row r="108" customFormat="false" ht="15" hidden="false" customHeight="true" outlineLevel="0" collapsed="false">
      <c r="A108" s="10" t="n">
        <v>10</v>
      </c>
      <c r="B108" s="10" t="n">
        <v>6</v>
      </c>
      <c r="C108" s="11" t="n">
        <v>13.32</v>
      </c>
      <c r="D108" s="12" t="n">
        <f aca="false">ROUND(C108*ASM!$B$8*ASM!$B$13*(1+ASM!$B$3)+ASM!$B$4+ASM!$B$5+ASM!$B$6,2)</f>
        <v>1465.61</v>
      </c>
      <c r="E108" s="10" t="n">
        <f aca="false">ROUND(D108*ASM!$B$7,0)</f>
        <v>2272</v>
      </c>
      <c r="F108" s="13" t="n">
        <f aca="false">CEILING(E108/0.75,5)</f>
        <v>3030</v>
      </c>
      <c r="G108" s="12" t="n">
        <f aca="false">F108*0.75</f>
        <v>2272.5</v>
      </c>
      <c r="H108" s="10" t="n">
        <f aca="false">ROUND((D108+0.45)/(1-ASM!$B$9),0)</f>
        <v>1638</v>
      </c>
      <c r="I108" s="10" t="n">
        <f aca="false">ROUND((D108+0.45)/(1-ASM!$B$9-ASM!$B$10),0)</f>
        <v>1968</v>
      </c>
      <c r="J108" s="10" t="str">
        <f aca="false">IF(G108&gt;=H108,"OK","FLOOR ALTI")</f>
        <v>OK</v>
      </c>
    </row>
    <row r="109" customFormat="false" ht="15" hidden="false" customHeight="true" outlineLevel="0" collapsed="false">
      <c r="A109" s="10" t="n">
        <v>10</v>
      </c>
      <c r="B109" s="10" t="n">
        <v>7</v>
      </c>
      <c r="C109" s="11" t="n">
        <v>13.9</v>
      </c>
      <c r="D109" s="12" t="n">
        <f aca="false">ROUND(C109*ASM!$B$8*ASM!$B$13*(1+ASM!$B$3)+ASM!$B$4+ASM!$B$5+ASM!$B$6,2)</f>
        <v>1526.81</v>
      </c>
      <c r="E109" s="10" t="n">
        <f aca="false">ROUND(D109*ASM!$B$7,0)</f>
        <v>2367</v>
      </c>
      <c r="F109" s="13" t="n">
        <f aca="false">CEILING(E109/0.75,5)</f>
        <v>3160</v>
      </c>
      <c r="G109" s="12" t="n">
        <f aca="false">F109*0.75</f>
        <v>2370</v>
      </c>
      <c r="H109" s="10" t="n">
        <f aca="false">ROUND((D109+0.45)/(1-ASM!$B$9),0)</f>
        <v>1706</v>
      </c>
      <c r="I109" s="10" t="n">
        <f aca="false">ROUND((D109+0.45)/(1-ASM!$B$9-ASM!$B$10),0)</f>
        <v>2050</v>
      </c>
      <c r="J109" s="10" t="str">
        <f aca="false">IF(G109&gt;=H109,"OK","FLOOR ALTI")</f>
        <v>OK</v>
      </c>
    </row>
    <row r="110" customFormat="false" ht="15" hidden="false" customHeight="true" outlineLevel="0" collapsed="false">
      <c r="A110" s="10" t="n">
        <v>10</v>
      </c>
      <c r="B110" s="10" t="n">
        <v>8</v>
      </c>
      <c r="C110" s="11" t="n">
        <v>14.47</v>
      </c>
      <c r="D110" s="12" t="n">
        <f aca="false">ROUND(C110*ASM!$B$8*ASM!$B$13*(1+ASM!$B$3)+ASM!$B$4+ASM!$B$5+ASM!$B$6,2)</f>
        <v>1586.96</v>
      </c>
      <c r="E110" s="10" t="n">
        <f aca="false">ROUND(D110*ASM!$B$7,0)</f>
        <v>2460</v>
      </c>
      <c r="F110" s="13" t="n">
        <f aca="false">CEILING(E110/0.75,5)</f>
        <v>3280</v>
      </c>
      <c r="G110" s="12" t="n">
        <f aca="false">F110*0.75</f>
        <v>2460</v>
      </c>
      <c r="H110" s="10" t="n">
        <f aca="false">ROUND((D110+0.45)/(1-ASM!$B$9),0)</f>
        <v>1774</v>
      </c>
      <c r="I110" s="10" t="n">
        <f aca="false">ROUND((D110+0.45)/(1-ASM!$B$9-ASM!$B$10),0)</f>
        <v>2131</v>
      </c>
      <c r="J110" s="10" t="str">
        <f aca="false">IF(G110&gt;=H110,"OK","FLOOR ALTI")</f>
        <v>OK</v>
      </c>
    </row>
    <row r="111" customFormat="false" ht="15" hidden="false" customHeight="true" outlineLevel="0" collapsed="false">
      <c r="A111" s="10" t="n">
        <v>10</v>
      </c>
      <c r="B111" s="10" t="n">
        <v>9</v>
      </c>
      <c r="C111" s="11" t="n">
        <v>15.04</v>
      </c>
      <c r="D111" s="12" t="n">
        <f aca="false">ROUND(C111*ASM!$B$8*ASM!$B$13*(1+ASM!$B$3)+ASM!$B$4+ASM!$B$5+ASM!$B$6,2)</f>
        <v>1647.11</v>
      </c>
      <c r="E111" s="10" t="n">
        <f aca="false">ROUND(D111*ASM!$B$7,0)</f>
        <v>2553</v>
      </c>
      <c r="F111" s="13" t="n">
        <f aca="false">CEILING(E111/0.75,5)</f>
        <v>3405</v>
      </c>
      <c r="G111" s="12" t="n">
        <f aca="false">F111*0.75</f>
        <v>2553.75</v>
      </c>
      <c r="H111" s="10" t="n">
        <f aca="false">ROUND((D111+0.45)/(1-ASM!$B$9),0)</f>
        <v>1841</v>
      </c>
      <c r="I111" s="10" t="n">
        <f aca="false">ROUND((D111+0.45)/(1-ASM!$B$9-ASM!$B$10),0)</f>
        <v>2211</v>
      </c>
      <c r="J111" s="10" t="str">
        <f aca="false">IF(G111&gt;=H111,"OK","FLOOR ALTI")</f>
        <v>OK</v>
      </c>
    </row>
    <row r="112" customFormat="false" ht="15" hidden="false" customHeight="true" outlineLevel="0" collapsed="false">
      <c r="A112" s="10" t="n">
        <v>10</v>
      </c>
      <c r="B112" s="10" t="n">
        <v>10</v>
      </c>
      <c r="C112" s="11" t="n">
        <v>15.61</v>
      </c>
      <c r="D112" s="12" t="n">
        <f aca="false">ROUND(C112*ASM!$B$8*ASM!$B$13*(1+ASM!$B$3)+ASM!$B$4+ASM!$B$5+ASM!$B$6,2)</f>
        <v>1707.26</v>
      </c>
      <c r="E112" s="10" t="n">
        <f aca="false">ROUND(D112*ASM!$B$7,0)</f>
        <v>2646</v>
      </c>
      <c r="F112" s="13" t="n">
        <f aca="false">CEILING(E112/0.75,5)</f>
        <v>3530</v>
      </c>
      <c r="G112" s="12" t="n">
        <f aca="false">F112*0.75</f>
        <v>2647.5</v>
      </c>
      <c r="H112" s="10" t="n">
        <f aca="false">ROUND((D112+0.45)/(1-ASM!$B$9),0)</f>
        <v>1908</v>
      </c>
      <c r="I112" s="10" t="n">
        <f aca="false">ROUND((D112+0.45)/(1-ASM!$B$9-ASM!$B$10),0)</f>
        <v>2292</v>
      </c>
      <c r="J112" s="10" t="str">
        <f aca="false">IF(G112&gt;=H112,"OK","FLOOR ALTI")</f>
        <v>OK</v>
      </c>
    </row>
    <row r="113" customFormat="false" ht="15" hidden="false" customHeight="true" outlineLevel="0" collapsed="false">
      <c r="A113" s="10" t="n">
        <v>10</v>
      </c>
      <c r="B113" s="10" t="n">
        <v>11</v>
      </c>
      <c r="C113" s="11" t="n">
        <v>16.19</v>
      </c>
      <c r="D113" s="12" t="n">
        <f aca="false">ROUND(C113*ASM!$B$8*ASM!$B$13*(1+ASM!$B$3)+ASM!$B$4+ASM!$B$5+ASM!$B$6,2)</f>
        <v>1768.46</v>
      </c>
      <c r="E113" s="10" t="n">
        <f aca="false">ROUND(D113*ASM!$B$7,0)</f>
        <v>2741</v>
      </c>
      <c r="F113" s="13" t="n">
        <f aca="false">CEILING(E113/0.75,5)</f>
        <v>3655</v>
      </c>
      <c r="G113" s="12" t="n">
        <f aca="false">F113*0.75</f>
        <v>2741.25</v>
      </c>
      <c r="H113" s="10" t="n">
        <f aca="false">ROUND((D113+0.45)/(1-ASM!$B$9),0)</f>
        <v>1976</v>
      </c>
      <c r="I113" s="10" t="n">
        <f aca="false">ROUND((D113+0.45)/(1-ASM!$B$9-ASM!$B$10),0)</f>
        <v>2374</v>
      </c>
      <c r="J113" s="10" t="str">
        <f aca="false">IF(G113&gt;=H113,"OK","FLOOR ALTI")</f>
        <v>OK</v>
      </c>
    </row>
    <row r="114" customFormat="false" ht="15" hidden="false" customHeight="true" outlineLevel="0" collapsed="false">
      <c r="A114" s="10" t="n">
        <v>10</v>
      </c>
      <c r="B114" s="10" t="n">
        <v>12</v>
      </c>
      <c r="C114" s="11" t="n">
        <v>16.76</v>
      </c>
      <c r="D114" s="12" t="n">
        <f aca="false">ROUND(C114*ASM!$B$8*ASM!$B$13*(1+ASM!$B$3)+ASM!$B$4+ASM!$B$5+ASM!$B$6,2)</f>
        <v>1828.61</v>
      </c>
      <c r="E114" s="10" t="n">
        <f aca="false">ROUND(D114*ASM!$B$7,0)</f>
        <v>2834</v>
      </c>
      <c r="F114" s="13" t="n">
        <f aca="false">CEILING(E114/0.75,5)</f>
        <v>3780</v>
      </c>
      <c r="G114" s="12" t="n">
        <f aca="false">F114*0.75</f>
        <v>2835</v>
      </c>
      <c r="H114" s="10" t="n">
        <f aca="false">ROUND((D114+0.45)/(1-ASM!$B$9),0)</f>
        <v>2044</v>
      </c>
      <c r="I114" s="10" t="n">
        <f aca="false">ROUND((D114+0.45)/(1-ASM!$B$9-ASM!$B$10),0)</f>
        <v>2455</v>
      </c>
      <c r="J114" s="10" t="str">
        <f aca="false">IF(G114&gt;=H114,"OK","FLOOR ALTI")</f>
        <v>OK</v>
      </c>
    </row>
    <row r="115" customFormat="false" ht="15" hidden="false" customHeight="true" outlineLevel="0" collapsed="false">
      <c r="A115" s="10" t="n">
        <v>10</v>
      </c>
      <c r="B115" s="10" t="n">
        <v>13</v>
      </c>
      <c r="C115" s="11" t="n">
        <v>17.33</v>
      </c>
      <c r="D115" s="12" t="n">
        <f aca="false">ROUND(C115*ASM!$B$8*ASM!$B$13*(1+ASM!$B$3)+ASM!$B$4+ASM!$B$5+ASM!$B$6,2)</f>
        <v>1888.76</v>
      </c>
      <c r="E115" s="10" t="n">
        <f aca="false">ROUND(D115*ASM!$B$7,0)</f>
        <v>2928</v>
      </c>
      <c r="F115" s="13" t="n">
        <f aca="false">CEILING(E115/0.75,5)</f>
        <v>3905</v>
      </c>
      <c r="G115" s="12" t="n">
        <f aca="false">F115*0.75</f>
        <v>2928.75</v>
      </c>
      <c r="H115" s="10" t="n">
        <f aca="false">ROUND((D115+0.45)/(1-ASM!$B$9),0)</f>
        <v>2111</v>
      </c>
      <c r="I115" s="10" t="n">
        <f aca="false">ROUND((D115+0.45)/(1-ASM!$B$9-ASM!$B$10),0)</f>
        <v>2536</v>
      </c>
      <c r="J115" s="10" t="str">
        <f aca="false">IF(G115&gt;=H115,"OK","FLOOR ALTI")</f>
        <v>OK</v>
      </c>
    </row>
    <row r="116" customFormat="false" ht="15" hidden="false" customHeight="true" outlineLevel="0" collapsed="false">
      <c r="A116" s="10" t="n">
        <v>10</v>
      </c>
      <c r="B116" s="10" t="n">
        <v>14</v>
      </c>
      <c r="C116" s="11" t="n">
        <v>17.91</v>
      </c>
      <c r="D116" s="12" t="n">
        <f aca="false">ROUND(C116*ASM!$B$8*ASM!$B$13*(1+ASM!$B$3)+ASM!$B$4+ASM!$B$5+ASM!$B$6,2)</f>
        <v>1949.97</v>
      </c>
      <c r="E116" s="10" t="n">
        <f aca="false">ROUND(D116*ASM!$B$7,0)</f>
        <v>3022</v>
      </c>
      <c r="F116" s="13" t="n">
        <f aca="false">CEILING(E116/0.75,5)</f>
        <v>4030</v>
      </c>
      <c r="G116" s="12" t="n">
        <f aca="false">F116*0.75</f>
        <v>3022.5</v>
      </c>
      <c r="H116" s="10" t="n">
        <f aca="false">ROUND((D116+0.45)/(1-ASM!$B$9),0)</f>
        <v>2179</v>
      </c>
      <c r="I116" s="10" t="n">
        <f aca="false">ROUND((D116+0.45)/(1-ASM!$B$9-ASM!$B$10),0)</f>
        <v>2618</v>
      </c>
      <c r="J116" s="10" t="str">
        <f aca="false">IF(G116&gt;=H116,"OK","FLOOR ALTI")</f>
        <v>OK</v>
      </c>
    </row>
    <row r="117" customFormat="false" ht="15" hidden="false" customHeight="true" outlineLevel="0" collapsed="false">
      <c r="A117" s="10" t="n">
        <v>10</v>
      </c>
      <c r="B117" s="10" t="n">
        <v>15</v>
      </c>
      <c r="C117" s="11" t="n">
        <v>18.48</v>
      </c>
      <c r="D117" s="12" t="n">
        <f aca="false">ROUND(C117*ASM!$B$8*ASM!$B$13*(1+ASM!$B$3)+ASM!$B$4+ASM!$B$5+ASM!$B$6,2)</f>
        <v>2010.12</v>
      </c>
      <c r="E117" s="10" t="n">
        <f aca="false">ROUND(D117*ASM!$B$7,0)</f>
        <v>3116</v>
      </c>
      <c r="F117" s="13" t="n">
        <f aca="false">CEILING(E117/0.75,5)</f>
        <v>4155</v>
      </c>
      <c r="G117" s="12" t="n">
        <f aca="false">F117*0.75</f>
        <v>3116.25</v>
      </c>
      <c r="H117" s="10" t="n">
        <f aca="false">ROUND((D117+0.45)/(1-ASM!$B$9),0)</f>
        <v>2246</v>
      </c>
      <c r="I117" s="10" t="n">
        <f aca="false">ROUND((D117+0.45)/(1-ASM!$B$9-ASM!$B$10),0)</f>
        <v>2699</v>
      </c>
      <c r="J117" s="10" t="str">
        <f aca="false">IF(G117&gt;=H117,"OK","FLOOR ALTI")</f>
        <v>OK</v>
      </c>
    </row>
    <row r="118" customFormat="false" ht="15" hidden="false" customHeight="true" outlineLevel="0" collapsed="false">
      <c r="A118" s="10" t="n">
        <v>10</v>
      </c>
      <c r="B118" s="10" t="n">
        <v>16</v>
      </c>
      <c r="C118" s="11" t="n">
        <v>19.05</v>
      </c>
      <c r="D118" s="12" t="n">
        <f aca="false">ROUND(C118*ASM!$B$8*ASM!$B$13*(1+ASM!$B$3)+ASM!$B$4+ASM!$B$5+ASM!$B$6,2)</f>
        <v>2070.27</v>
      </c>
      <c r="E118" s="10" t="n">
        <f aca="false">ROUND(D118*ASM!$B$7,0)</f>
        <v>3209</v>
      </c>
      <c r="F118" s="13" t="n">
        <f aca="false">CEILING(E118/0.75,5)</f>
        <v>4280</v>
      </c>
      <c r="G118" s="12" t="n">
        <f aca="false">F118*0.75</f>
        <v>3210</v>
      </c>
      <c r="H118" s="10" t="n">
        <f aca="false">ROUND((D118+0.45)/(1-ASM!$B$9),0)</f>
        <v>2314</v>
      </c>
      <c r="I118" s="10" t="n">
        <f aca="false">ROUND((D118+0.45)/(1-ASM!$B$9-ASM!$B$10),0)</f>
        <v>2779</v>
      </c>
      <c r="J118" s="10" t="str">
        <f aca="false">IF(G118&gt;=H118,"OK","FLOOR ALTI")</f>
        <v>OK</v>
      </c>
    </row>
    <row r="119" customFormat="false" ht="15" hidden="false" customHeight="true" outlineLevel="0" collapsed="false">
      <c r="A119" s="10" t="n">
        <v>11</v>
      </c>
      <c r="B119" s="10" t="n">
        <v>4</v>
      </c>
      <c r="C119" s="11" t="n">
        <v>13.39</v>
      </c>
      <c r="D119" s="12" t="n">
        <f aca="false">ROUND(C119*ASM!$B$8*ASM!$B$13*(1+ASM!$B$3)+ASM!$B$4+ASM!$B$5+ASM!$B$6,2)</f>
        <v>1472.99</v>
      </c>
      <c r="E119" s="10" t="n">
        <f aca="false">ROUND(D119*ASM!$B$7,0)</f>
        <v>2283</v>
      </c>
      <c r="F119" s="13" t="n">
        <f aca="false">CEILING(E119/0.75,5)</f>
        <v>3045</v>
      </c>
      <c r="G119" s="12" t="n">
        <f aca="false">F119*0.75</f>
        <v>2283.75</v>
      </c>
      <c r="H119" s="10" t="n">
        <f aca="false">ROUND((D119+0.45)/(1-ASM!$B$9),0)</f>
        <v>1646</v>
      </c>
      <c r="I119" s="10" t="n">
        <f aca="false">ROUND((D119+0.45)/(1-ASM!$B$9-ASM!$B$10),0)</f>
        <v>1978</v>
      </c>
      <c r="J119" s="10" t="str">
        <f aca="false">IF(G119&gt;=H119,"OK","FLOOR ALTI")</f>
        <v>OK</v>
      </c>
    </row>
    <row r="120" customFormat="false" ht="15" hidden="false" customHeight="true" outlineLevel="0" collapsed="false">
      <c r="A120" s="10" t="n">
        <v>11</v>
      </c>
      <c r="B120" s="10" t="n">
        <v>5</v>
      </c>
      <c r="C120" s="11" t="n">
        <v>14.02</v>
      </c>
      <c r="D120" s="12" t="n">
        <f aca="false">ROUND(C120*ASM!$B$8*ASM!$B$13*(1+ASM!$B$3)+ASM!$B$4+ASM!$B$5+ASM!$B$6,2)</f>
        <v>1539.47</v>
      </c>
      <c r="E120" s="10" t="n">
        <f aca="false">ROUND(D120*ASM!$B$7,0)</f>
        <v>2386</v>
      </c>
      <c r="F120" s="13" t="n">
        <f aca="false">CEILING(E120/0.75,5)</f>
        <v>3185</v>
      </c>
      <c r="G120" s="12" t="n">
        <f aca="false">F120*0.75</f>
        <v>2388.75</v>
      </c>
      <c r="H120" s="10" t="n">
        <f aca="false">ROUND((D120+0.45)/(1-ASM!$B$9),0)</f>
        <v>1721</v>
      </c>
      <c r="I120" s="10" t="n">
        <f aca="false">ROUND((D120+0.45)/(1-ASM!$B$9-ASM!$B$10),0)</f>
        <v>2067</v>
      </c>
      <c r="J120" s="10" t="str">
        <f aca="false">IF(G120&gt;=H120,"OK","FLOOR ALTI")</f>
        <v>OK</v>
      </c>
    </row>
    <row r="121" customFormat="false" ht="15" hidden="false" customHeight="true" outlineLevel="0" collapsed="false">
      <c r="A121" s="10" t="n">
        <v>11</v>
      </c>
      <c r="B121" s="10" t="n">
        <v>6</v>
      </c>
      <c r="C121" s="11" t="n">
        <v>14.66</v>
      </c>
      <c r="D121" s="12" t="n">
        <f aca="false">ROUND(C121*ASM!$B$8*ASM!$B$13*(1+ASM!$B$3)+ASM!$B$4+ASM!$B$5+ASM!$B$6,2)</f>
        <v>1607.01</v>
      </c>
      <c r="E121" s="10" t="n">
        <f aca="false">ROUND(D121*ASM!$B$7,0)</f>
        <v>2491</v>
      </c>
      <c r="F121" s="13" t="n">
        <f aca="false">CEILING(E121/0.75,5)</f>
        <v>3325</v>
      </c>
      <c r="G121" s="12" t="n">
        <f aca="false">F121*0.75</f>
        <v>2493.75</v>
      </c>
      <c r="H121" s="10" t="n">
        <f aca="false">ROUND((D121+0.45)/(1-ASM!$B$9),0)</f>
        <v>1796</v>
      </c>
      <c r="I121" s="10" t="n">
        <f aca="false">ROUND((D121+0.45)/(1-ASM!$B$9-ASM!$B$10),0)</f>
        <v>2158</v>
      </c>
      <c r="J121" s="10" t="str">
        <f aca="false">IF(G121&gt;=H121,"OK","FLOOR ALTI")</f>
        <v>OK</v>
      </c>
    </row>
    <row r="122" customFormat="false" ht="15" hidden="false" customHeight="true" outlineLevel="0" collapsed="false">
      <c r="A122" s="10" t="n">
        <v>11</v>
      </c>
      <c r="B122" s="10" t="n">
        <v>7</v>
      </c>
      <c r="C122" s="11" t="n">
        <v>15.29</v>
      </c>
      <c r="D122" s="12" t="n">
        <f aca="false">ROUND(C122*ASM!$B$8*ASM!$B$13*(1+ASM!$B$3)+ASM!$B$4+ASM!$B$5+ASM!$B$6,2)</f>
        <v>1673.49</v>
      </c>
      <c r="E122" s="10" t="n">
        <f aca="false">ROUND(D122*ASM!$B$7,0)</f>
        <v>2594</v>
      </c>
      <c r="F122" s="13" t="n">
        <f aca="false">CEILING(E122/0.75,5)</f>
        <v>3460</v>
      </c>
      <c r="G122" s="12" t="n">
        <f aca="false">F122*0.75</f>
        <v>2595</v>
      </c>
      <c r="H122" s="10" t="n">
        <f aca="false">ROUND((D122+0.45)/(1-ASM!$B$9),0)</f>
        <v>1870</v>
      </c>
      <c r="I122" s="10" t="n">
        <f aca="false">ROUND((D122+0.45)/(1-ASM!$B$9-ASM!$B$10),0)</f>
        <v>2247</v>
      </c>
      <c r="J122" s="10" t="str">
        <f aca="false">IF(G122&gt;=H122,"OK","FLOOR ALTI")</f>
        <v>OK</v>
      </c>
    </row>
    <row r="123" customFormat="false" ht="15" hidden="false" customHeight="true" outlineLevel="0" collapsed="false">
      <c r="A123" s="10" t="n">
        <v>11</v>
      </c>
      <c r="B123" s="10" t="n">
        <v>8</v>
      </c>
      <c r="C123" s="11" t="n">
        <v>15.92</v>
      </c>
      <c r="D123" s="12" t="n">
        <f aca="false">ROUND(C123*ASM!$B$8*ASM!$B$13*(1+ASM!$B$3)+ASM!$B$4+ASM!$B$5+ASM!$B$6,2)</f>
        <v>1739.97</v>
      </c>
      <c r="E123" s="10" t="n">
        <f aca="false">ROUND(D123*ASM!$B$7,0)</f>
        <v>2697</v>
      </c>
      <c r="F123" s="13" t="n">
        <f aca="false">CEILING(E123/0.75,5)</f>
        <v>3600</v>
      </c>
      <c r="G123" s="12" t="n">
        <f aca="false">F123*0.75</f>
        <v>2700</v>
      </c>
      <c r="H123" s="10" t="n">
        <f aca="false">ROUND((D123+0.45)/(1-ASM!$B$9),0)</f>
        <v>1945</v>
      </c>
      <c r="I123" s="10" t="n">
        <f aca="false">ROUND((D123+0.45)/(1-ASM!$B$9-ASM!$B$10),0)</f>
        <v>2336</v>
      </c>
      <c r="J123" s="10" t="str">
        <f aca="false">IF(G123&gt;=H123,"OK","FLOOR ALTI")</f>
        <v>OK</v>
      </c>
    </row>
    <row r="124" customFormat="false" ht="15" hidden="false" customHeight="true" outlineLevel="0" collapsed="false">
      <c r="A124" s="10" t="n">
        <v>11</v>
      </c>
      <c r="B124" s="10" t="n">
        <v>9</v>
      </c>
      <c r="C124" s="11" t="n">
        <v>16.55</v>
      </c>
      <c r="D124" s="12" t="n">
        <f aca="false">ROUND(C124*ASM!$B$8*ASM!$B$13*(1+ASM!$B$3)+ASM!$B$4+ASM!$B$5+ASM!$B$6,2)</f>
        <v>1806.45</v>
      </c>
      <c r="E124" s="10" t="n">
        <f aca="false">ROUND(D124*ASM!$B$7,0)</f>
        <v>2800</v>
      </c>
      <c r="F124" s="13" t="n">
        <f aca="false">CEILING(E124/0.75,5)</f>
        <v>3735</v>
      </c>
      <c r="G124" s="12" t="n">
        <f aca="false">F124*0.75</f>
        <v>2801.25</v>
      </c>
      <c r="H124" s="10" t="n">
        <f aca="false">ROUND((D124+0.45)/(1-ASM!$B$9),0)</f>
        <v>2019</v>
      </c>
      <c r="I124" s="10" t="n">
        <f aca="false">ROUND((D124+0.45)/(1-ASM!$B$9-ASM!$B$10),0)</f>
        <v>2425</v>
      </c>
      <c r="J124" s="10" t="str">
        <f aca="false">IF(G124&gt;=H124,"OK","FLOOR ALTI")</f>
        <v>OK</v>
      </c>
    </row>
    <row r="125" customFormat="false" ht="15" hidden="false" customHeight="true" outlineLevel="0" collapsed="false">
      <c r="A125" s="10" t="n">
        <v>11</v>
      </c>
      <c r="B125" s="10" t="n">
        <v>10</v>
      </c>
      <c r="C125" s="11" t="n">
        <v>17.18</v>
      </c>
      <c r="D125" s="12" t="n">
        <f aca="false">ROUND(C125*ASM!$B$8*ASM!$B$13*(1+ASM!$B$3)+ASM!$B$4+ASM!$B$5+ASM!$B$6,2)</f>
        <v>1872.94</v>
      </c>
      <c r="E125" s="10" t="n">
        <f aca="false">ROUND(D125*ASM!$B$7,0)</f>
        <v>2903</v>
      </c>
      <c r="F125" s="13" t="n">
        <f aca="false">CEILING(E125/0.75,5)</f>
        <v>3875</v>
      </c>
      <c r="G125" s="12" t="n">
        <f aca="false">F125*0.75</f>
        <v>2906.25</v>
      </c>
      <c r="H125" s="10" t="n">
        <f aca="false">ROUND((D125+0.45)/(1-ASM!$B$9),0)</f>
        <v>2093</v>
      </c>
      <c r="I125" s="10" t="n">
        <f aca="false">ROUND((D125+0.45)/(1-ASM!$B$9-ASM!$B$10),0)</f>
        <v>2515</v>
      </c>
      <c r="J125" s="10" t="str">
        <f aca="false">IF(G125&gt;=H125,"OK","FLOOR ALTI")</f>
        <v>OK</v>
      </c>
    </row>
    <row r="126" customFormat="false" ht="15" hidden="false" customHeight="true" outlineLevel="0" collapsed="false">
      <c r="A126" s="10" t="n">
        <v>11</v>
      </c>
      <c r="B126" s="10" t="n">
        <v>11</v>
      </c>
      <c r="C126" s="11" t="n">
        <v>17.81</v>
      </c>
      <c r="D126" s="12" t="n">
        <f aca="false">ROUND(C126*ASM!$B$8*ASM!$B$13*(1+ASM!$B$3)+ASM!$B$4+ASM!$B$5+ASM!$B$6,2)</f>
        <v>1939.42</v>
      </c>
      <c r="E126" s="10" t="n">
        <f aca="false">ROUND(D126*ASM!$B$7,0)</f>
        <v>3006</v>
      </c>
      <c r="F126" s="13" t="n">
        <f aca="false">CEILING(E126/0.75,5)</f>
        <v>4010</v>
      </c>
      <c r="G126" s="12" t="n">
        <f aca="false">F126*0.75</f>
        <v>3007.5</v>
      </c>
      <c r="H126" s="10" t="n">
        <f aca="false">ROUND((D126+0.45)/(1-ASM!$B$9),0)</f>
        <v>2167</v>
      </c>
      <c r="I126" s="10" t="n">
        <f aca="false">ROUND((D126+0.45)/(1-ASM!$B$9-ASM!$B$10),0)</f>
        <v>2604</v>
      </c>
      <c r="J126" s="10" t="str">
        <f aca="false">IF(G126&gt;=H126,"OK","FLOOR ALTI")</f>
        <v>OK</v>
      </c>
    </row>
    <row r="127" customFormat="false" ht="15" hidden="false" customHeight="true" outlineLevel="0" collapsed="false">
      <c r="A127" s="10" t="n">
        <v>11</v>
      </c>
      <c r="B127" s="10" t="n">
        <v>12</v>
      </c>
      <c r="C127" s="11" t="n">
        <v>18.44</v>
      </c>
      <c r="D127" s="12" t="n">
        <f aca="false">ROUND(C127*ASM!$B$8*ASM!$B$13*(1+ASM!$B$3)+ASM!$B$4+ASM!$B$5+ASM!$B$6,2)</f>
        <v>2005.9</v>
      </c>
      <c r="E127" s="10" t="n">
        <f aca="false">ROUND(D127*ASM!$B$7,0)</f>
        <v>3109</v>
      </c>
      <c r="F127" s="13" t="n">
        <f aca="false">CEILING(E127/0.75,5)</f>
        <v>4150</v>
      </c>
      <c r="G127" s="12" t="n">
        <f aca="false">F127*0.75</f>
        <v>3112.5</v>
      </c>
      <c r="H127" s="10" t="n">
        <f aca="false">ROUND((D127+0.45)/(1-ASM!$B$9),0)</f>
        <v>2242</v>
      </c>
      <c r="I127" s="10" t="n">
        <f aca="false">ROUND((D127+0.45)/(1-ASM!$B$9-ASM!$B$10),0)</f>
        <v>2693</v>
      </c>
      <c r="J127" s="10" t="str">
        <f aca="false">IF(G127&gt;=H127,"OK","FLOOR ALTI")</f>
        <v>OK</v>
      </c>
    </row>
    <row r="128" customFormat="false" ht="15" hidden="false" customHeight="true" outlineLevel="0" collapsed="false">
      <c r="A128" s="10" t="n">
        <v>11</v>
      </c>
      <c r="B128" s="10" t="n">
        <v>13</v>
      </c>
      <c r="C128" s="11" t="n">
        <v>19.07</v>
      </c>
      <c r="D128" s="12" t="n">
        <f aca="false">ROUND(C128*ASM!$B$8*ASM!$B$13*(1+ASM!$B$3)+ASM!$B$4+ASM!$B$5+ASM!$B$6,2)</f>
        <v>2072.38</v>
      </c>
      <c r="E128" s="10" t="n">
        <f aca="false">ROUND(D128*ASM!$B$7,0)</f>
        <v>3212</v>
      </c>
      <c r="F128" s="13" t="n">
        <f aca="false">CEILING(E128/0.75,5)</f>
        <v>4285</v>
      </c>
      <c r="G128" s="12" t="n">
        <f aca="false">F128*0.75</f>
        <v>3213.75</v>
      </c>
      <c r="H128" s="10" t="n">
        <f aca="false">ROUND((D128+0.45)/(1-ASM!$B$9),0)</f>
        <v>2316</v>
      </c>
      <c r="I128" s="10" t="n">
        <f aca="false">ROUND((D128+0.45)/(1-ASM!$B$9-ASM!$B$10),0)</f>
        <v>2782</v>
      </c>
      <c r="J128" s="10" t="str">
        <f aca="false">IF(G128&gt;=H128,"OK","FLOOR ALTI")</f>
        <v>OK</v>
      </c>
    </row>
    <row r="129" customFormat="false" ht="15" hidden="false" customHeight="true" outlineLevel="0" collapsed="false">
      <c r="A129" s="10" t="n">
        <v>11</v>
      </c>
      <c r="B129" s="10" t="n">
        <v>14</v>
      </c>
      <c r="C129" s="11" t="n">
        <v>19.7</v>
      </c>
      <c r="D129" s="12" t="n">
        <f aca="false">ROUND(C129*ASM!$B$8*ASM!$B$13*(1+ASM!$B$3)+ASM!$B$4+ASM!$B$5+ASM!$B$6,2)</f>
        <v>2138.86</v>
      </c>
      <c r="E129" s="10" t="n">
        <f aca="false">ROUND(D129*ASM!$B$7,0)</f>
        <v>3315</v>
      </c>
      <c r="F129" s="13" t="n">
        <f aca="false">CEILING(E129/0.75,5)</f>
        <v>4420</v>
      </c>
      <c r="G129" s="12" t="n">
        <f aca="false">F129*0.75</f>
        <v>3315</v>
      </c>
      <c r="H129" s="10" t="n">
        <f aca="false">ROUND((D129+0.45)/(1-ASM!$B$9),0)</f>
        <v>2390</v>
      </c>
      <c r="I129" s="10" t="n">
        <f aca="false">ROUND((D129+0.45)/(1-ASM!$B$9-ASM!$B$10),0)</f>
        <v>2872</v>
      </c>
      <c r="J129" s="10" t="str">
        <f aca="false">IF(G129&gt;=H129,"OK","FLOOR ALTI")</f>
        <v>OK</v>
      </c>
    </row>
    <row r="130" customFormat="false" ht="15" hidden="false" customHeight="true" outlineLevel="0" collapsed="false">
      <c r="A130" s="10" t="n">
        <v>11</v>
      </c>
      <c r="B130" s="10" t="n">
        <v>15</v>
      </c>
      <c r="C130" s="11" t="n">
        <v>20.33</v>
      </c>
      <c r="D130" s="12" t="n">
        <f aca="false">ROUND(C130*ASM!$B$8*ASM!$B$13*(1+ASM!$B$3)+ASM!$B$4+ASM!$B$5+ASM!$B$6,2)</f>
        <v>2205.34</v>
      </c>
      <c r="E130" s="10" t="n">
        <f aca="false">ROUND(D130*ASM!$B$7,0)</f>
        <v>3418</v>
      </c>
      <c r="F130" s="13" t="n">
        <f aca="false">CEILING(E130/0.75,5)</f>
        <v>4560</v>
      </c>
      <c r="G130" s="12" t="n">
        <f aca="false">F130*0.75</f>
        <v>3420</v>
      </c>
      <c r="H130" s="10" t="n">
        <f aca="false">ROUND((D130+0.45)/(1-ASM!$B$9),0)</f>
        <v>2465</v>
      </c>
      <c r="I130" s="10" t="n">
        <f aca="false">ROUND((D130+0.45)/(1-ASM!$B$9-ASM!$B$10),0)</f>
        <v>2961</v>
      </c>
      <c r="J130" s="10" t="str">
        <f aca="false">IF(G130&gt;=H130,"OK","FLOOR ALTI")</f>
        <v>OK</v>
      </c>
    </row>
    <row r="131" customFormat="false" ht="15" hidden="false" customHeight="true" outlineLevel="0" collapsed="false">
      <c r="A131" s="10" t="n">
        <v>11</v>
      </c>
      <c r="B131" s="10" t="n">
        <v>16</v>
      </c>
      <c r="C131" s="11" t="n">
        <v>20.96</v>
      </c>
      <c r="D131" s="12" t="n">
        <f aca="false">ROUND(C131*ASM!$B$8*ASM!$B$13*(1+ASM!$B$3)+ASM!$B$4+ASM!$B$5+ASM!$B$6,2)</f>
        <v>2271.82</v>
      </c>
      <c r="E131" s="10" t="n">
        <f aca="false">ROUND(D131*ASM!$B$7,0)</f>
        <v>3521</v>
      </c>
      <c r="F131" s="13" t="n">
        <f aca="false">CEILING(E131/0.75,5)</f>
        <v>4695</v>
      </c>
      <c r="G131" s="12" t="n">
        <f aca="false">F131*0.75</f>
        <v>3521.25</v>
      </c>
      <c r="H131" s="10" t="n">
        <f aca="false">ROUND((D131+0.45)/(1-ASM!$B$9),0)</f>
        <v>2539</v>
      </c>
      <c r="I131" s="10" t="n">
        <f aca="false">ROUND((D131+0.45)/(1-ASM!$B$9-ASM!$B$10),0)</f>
        <v>3050</v>
      </c>
      <c r="J131" s="10" t="str">
        <f aca="false">IF(G131&gt;=H131,"OK","FLOOR ALTI")</f>
        <v>OK</v>
      </c>
    </row>
    <row r="132" customFormat="false" ht="15" hidden="false" customHeight="true" outlineLevel="0" collapsed="false">
      <c r="A132" s="10" t="n">
        <v>12</v>
      </c>
      <c r="B132" s="10" t="n">
        <v>4</v>
      </c>
      <c r="C132" s="11" t="n">
        <v>14.61</v>
      </c>
      <c r="D132" s="12" t="n">
        <f aca="false">ROUND(C132*ASM!$B$8*ASM!$B$13*(1+ASM!$B$3)+ASM!$B$4+ASM!$B$5+ASM!$B$6,2)</f>
        <v>1601.73</v>
      </c>
      <c r="E132" s="10" t="n">
        <f aca="false">ROUND(D132*ASM!$B$7,0)</f>
        <v>2483</v>
      </c>
      <c r="F132" s="13" t="n">
        <f aca="false">CEILING(E132/0.75,5)</f>
        <v>3315</v>
      </c>
      <c r="G132" s="12" t="n">
        <f aca="false">F132*0.75</f>
        <v>2486.25</v>
      </c>
      <c r="H132" s="10" t="n">
        <f aca="false">ROUND((D132+0.45)/(1-ASM!$B$9),0)</f>
        <v>1790</v>
      </c>
      <c r="I132" s="10" t="n">
        <f aca="false">ROUND((D132+0.45)/(1-ASM!$B$9-ASM!$B$10),0)</f>
        <v>2151</v>
      </c>
      <c r="J132" s="10" t="str">
        <f aca="false">IF(G132&gt;=H132,"OK","FLOOR ALTI")</f>
        <v>OK</v>
      </c>
    </row>
    <row r="133" customFormat="false" ht="15" hidden="false" customHeight="true" outlineLevel="0" collapsed="false">
      <c r="A133" s="10" t="n">
        <v>12</v>
      </c>
      <c r="B133" s="10" t="n">
        <v>5</v>
      </c>
      <c r="C133" s="11" t="n">
        <v>15.3</v>
      </c>
      <c r="D133" s="12" t="n">
        <f aca="false">ROUND(C133*ASM!$B$8*ASM!$B$13*(1+ASM!$B$3)+ASM!$B$4+ASM!$B$5+ASM!$B$6,2)</f>
        <v>1674.55</v>
      </c>
      <c r="E133" s="10" t="n">
        <f aca="false">ROUND(D133*ASM!$B$7,0)</f>
        <v>2596</v>
      </c>
      <c r="F133" s="13" t="n">
        <f aca="false">CEILING(E133/0.75,5)</f>
        <v>3465</v>
      </c>
      <c r="G133" s="12" t="n">
        <f aca="false">F133*0.75</f>
        <v>2598.75</v>
      </c>
      <c r="H133" s="10" t="n">
        <f aca="false">ROUND((D133+0.45)/(1-ASM!$B$9),0)</f>
        <v>1872</v>
      </c>
      <c r="I133" s="10" t="n">
        <f aca="false">ROUND((D133+0.45)/(1-ASM!$B$9-ASM!$B$10),0)</f>
        <v>2248</v>
      </c>
      <c r="J133" s="10" t="str">
        <f aca="false">IF(G133&gt;=H133,"OK","FLOOR ALTI")</f>
        <v>OK</v>
      </c>
    </row>
    <row r="134" customFormat="false" ht="15" hidden="false" customHeight="true" outlineLevel="0" collapsed="false">
      <c r="A134" s="10" t="n">
        <v>12</v>
      </c>
      <c r="B134" s="10" t="n">
        <v>6</v>
      </c>
      <c r="C134" s="11" t="n">
        <v>15.99</v>
      </c>
      <c r="D134" s="12" t="n">
        <f aca="false">ROUND(C134*ASM!$B$8*ASM!$B$13*(1+ASM!$B$3)+ASM!$B$4+ASM!$B$5+ASM!$B$6,2)</f>
        <v>1747.36</v>
      </c>
      <c r="E134" s="10" t="n">
        <f aca="false">ROUND(D134*ASM!$B$7,0)</f>
        <v>2708</v>
      </c>
      <c r="F134" s="13" t="n">
        <f aca="false">CEILING(E134/0.75,5)</f>
        <v>3615</v>
      </c>
      <c r="G134" s="12" t="n">
        <f aca="false">F134*0.75</f>
        <v>2711.25</v>
      </c>
      <c r="H134" s="10" t="n">
        <f aca="false">ROUND((D134+0.45)/(1-ASM!$B$9),0)</f>
        <v>1953</v>
      </c>
      <c r="I134" s="10" t="n">
        <f aca="false">ROUND((D134+0.45)/(1-ASM!$B$9-ASM!$B$10),0)</f>
        <v>2346</v>
      </c>
      <c r="J134" s="10" t="str">
        <f aca="false">IF(G134&gt;=H134,"OK","FLOOR ALTI")</f>
        <v>OK</v>
      </c>
    </row>
    <row r="135" customFormat="false" ht="15" hidden="false" customHeight="true" outlineLevel="0" collapsed="false">
      <c r="A135" s="10" t="n">
        <v>12</v>
      </c>
      <c r="B135" s="10" t="n">
        <v>7</v>
      </c>
      <c r="C135" s="11" t="n">
        <v>16.68</v>
      </c>
      <c r="D135" s="12" t="n">
        <f aca="false">ROUND(C135*ASM!$B$8*ASM!$B$13*(1+ASM!$B$3)+ASM!$B$4+ASM!$B$5+ASM!$B$6,2)</f>
        <v>1820.17</v>
      </c>
      <c r="E135" s="10" t="n">
        <f aca="false">ROUND(D135*ASM!$B$7,0)</f>
        <v>2821</v>
      </c>
      <c r="F135" s="13" t="n">
        <f aca="false">CEILING(E135/0.75,5)</f>
        <v>3765</v>
      </c>
      <c r="G135" s="12" t="n">
        <f aca="false">F135*0.75</f>
        <v>2823.75</v>
      </c>
      <c r="H135" s="10" t="n">
        <f aca="false">ROUND((D135+0.45)/(1-ASM!$B$9),0)</f>
        <v>2034</v>
      </c>
      <c r="I135" s="10" t="n">
        <f aca="false">ROUND((D135+0.45)/(1-ASM!$B$9-ASM!$B$10),0)</f>
        <v>2444</v>
      </c>
      <c r="J135" s="10" t="str">
        <f aca="false">IF(G135&gt;=H135,"OK","FLOOR ALTI")</f>
        <v>OK</v>
      </c>
    </row>
    <row r="136" customFormat="false" ht="15" hidden="false" customHeight="true" outlineLevel="0" collapsed="false">
      <c r="A136" s="10" t="n">
        <v>12</v>
      </c>
      <c r="B136" s="10" t="n">
        <v>8</v>
      </c>
      <c r="C136" s="11" t="n">
        <v>17.36</v>
      </c>
      <c r="D136" s="12" t="n">
        <f aca="false">ROUND(C136*ASM!$B$8*ASM!$B$13*(1+ASM!$B$3)+ASM!$B$4+ASM!$B$5+ASM!$B$6,2)</f>
        <v>1891.93</v>
      </c>
      <c r="E136" s="10" t="n">
        <f aca="false">ROUND(D136*ASM!$B$7,0)</f>
        <v>2932</v>
      </c>
      <c r="F136" s="13" t="n">
        <f aca="false">CEILING(E136/0.75,5)</f>
        <v>3910</v>
      </c>
      <c r="G136" s="12" t="n">
        <f aca="false">F136*0.75</f>
        <v>2932.5</v>
      </c>
      <c r="H136" s="10" t="n">
        <f aca="false">ROUND((D136+0.45)/(1-ASM!$B$9),0)</f>
        <v>2114</v>
      </c>
      <c r="I136" s="10" t="n">
        <f aca="false">ROUND((D136+0.45)/(1-ASM!$B$9-ASM!$B$10),0)</f>
        <v>2540</v>
      </c>
      <c r="J136" s="10" t="str">
        <f aca="false">IF(G136&gt;=H136,"OK","FLOOR ALTI")</f>
        <v>OK</v>
      </c>
    </row>
    <row r="137" customFormat="false" ht="15" hidden="false" customHeight="true" outlineLevel="0" collapsed="false">
      <c r="A137" s="10" t="n">
        <v>12</v>
      </c>
      <c r="B137" s="10" t="n">
        <v>9</v>
      </c>
      <c r="C137" s="11" t="n">
        <v>18.05</v>
      </c>
      <c r="D137" s="12" t="n">
        <f aca="false">ROUND(C137*ASM!$B$8*ASM!$B$13*(1+ASM!$B$3)+ASM!$B$4+ASM!$B$5+ASM!$B$6,2)</f>
        <v>1964.74</v>
      </c>
      <c r="E137" s="10" t="n">
        <f aca="false">ROUND(D137*ASM!$B$7,0)</f>
        <v>3045</v>
      </c>
      <c r="F137" s="13" t="n">
        <f aca="false">CEILING(E137/0.75,5)</f>
        <v>4060</v>
      </c>
      <c r="G137" s="12" t="n">
        <f aca="false">F137*0.75</f>
        <v>3045</v>
      </c>
      <c r="H137" s="10" t="n">
        <f aca="false">ROUND((D137+0.45)/(1-ASM!$B$9),0)</f>
        <v>2196</v>
      </c>
      <c r="I137" s="10" t="n">
        <f aca="false">ROUND((D137+0.45)/(1-ASM!$B$9-ASM!$B$10),0)</f>
        <v>2638</v>
      </c>
      <c r="J137" s="10" t="str">
        <f aca="false">IF(G137&gt;=H137,"OK","FLOOR ALTI")</f>
        <v>OK</v>
      </c>
    </row>
    <row r="138" customFormat="false" ht="15" hidden="false" customHeight="true" outlineLevel="0" collapsed="false">
      <c r="A138" s="10" t="n">
        <v>12</v>
      </c>
      <c r="B138" s="10" t="n">
        <v>10</v>
      </c>
      <c r="C138" s="11" t="n">
        <v>18.74</v>
      </c>
      <c r="D138" s="12" t="n">
        <f aca="false">ROUND(C138*ASM!$B$8*ASM!$B$13*(1+ASM!$B$3)+ASM!$B$4+ASM!$B$5+ASM!$B$6,2)</f>
        <v>2037.56</v>
      </c>
      <c r="E138" s="10" t="n">
        <f aca="false">ROUND(D138*ASM!$B$7,0)</f>
        <v>3158</v>
      </c>
      <c r="F138" s="13" t="n">
        <f aca="false">CEILING(E138/0.75,5)</f>
        <v>4215</v>
      </c>
      <c r="G138" s="12" t="n">
        <f aca="false">F138*0.75</f>
        <v>3161.25</v>
      </c>
      <c r="H138" s="10" t="n">
        <f aca="false">ROUND((D138+0.45)/(1-ASM!$B$9),0)</f>
        <v>2277</v>
      </c>
      <c r="I138" s="10" t="n">
        <f aca="false">ROUND((D138+0.45)/(1-ASM!$B$9-ASM!$B$10),0)</f>
        <v>2736</v>
      </c>
      <c r="J138" s="10" t="str">
        <f aca="false">IF(G138&gt;=H138,"OK","FLOOR ALTI")</f>
        <v>OK</v>
      </c>
    </row>
    <row r="139" customFormat="false" ht="15" hidden="false" customHeight="true" outlineLevel="0" collapsed="false">
      <c r="A139" s="10" t="n">
        <v>12</v>
      </c>
      <c r="B139" s="10" t="n">
        <v>11</v>
      </c>
      <c r="C139" s="11" t="n">
        <v>19.43</v>
      </c>
      <c r="D139" s="12" t="n">
        <f aca="false">ROUND(C139*ASM!$B$8*ASM!$B$13*(1+ASM!$B$3)+ASM!$B$4+ASM!$B$5+ASM!$B$6,2)</f>
        <v>2110.37</v>
      </c>
      <c r="E139" s="10" t="n">
        <f aca="false">ROUND(D139*ASM!$B$7,0)</f>
        <v>3271</v>
      </c>
      <c r="F139" s="13" t="n">
        <f aca="false">CEILING(E139/0.75,5)</f>
        <v>4365</v>
      </c>
      <c r="G139" s="12" t="n">
        <f aca="false">F139*0.75</f>
        <v>3273.75</v>
      </c>
      <c r="H139" s="10" t="n">
        <f aca="false">ROUND((D139+0.45)/(1-ASM!$B$9),0)</f>
        <v>2358</v>
      </c>
      <c r="I139" s="10" t="n">
        <f aca="false">ROUND((D139+0.45)/(1-ASM!$B$9-ASM!$B$10),0)</f>
        <v>2833</v>
      </c>
      <c r="J139" s="10" t="str">
        <f aca="false">IF(G139&gt;=H139,"OK","FLOOR ALTI")</f>
        <v>OK</v>
      </c>
    </row>
    <row r="140" customFormat="false" ht="15" hidden="false" customHeight="true" outlineLevel="0" collapsed="false">
      <c r="A140" s="10" t="n">
        <v>12</v>
      </c>
      <c r="B140" s="10" t="n">
        <v>12</v>
      </c>
      <c r="C140" s="11" t="n">
        <v>20.11</v>
      </c>
      <c r="D140" s="12" t="n">
        <f aca="false">ROUND(C140*ASM!$B$8*ASM!$B$13*(1+ASM!$B$3)+ASM!$B$4+ASM!$B$5+ASM!$B$6,2)</f>
        <v>2182.13</v>
      </c>
      <c r="E140" s="10" t="n">
        <f aca="false">ROUND(D140*ASM!$B$7,0)</f>
        <v>3382</v>
      </c>
      <c r="F140" s="13" t="n">
        <f aca="false">CEILING(E140/0.75,5)</f>
        <v>4510</v>
      </c>
      <c r="G140" s="12" t="n">
        <f aca="false">F140*0.75</f>
        <v>3382.5</v>
      </c>
      <c r="H140" s="10" t="n">
        <f aca="false">ROUND((D140+0.45)/(1-ASM!$B$9),0)</f>
        <v>2439</v>
      </c>
      <c r="I140" s="10" t="n">
        <f aca="false">ROUND((D140+0.45)/(1-ASM!$B$9-ASM!$B$10),0)</f>
        <v>2930</v>
      </c>
      <c r="J140" s="10" t="str">
        <f aca="false">IF(G140&gt;=H140,"OK","FLOOR ALTI")</f>
        <v>OK</v>
      </c>
    </row>
    <row r="141" customFormat="false" ht="15" hidden="false" customHeight="true" outlineLevel="0" collapsed="false">
      <c r="A141" s="10" t="n">
        <v>12</v>
      </c>
      <c r="B141" s="10" t="n">
        <v>13</v>
      </c>
      <c r="C141" s="11" t="n">
        <v>20.8</v>
      </c>
      <c r="D141" s="12" t="n">
        <f aca="false">ROUND(C141*ASM!$B$8*ASM!$B$13*(1+ASM!$B$3)+ASM!$B$4+ASM!$B$5+ASM!$B$6,2)</f>
        <v>2254.94</v>
      </c>
      <c r="E141" s="10" t="n">
        <f aca="false">ROUND(D141*ASM!$B$7,0)</f>
        <v>3495</v>
      </c>
      <c r="F141" s="13" t="n">
        <f aca="false">CEILING(E141/0.75,5)</f>
        <v>4660</v>
      </c>
      <c r="G141" s="12" t="n">
        <f aca="false">F141*0.75</f>
        <v>3495</v>
      </c>
      <c r="H141" s="10" t="n">
        <f aca="false">ROUND((D141+0.45)/(1-ASM!$B$9),0)</f>
        <v>2520</v>
      </c>
      <c r="I141" s="10" t="n">
        <f aca="false">ROUND((D141+0.45)/(1-ASM!$B$9-ASM!$B$10),0)</f>
        <v>3027</v>
      </c>
      <c r="J141" s="10" t="str">
        <f aca="false">IF(G141&gt;=H141,"OK","FLOOR ALTI")</f>
        <v>OK</v>
      </c>
    </row>
    <row r="142" customFormat="false" ht="15" hidden="false" customHeight="true" outlineLevel="0" collapsed="false">
      <c r="A142" s="10" t="n">
        <v>12</v>
      </c>
      <c r="B142" s="10" t="n">
        <v>14</v>
      </c>
      <c r="C142" s="11" t="n">
        <v>21.49</v>
      </c>
      <c r="D142" s="12" t="n">
        <f aca="false">ROUND(C142*ASM!$B$8*ASM!$B$13*(1+ASM!$B$3)+ASM!$B$4+ASM!$B$5+ASM!$B$6,2)</f>
        <v>2327.75</v>
      </c>
      <c r="E142" s="10" t="n">
        <f aca="false">ROUND(D142*ASM!$B$7,0)</f>
        <v>3608</v>
      </c>
      <c r="F142" s="13" t="n">
        <f aca="false">CEILING(E142/0.75,5)</f>
        <v>4815</v>
      </c>
      <c r="G142" s="12" t="n">
        <f aca="false">F142*0.75</f>
        <v>3611.25</v>
      </c>
      <c r="H142" s="10" t="n">
        <f aca="false">ROUND((D142+0.45)/(1-ASM!$B$9),0)</f>
        <v>2601</v>
      </c>
      <c r="I142" s="10" t="n">
        <f aca="false">ROUND((D142+0.45)/(1-ASM!$B$9-ASM!$B$10),0)</f>
        <v>3125</v>
      </c>
      <c r="J142" s="10" t="str">
        <f aca="false">IF(G142&gt;=H142,"OK","FLOOR ALTI")</f>
        <v>OK</v>
      </c>
    </row>
    <row r="143" customFormat="false" ht="15" hidden="false" customHeight="true" outlineLevel="0" collapsed="false">
      <c r="A143" s="10" t="n">
        <v>12</v>
      </c>
      <c r="B143" s="10" t="n">
        <v>15</v>
      </c>
      <c r="C143" s="11" t="n">
        <v>22.18</v>
      </c>
      <c r="D143" s="12" t="n">
        <f aca="false">ROUND(C143*ASM!$B$8*ASM!$B$13*(1+ASM!$B$3)+ASM!$B$4+ASM!$B$5+ASM!$B$6,2)</f>
        <v>2400.56</v>
      </c>
      <c r="E143" s="10" t="n">
        <f aca="false">ROUND(D143*ASM!$B$7,0)</f>
        <v>3721</v>
      </c>
      <c r="F143" s="13" t="n">
        <f aca="false">CEILING(E143/0.75,5)</f>
        <v>4965</v>
      </c>
      <c r="G143" s="12" t="n">
        <f aca="false">F143*0.75</f>
        <v>3723.75</v>
      </c>
      <c r="H143" s="10" t="n">
        <f aca="false">ROUND((D143+0.45)/(1-ASM!$B$9),0)</f>
        <v>2683</v>
      </c>
      <c r="I143" s="10" t="n">
        <f aca="false">ROUND((D143+0.45)/(1-ASM!$B$9-ASM!$B$10),0)</f>
        <v>3223</v>
      </c>
      <c r="J143" s="10" t="str">
        <f aca="false">IF(G143&gt;=H143,"OK","FLOOR ALTI")</f>
        <v>OK</v>
      </c>
    </row>
    <row r="144" customFormat="false" ht="15" hidden="false" customHeight="true" outlineLevel="0" collapsed="false">
      <c r="A144" s="10" t="n">
        <v>12</v>
      </c>
      <c r="B144" s="10" t="n">
        <v>16</v>
      </c>
      <c r="C144" s="11" t="n">
        <v>22.86</v>
      </c>
      <c r="D144" s="12" t="n">
        <f aca="false">ROUND(C144*ASM!$B$8*ASM!$B$13*(1+ASM!$B$3)+ASM!$B$4+ASM!$B$5+ASM!$B$6,2)</f>
        <v>2472.32</v>
      </c>
      <c r="E144" s="10" t="n">
        <f aca="false">ROUND(D144*ASM!$B$7,0)</f>
        <v>3832</v>
      </c>
      <c r="F144" s="13" t="n">
        <f aca="false">CEILING(E144/0.75,5)</f>
        <v>5110</v>
      </c>
      <c r="G144" s="12" t="n">
        <f aca="false">F144*0.75</f>
        <v>3832.5</v>
      </c>
      <c r="H144" s="10" t="n">
        <f aca="false">ROUND((D144+0.45)/(1-ASM!$B$9),0)</f>
        <v>2763</v>
      </c>
      <c r="I144" s="10" t="n">
        <f aca="false">ROUND((D144+0.45)/(1-ASM!$B$9-ASM!$B$10),0)</f>
        <v>3319</v>
      </c>
      <c r="J144" s="10" t="str">
        <f aca="false">IF(G144&gt;=H144,"OK","FLOOR ALTI")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4" min="3" style="0" width="11"/>
    <col collapsed="false" customWidth="true" hidden="false" outlineLevel="0" max="5" min="5" style="0" width="10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12"/>
  </cols>
  <sheetData>
    <row r="1" customFormat="false" ht="23.85" hidden="false" customHeight="false" outlineLevel="0" collapsed="false">
      <c r="A1" s="9" t="s">
        <v>39</v>
      </c>
      <c r="B1" s="9" t="s">
        <v>40</v>
      </c>
      <c r="C1" s="9" t="s">
        <v>41</v>
      </c>
      <c r="D1" s="9" t="s">
        <v>42</v>
      </c>
      <c r="E1" s="9" t="s">
        <v>43</v>
      </c>
      <c r="F1" s="9" t="s">
        <v>44</v>
      </c>
      <c r="G1" s="9" t="s">
        <v>45</v>
      </c>
      <c r="H1" s="9" t="s">
        <v>46</v>
      </c>
      <c r="I1" s="9" t="s">
        <v>47</v>
      </c>
      <c r="J1" s="9" t="s">
        <v>48</v>
      </c>
    </row>
    <row r="2" customFormat="false" ht="15" hidden="false" customHeight="false" outlineLevel="0" collapsed="false">
      <c r="A2" s="14" t="n">
        <v>2</v>
      </c>
      <c r="B2" s="14" t="n">
        <v>4</v>
      </c>
      <c r="C2" s="15" t="n">
        <v>2.14</v>
      </c>
      <c r="D2" s="16" t="n">
        <f aca="false">ROUND(C2*ASM!$B$8*ASM!$B$12*(1+ASM!$B$3)+ASM!$B$16+ASM!$B$5+ASM!$B$6,2)</f>
        <v>245.54</v>
      </c>
      <c r="E2" s="14" t="n">
        <f aca="false">ROUND(D2*ASM!$B$7,0)</f>
        <v>381</v>
      </c>
      <c r="F2" s="17" t="n">
        <f aca="false">CEILING(E2/0.75,5)</f>
        <v>510</v>
      </c>
      <c r="G2" s="16" t="n">
        <f aca="false">F2*0.75</f>
        <v>382.5</v>
      </c>
      <c r="H2" s="14" t="n">
        <f aca="false">ROUND((D2+0.45)/(1-ASM!$B$9),0)</f>
        <v>275</v>
      </c>
      <c r="I2" s="14" t="n">
        <f aca="false">ROUND((D2+0.45)/(1-ASM!$B$9-ASM!$B$10),0)</f>
        <v>330</v>
      </c>
      <c r="J2" s="14" t="str">
        <f aca="false">IF(G2&gt;=H2,"OK","FLOOR ALTI")</f>
        <v>OK</v>
      </c>
    </row>
    <row r="3" customFormat="false" ht="15" hidden="false" customHeight="false" outlineLevel="0" collapsed="false">
      <c r="A3" s="14" t="n">
        <v>2</v>
      </c>
      <c r="B3" s="14" t="n">
        <v>5</v>
      </c>
      <c r="C3" s="15" t="n">
        <v>2.24</v>
      </c>
      <c r="D3" s="16" t="n">
        <f aca="false">ROUND(C3*ASM!$B$8*ASM!$B$12*(1+ASM!$B$3)+ASM!$B$16+ASM!$B$5+ASM!$B$6,2)</f>
        <v>253.74</v>
      </c>
      <c r="E3" s="14" t="n">
        <f aca="false">ROUND(D3*ASM!$B$7,0)</f>
        <v>393</v>
      </c>
      <c r="F3" s="17" t="n">
        <f aca="false">CEILING(E3/0.75,5)</f>
        <v>525</v>
      </c>
      <c r="G3" s="16" t="n">
        <f aca="false">F3*0.75</f>
        <v>393.75</v>
      </c>
      <c r="H3" s="14" t="n">
        <f aca="false">ROUND((D3+0.45)/(1-ASM!$B$9),0)</f>
        <v>284</v>
      </c>
      <c r="I3" s="14" t="n">
        <f aca="false">ROUND((D3+0.45)/(1-ASM!$B$9-ASM!$B$10),0)</f>
        <v>341</v>
      </c>
      <c r="J3" s="14" t="str">
        <f aca="false">IF(G3&gt;=H3,"OK","FLOOR ALTI")</f>
        <v>OK</v>
      </c>
    </row>
    <row r="4" customFormat="false" ht="15" hidden="false" customHeight="false" outlineLevel="0" collapsed="false">
      <c r="A4" s="14" t="n">
        <v>2</v>
      </c>
      <c r="B4" s="14" t="n">
        <v>6</v>
      </c>
      <c r="C4" s="15" t="n">
        <v>2.34</v>
      </c>
      <c r="D4" s="16" t="n">
        <f aca="false">ROUND(C4*ASM!$B$8*ASM!$B$12*(1+ASM!$B$3)+ASM!$B$16+ASM!$B$5+ASM!$B$6,2)</f>
        <v>261.95</v>
      </c>
      <c r="E4" s="14" t="n">
        <f aca="false">ROUND(D4*ASM!$B$7,0)</f>
        <v>406</v>
      </c>
      <c r="F4" s="17" t="n">
        <f aca="false">CEILING(E4/0.75,5)</f>
        <v>545</v>
      </c>
      <c r="G4" s="16" t="n">
        <f aca="false">F4*0.75</f>
        <v>408.75</v>
      </c>
      <c r="H4" s="14" t="n">
        <f aca="false">ROUND((D4+0.45)/(1-ASM!$B$9),0)</f>
        <v>293</v>
      </c>
      <c r="I4" s="14" t="n">
        <f aca="false">ROUND((D4+0.45)/(1-ASM!$B$9-ASM!$B$10),0)</f>
        <v>352</v>
      </c>
      <c r="J4" s="14" t="str">
        <f aca="false">IF(G4&gt;=H4,"OK","FLOOR ALTI")</f>
        <v>OK</v>
      </c>
    </row>
    <row r="5" customFormat="false" ht="15" hidden="false" customHeight="false" outlineLevel="0" collapsed="false">
      <c r="A5" s="14" t="n">
        <v>2</v>
      </c>
      <c r="B5" s="14" t="n">
        <v>7</v>
      </c>
      <c r="C5" s="15" t="n">
        <v>2.44</v>
      </c>
      <c r="D5" s="16" t="n">
        <f aca="false">ROUND(C5*ASM!$B$8*ASM!$B$12*(1+ASM!$B$3)+ASM!$B$16+ASM!$B$5+ASM!$B$6,2)</f>
        <v>270.15</v>
      </c>
      <c r="E5" s="14" t="n">
        <f aca="false">ROUND(D5*ASM!$B$7,0)</f>
        <v>419</v>
      </c>
      <c r="F5" s="17" t="n">
        <f aca="false">CEILING(E5/0.75,5)</f>
        <v>560</v>
      </c>
      <c r="G5" s="16" t="n">
        <f aca="false">F5*0.75</f>
        <v>420</v>
      </c>
      <c r="H5" s="14" t="n">
        <f aca="false">ROUND((D5+0.45)/(1-ASM!$B$9),0)</f>
        <v>302</v>
      </c>
      <c r="I5" s="14" t="n">
        <f aca="false">ROUND((D5+0.45)/(1-ASM!$B$9-ASM!$B$10),0)</f>
        <v>363</v>
      </c>
      <c r="J5" s="14" t="str">
        <f aca="false">IF(G5&gt;=H5,"OK","FLOOR ALTI")</f>
        <v>OK</v>
      </c>
    </row>
    <row r="6" customFormat="false" ht="15" hidden="false" customHeight="false" outlineLevel="0" collapsed="false">
      <c r="A6" s="14" t="n">
        <v>2</v>
      </c>
      <c r="B6" s="14" t="n">
        <v>8</v>
      </c>
      <c r="C6" s="15" t="n">
        <v>2.54</v>
      </c>
      <c r="D6" s="16" t="n">
        <f aca="false">ROUND(C6*ASM!$B$8*ASM!$B$12*(1+ASM!$B$3)+ASM!$B$16+ASM!$B$5+ASM!$B$6,2)</f>
        <v>278.35</v>
      </c>
      <c r="E6" s="14" t="n">
        <f aca="false">ROUND(D6*ASM!$B$7,0)</f>
        <v>431</v>
      </c>
      <c r="F6" s="17" t="n">
        <f aca="false">CEILING(E6/0.75,5)</f>
        <v>575</v>
      </c>
      <c r="G6" s="16" t="n">
        <f aca="false">F6*0.75</f>
        <v>431.25</v>
      </c>
      <c r="H6" s="14" t="n">
        <f aca="false">ROUND((D6+0.45)/(1-ASM!$B$9),0)</f>
        <v>312</v>
      </c>
      <c r="I6" s="14" t="n">
        <f aca="false">ROUND((D6+0.45)/(1-ASM!$B$9-ASM!$B$10),0)</f>
        <v>374</v>
      </c>
      <c r="J6" s="14" t="str">
        <f aca="false">IF(G6&gt;=H6,"OK","FLOOR ALTI")</f>
        <v>OK</v>
      </c>
    </row>
    <row r="7" customFormat="false" ht="15" hidden="false" customHeight="false" outlineLevel="0" collapsed="false">
      <c r="A7" s="14" t="n">
        <v>2</v>
      </c>
      <c r="B7" s="14" t="n">
        <v>9</v>
      </c>
      <c r="C7" s="15" t="n">
        <v>2.64</v>
      </c>
      <c r="D7" s="16" t="n">
        <f aca="false">ROUND(C7*ASM!$B$8*ASM!$B$12*(1+ASM!$B$3)+ASM!$B$16+ASM!$B$5+ASM!$B$6,2)</f>
        <v>286.56</v>
      </c>
      <c r="E7" s="14" t="n">
        <f aca="false">ROUND(D7*ASM!$B$7,0)</f>
        <v>444</v>
      </c>
      <c r="F7" s="17" t="n">
        <f aca="false">CEILING(E7/0.75,5)</f>
        <v>595</v>
      </c>
      <c r="G7" s="16" t="n">
        <f aca="false">F7*0.75</f>
        <v>446.25</v>
      </c>
      <c r="H7" s="14" t="n">
        <f aca="false">ROUND((D7+0.45)/(1-ASM!$B$9),0)</f>
        <v>321</v>
      </c>
      <c r="I7" s="14" t="n">
        <f aca="false">ROUND((D7+0.45)/(1-ASM!$B$9-ASM!$B$10),0)</f>
        <v>385</v>
      </c>
      <c r="J7" s="14" t="str">
        <f aca="false">IF(G7&gt;=H7,"OK","FLOOR ALTI")</f>
        <v>OK</v>
      </c>
    </row>
    <row r="8" customFormat="false" ht="15" hidden="false" customHeight="false" outlineLevel="0" collapsed="false">
      <c r="A8" s="14" t="n">
        <v>2</v>
      </c>
      <c r="B8" s="14" t="n">
        <v>10</v>
      </c>
      <c r="C8" s="15" t="n">
        <v>2.74</v>
      </c>
      <c r="D8" s="16" t="n">
        <f aca="false">ROUND(C8*ASM!$B$8*ASM!$B$12*(1+ASM!$B$3)+ASM!$B$16+ASM!$B$5+ASM!$B$6,2)</f>
        <v>294.76</v>
      </c>
      <c r="E8" s="14" t="n">
        <f aca="false">ROUND(D8*ASM!$B$7,0)</f>
        <v>457</v>
      </c>
      <c r="F8" s="17" t="n">
        <f aca="false">CEILING(E8/0.75,5)</f>
        <v>610</v>
      </c>
      <c r="G8" s="16" t="n">
        <f aca="false">F8*0.75</f>
        <v>457.5</v>
      </c>
      <c r="H8" s="14" t="n">
        <f aca="false">ROUND((D8+0.45)/(1-ASM!$B$9),0)</f>
        <v>330</v>
      </c>
      <c r="I8" s="14" t="n">
        <f aca="false">ROUND((D8+0.45)/(1-ASM!$B$9-ASM!$B$10),0)</f>
        <v>396</v>
      </c>
      <c r="J8" s="14" t="str">
        <f aca="false">IF(G8&gt;=H8,"OK","FLOOR ALTI")</f>
        <v>OK</v>
      </c>
    </row>
    <row r="9" customFormat="false" ht="15" hidden="false" customHeight="false" outlineLevel="0" collapsed="false">
      <c r="A9" s="14" t="n">
        <v>2</v>
      </c>
      <c r="B9" s="14" t="n">
        <v>11</v>
      </c>
      <c r="C9" s="15" t="n">
        <v>2.84</v>
      </c>
      <c r="D9" s="16" t="n">
        <f aca="false">ROUND(C9*ASM!$B$8*ASM!$B$12*(1+ASM!$B$3)+ASM!$B$16+ASM!$B$5+ASM!$B$6,2)</f>
        <v>302.96</v>
      </c>
      <c r="E9" s="14" t="n">
        <f aca="false">ROUND(D9*ASM!$B$7,0)</f>
        <v>470</v>
      </c>
      <c r="F9" s="17" t="n">
        <f aca="false">CEILING(E9/0.75,5)</f>
        <v>630</v>
      </c>
      <c r="G9" s="16" t="n">
        <f aca="false">F9*0.75</f>
        <v>472.5</v>
      </c>
      <c r="H9" s="14" t="n">
        <f aca="false">ROUND((D9+0.45)/(1-ASM!$B$9),0)</f>
        <v>339</v>
      </c>
      <c r="I9" s="14" t="n">
        <f aca="false">ROUND((D9+0.45)/(1-ASM!$B$9-ASM!$B$10),0)</f>
        <v>407</v>
      </c>
      <c r="J9" s="14" t="str">
        <f aca="false">IF(G9&gt;=H9,"OK","FLOOR ALTI")</f>
        <v>OK</v>
      </c>
    </row>
    <row r="10" customFormat="false" ht="15" hidden="false" customHeight="false" outlineLevel="0" collapsed="false">
      <c r="A10" s="14" t="n">
        <v>2</v>
      </c>
      <c r="B10" s="14" t="n">
        <v>12</v>
      </c>
      <c r="C10" s="15" t="n">
        <v>2.94</v>
      </c>
      <c r="D10" s="16" t="n">
        <f aca="false">ROUND(C10*ASM!$B$8*ASM!$B$12*(1+ASM!$B$3)+ASM!$B$16+ASM!$B$5+ASM!$B$6,2)</f>
        <v>311.16</v>
      </c>
      <c r="E10" s="14" t="n">
        <f aca="false">ROUND(D10*ASM!$B$7,0)</f>
        <v>482</v>
      </c>
      <c r="F10" s="17" t="n">
        <f aca="false">CEILING(E10/0.75,5)</f>
        <v>645</v>
      </c>
      <c r="G10" s="16" t="n">
        <f aca="false">F10*0.75</f>
        <v>483.75</v>
      </c>
      <c r="H10" s="14" t="n">
        <f aca="false">ROUND((D10+0.45)/(1-ASM!$B$9),0)</f>
        <v>348</v>
      </c>
      <c r="I10" s="14" t="n">
        <f aca="false">ROUND((D10+0.45)/(1-ASM!$B$9-ASM!$B$10),0)</f>
        <v>418</v>
      </c>
      <c r="J10" s="14" t="str">
        <f aca="false">IF(G10&gt;=H10,"OK","FLOOR ALTI")</f>
        <v>OK</v>
      </c>
    </row>
    <row r="11" customFormat="false" ht="15" hidden="false" customHeight="false" outlineLevel="0" collapsed="false">
      <c r="A11" s="14" t="n">
        <v>2</v>
      </c>
      <c r="B11" s="14" t="n">
        <v>13</v>
      </c>
      <c r="C11" s="15" t="n">
        <v>3.04</v>
      </c>
      <c r="D11" s="16" t="n">
        <f aca="false">ROUND(C11*ASM!$B$8*ASM!$B$12*(1+ASM!$B$3)+ASM!$B$16+ASM!$B$5+ASM!$B$6,2)</f>
        <v>319.37</v>
      </c>
      <c r="E11" s="14" t="n">
        <f aca="false">ROUND(D11*ASM!$B$7,0)</f>
        <v>495</v>
      </c>
      <c r="F11" s="17" t="n">
        <f aca="false">CEILING(E11/0.75,5)</f>
        <v>660</v>
      </c>
      <c r="G11" s="16" t="n">
        <f aca="false">F11*0.75</f>
        <v>495</v>
      </c>
      <c r="H11" s="14" t="n">
        <f aca="false">ROUND((D11+0.45)/(1-ASM!$B$9),0)</f>
        <v>357</v>
      </c>
      <c r="I11" s="14" t="n">
        <f aca="false">ROUND((D11+0.45)/(1-ASM!$B$9-ASM!$B$10),0)</f>
        <v>429</v>
      </c>
      <c r="J11" s="14" t="str">
        <f aca="false">IF(G11&gt;=H11,"OK","FLOOR ALTI")</f>
        <v>OK</v>
      </c>
    </row>
    <row r="12" customFormat="false" ht="15" hidden="false" customHeight="false" outlineLevel="0" collapsed="false">
      <c r="A12" s="14" t="n">
        <v>2</v>
      </c>
      <c r="B12" s="14" t="n">
        <v>14</v>
      </c>
      <c r="C12" s="15" t="n">
        <v>3.14</v>
      </c>
      <c r="D12" s="16" t="n">
        <f aca="false">ROUND(C12*ASM!$B$8*ASM!$B$12*(1+ASM!$B$3)+ASM!$B$16+ASM!$B$5+ASM!$B$6,2)</f>
        <v>327.57</v>
      </c>
      <c r="E12" s="14" t="n">
        <f aca="false">ROUND(D12*ASM!$B$7,0)</f>
        <v>508</v>
      </c>
      <c r="F12" s="17" t="n">
        <f aca="false">CEILING(E12/0.75,5)</f>
        <v>680</v>
      </c>
      <c r="G12" s="16" t="n">
        <f aca="false">F12*0.75</f>
        <v>510</v>
      </c>
      <c r="H12" s="14" t="n">
        <f aca="false">ROUND((D12+0.45)/(1-ASM!$B$9),0)</f>
        <v>367</v>
      </c>
      <c r="I12" s="14" t="n">
        <f aca="false">ROUND((D12+0.45)/(1-ASM!$B$9-ASM!$B$10),0)</f>
        <v>440</v>
      </c>
      <c r="J12" s="14" t="str">
        <f aca="false">IF(G12&gt;=H12,"OK","FLOOR ALTI")</f>
        <v>OK</v>
      </c>
    </row>
    <row r="13" customFormat="false" ht="15" hidden="false" customHeight="false" outlineLevel="0" collapsed="false">
      <c r="A13" s="14" t="n">
        <v>2</v>
      </c>
      <c r="B13" s="14" t="n">
        <v>15</v>
      </c>
      <c r="C13" s="15" t="n">
        <v>3.24</v>
      </c>
      <c r="D13" s="16" t="n">
        <f aca="false">ROUND(C13*ASM!$B$8*ASM!$B$12*(1+ASM!$B$3)+ASM!$B$16+ASM!$B$5+ASM!$B$6,2)</f>
        <v>335.77</v>
      </c>
      <c r="E13" s="14" t="n">
        <f aca="false">ROUND(D13*ASM!$B$7,0)</f>
        <v>520</v>
      </c>
      <c r="F13" s="17" t="n">
        <f aca="false">CEILING(E13/0.75,5)</f>
        <v>695</v>
      </c>
      <c r="G13" s="16" t="n">
        <f aca="false">F13*0.75</f>
        <v>521.25</v>
      </c>
      <c r="H13" s="14" t="n">
        <f aca="false">ROUND((D13+0.45)/(1-ASM!$B$9),0)</f>
        <v>376</v>
      </c>
      <c r="I13" s="14" t="n">
        <f aca="false">ROUND((D13+0.45)/(1-ASM!$B$9-ASM!$B$10),0)</f>
        <v>451</v>
      </c>
      <c r="J13" s="14" t="str">
        <f aca="false">IF(G13&gt;=H13,"OK","FLOOR ALTI")</f>
        <v>OK</v>
      </c>
    </row>
    <row r="14" customFormat="false" ht="15" hidden="false" customHeight="false" outlineLevel="0" collapsed="false">
      <c r="A14" s="14" t="n">
        <v>2</v>
      </c>
      <c r="B14" s="14" t="n">
        <v>16</v>
      </c>
      <c r="C14" s="15" t="n">
        <v>3.34</v>
      </c>
      <c r="D14" s="16" t="n">
        <f aca="false">ROUND(C14*ASM!$B$8*ASM!$B$12*(1+ASM!$B$3)+ASM!$B$16+ASM!$B$5+ASM!$B$6,2)</f>
        <v>343.98</v>
      </c>
      <c r="E14" s="14" t="n">
        <f aca="false">ROUND(D14*ASM!$B$7,0)</f>
        <v>533</v>
      </c>
      <c r="F14" s="17" t="n">
        <f aca="false">CEILING(E14/0.75,5)</f>
        <v>715</v>
      </c>
      <c r="G14" s="16" t="n">
        <f aca="false">F14*0.75</f>
        <v>536.25</v>
      </c>
      <c r="H14" s="14" t="n">
        <f aca="false">ROUND((D14+0.45)/(1-ASM!$B$9),0)</f>
        <v>385</v>
      </c>
      <c r="I14" s="14" t="n">
        <f aca="false">ROUND((D14+0.45)/(1-ASM!$B$9-ASM!$B$10),0)</f>
        <v>462</v>
      </c>
      <c r="J14" s="14" t="str">
        <f aca="false">IF(G14&gt;=H14,"OK","FLOOR ALTI")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2026-07-28T08:36:46Z</dcterms:created>
  <dc:creator>openpyxl</dc:creator>
  <dc:description/>
  <dc:language>en-US</dc:language>
  <cp:lastModifiedBy/>
  <dcterms:modified xsi:type="dcterms:W3CDTF">2026-07-28T11:56:54Z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