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M" sheetId="1" state="visible" r:id="rId3"/>
    <sheet name="GIRIS-SIRASI" sheetId="2" state="visible" r:id="rId4"/>
    <sheet name="10K" sheetId="3" state="visible" r:id="rId5"/>
    <sheet name="14K" sheetId="4" state="visible" r:id="rId6"/>
    <sheet name="18K" sheetId="5" state="visible" r:id="rId7"/>
    <sheet name="MILGRAI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<sst xmlns="http://schemas.openxmlformats.org/spreadsheetml/2006/main" count="507" uniqueCount="51">
  <si>
    <t xml:space="preserve">Parametre</t>
  </si>
  <si>
    <t xml:space="preserve">Deger</t>
  </si>
  <si>
    <t xml:space="preserve">Not</t>
  </si>
  <si>
    <t xml:space="preserve">Spot USD/ozt</t>
  </si>
  <si>
    <t xml:space="preserve">Spot degisince SADECE bu hucreyi guncelle.</t>
  </si>
  <si>
    <t xml:space="preserve">Fire</t>
  </si>
  <si>
    <t xml:space="preserve">Iscilik USD</t>
  </si>
  <si>
    <t xml:space="preserve">Paket USD</t>
  </si>
  <si>
    <t xml:space="preserve">Kargo USD</t>
  </si>
  <si>
    <t xml:space="preserve">Carpan 2-7mm</t>
  </si>
  <si>
    <t xml:space="preserve">Cekirdek segment, ~%24-25 net marj</t>
  </si>
  <si>
    <t xml:space="preserve">Spot USD/gram</t>
  </si>
  <si>
    <t xml:space="preserve">Etsy kesinti</t>
  </si>
  <si>
    <t xml:space="preserve">+0.45 sabit</t>
  </si>
  <si>
    <t xml:space="preserve">Offsite Ads</t>
  </si>
  <si>
    <t xml:space="preserve">Saflik 10K</t>
  </si>
  <si>
    <t xml:space="preserve">Saflik 14K</t>
  </si>
  <si>
    <t xml:space="preserve">Saflik 18K</t>
  </si>
  <si>
    <t xml:space="preserve">Kalinlik</t>
  </si>
  <si>
    <t xml:space="preserve">1.5mm</t>
  </si>
  <si>
    <t xml:space="preserve">GERCEK URETIM (Yasin teyidi 2026-07-29). 2.0mm tablo GECERSIZ.</t>
  </si>
  <si>
    <t xml:space="preserve">Kaynak</t>
  </si>
  <si>
    <t xml:space="preserve">Gramlar: partner dome tablosu 1.5mm satirlari. Dogrulama: floor sheet 44/44.</t>
  </si>
  <si>
    <t xml:space="preserve">Iscilik Milgrain USD</t>
  </si>
  <si>
    <t xml:space="preserve">Hammered/milgrain istisnasi</t>
  </si>
  <si>
    <t xml:space="preserve">Carpan 8-12mm</t>
  </si>
  <si>
    <t xml:space="preserve">Mens wide premium, Husam onayi 2026-07-29</t>
  </si>
  <si>
    <t xml:space="preserve">EON FIYAT GRIDI v4 - 1.5mm GERCEK KALINLIK</t>
  </si>
  <si>
    <t xml:space="preserve">Kalinlik 1.5mm (Yasin teyidi). v3 (2.0mm) GECERSIZ, kullanma.</t>
  </si>
  <si>
    <t xml:space="preserve">Carpan: 2-7mm genislik 1.55; 8-12mm genislik 2.00 (mens wide premium, bilincli karar).</t>
  </si>
  <si>
    <t xml:space="preserve">Milgrain (hammered): MILGRAIN sekmesi, iscilik 40, tum karat ve genislikler.</t>
  </si>
  <si>
    <t xml:space="preserve">Flat, Beveled, Knife: gram dome ile ayni, kendi karat sekmesinden oku.</t>
  </si>
  <si>
    <t xml:space="preserve">KURALLAR</t>
  </si>
  <si>
    <t xml:space="preserve">Etsy LISTE = girilecek/push edilecek fiyat. Motor / 0.75, 5 USD yukari.</t>
  </si>
  <si>
    <t xml:space="preserve">Magaza geneli kalici yuzde 25 sale acik. Gorunen sale = Liste x 0.75, motor hedefinin ustunde.</t>
  </si>
  <si>
    <t xml:space="preserve">Gorunen sale asla Floor altina inmez; KONTROL kolonu her satirda OK olmali.</t>
  </si>
  <si>
    <t xml:space="preserve">Dogrulama: 10K 5mm US7 motor 449 (liste 600); 10K 2mm US7 floor 170, offsite 205.</t>
  </si>
  <si>
    <t xml:space="preserve">Genislik mm</t>
  </si>
  <si>
    <t xml:space="preserve">Beden US</t>
  </si>
  <si>
    <t xml:space="preserve">Gram 1.5mm</t>
  </si>
  <si>
    <t xml:space="preserve">Landed USD</t>
  </si>
  <si>
    <t xml:space="preserve">Motor USD</t>
  </si>
  <si>
    <t xml:space="preserve">ETSY LISTE USD</t>
  </si>
  <si>
    <t xml:space="preserve">Gorunen Sale USD</t>
  </si>
  <si>
    <t xml:space="preserve">Floor USD</t>
  </si>
  <si>
    <t xml:space="preserve">Offsite Floor USD</t>
  </si>
  <si>
    <t xml:space="preserve">KONTROL</t>
  </si>
  <si>
    <t xml:space="preserve">Karat</t>
  </si>
  <si>
    <t xml:space="preserve">10K</t>
  </si>
  <si>
    <t xml:space="preserve">14K</t>
  </si>
  <si>
    <t xml:space="preserve">18K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</si>
</sst>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45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E8F0EB"/>
      </patternFill>
    </fill>
    <fill>
      <patternFill patternType="solid">
        <fgColor rgb="FFE8F0EB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0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C4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4090</v>
      </c>
      <c r="C2" s="2" t="s">
        <v>4</v>
      </c>
    </row>
    <row r="3" customFormat="false" ht="15" hidden="false" customHeight="false" outlineLevel="0" collapsed="false">
      <c r="A3" s="2" t="s">
        <v>5</v>
      </c>
      <c r="B3" s="4" t="n">
        <v>0.07</v>
      </c>
      <c r="C3" s="2"/>
    </row>
    <row r="4" customFormat="false" ht="15" hidden="false" customHeight="false" outlineLevel="0" collapsed="false">
      <c r="A4" s="2" t="s">
        <v>6</v>
      </c>
      <c r="B4" s="4" t="n">
        <v>30</v>
      </c>
      <c r="C4" s="2"/>
    </row>
    <row r="5" customFormat="false" ht="15" hidden="false" customHeight="false" outlineLevel="0" collapsed="false">
      <c r="A5" s="2" t="s">
        <v>7</v>
      </c>
      <c r="B5" s="4" t="n">
        <v>8</v>
      </c>
      <c r="C5" s="2"/>
    </row>
    <row r="6" customFormat="false" ht="15" hidden="false" customHeight="false" outlineLevel="0" collapsed="false">
      <c r="A6" s="2" t="s">
        <v>8</v>
      </c>
      <c r="B6" s="4" t="n">
        <v>22</v>
      </c>
      <c r="C6" s="2"/>
    </row>
    <row r="7" customFormat="false" ht="15" hidden="false" customHeight="false" outlineLevel="0" collapsed="false">
      <c r="A7" s="2" t="s">
        <v>9</v>
      </c>
      <c r="B7" s="3" t="n">
        <v>1.55</v>
      </c>
      <c r="C7" s="2" t="s">
        <v>10</v>
      </c>
    </row>
    <row r="8" customFormat="false" ht="15" hidden="false" customHeight="false" outlineLevel="0" collapsed="false">
      <c r="A8" s="2" t="s">
        <v>11</v>
      </c>
      <c r="B8" s="4" t="n">
        <f aca="false">B2/31.1035</f>
        <v>131.496455382835</v>
      </c>
      <c r="C8" s="2"/>
    </row>
    <row r="9" customFormat="false" ht="15" hidden="false" customHeight="false" outlineLevel="0" collapsed="false">
      <c r="A9" s="2" t="s">
        <v>12</v>
      </c>
      <c r="B9" s="4" t="n">
        <v>0.105</v>
      </c>
      <c r="C9" s="2" t="s">
        <v>13</v>
      </c>
    </row>
    <row r="10" customFormat="false" ht="15" hidden="false" customHeight="false" outlineLevel="0" collapsed="false">
      <c r="A10" s="2" t="s">
        <v>14</v>
      </c>
      <c r="B10" s="4" t="n">
        <v>0.15</v>
      </c>
      <c r="C10" s="2"/>
    </row>
    <row r="11" customFormat="false" ht="15" hidden="false" customHeight="false" outlineLevel="0" collapsed="false">
      <c r="A11" s="2" t="s">
        <v>15</v>
      </c>
      <c r="B11" s="4" t="n">
        <v>0.417</v>
      </c>
      <c r="C11" s="2"/>
    </row>
    <row r="12" customFormat="false" ht="15" hidden="false" customHeight="false" outlineLevel="0" collapsed="false">
      <c r="A12" s="2" t="s">
        <v>16</v>
      </c>
      <c r="B12" s="4" t="n">
        <v>0.583</v>
      </c>
      <c r="C12" s="2"/>
    </row>
    <row r="13" customFormat="false" ht="15" hidden="false" customHeight="false" outlineLevel="0" collapsed="false">
      <c r="A13" s="2" t="s">
        <v>17</v>
      </c>
      <c r="B13" s="4" t="n">
        <v>0.75</v>
      </c>
      <c r="C13" s="2"/>
    </row>
    <row r="14" customFormat="false" ht="15" hidden="false" customHeight="false" outlineLevel="0" collapsed="false">
      <c r="A14" s="2" t="s">
        <v>18</v>
      </c>
      <c r="B14" s="4" t="s">
        <v>19</v>
      </c>
      <c r="C14" s="2" t="s">
        <v>20</v>
      </c>
    </row>
    <row r="15" customFormat="false" ht="15" hidden="false" customHeight="false" outlineLevel="0" collapsed="false">
      <c r="A15" s="2" t="s">
        <v>21</v>
      </c>
      <c r="B15" s="4"/>
      <c r="C15" s="2" t="s">
        <v>22</v>
      </c>
    </row>
    <row r="16" customFormat="false" ht="15" hidden="false" customHeight="false" outlineLevel="0" collapsed="false">
      <c r="A16" s="2" t="s">
        <v>23</v>
      </c>
      <c r="B16" s="3" t="n">
        <v>40</v>
      </c>
      <c r="C16" s="2" t="s">
        <v>24</v>
      </c>
    </row>
    <row r="17" customFormat="false" ht="15" hidden="false" customHeight="false" outlineLevel="0" collapsed="false">
      <c r="A17" s="2" t="s">
        <v>25</v>
      </c>
      <c r="B17" s="3" t="n">
        <v>2</v>
      </c>
      <c r="C17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5" t="s">
        <v>27</v>
      </c>
    </row>
    <row r="2" customFormat="false" ht="15" hidden="false" customHeight="false" outlineLevel="0" collapsed="false">
      <c r="A2" s="2" t="s">
        <v>28</v>
      </c>
    </row>
    <row r="3" customFormat="false" ht="15" hidden="false" customHeight="false" outlineLevel="0" collapsed="false">
      <c r="A3" s="2" t="s">
        <v>29</v>
      </c>
    </row>
    <row r="4" customFormat="false" ht="15" hidden="false" customHeight="false" outlineLevel="0" collapsed="false">
      <c r="A4" s="2" t="s">
        <v>30</v>
      </c>
    </row>
    <row r="5" customFormat="false" ht="15" hidden="false" customHeight="false" outlineLevel="0" collapsed="false">
      <c r="A5" s="2" t="s">
        <v>31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5" t="s">
        <v>32</v>
      </c>
    </row>
    <row r="8" customFormat="false" ht="15" hidden="false" customHeight="false" outlineLevel="0" collapsed="false">
      <c r="A8" s="2" t="s">
        <v>33</v>
      </c>
    </row>
    <row r="9" customFormat="false" ht="15" hidden="false" customHeight="false" outlineLevel="0" collapsed="false">
      <c r="A9" s="2" t="s">
        <v>34</v>
      </c>
    </row>
    <row r="10" customFormat="false" ht="15" hidden="false" customHeight="false" outlineLevel="0" collapsed="false">
      <c r="A10" s="2" t="s">
        <v>35</v>
      </c>
    </row>
    <row r="11" customFormat="false" ht="15" hidden="false" customHeight="false" outlineLevel="0" collapsed="false">
      <c r="A11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</row>
    <row r="2" customFormat="false" ht="15" hidden="false" customHeight="false" outlineLevel="0" collapsed="false">
      <c r="A2" s="7" t="n">
        <v>2</v>
      </c>
      <c r="B2" s="7" t="n">
        <v>4</v>
      </c>
      <c r="C2" s="8" t="n">
        <v>1.37</v>
      </c>
      <c r="D2" s="9" t="n">
        <f aca="false">ROUND(C2*ASM!$B$8*ASM!$B$11*(1+ASM!$B$3)+ASM!$B$4+ASM!$B$5+ASM!$B$6,2)</f>
        <v>140.38</v>
      </c>
      <c r="E2" s="7" t="n">
        <f aca="false">ROUND((C2*ASM!$B$8*ASM!$B$11*(1+ASM!$B$3)+ASM!$B$4+ASM!$B$5+ASM!$B$6)*IF(A2&lt;=7,ASM!$B$7,ASM!$B$17),0)</f>
        <v>218</v>
      </c>
      <c r="F2" s="10" t="n">
        <f aca="false">CEILING(E2/0.75,5)</f>
        <v>295</v>
      </c>
      <c r="G2" s="9" t="n">
        <f aca="false">F2*0.75</f>
        <v>221.25</v>
      </c>
      <c r="H2" s="7" t="n">
        <f aca="false">ROUND((D2+0.45)/(1-ASM!$B$9),0)</f>
        <v>157</v>
      </c>
      <c r="I2" s="7" t="n">
        <f aca="false">ROUND((D2+0.45)/(1-ASM!$B$9-ASM!$B$10),0)</f>
        <v>189</v>
      </c>
      <c r="J2" s="7" t="str">
        <f aca="false">IF(G2&gt;=H2,"OK","FLOOR ALTI")</f>
        <v>OK</v>
      </c>
    </row>
    <row r="3" customFormat="false" ht="15" hidden="false" customHeight="false" outlineLevel="0" collapsed="false">
      <c r="A3" s="7" t="n">
        <v>2</v>
      </c>
      <c r="B3" s="7" t="n">
        <v>5</v>
      </c>
      <c r="C3" s="8" t="n">
        <v>1.43</v>
      </c>
      <c r="D3" s="9" t="n">
        <f aca="false">ROUND(C3*ASM!$B$8*ASM!$B$11*(1+ASM!$B$3)+ASM!$B$4+ASM!$B$5+ASM!$B$6,2)</f>
        <v>143.9</v>
      </c>
      <c r="E3" s="7" t="n">
        <f aca="false">ROUND((C3*ASM!$B$8*ASM!$B$11*(1+ASM!$B$3)+ASM!$B$4+ASM!$B$5+ASM!$B$6)*IF(A3&lt;=7,ASM!$B$7,ASM!$B$17),0)</f>
        <v>223</v>
      </c>
      <c r="F3" s="10" t="n">
        <f aca="false">CEILING(E3/0.75,5)</f>
        <v>300</v>
      </c>
      <c r="G3" s="9" t="n">
        <f aca="false">F3*0.75</f>
        <v>225</v>
      </c>
      <c r="H3" s="7" t="n">
        <f aca="false">ROUND((D3+0.45)/(1-ASM!$B$9),0)</f>
        <v>161</v>
      </c>
      <c r="I3" s="7" t="n">
        <f aca="false">ROUND((D3+0.45)/(1-ASM!$B$9-ASM!$B$10),0)</f>
        <v>194</v>
      </c>
      <c r="J3" s="7" t="str">
        <f aca="false">IF(G3&gt;=H3,"OK","FLOOR ALTI")</f>
        <v>OK</v>
      </c>
    </row>
    <row r="4" customFormat="false" ht="15" hidden="false" customHeight="false" outlineLevel="0" collapsed="false">
      <c r="A4" s="7" t="n">
        <v>2</v>
      </c>
      <c r="B4" s="7" t="n">
        <v>6</v>
      </c>
      <c r="C4" s="8" t="n">
        <v>1.5</v>
      </c>
      <c r="D4" s="9" t="n">
        <f aca="false">ROUND(C4*ASM!$B$8*ASM!$B$11*(1+ASM!$B$3)+ASM!$B$4+ASM!$B$5+ASM!$B$6,2)</f>
        <v>148.01</v>
      </c>
      <c r="E4" s="7" t="n">
        <f aca="false">ROUND((C4*ASM!$B$8*ASM!$B$11*(1+ASM!$B$3)+ASM!$B$4+ASM!$B$5+ASM!$B$6)*IF(A4&lt;=7,ASM!$B$7,ASM!$B$17),0)</f>
        <v>229</v>
      </c>
      <c r="F4" s="10" t="n">
        <f aca="false">CEILING(E4/0.75,5)</f>
        <v>310</v>
      </c>
      <c r="G4" s="9" t="n">
        <f aca="false">F4*0.75</f>
        <v>232.5</v>
      </c>
      <c r="H4" s="7" t="n">
        <f aca="false">ROUND((D4+0.45)/(1-ASM!$B$9),0)</f>
        <v>166</v>
      </c>
      <c r="I4" s="7" t="n">
        <f aca="false">ROUND((D4+0.45)/(1-ASM!$B$9-ASM!$B$10),0)</f>
        <v>199</v>
      </c>
      <c r="J4" s="7" t="str">
        <f aca="false">IF(G4&gt;=H4,"OK","FLOOR ALTI")</f>
        <v>OK</v>
      </c>
    </row>
    <row r="5" customFormat="false" ht="15" hidden="false" customHeight="false" outlineLevel="0" collapsed="false">
      <c r="A5" s="7" t="n">
        <v>2</v>
      </c>
      <c r="B5" s="7" t="n">
        <v>7</v>
      </c>
      <c r="C5" s="8" t="n">
        <v>1.57</v>
      </c>
      <c r="D5" s="9" t="n">
        <f aca="false">ROUND(C5*ASM!$B$8*ASM!$B$11*(1+ASM!$B$3)+ASM!$B$4+ASM!$B$5+ASM!$B$6,2)</f>
        <v>152.12</v>
      </c>
      <c r="E5" s="7" t="n">
        <f aca="false">ROUND((C5*ASM!$B$8*ASM!$B$11*(1+ASM!$B$3)+ASM!$B$4+ASM!$B$5+ASM!$B$6)*IF(A5&lt;=7,ASM!$B$7,ASM!$B$17),0)</f>
        <v>236</v>
      </c>
      <c r="F5" s="10" t="n">
        <f aca="false">CEILING(E5/0.75,5)</f>
        <v>315</v>
      </c>
      <c r="G5" s="9" t="n">
        <f aca="false">F5*0.75</f>
        <v>236.25</v>
      </c>
      <c r="H5" s="7" t="n">
        <f aca="false">ROUND((D5+0.45)/(1-ASM!$B$9),0)</f>
        <v>170</v>
      </c>
      <c r="I5" s="7" t="n">
        <f aca="false">ROUND((D5+0.45)/(1-ASM!$B$9-ASM!$B$10),0)</f>
        <v>205</v>
      </c>
      <c r="J5" s="7" t="str">
        <f aca="false">IF(G5&gt;=H5,"OK","FLOOR ALTI")</f>
        <v>OK</v>
      </c>
    </row>
    <row r="6" customFormat="false" ht="15" hidden="false" customHeight="false" outlineLevel="0" collapsed="false">
      <c r="A6" s="7" t="n">
        <v>2</v>
      </c>
      <c r="B6" s="7" t="n">
        <v>8</v>
      </c>
      <c r="C6" s="8" t="n">
        <v>1.63</v>
      </c>
      <c r="D6" s="9" t="n">
        <f aca="false">ROUND(C6*ASM!$B$8*ASM!$B$11*(1+ASM!$B$3)+ASM!$B$4+ASM!$B$5+ASM!$B$6,2)</f>
        <v>155.64</v>
      </c>
      <c r="E6" s="7" t="n">
        <f aca="false">ROUND((C6*ASM!$B$8*ASM!$B$11*(1+ASM!$B$3)+ASM!$B$4+ASM!$B$5+ASM!$B$6)*IF(A6&lt;=7,ASM!$B$7,ASM!$B$17),0)</f>
        <v>241</v>
      </c>
      <c r="F6" s="10" t="n">
        <f aca="false">CEILING(E6/0.75,5)</f>
        <v>325</v>
      </c>
      <c r="G6" s="9" t="n">
        <f aca="false">F6*0.75</f>
        <v>243.75</v>
      </c>
      <c r="H6" s="7" t="n">
        <f aca="false">ROUND((D6+0.45)/(1-ASM!$B$9),0)</f>
        <v>174</v>
      </c>
      <c r="I6" s="7" t="n">
        <f aca="false">ROUND((D6+0.45)/(1-ASM!$B$9-ASM!$B$10),0)</f>
        <v>210</v>
      </c>
      <c r="J6" s="7" t="str">
        <f aca="false">IF(G6&gt;=H6,"OK","FLOOR ALTI")</f>
        <v>OK</v>
      </c>
    </row>
    <row r="7" customFormat="false" ht="15" hidden="false" customHeight="false" outlineLevel="0" collapsed="false">
      <c r="A7" s="7" t="n">
        <v>2</v>
      </c>
      <c r="B7" s="7" t="n">
        <v>9</v>
      </c>
      <c r="C7" s="8" t="n">
        <v>1.7</v>
      </c>
      <c r="D7" s="9" t="n">
        <f aca="false">ROUND(C7*ASM!$B$8*ASM!$B$11*(1+ASM!$B$3)+ASM!$B$4+ASM!$B$5+ASM!$B$6,2)</f>
        <v>159.74</v>
      </c>
      <c r="E7" s="7" t="n">
        <f aca="false">ROUND((C7*ASM!$B$8*ASM!$B$11*(1+ASM!$B$3)+ASM!$B$4+ASM!$B$5+ASM!$B$6)*IF(A7&lt;=7,ASM!$B$7,ASM!$B$17),0)</f>
        <v>248</v>
      </c>
      <c r="F7" s="10" t="n">
        <f aca="false">CEILING(E7/0.75,5)</f>
        <v>335</v>
      </c>
      <c r="G7" s="9" t="n">
        <f aca="false">F7*0.75</f>
        <v>251.25</v>
      </c>
      <c r="H7" s="7" t="n">
        <f aca="false">ROUND((D7+0.45)/(1-ASM!$B$9),0)</f>
        <v>179</v>
      </c>
      <c r="I7" s="7" t="n">
        <f aca="false">ROUND((D7+0.45)/(1-ASM!$B$9-ASM!$B$10),0)</f>
        <v>215</v>
      </c>
      <c r="J7" s="7" t="str">
        <f aca="false">IF(G7&gt;=H7,"OK","FLOOR ALTI")</f>
        <v>OK</v>
      </c>
    </row>
    <row r="8" customFormat="false" ht="15" hidden="false" customHeight="false" outlineLevel="0" collapsed="false">
      <c r="A8" s="7" t="n">
        <v>2</v>
      </c>
      <c r="B8" s="7" t="n">
        <v>10</v>
      </c>
      <c r="C8" s="8" t="n">
        <v>1.77</v>
      </c>
      <c r="D8" s="9" t="n">
        <f aca="false">ROUND(C8*ASM!$B$8*ASM!$B$11*(1+ASM!$B$3)+ASM!$B$4+ASM!$B$5+ASM!$B$6,2)</f>
        <v>163.85</v>
      </c>
      <c r="E8" s="7" t="n">
        <f aca="false">ROUND((C8*ASM!$B$8*ASM!$B$11*(1+ASM!$B$3)+ASM!$B$4+ASM!$B$5+ASM!$B$6)*IF(A8&lt;=7,ASM!$B$7,ASM!$B$17),0)</f>
        <v>254</v>
      </c>
      <c r="F8" s="10" t="n">
        <f aca="false">CEILING(E8/0.75,5)</f>
        <v>340</v>
      </c>
      <c r="G8" s="9" t="n">
        <f aca="false">F8*0.75</f>
        <v>255</v>
      </c>
      <c r="H8" s="7" t="n">
        <f aca="false">ROUND((D8+0.45)/(1-ASM!$B$9),0)</f>
        <v>184</v>
      </c>
      <c r="I8" s="7" t="n">
        <f aca="false">ROUND((D8+0.45)/(1-ASM!$B$9-ASM!$B$10),0)</f>
        <v>221</v>
      </c>
      <c r="J8" s="7" t="str">
        <f aca="false">IF(G8&gt;=H8,"OK","FLOOR ALTI")</f>
        <v>OK</v>
      </c>
    </row>
    <row r="9" customFormat="false" ht="15" hidden="false" customHeight="false" outlineLevel="0" collapsed="false">
      <c r="A9" s="7" t="n">
        <v>2</v>
      </c>
      <c r="B9" s="7" t="n">
        <v>11</v>
      </c>
      <c r="C9" s="8" t="n">
        <v>1.83</v>
      </c>
      <c r="D9" s="9" t="n">
        <f aca="false">ROUND(C9*ASM!$B$8*ASM!$B$11*(1+ASM!$B$3)+ASM!$B$4+ASM!$B$5+ASM!$B$6,2)</f>
        <v>167.37</v>
      </c>
      <c r="E9" s="7" t="n">
        <f aca="false">ROUND((C9*ASM!$B$8*ASM!$B$11*(1+ASM!$B$3)+ASM!$B$4+ASM!$B$5+ASM!$B$6)*IF(A9&lt;=7,ASM!$B$7,ASM!$B$17),0)</f>
        <v>259</v>
      </c>
      <c r="F9" s="10" t="n">
        <f aca="false">CEILING(E9/0.75,5)</f>
        <v>350</v>
      </c>
      <c r="G9" s="9" t="n">
        <f aca="false">F9*0.75</f>
        <v>262.5</v>
      </c>
      <c r="H9" s="7" t="n">
        <f aca="false">ROUND((D9+0.45)/(1-ASM!$B$9),0)</f>
        <v>188</v>
      </c>
      <c r="I9" s="7" t="n">
        <f aca="false">ROUND((D9+0.45)/(1-ASM!$B$9-ASM!$B$10),0)</f>
        <v>225</v>
      </c>
      <c r="J9" s="7" t="str">
        <f aca="false">IF(G9&gt;=H9,"OK","FLOOR ALTI")</f>
        <v>OK</v>
      </c>
    </row>
    <row r="10" customFormat="false" ht="15" hidden="false" customHeight="false" outlineLevel="0" collapsed="false">
      <c r="A10" s="7" t="n">
        <v>2</v>
      </c>
      <c r="B10" s="7" t="n">
        <v>12</v>
      </c>
      <c r="C10" s="8" t="n">
        <v>1.9</v>
      </c>
      <c r="D10" s="9" t="n">
        <f aca="false">ROUND(C10*ASM!$B$8*ASM!$B$11*(1+ASM!$B$3)+ASM!$B$4+ASM!$B$5+ASM!$B$6,2)</f>
        <v>171.48</v>
      </c>
      <c r="E10" s="7" t="n">
        <f aca="false">ROUND((C10*ASM!$B$8*ASM!$B$11*(1+ASM!$B$3)+ASM!$B$4+ASM!$B$5+ASM!$B$6)*IF(A10&lt;=7,ASM!$B$7,ASM!$B$17),0)</f>
        <v>266</v>
      </c>
      <c r="F10" s="10" t="n">
        <f aca="false">CEILING(E10/0.75,5)</f>
        <v>355</v>
      </c>
      <c r="G10" s="9" t="n">
        <f aca="false">F10*0.75</f>
        <v>266.25</v>
      </c>
      <c r="H10" s="7" t="n">
        <f aca="false">ROUND((D10+0.45)/(1-ASM!$B$9),0)</f>
        <v>192</v>
      </c>
      <c r="I10" s="7" t="n">
        <f aca="false">ROUND((D10+0.45)/(1-ASM!$B$9-ASM!$B$10),0)</f>
        <v>231</v>
      </c>
      <c r="J10" s="7" t="str">
        <f aca="false">IF(G10&gt;=H10,"OK","FLOOR ALTI")</f>
        <v>OK</v>
      </c>
    </row>
    <row r="11" customFormat="false" ht="15" hidden="false" customHeight="false" outlineLevel="0" collapsed="false">
      <c r="A11" s="7" t="n">
        <v>2</v>
      </c>
      <c r="B11" s="7" t="n">
        <v>13</v>
      </c>
      <c r="C11" s="8" t="n">
        <v>1.97</v>
      </c>
      <c r="D11" s="9" t="n">
        <f aca="false">ROUND(C11*ASM!$B$8*ASM!$B$11*(1+ASM!$B$3)+ASM!$B$4+ASM!$B$5+ASM!$B$6,2)</f>
        <v>175.58</v>
      </c>
      <c r="E11" s="7" t="n">
        <f aca="false">ROUND((C11*ASM!$B$8*ASM!$B$11*(1+ASM!$B$3)+ASM!$B$4+ASM!$B$5+ASM!$B$6)*IF(A11&lt;=7,ASM!$B$7,ASM!$B$17),0)</f>
        <v>272</v>
      </c>
      <c r="F11" s="10" t="n">
        <f aca="false">CEILING(E11/0.75,5)</f>
        <v>365</v>
      </c>
      <c r="G11" s="9" t="n">
        <f aca="false">F11*0.75</f>
        <v>273.75</v>
      </c>
      <c r="H11" s="7" t="n">
        <f aca="false">ROUND((D11+0.45)/(1-ASM!$B$9),0)</f>
        <v>197</v>
      </c>
      <c r="I11" s="7" t="n">
        <f aca="false">ROUND((D11+0.45)/(1-ASM!$B$9-ASM!$B$10),0)</f>
        <v>236</v>
      </c>
      <c r="J11" s="7" t="str">
        <f aca="false">IF(G11&gt;=H11,"OK","FLOOR ALTI")</f>
        <v>OK</v>
      </c>
    </row>
    <row r="12" customFormat="false" ht="15" hidden="false" customHeight="false" outlineLevel="0" collapsed="false">
      <c r="A12" s="7" t="n">
        <v>2</v>
      </c>
      <c r="B12" s="7" t="n">
        <v>14</v>
      </c>
      <c r="C12" s="8" t="n">
        <v>2.03</v>
      </c>
      <c r="D12" s="9" t="n">
        <f aca="false">ROUND(C12*ASM!$B$8*ASM!$B$11*(1+ASM!$B$3)+ASM!$B$4+ASM!$B$5+ASM!$B$6,2)</f>
        <v>179.1</v>
      </c>
      <c r="E12" s="7" t="n">
        <f aca="false">ROUND((C12*ASM!$B$8*ASM!$B$11*(1+ASM!$B$3)+ASM!$B$4+ASM!$B$5+ASM!$B$6)*IF(A12&lt;=7,ASM!$B$7,ASM!$B$17),0)</f>
        <v>278</v>
      </c>
      <c r="F12" s="10" t="n">
        <f aca="false">CEILING(E12/0.75,5)</f>
        <v>375</v>
      </c>
      <c r="G12" s="9" t="n">
        <f aca="false">F12*0.75</f>
        <v>281.25</v>
      </c>
      <c r="H12" s="7" t="n">
        <f aca="false">ROUND((D12+0.45)/(1-ASM!$B$9),0)</f>
        <v>201</v>
      </c>
      <c r="I12" s="7" t="n">
        <f aca="false">ROUND((D12+0.45)/(1-ASM!$B$9-ASM!$B$10),0)</f>
        <v>241</v>
      </c>
      <c r="J12" s="7" t="str">
        <f aca="false">IF(G12&gt;=H12,"OK","FLOOR ALTI")</f>
        <v>OK</v>
      </c>
    </row>
    <row r="13" customFormat="false" ht="15" hidden="false" customHeight="false" outlineLevel="0" collapsed="false">
      <c r="A13" s="7" t="n">
        <v>2</v>
      </c>
      <c r="B13" s="7" t="n">
        <v>15</v>
      </c>
      <c r="C13" s="8" t="n">
        <v>2.1</v>
      </c>
      <c r="D13" s="9" t="n">
        <f aca="false">ROUND(C13*ASM!$B$8*ASM!$B$11*(1+ASM!$B$3)+ASM!$B$4+ASM!$B$5+ASM!$B$6,2)</f>
        <v>183.21</v>
      </c>
      <c r="E13" s="7" t="n">
        <f aca="false">ROUND((C13*ASM!$B$8*ASM!$B$11*(1+ASM!$B$3)+ASM!$B$4+ASM!$B$5+ASM!$B$6)*IF(A13&lt;=7,ASM!$B$7,ASM!$B$17),0)</f>
        <v>284</v>
      </c>
      <c r="F13" s="10" t="n">
        <f aca="false">CEILING(E13/0.75,5)</f>
        <v>380</v>
      </c>
      <c r="G13" s="9" t="n">
        <f aca="false">F13*0.75</f>
        <v>285</v>
      </c>
      <c r="H13" s="7" t="n">
        <f aca="false">ROUND((D13+0.45)/(1-ASM!$B$9),0)</f>
        <v>205</v>
      </c>
      <c r="I13" s="7" t="n">
        <f aca="false">ROUND((D13+0.45)/(1-ASM!$B$9-ASM!$B$10),0)</f>
        <v>247</v>
      </c>
      <c r="J13" s="7" t="str">
        <f aca="false">IF(G13&gt;=H13,"OK","FLOOR ALTI")</f>
        <v>OK</v>
      </c>
    </row>
    <row r="14" customFormat="false" ht="15" hidden="false" customHeight="false" outlineLevel="0" collapsed="false">
      <c r="A14" s="7" t="n">
        <v>2</v>
      </c>
      <c r="B14" s="7" t="n">
        <v>16</v>
      </c>
      <c r="C14" s="8" t="n">
        <v>2.16</v>
      </c>
      <c r="D14" s="9" t="n">
        <f aca="false">ROUND(C14*ASM!$B$8*ASM!$B$11*(1+ASM!$B$3)+ASM!$B$4+ASM!$B$5+ASM!$B$6,2)</f>
        <v>186.73</v>
      </c>
      <c r="E14" s="7" t="n">
        <f aca="false">ROUND((C14*ASM!$B$8*ASM!$B$11*(1+ASM!$B$3)+ASM!$B$4+ASM!$B$5+ASM!$B$6)*IF(A14&lt;=7,ASM!$B$7,ASM!$B$17),0)</f>
        <v>289</v>
      </c>
      <c r="F14" s="10" t="n">
        <f aca="false">CEILING(E14/0.75,5)</f>
        <v>390</v>
      </c>
      <c r="G14" s="9" t="n">
        <f aca="false">F14*0.75</f>
        <v>292.5</v>
      </c>
      <c r="H14" s="7" t="n">
        <f aca="false">ROUND((D14+0.45)/(1-ASM!$B$9),0)</f>
        <v>209</v>
      </c>
      <c r="I14" s="7" t="n">
        <f aca="false">ROUND((D14+0.45)/(1-ASM!$B$9-ASM!$B$10),0)</f>
        <v>251</v>
      </c>
      <c r="J14" s="7" t="str">
        <f aca="false">IF(G14&gt;=H14,"OK","FLOOR ALTI")</f>
        <v>OK</v>
      </c>
    </row>
    <row r="15" customFormat="false" ht="15" hidden="false" customHeight="false" outlineLevel="0" collapsed="false">
      <c r="A15" s="7" t="n">
        <v>3</v>
      </c>
      <c r="B15" s="7" t="n">
        <v>4</v>
      </c>
      <c r="C15" s="8" t="n">
        <v>2.05</v>
      </c>
      <c r="D15" s="9" t="n">
        <f aca="false">ROUND(C15*ASM!$B$8*ASM!$B$11*(1+ASM!$B$3)+ASM!$B$4+ASM!$B$5+ASM!$B$6,2)</f>
        <v>180.28</v>
      </c>
      <c r="E15" s="7" t="n">
        <f aca="false">ROUND((C15*ASM!$B$8*ASM!$B$11*(1+ASM!$B$3)+ASM!$B$4+ASM!$B$5+ASM!$B$6)*IF(A15&lt;=7,ASM!$B$7,ASM!$B$17),0)</f>
        <v>279</v>
      </c>
      <c r="F15" s="10" t="n">
        <f aca="false">CEILING(E15/0.75,5)</f>
        <v>375</v>
      </c>
      <c r="G15" s="9" t="n">
        <f aca="false">F15*0.75</f>
        <v>281.25</v>
      </c>
      <c r="H15" s="7" t="n">
        <f aca="false">ROUND((D15+0.45)/(1-ASM!$B$9),0)</f>
        <v>202</v>
      </c>
      <c r="I15" s="7" t="n">
        <f aca="false">ROUND((D15+0.45)/(1-ASM!$B$9-ASM!$B$10),0)</f>
        <v>243</v>
      </c>
      <c r="J15" s="7" t="str">
        <f aca="false">IF(G15&gt;=H15,"OK","FLOOR ALTI")</f>
        <v>OK</v>
      </c>
    </row>
    <row r="16" customFormat="false" ht="15" hidden="false" customHeight="false" outlineLevel="0" collapsed="false">
      <c r="A16" s="7" t="n">
        <v>3</v>
      </c>
      <c r="B16" s="7" t="n">
        <v>5</v>
      </c>
      <c r="C16" s="8" t="n">
        <v>2.15</v>
      </c>
      <c r="D16" s="9" t="n">
        <f aca="false">ROUND(C16*ASM!$B$8*ASM!$B$11*(1+ASM!$B$3)+ASM!$B$4+ASM!$B$5+ASM!$B$6,2)</f>
        <v>186.15</v>
      </c>
      <c r="E16" s="7" t="n">
        <f aca="false">ROUND((C16*ASM!$B$8*ASM!$B$11*(1+ASM!$B$3)+ASM!$B$4+ASM!$B$5+ASM!$B$6)*IF(A16&lt;=7,ASM!$B$7,ASM!$B$17),0)</f>
        <v>289</v>
      </c>
      <c r="F16" s="10" t="n">
        <f aca="false">CEILING(E16/0.75,5)</f>
        <v>390</v>
      </c>
      <c r="G16" s="9" t="n">
        <f aca="false">F16*0.75</f>
        <v>292.5</v>
      </c>
      <c r="H16" s="7" t="n">
        <f aca="false">ROUND((D16+0.45)/(1-ASM!$B$9),0)</f>
        <v>208</v>
      </c>
      <c r="I16" s="7" t="n">
        <f aca="false">ROUND((D16+0.45)/(1-ASM!$B$9-ASM!$B$10),0)</f>
        <v>250</v>
      </c>
      <c r="J16" s="7" t="str">
        <f aca="false">IF(G16&gt;=H16,"OK","FLOOR ALTI")</f>
        <v>OK</v>
      </c>
    </row>
    <row r="17" customFormat="false" ht="15" hidden="false" customHeight="false" outlineLevel="0" collapsed="false">
      <c r="A17" s="7" t="n">
        <v>3</v>
      </c>
      <c r="B17" s="7" t="n">
        <v>6</v>
      </c>
      <c r="C17" s="8" t="n">
        <v>2.25</v>
      </c>
      <c r="D17" s="9" t="n">
        <f aca="false">ROUND(C17*ASM!$B$8*ASM!$B$11*(1+ASM!$B$3)+ASM!$B$4+ASM!$B$5+ASM!$B$6,2)</f>
        <v>192.01</v>
      </c>
      <c r="E17" s="7" t="n">
        <f aca="false">ROUND((C17*ASM!$B$8*ASM!$B$11*(1+ASM!$B$3)+ASM!$B$4+ASM!$B$5+ASM!$B$6)*IF(A17&lt;=7,ASM!$B$7,ASM!$B$17),0)</f>
        <v>298</v>
      </c>
      <c r="F17" s="10" t="n">
        <f aca="false">CEILING(E17/0.75,5)</f>
        <v>400</v>
      </c>
      <c r="G17" s="9" t="n">
        <f aca="false">F17*0.75</f>
        <v>300</v>
      </c>
      <c r="H17" s="7" t="n">
        <f aca="false">ROUND((D17+0.45)/(1-ASM!$B$9),0)</f>
        <v>215</v>
      </c>
      <c r="I17" s="7" t="n">
        <f aca="false">ROUND((D17+0.45)/(1-ASM!$B$9-ASM!$B$10),0)</f>
        <v>258</v>
      </c>
      <c r="J17" s="7" t="str">
        <f aca="false">IF(G17&gt;=H17,"OK","FLOOR ALTI")</f>
        <v>OK</v>
      </c>
    </row>
    <row r="18" customFormat="false" ht="15" hidden="false" customHeight="false" outlineLevel="0" collapsed="false">
      <c r="A18" s="7" t="n">
        <v>3</v>
      </c>
      <c r="B18" s="7" t="n">
        <v>7</v>
      </c>
      <c r="C18" s="8" t="n">
        <v>2.35</v>
      </c>
      <c r="D18" s="9" t="n">
        <f aca="false">ROUND(C18*ASM!$B$8*ASM!$B$11*(1+ASM!$B$3)+ASM!$B$4+ASM!$B$5+ASM!$B$6,2)</f>
        <v>197.88</v>
      </c>
      <c r="E18" s="7" t="n">
        <f aca="false">ROUND((C18*ASM!$B$8*ASM!$B$11*(1+ASM!$B$3)+ASM!$B$4+ASM!$B$5+ASM!$B$6)*IF(A18&lt;=7,ASM!$B$7,ASM!$B$17),0)</f>
        <v>307</v>
      </c>
      <c r="F18" s="10" t="n">
        <f aca="false">CEILING(E18/0.75,5)</f>
        <v>410</v>
      </c>
      <c r="G18" s="9" t="n">
        <f aca="false">F18*0.75</f>
        <v>307.5</v>
      </c>
      <c r="H18" s="7" t="n">
        <f aca="false">ROUND((D18+0.45)/(1-ASM!$B$9),0)</f>
        <v>222</v>
      </c>
      <c r="I18" s="7" t="n">
        <f aca="false">ROUND((D18+0.45)/(1-ASM!$B$9-ASM!$B$10),0)</f>
        <v>266</v>
      </c>
      <c r="J18" s="7" t="str">
        <f aca="false">IF(G18&gt;=H18,"OK","FLOOR ALTI")</f>
        <v>OK</v>
      </c>
    </row>
    <row r="19" customFormat="false" ht="15" hidden="false" customHeight="false" outlineLevel="0" collapsed="false">
      <c r="A19" s="7" t="n">
        <v>3</v>
      </c>
      <c r="B19" s="7" t="n">
        <v>8</v>
      </c>
      <c r="C19" s="8" t="n">
        <v>2.45</v>
      </c>
      <c r="D19" s="9" t="n">
        <f aca="false">ROUND(C19*ASM!$B$8*ASM!$B$11*(1+ASM!$B$3)+ASM!$B$4+ASM!$B$5+ASM!$B$6,2)</f>
        <v>203.75</v>
      </c>
      <c r="E19" s="7" t="n">
        <f aca="false">ROUND((C19*ASM!$B$8*ASM!$B$11*(1+ASM!$B$3)+ASM!$B$4+ASM!$B$5+ASM!$B$6)*IF(A19&lt;=7,ASM!$B$7,ASM!$B$17),0)</f>
        <v>316</v>
      </c>
      <c r="F19" s="10" t="n">
        <f aca="false">CEILING(E19/0.75,5)</f>
        <v>425</v>
      </c>
      <c r="G19" s="9" t="n">
        <f aca="false">F19*0.75</f>
        <v>318.75</v>
      </c>
      <c r="H19" s="7" t="n">
        <f aca="false">ROUND((D19+0.45)/(1-ASM!$B$9),0)</f>
        <v>228</v>
      </c>
      <c r="I19" s="7" t="n">
        <f aca="false">ROUND((D19+0.45)/(1-ASM!$B$9-ASM!$B$10),0)</f>
        <v>274</v>
      </c>
      <c r="J19" s="7" t="str">
        <f aca="false">IF(G19&gt;=H19,"OK","FLOOR ALTI")</f>
        <v>OK</v>
      </c>
    </row>
    <row r="20" customFormat="false" ht="15" hidden="false" customHeight="false" outlineLevel="0" collapsed="false">
      <c r="A20" s="7" t="n">
        <v>3</v>
      </c>
      <c r="B20" s="7" t="n">
        <v>9</v>
      </c>
      <c r="C20" s="8" t="n">
        <v>2.55</v>
      </c>
      <c r="D20" s="9" t="n">
        <f aca="false">ROUND(C20*ASM!$B$8*ASM!$B$11*(1+ASM!$B$3)+ASM!$B$4+ASM!$B$5+ASM!$B$6,2)</f>
        <v>209.61</v>
      </c>
      <c r="E20" s="7" t="n">
        <f aca="false">ROUND((C20*ASM!$B$8*ASM!$B$11*(1+ASM!$B$3)+ASM!$B$4+ASM!$B$5+ASM!$B$6)*IF(A20&lt;=7,ASM!$B$7,ASM!$B$17),0)</f>
        <v>325</v>
      </c>
      <c r="F20" s="10" t="n">
        <f aca="false">CEILING(E20/0.75,5)</f>
        <v>435</v>
      </c>
      <c r="G20" s="9" t="n">
        <f aca="false">F20*0.75</f>
        <v>326.25</v>
      </c>
      <c r="H20" s="7" t="n">
        <f aca="false">ROUND((D20+0.45)/(1-ASM!$B$9),0)</f>
        <v>235</v>
      </c>
      <c r="I20" s="7" t="n">
        <f aca="false">ROUND((D20+0.45)/(1-ASM!$B$9-ASM!$B$10),0)</f>
        <v>282</v>
      </c>
      <c r="J20" s="7" t="str">
        <f aca="false">IF(G20&gt;=H20,"OK","FLOOR ALTI")</f>
        <v>OK</v>
      </c>
    </row>
    <row r="21" customFormat="false" ht="15" hidden="false" customHeight="false" outlineLevel="0" collapsed="false">
      <c r="A21" s="7" t="n">
        <v>3</v>
      </c>
      <c r="B21" s="7" t="n">
        <v>10</v>
      </c>
      <c r="C21" s="8" t="n">
        <v>2.65</v>
      </c>
      <c r="D21" s="9" t="n">
        <f aca="false">ROUND(C21*ASM!$B$8*ASM!$B$11*(1+ASM!$B$3)+ASM!$B$4+ASM!$B$5+ASM!$B$6,2)</f>
        <v>215.48</v>
      </c>
      <c r="E21" s="7" t="n">
        <f aca="false">ROUND((C21*ASM!$B$8*ASM!$B$11*(1+ASM!$B$3)+ASM!$B$4+ASM!$B$5+ASM!$B$6)*IF(A21&lt;=7,ASM!$B$7,ASM!$B$17),0)</f>
        <v>334</v>
      </c>
      <c r="F21" s="10" t="n">
        <f aca="false">CEILING(E21/0.75,5)</f>
        <v>450</v>
      </c>
      <c r="G21" s="9" t="n">
        <f aca="false">F21*0.75</f>
        <v>337.5</v>
      </c>
      <c r="H21" s="7" t="n">
        <f aca="false">ROUND((D21+0.45)/(1-ASM!$B$9),0)</f>
        <v>241</v>
      </c>
      <c r="I21" s="7" t="n">
        <f aca="false">ROUND((D21+0.45)/(1-ASM!$B$9-ASM!$B$10),0)</f>
        <v>290</v>
      </c>
      <c r="J21" s="7" t="str">
        <f aca="false">IF(G21&gt;=H21,"OK","FLOOR ALTI")</f>
        <v>OK</v>
      </c>
    </row>
    <row r="22" customFormat="false" ht="15" hidden="false" customHeight="false" outlineLevel="0" collapsed="false">
      <c r="A22" s="7" t="n">
        <v>3</v>
      </c>
      <c r="B22" s="7" t="n">
        <v>11</v>
      </c>
      <c r="C22" s="8" t="n">
        <v>2.75</v>
      </c>
      <c r="D22" s="9" t="n">
        <f aca="false">ROUND(C22*ASM!$B$8*ASM!$B$11*(1+ASM!$B$3)+ASM!$B$4+ASM!$B$5+ASM!$B$6,2)</f>
        <v>221.35</v>
      </c>
      <c r="E22" s="7" t="n">
        <f aca="false">ROUND((C22*ASM!$B$8*ASM!$B$11*(1+ASM!$B$3)+ASM!$B$4+ASM!$B$5+ASM!$B$6)*IF(A22&lt;=7,ASM!$B$7,ASM!$B$17),0)</f>
        <v>343</v>
      </c>
      <c r="F22" s="10" t="n">
        <f aca="false">CEILING(E22/0.75,5)</f>
        <v>460</v>
      </c>
      <c r="G22" s="9" t="n">
        <f aca="false">F22*0.75</f>
        <v>345</v>
      </c>
      <c r="H22" s="7" t="n">
        <f aca="false">ROUND((D22+0.45)/(1-ASM!$B$9),0)</f>
        <v>248</v>
      </c>
      <c r="I22" s="7" t="n">
        <f aca="false">ROUND((D22+0.45)/(1-ASM!$B$9-ASM!$B$10),0)</f>
        <v>298</v>
      </c>
      <c r="J22" s="7" t="str">
        <f aca="false">IF(G22&gt;=H22,"OK","FLOOR ALTI")</f>
        <v>OK</v>
      </c>
    </row>
    <row r="23" customFormat="false" ht="15" hidden="false" customHeight="false" outlineLevel="0" collapsed="false">
      <c r="A23" s="7" t="n">
        <v>3</v>
      </c>
      <c r="B23" s="7" t="n">
        <v>12</v>
      </c>
      <c r="C23" s="8" t="n">
        <v>2.85</v>
      </c>
      <c r="D23" s="9" t="n">
        <f aca="false">ROUND(C23*ASM!$B$8*ASM!$B$11*(1+ASM!$B$3)+ASM!$B$4+ASM!$B$5+ASM!$B$6,2)</f>
        <v>227.22</v>
      </c>
      <c r="E23" s="7" t="n">
        <f aca="false">ROUND((C23*ASM!$B$8*ASM!$B$11*(1+ASM!$B$3)+ASM!$B$4+ASM!$B$5+ASM!$B$6)*IF(A23&lt;=7,ASM!$B$7,ASM!$B$17),0)</f>
        <v>352</v>
      </c>
      <c r="F23" s="10" t="n">
        <f aca="false">CEILING(E23/0.75,5)</f>
        <v>470</v>
      </c>
      <c r="G23" s="9" t="n">
        <f aca="false">F23*0.75</f>
        <v>352.5</v>
      </c>
      <c r="H23" s="7" t="n">
        <f aca="false">ROUND((D23+0.45)/(1-ASM!$B$9),0)</f>
        <v>254</v>
      </c>
      <c r="I23" s="7" t="n">
        <f aca="false">ROUND((D23+0.45)/(1-ASM!$B$9-ASM!$B$10),0)</f>
        <v>306</v>
      </c>
      <c r="J23" s="7" t="str">
        <f aca="false">IF(G23&gt;=H23,"OK","FLOOR ALTI")</f>
        <v>OK</v>
      </c>
    </row>
    <row r="24" customFormat="false" ht="15" hidden="false" customHeight="false" outlineLevel="0" collapsed="false">
      <c r="A24" s="7" t="n">
        <v>3</v>
      </c>
      <c r="B24" s="7" t="n">
        <v>13</v>
      </c>
      <c r="C24" s="8" t="n">
        <v>2.95</v>
      </c>
      <c r="D24" s="9" t="n">
        <f aca="false">ROUND(C24*ASM!$B$8*ASM!$B$11*(1+ASM!$B$3)+ASM!$B$4+ASM!$B$5+ASM!$B$6,2)</f>
        <v>233.08</v>
      </c>
      <c r="E24" s="7" t="n">
        <f aca="false">ROUND((C24*ASM!$B$8*ASM!$B$11*(1+ASM!$B$3)+ASM!$B$4+ASM!$B$5+ASM!$B$6)*IF(A24&lt;=7,ASM!$B$7,ASM!$B$17),0)</f>
        <v>361</v>
      </c>
      <c r="F24" s="10" t="n">
        <f aca="false">CEILING(E24/0.75,5)</f>
        <v>485</v>
      </c>
      <c r="G24" s="9" t="n">
        <f aca="false">F24*0.75</f>
        <v>363.75</v>
      </c>
      <c r="H24" s="7" t="n">
        <f aca="false">ROUND((D24+0.45)/(1-ASM!$B$9),0)</f>
        <v>261</v>
      </c>
      <c r="I24" s="7" t="n">
        <f aca="false">ROUND((D24+0.45)/(1-ASM!$B$9-ASM!$B$10),0)</f>
        <v>313</v>
      </c>
      <c r="J24" s="7" t="str">
        <f aca="false">IF(G24&gt;=H24,"OK","FLOOR ALTI")</f>
        <v>OK</v>
      </c>
    </row>
    <row r="25" customFormat="false" ht="15" hidden="false" customHeight="false" outlineLevel="0" collapsed="false">
      <c r="A25" s="7" t="n">
        <v>3</v>
      </c>
      <c r="B25" s="7" t="n">
        <v>14</v>
      </c>
      <c r="C25" s="8" t="n">
        <v>3.05</v>
      </c>
      <c r="D25" s="9" t="n">
        <f aca="false">ROUND(C25*ASM!$B$8*ASM!$B$11*(1+ASM!$B$3)+ASM!$B$4+ASM!$B$5+ASM!$B$6,2)</f>
        <v>238.95</v>
      </c>
      <c r="E25" s="7" t="n">
        <f aca="false">ROUND((C25*ASM!$B$8*ASM!$B$11*(1+ASM!$B$3)+ASM!$B$4+ASM!$B$5+ASM!$B$6)*IF(A25&lt;=7,ASM!$B$7,ASM!$B$17),0)</f>
        <v>370</v>
      </c>
      <c r="F25" s="10" t="n">
        <f aca="false">CEILING(E25/0.75,5)</f>
        <v>495</v>
      </c>
      <c r="G25" s="9" t="n">
        <f aca="false">F25*0.75</f>
        <v>371.25</v>
      </c>
      <c r="H25" s="7" t="n">
        <f aca="false">ROUND((D25+0.45)/(1-ASM!$B$9),0)</f>
        <v>267</v>
      </c>
      <c r="I25" s="7" t="n">
        <f aca="false">ROUND((D25+0.45)/(1-ASM!$B$9-ASM!$B$10),0)</f>
        <v>321</v>
      </c>
      <c r="J25" s="7" t="str">
        <f aca="false">IF(G25&gt;=H25,"OK","FLOOR ALTI")</f>
        <v>OK</v>
      </c>
    </row>
    <row r="26" customFormat="false" ht="15" hidden="false" customHeight="false" outlineLevel="0" collapsed="false">
      <c r="A26" s="7" t="n">
        <v>3</v>
      </c>
      <c r="B26" s="7" t="n">
        <v>15</v>
      </c>
      <c r="C26" s="8" t="n">
        <v>3.15</v>
      </c>
      <c r="D26" s="9" t="n">
        <f aca="false">ROUND(C26*ASM!$B$8*ASM!$B$11*(1+ASM!$B$3)+ASM!$B$4+ASM!$B$5+ASM!$B$6,2)</f>
        <v>244.82</v>
      </c>
      <c r="E26" s="7" t="n">
        <f aca="false">ROUND((C26*ASM!$B$8*ASM!$B$11*(1+ASM!$B$3)+ASM!$B$4+ASM!$B$5+ASM!$B$6)*IF(A26&lt;=7,ASM!$B$7,ASM!$B$17),0)</f>
        <v>379</v>
      </c>
      <c r="F26" s="10" t="n">
        <f aca="false">CEILING(E26/0.75,5)</f>
        <v>510</v>
      </c>
      <c r="G26" s="9" t="n">
        <f aca="false">F26*0.75</f>
        <v>382.5</v>
      </c>
      <c r="H26" s="7" t="n">
        <f aca="false">ROUND((D26+0.45)/(1-ASM!$B$9),0)</f>
        <v>274</v>
      </c>
      <c r="I26" s="7" t="n">
        <f aca="false">ROUND((D26+0.45)/(1-ASM!$B$9-ASM!$B$10),0)</f>
        <v>329</v>
      </c>
      <c r="J26" s="7" t="str">
        <f aca="false">IF(G26&gt;=H26,"OK","FLOOR ALTI")</f>
        <v>OK</v>
      </c>
    </row>
    <row r="27" customFormat="false" ht="15" hidden="false" customHeight="false" outlineLevel="0" collapsed="false">
      <c r="A27" s="7" t="n">
        <v>3</v>
      </c>
      <c r="B27" s="7" t="n">
        <v>16</v>
      </c>
      <c r="C27" s="8" t="n">
        <v>3.25</v>
      </c>
      <c r="D27" s="9" t="n">
        <f aca="false">ROUND(C27*ASM!$B$8*ASM!$B$11*(1+ASM!$B$3)+ASM!$B$4+ASM!$B$5+ASM!$B$6,2)</f>
        <v>250.69</v>
      </c>
      <c r="E27" s="7" t="n">
        <f aca="false">ROUND((C27*ASM!$B$8*ASM!$B$11*(1+ASM!$B$3)+ASM!$B$4+ASM!$B$5+ASM!$B$6)*IF(A27&lt;=7,ASM!$B$7,ASM!$B$17),0)</f>
        <v>389</v>
      </c>
      <c r="F27" s="10" t="n">
        <f aca="false">CEILING(E27/0.75,5)</f>
        <v>520</v>
      </c>
      <c r="G27" s="9" t="n">
        <f aca="false">F27*0.75</f>
        <v>390</v>
      </c>
      <c r="H27" s="7" t="n">
        <f aca="false">ROUND((D27+0.45)/(1-ASM!$B$9),0)</f>
        <v>281</v>
      </c>
      <c r="I27" s="7" t="n">
        <f aca="false">ROUND((D27+0.45)/(1-ASM!$B$9-ASM!$B$10),0)</f>
        <v>337</v>
      </c>
      <c r="J27" s="7" t="str">
        <f aca="false">IF(G27&gt;=H27,"OK","FLOOR ALTI")</f>
        <v>OK</v>
      </c>
    </row>
    <row r="28" customFormat="false" ht="15" hidden="false" customHeight="false" outlineLevel="0" collapsed="false">
      <c r="A28" s="7" t="n">
        <v>4</v>
      </c>
      <c r="B28" s="7" t="n">
        <v>4</v>
      </c>
      <c r="C28" s="8" t="n">
        <v>2.74</v>
      </c>
      <c r="D28" s="9" t="n">
        <f aca="false">ROUND(C28*ASM!$B$8*ASM!$B$11*(1+ASM!$B$3)+ASM!$B$4+ASM!$B$5+ASM!$B$6,2)</f>
        <v>220.76</v>
      </c>
      <c r="E28" s="7" t="n">
        <f aca="false">ROUND((C28*ASM!$B$8*ASM!$B$11*(1+ASM!$B$3)+ASM!$B$4+ASM!$B$5+ASM!$B$6)*IF(A28&lt;=7,ASM!$B$7,ASM!$B$17),0)</f>
        <v>342</v>
      </c>
      <c r="F28" s="10" t="n">
        <f aca="false">CEILING(E28/0.75,5)</f>
        <v>460</v>
      </c>
      <c r="G28" s="9" t="n">
        <f aca="false">F28*0.75</f>
        <v>345</v>
      </c>
      <c r="H28" s="7" t="n">
        <f aca="false">ROUND((D28+0.45)/(1-ASM!$B$9),0)</f>
        <v>247</v>
      </c>
      <c r="I28" s="7" t="n">
        <f aca="false">ROUND((D28+0.45)/(1-ASM!$B$9-ASM!$B$10),0)</f>
        <v>297</v>
      </c>
      <c r="J28" s="7" t="str">
        <f aca="false">IF(G28&gt;=H28,"OK","FLOOR ALTI")</f>
        <v>OK</v>
      </c>
    </row>
    <row r="29" customFormat="false" ht="15" hidden="false" customHeight="false" outlineLevel="0" collapsed="false">
      <c r="A29" s="7" t="n">
        <v>4</v>
      </c>
      <c r="B29" s="7" t="n">
        <v>5</v>
      </c>
      <c r="C29" s="8" t="n">
        <v>2.87</v>
      </c>
      <c r="D29" s="9" t="n">
        <f aca="false">ROUND(C29*ASM!$B$8*ASM!$B$11*(1+ASM!$B$3)+ASM!$B$4+ASM!$B$5+ASM!$B$6,2)</f>
        <v>228.39</v>
      </c>
      <c r="E29" s="7" t="n">
        <f aca="false">ROUND((C29*ASM!$B$8*ASM!$B$11*(1+ASM!$B$3)+ASM!$B$4+ASM!$B$5+ASM!$B$6)*IF(A29&lt;=7,ASM!$B$7,ASM!$B$17),0)</f>
        <v>354</v>
      </c>
      <c r="F29" s="10" t="n">
        <f aca="false">CEILING(E29/0.75,5)</f>
        <v>475</v>
      </c>
      <c r="G29" s="9" t="n">
        <f aca="false">F29*0.75</f>
        <v>356.25</v>
      </c>
      <c r="H29" s="7" t="n">
        <f aca="false">ROUND((D29+0.45)/(1-ASM!$B$9),0)</f>
        <v>256</v>
      </c>
      <c r="I29" s="7" t="n">
        <f aca="false">ROUND((D29+0.45)/(1-ASM!$B$9-ASM!$B$10),0)</f>
        <v>307</v>
      </c>
      <c r="J29" s="7" t="str">
        <f aca="false">IF(G29&gt;=H29,"OK","FLOOR ALTI")</f>
        <v>OK</v>
      </c>
    </row>
    <row r="30" customFormat="false" ht="15" hidden="false" customHeight="false" outlineLevel="0" collapsed="false">
      <c r="A30" s="7" t="n">
        <v>4</v>
      </c>
      <c r="B30" s="7" t="n">
        <v>6</v>
      </c>
      <c r="C30" s="8" t="n">
        <v>3</v>
      </c>
      <c r="D30" s="9" t="n">
        <f aca="false">ROUND(C30*ASM!$B$8*ASM!$B$11*(1+ASM!$B$3)+ASM!$B$4+ASM!$B$5+ASM!$B$6,2)</f>
        <v>236.02</v>
      </c>
      <c r="E30" s="7" t="n">
        <f aca="false">ROUND((C30*ASM!$B$8*ASM!$B$11*(1+ASM!$B$3)+ASM!$B$4+ASM!$B$5+ASM!$B$6)*IF(A30&lt;=7,ASM!$B$7,ASM!$B$17),0)</f>
        <v>366</v>
      </c>
      <c r="F30" s="10" t="n">
        <f aca="false">CEILING(E30/0.75,5)</f>
        <v>490</v>
      </c>
      <c r="G30" s="9" t="n">
        <f aca="false">F30*0.75</f>
        <v>367.5</v>
      </c>
      <c r="H30" s="7" t="n">
        <f aca="false">ROUND((D30+0.45)/(1-ASM!$B$9),0)</f>
        <v>264</v>
      </c>
      <c r="I30" s="7" t="n">
        <f aca="false">ROUND((D30+0.45)/(1-ASM!$B$9-ASM!$B$10),0)</f>
        <v>317</v>
      </c>
      <c r="J30" s="7" t="str">
        <f aca="false">IF(G30&gt;=H30,"OK","FLOOR ALTI")</f>
        <v>OK</v>
      </c>
    </row>
    <row r="31" customFormat="false" ht="15" hidden="false" customHeight="false" outlineLevel="0" collapsed="false">
      <c r="A31" s="7" t="n">
        <v>4</v>
      </c>
      <c r="B31" s="7" t="n">
        <v>7</v>
      </c>
      <c r="C31" s="8" t="n">
        <v>3.14</v>
      </c>
      <c r="D31" s="9" t="n">
        <f aca="false">ROUND(C31*ASM!$B$8*ASM!$B$11*(1+ASM!$B$3)+ASM!$B$4+ASM!$B$5+ASM!$B$6,2)</f>
        <v>244.23</v>
      </c>
      <c r="E31" s="7" t="n">
        <f aca="false">ROUND((C31*ASM!$B$8*ASM!$B$11*(1+ASM!$B$3)+ASM!$B$4+ASM!$B$5+ASM!$B$6)*IF(A31&lt;=7,ASM!$B$7,ASM!$B$17),0)</f>
        <v>379</v>
      </c>
      <c r="F31" s="10" t="n">
        <f aca="false">CEILING(E31/0.75,5)</f>
        <v>510</v>
      </c>
      <c r="G31" s="9" t="n">
        <f aca="false">F31*0.75</f>
        <v>382.5</v>
      </c>
      <c r="H31" s="7" t="n">
        <f aca="false">ROUND((D31+0.45)/(1-ASM!$B$9),0)</f>
        <v>273</v>
      </c>
      <c r="I31" s="7" t="n">
        <f aca="false">ROUND((D31+0.45)/(1-ASM!$B$9-ASM!$B$10),0)</f>
        <v>328</v>
      </c>
      <c r="J31" s="7" t="str">
        <f aca="false">IF(G31&gt;=H31,"OK","FLOOR ALTI")</f>
        <v>OK</v>
      </c>
    </row>
    <row r="32" customFormat="false" ht="15" hidden="false" customHeight="false" outlineLevel="0" collapsed="false">
      <c r="A32" s="7" t="n">
        <v>4</v>
      </c>
      <c r="B32" s="7" t="n">
        <v>8</v>
      </c>
      <c r="C32" s="8" t="n">
        <v>3.27</v>
      </c>
      <c r="D32" s="9" t="n">
        <f aca="false">ROUND(C32*ASM!$B$8*ASM!$B$11*(1+ASM!$B$3)+ASM!$B$4+ASM!$B$5+ASM!$B$6,2)</f>
        <v>251.86</v>
      </c>
      <c r="E32" s="7" t="n">
        <f aca="false">ROUND((C32*ASM!$B$8*ASM!$B$11*(1+ASM!$B$3)+ASM!$B$4+ASM!$B$5+ASM!$B$6)*IF(A32&lt;=7,ASM!$B$7,ASM!$B$17),0)</f>
        <v>390</v>
      </c>
      <c r="F32" s="10" t="n">
        <f aca="false">CEILING(E32/0.75,5)</f>
        <v>520</v>
      </c>
      <c r="G32" s="9" t="n">
        <f aca="false">F32*0.75</f>
        <v>390</v>
      </c>
      <c r="H32" s="7" t="n">
        <f aca="false">ROUND((D32+0.45)/(1-ASM!$B$9),0)</f>
        <v>282</v>
      </c>
      <c r="I32" s="7" t="n">
        <f aca="false">ROUND((D32+0.45)/(1-ASM!$B$9-ASM!$B$10),0)</f>
        <v>339</v>
      </c>
      <c r="J32" s="7" t="str">
        <f aca="false">IF(G32&gt;=H32,"OK","FLOOR ALTI")</f>
        <v>OK</v>
      </c>
    </row>
    <row r="33" customFormat="false" ht="15" hidden="false" customHeight="false" outlineLevel="0" collapsed="false">
      <c r="A33" s="7" t="n">
        <v>4</v>
      </c>
      <c r="B33" s="7" t="n">
        <v>9</v>
      </c>
      <c r="C33" s="8" t="n">
        <v>3.4</v>
      </c>
      <c r="D33" s="9" t="n">
        <f aca="false">ROUND(C33*ASM!$B$8*ASM!$B$11*(1+ASM!$B$3)+ASM!$B$4+ASM!$B$5+ASM!$B$6,2)</f>
        <v>259.49</v>
      </c>
      <c r="E33" s="7" t="n">
        <f aca="false">ROUND((C33*ASM!$B$8*ASM!$B$11*(1+ASM!$B$3)+ASM!$B$4+ASM!$B$5+ASM!$B$6)*IF(A33&lt;=7,ASM!$B$7,ASM!$B$17),0)</f>
        <v>402</v>
      </c>
      <c r="F33" s="10" t="n">
        <f aca="false">CEILING(E33/0.75,5)</f>
        <v>540</v>
      </c>
      <c r="G33" s="9" t="n">
        <f aca="false">F33*0.75</f>
        <v>405</v>
      </c>
      <c r="H33" s="7" t="n">
        <f aca="false">ROUND((D33+0.45)/(1-ASM!$B$9),0)</f>
        <v>290</v>
      </c>
      <c r="I33" s="7" t="n">
        <f aca="false">ROUND((D33+0.45)/(1-ASM!$B$9-ASM!$B$10),0)</f>
        <v>349</v>
      </c>
      <c r="J33" s="7" t="str">
        <f aca="false">IF(G33&gt;=H33,"OK","FLOOR ALTI")</f>
        <v>OK</v>
      </c>
    </row>
    <row r="34" customFormat="false" ht="15" hidden="false" customHeight="false" outlineLevel="0" collapsed="false">
      <c r="A34" s="7" t="n">
        <v>4</v>
      </c>
      <c r="B34" s="7" t="n">
        <v>10</v>
      </c>
      <c r="C34" s="8" t="n">
        <v>3.53</v>
      </c>
      <c r="D34" s="9" t="n">
        <f aca="false">ROUND(C34*ASM!$B$8*ASM!$B$11*(1+ASM!$B$3)+ASM!$B$4+ASM!$B$5+ASM!$B$6,2)</f>
        <v>267.11</v>
      </c>
      <c r="E34" s="7" t="n">
        <f aca="false">ROUND((C34*ASM!$B$8*ASM!$B$11*(1+ASM!$B$3)+ASM!$B$4+ASM!$B$5+ASM!$B$6)*IF(A34&lt;=7,ASM!$B$7,ASM!$B$17),0)</f>
        <v>414</v>
      </c>
      <c r="F34" s="10" t="n">
        <f aca="false">CEILING(E34/0.75,5)</f>
        <v>555</v>
      </c>
      <c r="G34" s="9" t="n">
        <f aca="false">F34*0.75</f>
        <v>416.25</v>
      </c>
      <c r="H34" s="7" t="n">
        <f aca="false">ROUND((D34+0.45)/(1-ASM!$B$9),0)</f>
        <v>299</v>
      </c>
      <c r="I34" s="7" t="n">
        <f aca="false">ROUND((D34+0.45)/(1-ASM!$B$9-ASM!$B$10),0)</f>
        <v>359</v>
      </c>
      <c r="J34" s="7" t="str">
        <f aca="false">IF(G34&gt;=H34,"OK","FLOOR ALTI")</f>
        <v>OK</v>
      </c>
    </row>
    <row r="35" customFormat="false" ht="15" hidden="false" customHeight="false" outlineLevel="0" collapsed="false">
      <c r="A35" s="7" t="n">
        <v>4</v>
      </c>
      <c r="B35" s="7" t="n">
        <v>11</v>
      </c>
      <c r="C35" s="8" t="n">
        <v>3.67</v>
      </c>
      <c r="D35" s="9" t="n">
        <f aca="false">ROUND(C35*ASM!$B$8*ASM!$B$11*(1+ASM!$B$3)+ASM!$B$4+ASM!$B$5+ASM!$B$6,2)</f>
        <v>275.33</v>
      </c>
      <c r="E35" s="7" t="n">
        <f aca="false">ROUND((C35*ASM!$B$8*ASM!$B$11*(1+ASM!$B$3)+ASM!$B$4+ASM!$B$5+ASM!$B$6)*IF(A35&lt;=7,ASM!$B$7,ASM!$B$17),0)</f>
        <v>427</v>
      </c>
      <c r="F35" s="10" t="n">
        <f aca="false">CEILING(E35/0.75,5)</f>
        <v>570</v>
      </c>
      <c r="G35" s="9" t="n">
        <f aca="false">F35*0.75</f>
        <v>427.5</v>
      </c>
      <c r="H35" s="7" t="n">
        <f aca="false">ROUND((D35+0.45)/(1-ASM!$B$9),0)</f>
        <v>308</v>
      </c>
      <c r="I35" s="7" t="n">
        <f aca="false">ROUND((D35+0.45)/(1-ASM!$B$9-ASM!$B$10),0)</f>
        <v>370</v>
      </c>
      <c r="J35" s="7" t="str">
        <f aca="false">IF(G35&gt;=H35,"OK","FLOOR ALTI")</f>
        <v>OK</v>
      </c>
    </row>
    <row r="36" customFormat="false" ht="15" hidden="false" customHeight="false" outlineLevel="0" collapsed="false">
      <c r="A36" s="7" t="n">
        <v>4</v>
      </c>
      <c r="B36" s="7" t="n">
        <v>12</v>
      </c>
      <c r="C36" s="8" t="n">
        <v>3.8</v>
      </c>
      <c r="D36" s="9" t="n">
        <f aca="false">ROUND(C36*ASM!$B$8*ASM!$B$11*(1+ASM!$B$3)+ASM!$B$4+ASM!$B$5+ASM!$B$6,2)</f>
        <v>282.96</v>
      </c>
      <c r="E36" s="7" t="n">
        <f aca="false">ROUND((C36*ASM!$B$8*ASM!$B$11*(1+ASM!$B$3)+ASM!$B$4+ASM!$B$5+ASM!$B$6)*IF(A36&lt;=7,ASM!$B$7,ASM!$B$17),0)</f>
        <v>439</v>
      </c>
      <c r="F36" s="10" t="n">
        <f aca="false">CEILING(E36/0.75,5)</f>
        <v>590</v>
      </c>
      <c r="G36" s="9" t="n">
        <f aca="false">F36*0.75</f>
        <v>442.5</v>
      </c>
      <c r="H36" s="7" t="n">
        <f aca="false">ROUND((D36+0.45)/(1-ASM!$B$9),0)</f>
        <v>317</v>
      </c>
      <c r="I36" s="7" t="n">
        <f aca="false">ROUND((D36+0.45)/(1-ASM!$B$9-ASM!$B$10),0)</f>
        <v>380</v>
      </c>
      <c r="J36" s="7" t="str">
        <f aca="false">IF(G36&gt;=H36,"OK","FLOOR ALTI")</f>
        <v>OK</v>
      </c>
    </row>
    <row r="37" customFormat="false" ht="15" hidden="false" customHeight="false" outlineLevel="0" collapsed="false">
      <c r="A37" s="7" t="n">
        <v>4</v>
      </c>
      <c r="B37" s="7" t="n">
        <v>13</v>
      </c>
      <c r="C37" s="8" t="n">
        <v>3.93</v>
      </c>
      <c r="D37" s="9" t="n">
        <f aca="false">ROUND(C37*ASM!$B$8*ASM!$B$11*(1+ASM!$B$3)+ASM!$B$4+ASM!$B$5+ASM!$B$6,2)</f>
        <v>290.58</v>
      </c>
      <c r="E37" s="7" t="n">
        <f aca="false">ROUND((C37*ASM!$B$8*ASM!$B$11*(1+ASM!$B$3)+ASM!$B$4+ASM!$B$5+ASM!$B$6)*IF(A37&lt;=7,ASM!$B$7,ASM!$B$17),0)</f>
        <v>450</v>
      </c>
      <c r="F37" s="10" t="n">
        <f aca="false">CEILING(E37/0.75,5)</f>
        <v>600</v>
      </c>
      <c r="G37" s="9" t="n">
        <f aca="false">F37*0.75</f>
        <v>450</v>
      </c>
      <c r="H37" s="7" t="n">
        <f aca="false">ROUND((D37+0.45)/(1-ASM!$B$9),0)</f>
        <v>325</v>
      </c>
      <c r="I37" s="7" t="n">
        <f aca="false">ROUND((D37+0.45)/(1-ASM!$B$9-ASM!$B$10),0)</f>
        <v>391</v>
      </c>
      <c r="J37" s="7" t="str">
        <f aca="false">IF(G37&gt;=H37,"OK","FLOOR ALTI")</f>
        <v>OK</v>
      </c>
    </row>
    <row r="38" customFormat="false" ht="15" hidden="false" customHeight="false" outlineLevel="0" collapsed="false">
      <c r="A38" s="7" t="n">
        <v>4</v>
      </c>
      <c r="B38" s="7" t="n">
        <v>14</v>
      </c>
      <c r="C38" s="8" t="n">
        <v>4.06</v>
      </c>
      <c r="D38" s="9" t="n">
        <f aca="false">ROUND(C38*ASM!$B$8*ASM!$B$11*(1+ASM!$B$3)+ASM!$B$4+ASM!$B$5+ASM!$B$6,2)</f>
        <v>298.21</v>
      </c>
      <c r="E38" s="7" t="n">
        <f aca="false">ROUND((C38*ASM!$B$8*ASM!$B$11*(1+ASM!$B$3)+ASM!$B$4+ASM!$B$5+ASM!$B$6)*IF(A38&lt;=7,ASM!$B$7,ASM!$B$17),0)</f>
        <v>462</v>
      </c>
      <c r="F38" s="10" t="n">
        <f aca="false">CEILING(E38/0.75,5)</f>
        <v>620</v>
      </c>
      <c r="G38" s="9" t="n">
        <f aca="false">F38*0.75</f>
        <v>465</v>
      </c>
      <c r="H38" s="7" t="n">
        <f aca="false">ROUND((D38+0.45)/(1-ASM!$B$9),0)</f>
        <v>334</v>
      </c>
      <c r="I38" s="7" t="n">
        <f aca="false">ROUND((D38+0.45)/(1-ASM!$B$9-ASM!$B$10),0)</f>
        <v>401</v>
      </c>
      <c r="J38" s="7" t="str">
        <f aca="false">IF(G38&gt;=H38,"OK","FLOOR ALTI")</f>
        <v>OK</v>
      </c>
    </row>
    <row r="39" customFormat="false" ht="15" hidden="false" customHeight="false" outlineLevel="0" collapsed="false">
      <c r="A39" s="7" t="n">
        <v>4</v>
      </c>
      <c r="B39" s="7" t="n">
        <v>15</v>
      </c>
      <c r="C39" s="8" t="n">
        <v>4.2</v>
      </c>
      <c r="D39" s="9" t="n">
        <f aca="false">ROUND(C39*ASM!$B$8*ASM!$B$11*(1+ASM!$B$3)+ASM!$B$4+ASM!$B$5+ASM!$B$6,2)</f>
        <v>306.42</v>
      </c>
      <c r="E39" s="7" t="n">
        <f aca="false">ROUND((C39*ASM!$B$8*ASM!$B$11*(1+ASM!$B$3)+ASM!$B$4+ASM!$B$5+ASM!$B$6)*IF(A39&lt;=7,ASM!$B$7,ASM!$B$17),0)</f>
        <v>475</v>
      </c>
      <c r="F39" s="10" t="n">
        <f aca="false">CEILING(E39/0.75,5)</f>
        <v>635</v>
      </c>
      <c r="G39" s="9" t="n">
        <f aca="false">F39*0.75</f>
        <v>476.25</v>
      </c>
      <c r="H39" s="7" t="n">
        <f aca="false">ROUND((D39+0.45)/(1-ASM!$B$9),0)</f>
        <v>343</v>
      </c>
      <c r="I39" s="7" t="n">
        <f aca="false">ROUND((D39+0.45)/(1-ASM!$B$9-ASM!$B$10),0)</f>
        <v>412</v>
      </c>
      <c r="J39" s="7" t="str">
        <f aca="false">IF(G39&gt;=H39,"OK","FLOOR ALTI")</f>
        <v>OK</v>
      </c>
    </row>
    <row r="40" customFormat="false" ht="15" hidden="false" customHeight="false" outlineLevel="0" collapsed="false">
      <c r="A40" s="7" t="n">
        <v>4</v>
      </c>
      <c r="B40" s="7" t="n">
        <v>16</v>
      </c>
      <c r="C40" s="8" t="n">
        <v>4.33</v>
      </c>
      <c r="D40" s="9" t="n">
        <f aca="false">ROUND(C40*ASM!$B$8*ASM!$B$11*(1+ASM!$B$3)+ASM!$B$4+ASM!$B$5+ASM!$B$6,2)</f>
        <v>314.05</v>
      </c>
      <c r="E40" s="7" t="n">
        <f aca="false">ROUND((C40*ASM!$B$8*ASM!$B$11*(1+ASM!$B$3)+ASM!$B$4+ASM!$B$5+ASM!$B$6)*IF(A40&lt;=7,ASM!$B$7,ASM!$B$17),0)</f>
        <v>487</v>
      </c>
      <c r="F40" s="10" t="n">
        <f aca="false">CEILING(E40/0.75,5)</f>
        <v>650</v>
      </c>
      <c r="G40" s="9" t="n">
        <f aca="false">F40*0.75</f>
        <v>487.5</v>
      </c>
      <c r="H40" s="7" t="n">
        <f aca="false">ROUND((D40+0.45)/(1-ASM!$B$9),0)</f>
        <v>351</v>
      </c>
      <c r="I40" s="7" t="n">
        <f aca="false">ROUND((D40+0.45)/(1-ASM!$B$9-ASM!$B$10),0)</f>
        <v>422</v>
      </c>
      <c r="J40" s="7" t="str">
        <f aca="false">IF(G40&gt;=H40,"OK","FLOOR ALTI")</f>
        <v>OK</v>
      </c>
    </row>
    <row r="41" customFormat="false" ht="15" hidden="false" customHeight="false" outlineLevel="0" collapsed="false">
      <c r="A41" s="7" t="n">
        <v>5</v>
      </c>
      <c r="B41" s="7" t="n">
        <v>4</v>
      </c>
      <c r="C41" s="8" t="n">
        <v>3.42</v>
      </c>
      <c r="D41" s="9" t="n">
        <f aca="false">ROUND(C41*ASM!$B$8*ASM!$B$11*(1+ASM!$B$3)+ASM!$B$4+ASM!$B$5+ASM!$B$6,2)</f>
        <v>260.66</v>
      </c>
      <c r="E41" s="7" t="n">
        <f aca="false">ROUND((C41*ASM!$B$8*ASM!$B$11*(1+ASM!$B$3)+ASM!$B$4+ASM!$B$5+ASM!$B$6)*IF(A41&lt;=7,ASM!$B$7,ASM!$B$17),0)</f>
        <v>404</v>
      </c>
      <c r="F41" s="10" t="n">
        <f aca="false">CEILING(E41/0.75,5)</f>
        <v>540</v>
      </c>
      <c r="G41" s="9" t="n">
        <f aca="false">F41*0.75</f>
        <v>405</v>
      </c>
      <c r="H41" s="7" t="n">
        <f aca="false">ROUND((D41+0.45)/(1-ASM!$B$9),0)</f>
        <v>292</v>
      </c>
      <c r="I41" s="7" t="n">
        <f aca="false">ROUND((D41+0.45)/(1-ASM!$B$9-ASM!$B$10),0)</f>
        <v>350</v>
      </c>
      <c r="J41" s="7" t="str">
        <f aca="false">IF(G41&gt;=H41,"OK","FLOOR ALTI")</f>
        <v>OK</v>
      </c>
    </row>
    <row r="42" customFormat="false" ht="15" hidden="false" customHeight="false" outlineLevel="0" collapsed="false">
      <c r="A42" s="7" t="n">
        <v>5</v>
      </c>
      <c r="B42" s="7" t="n">
        <v>5</v>
      </c>
      <c r="C42" s="8" t="n">
        <v>3.59</v>
      </c>
      <c r="D42" s="9" t="n">
        <f aca="false">ROUND(C42*ASM!$B$8*ASM!$B$11*(1+ASM!$B$3)+ASM!$B$4+ASM!$B$5+ASM!$B$6,2)</f>
        <v>270.63</v>
      </c>
      <c r="E42" s="7" t="n">
        <f aca="false">ROUND((C42*ASM!$B$8*ASM!$B$11*(1+ASM!$B$3)+ASM!$B$4+ASM!$B$5+ASM!$B$6)*IF(A42&lt;=7,ASM!$B$7,ASM!$B$17),0)</f>
        <v>419</v>
      </c>
      <c r="F42" s="10" t="n">
        <f aca="false">CEILING(E42/0.75,5)</f>
        <v>560</v>
      </c>
      <c r="G42" s="9" t="n">
        <f aca="false">F42*0.75</f>
        <v>420</v>
      </c>
      <c r="H42" s="7" t="n">
        <f aca="false">ROUND((D42+0.45)/(1-ASM!$B$9),0)</f>
        <v>303</v>
      </c>
      <c r="I42" s="7" t="n">
        <f aca="false">ROUND((D42+0.45)/(1-ASM!$B$9-ASM!$B$10),0)</f>
        <v>364</v>
      </c>
      <c r="J42" s="7" t="str">
        <f aca="false">IF(G42&gt;=H42,"OK","FLOOR ALTI")</f>
        <v>OK</v>
      </c>
    </row>
    <row r="43" customFormat="false" ht="15" hidden="false" customHeight="false" outlineLevel="0" collapsed="false">
      <c r="A43" s="7" t="n">
        <v>5</v>
      </c>
      <c r="B43" s="7" t="n">
        <v>6</v>
      </c>
      <c r="C43" s="8" t="n">
        <v>3.75</v>
      </c>
      <c r="D43" s="9" t="n">
        <f aca="false">ROUND(C43*ASM!$B$8*ASM!$B$11*(1+ASM!$B$3)+ASM!$B$4+ASM!$B$5+ASM!$B$6,2)</f>
        <v>280.02</v>
      </c>
      <c r="E43" s="7" t="n">
        <f aca="false">ROUND((C43*ASM!$B$8*ASM!$B$11*(1+ASM!$B$3)+ASM!$B$4+ASM!$B$5+ASM!$B$6)*IF(A43&lt;=7,ASM!$B$7,ASM!$B$17),0)</f>
        <v>434</v>
      </c>
      <c r="F43" s="10" t="n">
        <f aca="false">CEILING(E43/0.75,5)</f>
        <v>580</v>
      </c>
      <c r="G43" s="9" t="n">
        <f aca="false">F43*0.75</f>
        <v>435</v>
      </c>
      <c r="H43" s="7" t="n">
        <f aca="false">ROUND((D43+0.45)/(1-ASM!$B$9),0)</f>
        <v>313</v>
      </c>
      <c r="I43" s="7" t="n">
        <f aca="false">ROUND((D43+0.45)/(1-ASM!$B$9-ASM!$B$10),0)</f>
        <v>376</v>
      </c>
      <c r="J43" s="7" t="str">
        <f aca="false">IF(G43&gt;=H43,"OK","FLOOR ALTI")</f>
        <v>OK</v>
      </c>
    </row>
    <row r="44" customFormat="false" ht="15" hidden="false" customHeight="false" outlineLevel="0" collapsed="false">
      <c r="A44" s="7" t="n">
        <v>5</v>
      </c>
      <c r="B44" s="7" t="n">
        <v>7</v>
      </c>
      <c r="C44" s="8" t="n">
        <v>3.92</v>
      </c>
      <c r="D44" s="9" t="n">
        <f aca="false">ROUND(C44*ASM!$B$8*ASM!$B$11*(1+ASM!$B$3)+ASM!$B$4+ASM!$B$5+ASM!$B$6,2)</f>
        <v>290</v>
      </c>
      <c r="E44" s="7" t="n">
        <f aca="false">ROUND((C44*ASM!$B$8*ASM!$B$11*(1+ASM!$B$3)+ASM!$B$4+ASM!$B$5+ASM!$B$6)*IF(A44&lt;=7,ASM!$B$7,ASM!$B$17),0)</f>
        <v>449</v>
      </c>
      <c r="F44" s="10" t="n">
        <f aca="false">CEILING(E44/0.75,5)</f>
        <v>600</v>
      </c>
      <c r="G44" s="9" t="n">
        <f aca="false">F44*0.75</f>
        <v>450</v>
      </c>
      <c r="H44" s="7" t="n">
        <f aca="false">ROUND((D44+0.45)/(1-ASM!$B$9),0)</f>
        <v>325</v>
      </c>
      <c r="I44" s="7" t="n">
        <f aca="false">ROUND((D44+0.45)/(1-ASM!$B$9-ASM!$B$10),0)</f>
        <v>390</v>
      </c>
      <c r="J44" s="7" t="str">
        <f aca="false">IF(G44&gt;=H44,"OK","FLOOR ALTI")</f>
        <v>OK</v>
      </c>
    </row>
    <row r="45" customFormat="false" ht="15" hidden="false" customHeight="false" outlineLevel="0" collapsed="false">
      <c r="A45" s="7" t="n">
        <v>5</v>
      </c>
      <c r="B45" s="7" t="n">
        <v>8</v>
      </c>
      <c r="C45" s="8" t="n">
        <v>4.08</v>
      </c>
      <c r="D45" s="9" t="n">
        <f aca="false">ROUND(C45*ASM!$B$8*ASM!$B$11*(1+ASM!$B$3)+ASM!$B$4+ASM!$B$5+ASM!$B$6,2)</f>
        <v>299.38</v>
      </c>
      <c r="E45" s="7" t="n">
        <f aca="false">ROUND((C45*ASM!$B$8*ASM!$B$11*(1+ASM!$B$3)+ASM!$B$4+ASM!$B$5+ASM!$B$6)*IF(A45&lt;=7,ASM!$B$7,ASM!$B$17),0)</f>
        <v>464</v>
      </c>
      <c r="F45" s="10" t="n">
        <f aca="false">CEILING(E45/0.75,5)</f>
        <v>620</v>
      </c>
      <c r="G45" s="9" t="n">
        <f aca="false">F45*0.75</f>
        <v>465</v>
      </c>
      <c r="H45" s="7" t="n">
        <f aca="false">ROUND((D45+0.45)/(1-ASM!$B$9),0)</f>
        <v>335</v>
      </c>
      <c r="I45" s="7" t="n">
        <f aca="false">ROUND((D45+0.45)/(1-ASM!$B$9-ASM!$B$10),0)</f>
        <v>402</v>
      </c>
      <c r="J45" s="7" t="str">
        <f aca="false">IF(G45&gt;=H45,"OK","FLOOR ALTI")</f>
        <v>OK</v>
      </c>
    </row>
    <row r="46" customFormat="false" ht="15" hidden="false" customHeight="false" outlineLevel="0" collapsed="false">
      <c r="A46" s="7" t="n">
        <v>5</v>
      </c>
      <c r="B46" s="7" t="n">
        <v>9</v>
      </c>
      <c r="C46" s="8" t="n">
        <v>4.25</v>
      </c>
      <c r="D46" s="9" t="n">
        <f aca="false">ROUND(C46*ASM!$B$8*ASM!$B$11*(1+ASM!$B$3)+ASM!$B$4+ASM!$B$5+ASM!$B$6,2)</f>
        <v>309.36</v>
      </c>
      <c r="E46" s="7" t="n">
        <f aca="false">ROUND((C46*ASM!$B$8*ASM!$B$11*(1+ASM!$B$3)+ASM!$B$4+ASM!$B$5+ASM!$B$6)*IF(A46&lt;=7,ASM!$B$7,ASM!$B$17),0)</f>
        <v>480</v>
      </c>
      <c r="F46" s="10" t="n">
        <f aca="false">CEILING(E46/0.75,5)</f>
        <v>640</v>
      </c>
      <c r="G46" s="9" t="n">
        <f aca="false">F46*0.75</f>
        <v>480</v>
      </c>
      <c r="H46" s="7" t="n">
        <f aca="false">ROUND((D46+0.45)/(1-ASM!$B$9),0)</f>
        <v>346</v>
      </c>
      <c r="I46" s="7" t="n">
        <f aca="false">ROUND((D46+0.45)/(1-ASM!$B$9-ASM!$B$10),0)</f>
        <v>416</v>
      </c>
      <c r="J46" s="7" t="str">
        <f aca="false">IF(G46&gt;=H46,"OK","FLOOR ALTI")</f>
        <v>OK</v>
      </c>
    </row>
    <row r="47" customFormat="false" ht="15" hidden="false" customHeight="false" outlineLevel="0" collapsed="false">
      <c r="A47" s="7" t="n">
        <v>5</v>
      </c>
      <c r="B47" s="7" t="n">
        <v>10</v>
      </c>
      <c r="C47" s="8" t="n">
        <v>4.42</v>
      </c>
      <c r="D47" s="9" t="n">
        <f aca="false">ROUND(C47*ASM!$B$8*ASM!$B$11*(1+ASM!$B$3)+ASM!$B$4+ASM!$B$5+ASM!$B$6,2)</f>
        <v>319.33</v>
      </c>
      <c r="E47" s="7" t="n">
        <f aca="false">ROUND((C47*ASM!$B$8*ASM!$B$11*(1+ASM!$B$3)+ASM!$B$4+ASM!$B$5+ASM!$B$6)*IF(A47&lt;=7,ASM!$B$7,ASM!$B$17),0)</f>
        <v>495</v>
      </c>
      <c r="F47" s="10" t="n">
        <f aca="false">CEILING(E47/0.75,5)</f>
        <v>660</v>
      </c>
      <c r="G47" s="9" t="n">
        <f aca="false">F47*0.75</f>
        <v>495</v>
      </c>
      <c r="H47" s="7" t="n">
        <f aca="false">ROUND((D47+0.45)/(1-ASM!$B$9),0)</f>
        <v>357</v>
      </c>
      <c r="I47" s="7" t="n">
        <f aca="false">ROUND((D47+0.45)/(1-ASM!$B$9-ASM!$B$10),0)</f>
        <v>429</v>
      </c>
      <c r="J47" s="7" t="str">
        <f aca="false">IF(G47&gt;=H47,"OK","FLOOR ALTI")</f>
        <v>OK</v>
      </c>
    </row>
    <row r="48" customFormat="false" ht="15" hidden="false" customHeight="false" outlineLevel="0" collapsed="false">
      <c r="A48" s="7" t="n">
        <v>5</v>
      </c>
      <c r="B48" s="7" t="n">
        <v>11</v>
      </c>
      <c r="C48" s="8" t="n">
        <v>4.58</v>
      </c>
      <c r="D48" s="9" t="n">
        <f aca="false">ROUND(C48*ASM!$B$8*ASM!$B$11*(1+ASM!$B$3)+ASM!$B$4+ASM!$B$5+ASM!$B$6,2)</f>
        <v>328.72</v>
      </c>
      <c r="E48" s="7" t="n">
        <f aca="false">ROUND((C48*ASM!$B$8*ASM!$B$11*(1+ASM!$B$3)+ASM!$B$4+ASM!$B$5+ASM!$B$6)*IF(A48&lt;=7,ASM!$B$7,ASM!$B$17),0)</f>
        <v>510</v>
      </c>
      <c r="F48" s="10" t="n">
        <f aca="false">CEILING(E48/0.75,5)</f>
        <v>680</v>
      </c>
      <c r="G48" s="9" t="n">
        <f aca="false">F48*0.75</f>
        <v>510</v>
      </c>
      <c r="H48" s="7" t="n">
        <f aca="false">ROUND((D48+0.45)/(1-ASM!$B$9),0)</f>
        <v>368</v>
      </c>
      <c r="I48" s="7" t="n">
        <f aca="false">ROUND((D48+0.45)/(1-ASM!$B$9-ASM!$B$10),0)</f>
        <v>442</v>
      </c>
      <c r="J48" s="7" t="str">
        <f aca="false">IF(G48&gt;=H48,"OK","FLOOR ALTI")</f>
        <v>OK</v>
      </c>
    </row>
    <row r="49" customFormat="false" ht="15" hidden="false" customHeight="false" outlineLevel="0" collapsed="false">
      <c r="A49" s="7" t="n">
        <v>5</v>
      </c>
      <c r="B49" s="7" t="n">
        <v>12</v>
      </c>
      <c r="C49" s="8" t="n">
        <v>4.75</v>
      </c>
      <c r="D49" s="9" t="n">
        <f aca="false">ROUND(C49*ASM!$B$8*ASM!$B$11*(1+ASM!$B$3)+ASM!$B$4+ASM!$B$5+ASM!$B$6,2)</f>
        <v>338.69</v>
      </c>
      <c r="E49" s="7" t="n">
        <f aca="false">ROUND((C49*ASM!$B$8*ASM!$B$11*(1+ASM!$B$3)+ASM!$B$4+ASM!$B$5+ASM!$B$6)*IF(A49&lt;=7,ASM!$B$7,ASM!$B$17),0)</f>
        <v>525</v>
      </c>
      <c r="F49" s="10" t="n">
        <f aca="false">CEILING(E49/0.75,5)</f>
        <v>700</v>
      </c>
      <c r="G49" s="9" t="n">
        <f aca="false">F49*0.75</f>
        <v>525</v>
      </c>
      <c r="H49" s="7" t="n">
        <f aca="false">ROUND((D49+0.45)/(1-ASM!$B$9),0)</f>
        <v>379</v>
      </c>
      <c r="I49" s="7" t="n">
        <f aca="false">ROUND((D49+0.45)/(1-ASM!$B$9-ASM!$B$10),0)</f>
        <v>455</v>
      </c>
      <c r="J49" s="7" t="str">
        <f aca="false">IF(G49&gt;=H49,"OK","FLOOR ALTI")</f>
        <v>OK</v>
      </c>
    </row>
    <row r="50" customFormat="false" ht="15" hidden="false" customHeight="false" outlineLevel="0" collapsed="false">
      <c r="A50" s="7" t="n">
        <v>5</v>
      </c>
      <c r="B50" s="7" t="n">
        <v>13</v>
      </c>
      <c r="C50" s="8" t="n">
        <v>4.91</v>
      </c>
      <c r="D50" s="9" t="n">
        <f aca="false">ROUND(C50*ASM!$B$8*ASM!$B$11*(1+ASM!$B$3)+ASM!$B$4+ASM!$B$5+ASM!$B$6,2)</f>
        <v>348.08</v>
      </c>
      <c r="E50" s="7" t="n">
        <f aca="false">ROUND((C50*ASM!$B$8*ASM!$B$11*(1+ASM!$B$3)+ASM!$B$4+ASM!$B$5+ASM!$B$6)*IF(A50&lt;=7,ASM!$B$7,ASM!$B$17),0)</f>
        <v>540</v>
      </c>
      <c r="F50" s="10" t="n">
        <f aca="false">CEILING(E50/0.75,5)</f>
        <v>720</v>
      </c>
      <c r="G50" s="9" t="n">
        <f aca="false">F50*0.75</f>
        <v>540</v>
      </c>
      <c r="H50" s="7" t="n">
        <f aca="false">ROUND((D50+0.45)/(1-ASM!$B$9),0)</f>
        <v>389</v>
      </c>
      <c r="I50" s="7" t="n">
        <f aca="false">ROUND((D50+0.45)/(1-ASM!$B$9-ASM!$B$10),0)</f>
        <v>468</v>
      </c>
      <c r="J50" s="7" t="str">
        <f aca="false">IF(G50&gt;=H50,"OK","FLOOR ALTI")</f>
        <v>OK</v>
      </c>
    </row>
    <row r="51" customFormat="false" ht="15" hidden="false" customHeight="false" outlineLevel="0" collapsed="false">
      <c r="A51" s="7" t="n">
        <v>5</v>
      </c>
      <c r="B51" s="7" t="n">
        <v>14</v>
      </c>
      <c r="C51" s="8" t="n">
        <v>5.08</v>
      </c>
      <c r="D51" s="9" t="n">
        <f aca="false">ROUND(C51*ASM!$B$8*ASM!$B$11*(1+ASM!$B$3)+ASM!$B$4+ASM!$B$5+ASM!$B$6,2)</f>
        <v>358.06</v>
      </c>
      <c r="E51" s="7" t="n">
        <f aca="false">ROUND((C51*ASM!$B$8*ASM!$B$11*(1+ASM!$B$3)+ASM!$B$4+ASM!$B$5+ASM!$B$6)*IF(A51&lt;=7,ASM!$B$7,ASM!$B$17),0)</f>
        <v>555</v>
      </c>
      <c r="F51" s="10" t="n">
        <f aca="false">CEILING(E51/0.75,5)</f>
        <v>740</v>
      </c>
      <c r="G51" s="9" t="n">
        <f aca="false">F51*0.75</f>
        <v>555</v>
      </c>
      <c r="H51" s="7" t="n">
        <f aca="false">ROUND((D51+0.45)/(1-ASM!$B$9),0)</f>
        <v>401</v>
      </c>
      <c r="I51" s="7" t="n">
        <f aca="false">ROUND((D51+0.45)/(1-ASM!$B$9-ASM!$B$10),0)</f>
        <v>481</v>
      </c>
      <c r="J51" s="7" t="str">
        <f aca="false">IF(G51&gt;=H51,"OK","FLOOR ALTI")</f>
        <v>OK</v>
      </c>
    </row>
    <row r="52" customFormat="false" ht="15" hidden="false" customHeight="false" outlineLevel="0" collapsed="false">
      <c r="A52" s="7" t="n">
        <v>5</v>
      </c>
      <c r="B52" s="7" t="n">
        <v>15</v>
      </c>
      <c r="C52" s="8" t="n">
        <v>5.29</v>
      </c>
      <c r="D52" s="9" t="n">
        <f aca="false">ROUND(C52*ASM!$B$8*ASM!$B$11*(1+ASM!$B$3)+ASM!$B$4+ASM!$B$5+ASM!$B$6,2)</f>
        <v>370.38</v>
      </c>
      <c r="E52" s="7" t="n">
        <f aca="false">ROUND((C52*ASM!$B$8*ASM!$B$11*(1+ASM!$B$3)+ASM!$B$4+ASM!$B$5+ASM!$B$6)*IF(A52&lt;=7,ASM!$B$7,ASM!$B$17),0)</f>
        <v>574</v>
      </c>
      <c r="F52" s="10" t="n">
        <f aca="false">CEILING(E52/0.75,5)</f>
        <v>770</v>
      </c>
      <c r="G52" s="9" t="n">
        <f aca="false">F52*0.75</f>
        <v>577.5</v>
      </c>
      <c r="H52" s="7" t="n">
        <f aca="false">ROUND((D52+0.45)/(1-ASM!$B$9),0)</f>
        <v>414</v>
      </c>
      <c r="I52" s="7" t="n">
        <f aca="false">ROUND((D52+0.45)/(1-ASM!$B$9-ASM!$B$10),0)</f>
        <v>498</v>
      </c>
      <c r="J52" s="7" t="str">
        <f aca="false">IF(G52&gt;=H52,"OK","FLOOR ALTI")</f>
        <v>OK</v>
      </c>
    </row>
    <row r="53" customFormat="false" ht="15" hidden="false" customHeight="false" outlineLevel="0" collapsed="false">
      <c r="A53" s="7" t="n">
        <v>5</v>
      </c>
      <c r="B53" s="7" t="n">
        <v>16</v>
      </c>
      <c r="C53" s="8" t="n">
        <v>5.42</v>
      </c>
      <c r="D53" s="9" t="n">
        <f aca="false">ROUND(C53*ASM!$B$8*ASM!$B$11*(1+ASM!$B$3)+ASM!$B$4+ASM!$B$5+ASM!$B$6,2)</f>
        <v>378</v>
      </c>
      <c r="E53" s="7" t="n">
        <f aca="false">ROUND((C53*ASM!$B$8*ASM!$B$11*(1+ASM!$B$3)+ASM!$B$4+ASM!$B$5+ASM!$B$6)*IF(A53&lt;=7,ASM!$B$7,ASM!$B$17),0)</f>
        <v>586</v>
      </c>
      <c r="F53" s="10" t="n">
        <f aca="false">CEILING(E53/0.75,5)</f>
        <v>785</v>
      </c>
      <c r="G53" s="9" t="n">
        <f aca="false">F53*0.75</f>
        <v>588.75</v>
      </c>
      <c r="H53" s="7" t="n">
        <f aca="false">ROUND((D53+0.45)/(1-ASM!$B$9),0)</f>
        <v>423</v>
      </c>
      <c r="I53" s="7" t="n">
        <f aca="false">ROUND((D53+0.45)/(1-ASM!$B$9-ASM!$B$10),0)</f>
        <v>508</v>
      </c>
      <c r="J53" s="7" t="str">
        <f aca="false">IF(G53&gt;=H53,"OK","FLOOR ALTI")</f>
        <v>OK</v>
      </c>
    </row>
    <row r="54" customFormat="false" ht="15" hidden="false" customHeight="false" outlineLevel="0" collapsed="false">
      <c r="A54" s="7" t="n">
        <v>6</v>
      </c>
      <c r="B54" s="7" t="n">
        <v>4</v>
      </c>
      <c r="C54" s="8" t="n">
        <v>4.11</v>
      </c>
      <c r="D54" s="9" t="n">
        <f aca="false">ROUND(C54*ASM!$B$8*ASM!$B$11*(1+ASM!$B$3)+ASM!$B$4+ASM!$B$5+ASM!$B$6,2)</f>
        <v>301.14</v>
      </c>
      <c r="E54" s="7" t="n">
        <f aca="false">ROUND((C54*ASM!$B$8*ASM!$B$11*(1+ASM!$B$3)+ASM!$B$4+ASM!$B$5+ASM!$B$6)*IF(A54&lt;=7,ASM!$B$7,ASM!$B$17),0)</f>
        <v>467</v>
      </c>
      <c r="F54" s="10" t="n">
        <f aca="false">CEILING(E54/0.75,5)</f>
        <v>625</v>
      </c>
      <c r="G54" s="9" t="n">
        <f aca="false">F54*0.75</f>
        <v>468.75</v>
      </c>
      <c r="H54" s="7" t="n">
        <f aca="false">ROUND((D54+0.45)/(1-ASM!$B$9),0)</f>
        <v>337</v>
      </c>
      <c r="I54" s="7" t="n">
        <f aca="false">ROUND((D54+0.45)/(1-ASM!$B$9-ASM!$B$10),0)</f>
        <v>405</v>
      </c>
      <c r="J54" s="7" t="str">
        <f aca="false">IF(G54&gt;=H54,"OK","FLOOR ALTI")</f>
        <v>OK</v>
      </c>
    </row>
    <row r="55" customFormat="false" ht="15" hidden="false" customHeight="false" outlineLevel="0" collapsed="false">
      <c r="A55" s="7" t="n">
        <v>6</v>
      </c>
      <c r="B55" s="7" t="n">
        <v>5</v>
      </c>
      <c r="C55" s="8" t="n">
        <v>4.3</v>
      </c>
      <c r="D55" s="9" t="n">
        <f aca="false">ROUND(C55*ASM!$B$8*ASM!$B$11*(1+ASM!$B$3)+ASM!$B$4+ASM!$B$5+ASM!$B$6,2)</f>
        <v>312.29</v>
      </c>
      <c r="E55" s="7" t="n">
        <f aca="false">ROUND((C55*ASM!$B$8*ASM!$B$11*(1+ASM!$B$3)+ASM!$B$4+ASM!$B$5+ASM!$B$6)*IF(A55&lt;=7,ASM!$B$7,ASM!$B$17),0)</f>
        <v>484</v>
      </c>
      <c r="F55" s="10" t="n">
        <f aca="false">CEILING(E55/0.75,5)</f>
        <v>650</v>
      </c>
      <c r="G55" s="9" t="n">
        <f aca="false">F55*0.75</f>
        <v>487.5</v>
      </c>
      <c r="H55" s="7" t="n">
        <f aca="false">ROUND((D55+0.45)/(1-ASM!$B$9),0)</f>
        <v>349</v>
      </c>
      <c r="I55" s="7" t="n">
        <f aca="false">ROUND((D55+0.45)/(1-ASM!$B$9-ASM!$B$10),0)</f>
        <v>420</v>
      </c>
      <c r="J55" s="7" t="str">
        <f aca="false">IF(G55&gt;=H55,"OK","FLOOR ALTI")</f>
        <v>OK</v>
      </c>
    </row>
    <row r="56" customFormat="false" ht="15" hidden="false" customHeight="false" outlineLevel="0" collapsed="false">
      <c r="A56" s="7" t="n">
        <v>6</v>
      </c>
      <c r="B56" s="7" t="n">
        <v>6</v>
      </c>
      <c r="C56" s="8" t="n">
        <v>4.5</v>
      </c>
      <c r="D56" s="9" t="n">
        <f aca="false">ROUND(C56*ASM!$B$8*ASM!$B$11*(1+ASM!$B$3)+ASM!$B$4+ASM!$B$5+ASM!$B$6,2)</f>
        <v>324.03</v>
      </c>
      <c r="E56" s="7" t="n">
        <f aca="false">ROUND((C56*ASM!$B$8*ASM!$B$11*(1+ASM!$B$3)+ASM!$B$4+ASM!$B$5+ASM!$B$6)*IF(A56&lt;=7,ASM!$B$7,ASM!$B$17),0)</f>
        <v>502</v>
      </c>
      <c r="F56" s="10" t="n">
        <f aca="false">CEILING(E56/0.75,5)</f>
        <v>670</v>
      </c>
      <c r="G56" s="9" t="n">
        <f aca="false">F56*0.75</f>
        <v>502.5</v>
      </c>
      <c r="H56" s="7" t="n">
        <f aca="false">ROUND((D56+0.45)/(1-ASM!$B$9),0)</f>
        <v>363</v>
      </c>
      <c r="I56" s="7" t="n">
        <f aca="false">ROUND((D56+0.45)/(1-ASM!$B$9-ASM!$B$10),0)</f>
        <v>436</v>
      </c>
      <c r="J56" s="7" t="str">
        <f aca="false">IF(G56&gt;=H56,"OK","FLOOR ALTI")</f>
        <v>OK</v>
      </c>
    </row>
    <row r="57" customFormat="false" ht="15" hidden="false" customHeight="false" outlineLevel="0" collapsed="false">
      <c r="A57" s="7" t="n">
        <v>6</v>
      </c>
      <c r="B57" s="7" t="n">
        <v>7</v>
      </c>
      <c r="C57" s="8" t="n">
        <v>4.7</v>
      </c>
      <c r="D57" s="9" t="n">
        <f aca="false">ROUND(C57*ASM!$B$8*ASM!$B$11*(1+ASM!$B$3)+ASM!$B$4+ASM!$B$5+ASM!$B$6,2)</f>
        <v>335.76</v>
      </c>
      <c r="E57" s="7" t="n">
        <f aca="false">ROUND((C57*ASM!$B$8*ASM!$B$11*(1+ASM!$B$3)+ASM!$B$4+ASM!$B$5+ASM!$B$6)*IF(A57&lt;=7,ASM!$B$7,ASM!$B$17),0)</f>
        <v>520</v>
      </c>
      <c r="F57" s="10" t="n">
        <f aca="false">CEILING(E57/0.75,5)</f>
        <v>695</v>
      </c>
      <c r="G57" s="9" t="n">
        <f aca="false">F57*0.75</f>
        <v>521.25</v>
      </c>
      <c r="H57" s="7" t="n">
        <f aca="false">ROUND((D57+0.45)/(1-ASM!$B$9),0)</f>
        <v>376</v>
      </c>
      <c r="I57" s="7" t="n">
        <f aca="false">ROUND((D57+0.45)/(1-ASM!$B$9-ASM!$B$10),0)</f>
        <v>451</v>
      </c>
      <c r="J57" s="7" t="str">
        <f aca="false">IF(G57&gt;=H57,"OK","FLOOR ALTI")</f>
        <v>OK</v>
      </c>
    </row>
    <row r="58" customFormat="false" ht="15" hidden="false" customHeight="false" outlineLevel="0" collapsed="false">
      <c r="A58" s="7" t="n">
        <v>6</v>
      </c>
      <c r="B58" s="7" t="n">
        <v>8</v>
      </c>
      <c r="C58" s="8" t="n">
        <v>4.9</v>
      </c>
      <c r="D58" s="9" t="n">
        <f aca="false">ROUND(C58*ASM!$B$8*ASM!$B$11*(1+ASM!$B$3)+ASM!$B$4+ASM!$B$5+ASM!$B$6,2)</f>
        <v>347.49</v>
      </c>
      <c r="E58" s="7" t="n">
        <f aca="false">ROUND((C58*ASM!$B$8*ASM!$B$11*(1+ASM!$B$3)+ASM!$B$4+ASM!$B$5+ASM!$B$6)*IF(A58&lt;=7,ASM!$B$7,ASM!$B$17),0)</f>
        <v>539</v>
      </c>
      <c r="F58" s="10" t="n">
        <f aca="false">CEILING(E58/0.75,5)</f>
        <v>720</v>
      </c>
      <c r="G58" s="9" t="n">
        <f aca="false">F58*0.75</f>
        <v>540</v>
      </c>
      <c r="H58" s="7" t="n">
        <f aca="false">ROUND((D58+0.45)/(1-ASM!$B$9),0)</f>
        <v>389</v>
      </c>
      <c r="I58" s="7" t="n">
        <f aca="false">ROUND((D58+0.45)/(1-ASM!$B$9-ASM!$B$10),0)</f>
        <v>467</v>
      </c>
      <c r="J58" s="7" t="str">
        <f aca="false">IF(G58&gt;=H58,"OK","FLOOR ALTI")</f>
        <v>OK</v>
      </c>
    </row>
    <row r="59" customFormat="false" ht="15" hidden="false" customHeight="false" outlineLevel="0" collapsed="false">
      <c r="A59" s="7" t="n">
        <v>6</v>
      </c>
      <c r="B59" s="7" t="n">
        <v>9</v>
      </c>
      <c r="C59" s="8" t="n">
        <v>5.1</v>
      </c>
      <c r="D59" s="9" t="n">
        <f aca="false">ROUND(C59*ASM!$B$8*ASM!$B$11*(1+ASM!$B$3)+ASM!$B$4+ASM!$B$5+ASM!$B$6,2)</f>
        <v>359.23</v>
      </c>
      <c r="E59" s="7" t="n">
        <f aca="false">ROUND((C59*ASM!$B$8*ASM!$B$11*(1+ASM!$B$3)+ASM!$B$4+ASM!$B$5+ASM!$B$6)*IF(A59&lt;=7,ASM!$B$7,ASM!$B$17),0)</f>
        <v>557</v>
      </c>
      <c r="F59" s="10" t="n">
        <f aca="false">CEILING(E59/0.75,5)</f>
        <v>745</v>
      </c>
      <c r="G59" s="9" t="n">
        <f aca="false">F59*0.75</f>
        <v>558.75</v>
      </c>
      <c r="H59" s="7" t="n">
        <f aca="false">ROUND((D59+0.45)/(1-ASM!$B$9),0)</f>
        <v>402</v>
      </c>
      <c r="I59" s="7" t="n">
        <f aca="false">ROUND((D59+0.45)/(1-ASM!$B$9-ASM!$B$10),0)</f>
        <v>483</v>
      </c>
      <c r="J59" s="7" t="str">
        <f aca="false">IF(G59&gt;=H59,"OK","FLOOR ALTI")</f>
        <v>OK</v>
      </c>
    </row>
    <row r="60" customFormat="false" ht="15" hidden="false" customHeight="false" outlineLevel="0" collapsed="false">
      <c r="A60" s="7" t="n">
        <v>6</v>
      </c>
      <c r="B60" s="7" t="n">
        <v>10</v>
      </c>
      <c r="C60" s="8" t="n">
        <v>5.3</v>
      </c>
      <c r="D60" s="9" t="n">
        <f aca="false">ROUND(C60*ASM!$B$8*ASM!$B$11*(1+ASM!$B$3)+ASM!$B$4+ASM!$B$5+ASM!$B$6,2)</f>
        <v>370.96</v>
      </c>
      <c r="E60" s="7" t="n">
        <f aca="false">ROUND((C60*ASM!$B$8*ASM!$B$11*(1+ASM!$B$3)+ASM!$B$4+ASM!$B$5+ASM!$B$6)*IF(A60&lt;=7,ASM!$B$7,ASM!$B$17),0)</f>
        <v>575</v>
      </c>
      <c r="F60" s="10" t="n">
        <f aca="false">CEILING(E60/0.75,5)</f>
        <v>770</v>
      </c>
      <c r="G60" s="9" t="n">
        <f aca="false">F60*0.75</f>
        <v>577.5</v>
      </c>
      <c r="H60" s="7" t="n">
        <f aca="false">ROUND((D60+0.45)/(1-ASM!$B$9),0)</f>
        <v>415</v>
      </c>
      <c r="I60" s="7" t="n">
        <f aca="false">ROUND((D60+0.45)/(1-ASM!$B$9-ASM!$B$10),0)</f>
        <v>499</v>
      </c>
      <c r="J60" s="7" t="str">
        <f aca="false">IF(G60&gt;=H60,"OK","FLOOR ALTI")</f>
        <v>OK</v>
      </c>
    </row>
    <row r="61" customFormat="false" ht="15" hidden="false" customHeight="false" outlineLevel="0" collapsed="false">
      <c r="A61" s="7" t="n">
        <v>6</v>
      </c>
      <c r="B61" s="7" t="n">
        <v>11</v>
      </c>
      <c r="C61" s="8" t="n">
        <v>5.5</v>
      </c>
      <c r="D61" s="9" t="n">
        <f aca="false">ROUND(C61*ASM!$B$8*ASM!$B$11*(1+ASM!$B$3)+ASM!$B$4+ASM!$B$5+ASM!$B$6,2)</f>
        <v>382.7</v>
      </c>
      <c r="E61" s="7" t="n">
        <f aca="false">ROUND((C61*ASM!$B$8*ASM!$B$11*(1+ASM!$B$3)+ASM!$B$4+ASM!$B$5+ASM!$B$6)*IF(A61&lt;=7,ASM!$B$7,ASM!$B$17),0)</f>
        <v>593</v>
      </c>
      <c r="F61" s="10" t="n">
        <f aca="false">CEILING(E61/0.75,5)</f>
        <v>795</v>
      </c>
      <c r="G61" s="9" t="n">
        <f aca="false">F61*0.75</f>
        <v>596.25</v>
      </c>
      <c r="H61" s="7" t="n">
        <f aca="false">ROUND((D61+0.45)/(1-ASM!$B$9),0)</f>
        <v>428</v>
      </c>
      <c r="I61" s="7" t="n">
        <f aca="false">ROUND((D61+0.45)/(1-ASM!$B$9-ASM!$B$10),0)</f>
        <v>514</v>
      </c>
      <c r="J61" s="7" t="str">
        <f aca="false">IF(G61&gt;=H61,"OK","FLOOR ALTI")</f>
        <v>OK</v>
      </c>
    </row>
    <row r="62" customFormat="false" ht="15" hidden="false" customHeight="false" outlineLevel="0" collapsed="false">
      <c r="A62" s="7" t="n">
        <v>6</v>
      </c>
      <c r="B62" s="7" t="n">
        <v>12</v>
      </c>
      <c r="C62" s="8" t="n">
        <v>5.7</v>
      </c>
      <c r="D62" s="9" t="n">
        <f aca="false">ROUND(C62*ASM!$B$8*ASM!$B$11*(1+ASM!$B$3)+ASM!$B$4+ASM!$B$5+ASM!$B$6,2)</f>
        <v>394.43</v>
      </c>
      <c r="E62" s="7" t="n">
        <f aca="false">ROUND((C62*ASM!$B$8*ASM!$B$11*(1+ASM!$B$3)+ASM!$B$4+ASM!$B$5+ASM!$B$6)*IF(A62&lt;=7,ASM!$B$7,ASM!$B$17),0)</f>
        <v>611</v>
      </c>
      <c r="F62" s="10" t="n">
        <f aca="false">CEILING(E62/0.75,5)</f>
        <v>815</v>
      </c>
      <c r="G62" s="9" t="n">
        <f aca="false">F62*0.75</f>
        <v>611.25</v>
      </c>
      <c r="H62" s="7" t="n">
        <f aca="false">ROUND((D62+0.45)/(1-ASM!$B$9),0)</f>
        <v>441</v>
      </c>
      <c r="I62" s="7" t="n">
        <f aca="false">ROUND((D62+0.45)/(1-ASM!$B$9-ASM!$B$10),0)</f>
        <v>530</v>
      </c>
      <c r="J62" s="7" t="str">
        <f aca="false">IF(G62&gt;=H62,"OK","FLOOR ALTI")</f>
        <v>OK</v>
      </c>
    </row>
    <row r="63" customFormat="false" ht="15" hidden="false" customHeight="false" outlineLevel="0" collapsed="false">
      <c r="A63" s="7" t="n">
        <v>6</v>
      </c>
      <c r="B63" s="7" t="n">
        <v>13</v>
      </c>
      <c r="C63" s="8" t="n">
        <v>5.9</v>
      </c>
      <c r="D63" s="9" t="n">
        <f aca="false">ROUND(C63*ASM!$B$8*ASM!$B$11*(1+ASM!$B$3)+ASM!$B$4+ASM!$B$5+ASM!$B$6,2)</f>
        <v>406.17</v>
      </c>
      <c r="E63" s="7" t="n">
        <f aca="false">ROUND((C63*ASM!$B$8*ASM!$B$11*(1+ASM!$B$3)+ASM!$B$4+ASM!$B$5+ASM!$B$6)*IF(A63&lt;=7,ASM!$B$7,ASM!$B$17),0)</f>
        <v>630</v>
      </c>
      <c r="F63" s="10" t="n">
        <f aca="false">CEILING(E63/0.75,5)</f>
        <v>840</v>
      </c>
      <c r="G63" s="9" t="n">
        <f aca="false">F63*0.75</f>
        <v>630</v>
      </c>
      <c r="H63" s="7" t="n">
        <f aca="false">ROUND((D63+0.45)/(1-ASM!$B$9),0)</f>
        <v>454</v>
      </c>
      <c r="I63" s="7" t="n">
        <f aca="false">ROUND((D63+0.45)/(1-ASM!$B$9-ASM!$B$10),0)</f>
        <v>546</v>
      </c>
      <c r="J63" s="7" t="str">
        <f aca="false">IF(G63&gt;=H63,"OK","FLOOR ALTI")</f>
        <v>OK</v>
      </c>
    </row>
    <row r="64" customFormat="false" ht="15" hidden="false" customHeight="false" outlineLevel="0" collapsed="false">
      <c r="A64" s="7" t="n">
        <v>6</v>
      </c>
      <c r="B64" s="7" t="n">
        <v>14</v>
      </c>
      <c r="C64" s="8" t="n">
        <v>6.1</v>
      </c>
      <c r="D64" s="9" t="n">
        <f aca="false">ROUND(C64*ASM!$B$8*ASM!$B$11*(1+ASM!$B$3)+ASM!$B$4+ASM!$B$5+ASM!$B$6,2)</f>
        <v>417.9</v>
      </c>
      <c r="E64" s="7" t="n">
        <f aca="false">ROUND((C64*ASM!$B$8*ASM!$B$11*(1+ASM!$B$3)+ASM!$B$4+ASM!$B$5+ASM!$B$6)*IF(A64&lt;=7,ASM!$B$7,ASM!$B$17),0)</f>
        <v>648</v>
      </c>
      <c r="F64" s="10" t="n">
        <f aca="false">CEILING(E64/0.75,5)</f>
        <v>865</v>
      </c>
      <c r="G64" s="9" t="n">
        <f aca="false">F64*0.75</f>
        <v>648.75</v>
      </c>
      <c r="H64" s="7" t="n">
        <f aca="false">ROUND((D64+0.45)/(1-ASM!$B$9),0)</f>
        <v>467</v>
      </c>
      <c r="I64" s="7" t="n">
        <f aca="false">ROUND((D64+0.45)/(1-ASM!$B$9-ASM!$B$10),0)</f>
        <v>562</v>
      </c>
      <c r="J64" s="7" t="str">
        <f aca="false">IF(G64&gt;=H64,"OK","FLOOR ALTI")</f>
        <v>OK</v>
      </c>
    </row>
    <row r="65" customFormat="false" ht="15" hidden="false" customHeight="false" outlineLevel="0" collapsed="false">
      <c r="A65" s="7" t="n">
        <v>6</v>
      </c>
      <c r="B65" s="7" t="n">
        <v>15</v>
      </c>
      <c r="C65" s="8" t="n">
        <v>6.29</v>
      </c>
      <c r="D65" s="9" t="n">
        <f aca="false">ROUND(C65*ASM!$B$8*ASM!$B$11*(1+ASM!$B$3)+ASM!$B$4+ASM!$B$5+ASM!$B$6,2)</f>
        <v>429.05</v>
      </c>
      <c r="E65" s="7" t="n">
        <f aca="false">ROUND((C65*ASM!$B$8*ASM!$B$11*(1+ASM!$B$3)+ASM!$B$4+ASM!$B$5+ASM!$B$6)*IF(A65&lt;=7,ASM!$B$7,ASM!$B$17),0)</f>
        <v>665</v>
      </c>
      <c r="F65" s="10" t="n">
        <f aca="false">CEILING(E65/0.75,5)</f>
        <v>890</v>
      </c>
      <c r="G65" s="9" t="n">
        <f aca="false">F65*0.75</f>
        <v>667.5</v>
      </c>
      <c r="H65" s="7" t="n">
        <f aca="false">ROUND((D65+0.45)/(1-ASM!$B$9),0)</f>
        <v>480</v>
      </c>
      <c r="I65" s="7" t="n">
        <f aca="false">ROUND((D65+0.45)/(1-ASM!$B$9-ASM!$B$10),0)</f>
        <v>577</v>
      </c>
      <c r="J65" s="7" t="str">
        <f aca="false">IF(G65&gt;=H65,"OK","FLOOR ALTI")</f>
        <v>OK</v>
      </c>
    </row>
    <row r="66" customFormat="false" ht="15" hidden="false" customHeight="false" outlineLevel="0" collapsed="false">
      <c r="A66" s="7" t="n">
        <v>6</v>
      </c>
      <c r="B66" s="7" t="n">
        <v>16</v>
      </c>
      <c r="C66" s="8" t="n">
        <v>6.49</v>
      </c>
      <c r="D66" s="9" t="n">
        <f aca="false">ROUND(C66*ASM!$B$8*ASM!$B$11*(1+ASM!$B$3)+ASM!$B$4+ASM!$B$5+ASM!$B$6,2)</f>
        <v>440.78</v>
      </c>
      <c r="E66" s="7" t="n">
        <f aca="false">ROUND((C66*ASM!$B$8*ASM!$B$11*(1+ASM!$B$3)+ASM!$B$4+ASM!$B$5+ASM!$B$6)*IF(A66&lt;=7,ASM!$B$7,ASM!$B$17),0)</f>
        <v>683</v>
      </c>
      <c r="F66" s="10" t="n">
        <f aca="false">CEILING(E66/0.75,5)</f>
        <v>915</v>
      </c>
      <c r="G66" s="9" t="n">
        <f aca="false">F66*0.75</f>
        <v>686.25</v>
      </c>
      <c r="H66" s="7" t="n">
        <f aca="false">ROUND((D66+0.45)/(1-ASM!$B$9),0)</f>
        <v>493</v>
      </c>
      <c r="I66" s="7" t="n">
        <f aca="false">ROUND((D66+0.45)/(1-ASM!$B$9-ASM!$B$10),0)</f>
        <v>592</v>
      </c>
      <c r="J66" s="7" t="str">
        <f aca="false">IF(G66&gt;=H66,"OK","FLOOR ALTI")</f>
        <v>OK</v>
      </c>
    </row>
    <row r="67" customFormat="false" ht="15" hidden="false" customHeight="false" outlineLevel="0" collapsed="false">
      <c r="A67" s="7" t="n">
        <v>7</v>
      </c>
      <c r="B67" s="7" t="n">
        <v>4</v>
      </c>
      <c r="C67" s="8" t="n">
        <v>4.79</v>
      </c>
      <c r="D67" s="9" t="n">
        <f aca="false">ROUND(C67*ASM!$B$8*ASM!$B$11*(1+ASM!$B$3)+ASM!$B$4+ASM!$B$5+ASM!$B$6,2)</f>
        <v>341.04</v>
      </c>
      <c r="E67" s="7" t="n">
        <f aca="false">ROUND((C67*ASM!$B$8*ASM!$B$11*(1+ASM!$B$3)+ASM!$B$4+ASM!$B$5+ASM!$B$6)*IF(A67&lt;=7,ASM!$B$7,ASM!$B$17),0)</f>
        <v>529</v>
      </c>
      <c r="F67" s="10" t="n">
        <f aca="false">CEILING(E67/0.75,5)</f>
        <v>710</v>
      </c>
      <c r="G67" s="9" t="n">
        <f aca="false">F67*0.75</f>
        <v>532.5</v>
      </c>
      <c r="H67" s="7" t="n">
        <f aca="false">ROUND((D67+0.45)/(1-ASM!$B$9),0)</f>
        <v>382</v>
      </c>
      <c r="I67" s="7" t="n">
        <f aca="false">ROUND((D67+0.45)/(1-ASM!$B$9-ASM!$B$10),0)</f>
        <v>458</v>
      </c>
      <c r="J67" s="7" t="str">
        <f aca="false">IF(G67&gt;=H67,"OK","FLOOR ALTI")</f>
        <v>OK</v>
      </c>
    </row>
    <row r="68" customFormat="false" ht="15" hidden="false" customHeight="false" outlineLevel="0" collapsed="false">
      <c r="A68" s="7" t="n">
        <v>7</v>
      </c>
      <c r="B68" s="7" t="n">
        <v>5</v>
      </c>
      <c r="C68" s="8" t="n">
        <v>5.04</v>
      </c>
      <c r="D68" s="9" t="n">
        <f aca="false">ROUND(C68*ASM!$B$8*ASM!$B$11*(1+ASM!$B$3)+ASM!$B$4+ASM!$B$5+ASM!$B$6,2)</f>
        <v>355.71</v>
      </c>
      <c r="E68" s="7" t="n">
        <f aca="false">ROUND((C68*ASM!$B$8*ASM!$B$11*(1+ASM!$B$3)+ASM!$B$4+ASM!$B$5+ASM!$B$6)*IF(A68&lt;=7,ASM!$B$7,ASM!$B$17),0)</f>
        <v>551</v>
      </c>
      <c r="F68" s="10" t="n">
        <f aca="false">CEILING(E68/0.75,5)</f>
        <v>735</v>
      </c>
      <c r="G68" s="9" t="n">
        <f aca="false">F68*0.75</f>
        <v>551.25</v>
      </c>
      <c r="H68" s="7" t="n">
        <f aca="false">ROUND((D68+0.45)/(1-ASM!$B$9),0)</f>
        <v>398</v>
      </c>
      <c r="I68" s="7" t="n">
        <f aca="false">ROUND((D68+0.45)/(1-ASM!$B$9-ASM!$B$10),0)</f>
        <v>478</v>
      </c>
      <c r="J68" s="7" t="str">
        <f aca="false">IF(G68&gt;=H68,"OK","FLOOR ALTI")</f>
        <v>OK</v>
      </c>
    </row>
    <row r="69" customFormat="false" ht="15" hidden="false" customHeight="false" outlineLevel="0" collapsed="false">
      <c r="A69" s="7" t="n">
        <v>7</v>
      </c>
      <c r="B69" s="7" t="n">
        <v>6</v>
      </c>
      <c r="C69" s="8" t="n">
        <v>5.25</v>
      </c>
      <c r="D69" s="9" t="n">
        <f aca="false">ROUND(C69*ASM!$B$8*ASM!$B$11*(1+ASM!$B$3)+ASM!$B$4+ASM!$B$5+ASM!$B$6,2)</f>
        <v>368.03</v>
      </c>
      <c r="E69" s="7" t="n">
        <f aca="false">ROUND((C69*ASM!$B$8*ASM!$B$11*(1+ASM!$B$3)+ASM!$B$4+ASM!$B$5+ASM!$B$6)*IF(A69&lt;=7,ASM!$B$7,ASM!$B$17),0)</f>
        <v>570</v>
      </c>
      <c r="F69" s="10" t="n">
        <f aca="false">CEILING(E69/0.75,5)</f>
        <v>760</v>
      </c>
      <c r="G69" s="9" t="n">
        <f aca="false">F69*0.75</f>
        <v>570</v>
      </c>
      <c r="H69" s="7" t="n">
        <f aca="false">ROUND((D69+0.45)/(1-ASM!$B$9),0)</f>
        <v>412</v>
      </c>
      <c r="I69" s="7" t="n">
        <f aca="false">ROUND((D69+0.45)/(1-ASM!$B$9-ASM!$B$10),0)</f>
        <v>495</v>
      </c>
      <c r="J69" s="7" t="str">
        <f aca="false">IF(G69&gt;=H69,"OK","FLOOR ALTI")</f>
        <v>OK</v>
      </c>
    </row>
    <row r="70" customFormat="false" ht="15" hidden="false" customHeight="false" outlineLevel="0" collapsed="false">
      <c r="A70" s="7" t="n">
        <v>7</v>
      </c>
      <c r="B70" s="7" t="n">
        <v>7</v>
      </c>
      <c r="C70" s="8" t="n">
        <v>5.49</v>
      </c>
      <c r="D70" s="9" t="n">
        <f aca="false">ROUND(C70*ASM!$B$8*ASM!$B$11*(1+ASM!$B$3)+ASM!$B$4+ASM!$B$5+ASM!$B$6,2)</f>
        <v>382.11</v>
      </c>
      <c r="E70" s="7" t="n">
        <f aca="false">ROUND((C70*ASM!$B$8*ASM!$B$11*(1+ASM!$B$3)+ASM!$B$4+ASM!$B$5+ASM!$B$6)*IF(A70&lt;=7,ASM!$B$7,ASM!$B$17),0)</f>
        <v>592</v>
      </c>
      <c r="F70" s="10" t="n">
        <f aca="false">CEILING(E70/0.75,5)</f>
        <v>790</v>
      </c>
      <c r="G70" s="9" t="n">
        <f aca="false">F70*0.75</f>
        <v>592.5</v>
      </c>
      <c r="H70" s="7" t="n">
        <f aca="false">ROUND((D70+0.45)/(1-ASM!$B$9),0)</f>
        <v>427</v>
      </c>
      <c r="I70" s="7" t="n">
        <f aca="false">ROUND((D70+0.45)/(1-ASM!$B$9-ASM!$B$10),0)</f>
        <v>514</v>
      </c>
      <c r="J70" s="7" t="str">
        <f aca="false">IF(G70&gt;=H70,"OK","FLOOR ALTI")</f>
        <v>OK</v>
      </c>
    </row>
    <row r="71" customFormat="false" ht="15" hidden="false" customHeight="false" outlineLevel="0" collapsed="false">
      <c r="A71" s="7" t="n">
        <v>7</v>
      </c>
      <c r="B71" s="7" t="n">
        <v>8</v>
      </c>
      <c r="C71" s="8" t="n">
        <v>5.72</v>
      </c>
      <c r="D71" s="9" t="n">
        <f aca="false">ROUND(C71*ASM!$B$8*ASM!$B$11*(1+ASM!$B$3)+ASM!$B$4+ASM!$B$5+ASM!$B$6,2)</f>
        <v>395.61</v>
      </c>
      <c r="E71" s="7" t="n">
        <f aca="false">ROUND((C71*ASM!$B$8*ASM!$B$11*(1+ASM!$B$3)+ASM!$B$4+ASM!$B$5+ASM!$B$6)*IF(A71&lt;=7,ASM!$B$7,ASM!$B$17),0)</f>
        <v>613</v>
      </c>
      <c r="F71" s="10" t="n">
        <f aca="false">CEILING(E71/0.75,5)</f>
        <v>820</v>
      </c>
      <c r="G71" s="9" t="n">
        <f aca="false">F71*0.75</f>
        <v>615</v>
      </c>
      <c r="H71" s="7" t="n">
        <f aca="false">ROUND((D71+0.45)/(1-ASM!$B$9),0)</f>
        <v>443</v>
      </c>
      <c r="I71" s="7" t="n">
        <f aca="false">ROUND((D71+0.45)/(1-ASM!$B$9-ASM!$B$10),0)</f>
        <v>532</v>
      </c>
      <c r="J71" s="7" t="str">
        <f aca="false">IF(G71&gt;=H71,"OK","FLOOR ALTI")</f>
        <v>OK</v>
      </c>
    </row>
    <row r="72" customFormat="false" ht="15" hidden="false" customHeight="false" outlineLevel="0" collapsed="false">
      <c r="A72" s="7" t="n">
        <v>7</v>
      </c>
      <c r="B72" s="7" t="n">
        <v>9</v>
      </c>
      <c r="C72" s="8" t="n">
        <v>5.95</v>
      </c>
      <c r="D72" s="9" t="n">
        <f aca="false">ROUND(C72*ASM!$B$8*ASM!$B$11*(1+ASM!$B$3)+ASM!$B$4+ASM!$B$5+ASM!$B$6,2)</f>
        <v>409.1</v>
      </c>
      <c r="E72" s="7" t="n">
        <f aca="false">ROUND((C72*ASM!$B$8*ASM!$B$11*(1+ASM!$B$3)+ASM!$B$4+ASM!$B$5+ASM!$B$6)*IF(A72&lt;=7,ASM!$B$7,ASM!$B$17),0)</f>
        <v>634</v>
      </c>
      <c r="F72" s="10" t="n">
        <f aca="false">CEILING(E72/0.75,5)</f>
        <v>850</v>
      </c>
      <c r="G72" s="9" t="n">
        <f aca="false">F72*0.75</f>
        <v>637.5</v>
      </c>
      <c r="H72" s="7" t="n">
        <f aca="false">ROUND((D72+0.45)/(1-ASM!$B$9),0)</f>
        <v>458</v>
      </c>
      <c r="I72" s="7" t="n">
        <f aca="false">ROUND((D72+0.45)/(1-ASM!$B$9-ASM!$B$10),0)</f>
        <v>550</v>
      </c>
      <c r="J72" s="7" t="str">
        <f aca="false">IF(G72&gt;=H72,"OK","FLOOR ALTI")</f>
        <v>OK</v>
      </c>
    </row>
    <row r="73" customFormat="false" ht="15" hidden="false" customHeight="false" outlineLevel="0" collapsed="false">
      <c r="A73" s="7" t="n">
        <v>7</v>
      </c>
      <c r="B73" s="7" t="n">
        <v>10</v>
      </c>
      <c r="C73" s="8" t="n">
        <v>6.18</v>
      </c>
      <c r="D73" s="9" t="n">
        <f aca="false">ROUND(C73*ASM!$B$8*ASM!$B$11*(1+ASM!$B$3)+ASM!$B$4+ASM!$B$5+ASM!$B$6,2)</f>
        <v>422.6</v>
      </c>
      <c r="E73" s="7" t="n">
        <f aca="false">ROUND((C73*ASM!$B$8*ASM!$B$11*(1+ASM!$B$3)+ASM!$B$4+ASM!$B$5+ASM!$B$6)*IF(A73&lt;=7,ASM!$B$7,ASM!$B$17),0)</f>
        <v>655</v>
      </c>
      <c r="F73" s="10" t="n">
        <f aca="false">CEILING(E73/0.75,5)</f>
        <v>875</v>
      </c>
      <c r="G73" s="9" t="n">
        <f aca="false">F73*0.75</f>
        <v>656.25</v>
      </c>
      <c r="H73" s="7" t="n">
        <f aca="false">ROUND((D73+0.45)/(1-ASM!$B$9),0)</f>
        <v>473</v>
      </c>
      <c r="I73" s="7" t="n">
        <f aca="false">ROUND((D73+0.45)/(1-ASM!$B$9-ASM!$B$10),0)</f>
        <v>568</v>
      </c>
      <c r="J73" s="7" t="str">
        <f aca="false">IF(G73&gt;=H73,"OK","FLOOR ALTI")</f>
        <v>OK</v>
      </c>
    </row>
    <row r="74" customFormat="false" ht="15" hidden="false" customHeight="false" outlineLevel="0" collapsed="false">
      <c r="A74" s="7" t="n">
        <v>7</v>
      </c>
      <c r="B74" s="7" t="n">
        <v>11</v>
      </c>
      <c r="C74" s="8" t="n">
        <v>6.42</v>
      </c>
      <c r="D74" s="9" t="n">
        <f aca="false">ROUND(C74*ASM!$B$8*ASM!$B$11*(1+ASM!$B$3)+ASM!$B$4+ASM!$B$5+ASM!$B$6,2)</f>
        <v>436.68</v>
      </c>
      <c r="E74" s="7" t="n">
        <f aca="false">ROUND((C74*ASM!$B$8*ASM!$B$11*(1+ASM!$B$3)+ASM!$B$4+ASM!$B$5+ASM!$B$6)*IF(A74&lt;=7,ASM!$B$7,ASM!$B$17),0)</f>
        <v>677</v>
      </c>
      <c r="F74" s="10" t="n">
        <f aca="false">CEILING(E74/0.75,5)</f>
        <v>905</v>
      </c>
      <c r="G74" s="9" t="n">
        <f aca="false">F74*0.75</f>
        <v>678.75</v>
      </c>
      <c r="H74" s="7" t="n">
        <f aca="false">ROUND((D74+0.45)/(1-ASM!$B$9),0)</f>
        <v>488</v>
      </c>
      <c r="I74" s="7" t="n">
        <f aca="false">ROUND((D74+0.45)/(1-ASM!$B$9-ASM!$B$10),0)</f>
        <v>587</v>
      </c>
      <c r="J74" s="7" t="str">
        <f aca="false">IF(G74&gt;=H74,"OK","FLOOR ALTI")</f>
        <v>OK</v>
      </c>
    </row>
    <row r="75" customFormat="false" ht="15" hidden="false" customHeight="false" outlineLevel="0" collapsed="false">
      <c r="A75" s="7" t="n">
        <v>7</v>
      </c>
      <c r="B75" s="7" t="n">
        <v>12</v>
      </c>
      <c r="C75" s="8" t="n">
        <v>6.65</v>
      </c>
      <c r="D75" s="9" t="n">
        <f aca="false">ROUND(C75*ASM!$B$8*ASM!$B$11*(1+ASM!$B$3)+ASM!$B$4+ASM!$B$5+ASM!$B$6,2)</f>
        <v>450.17</v>
      </c>
      <c r="E75" s="7" t="n">
        <f aca="false">ROUND((C75*ASM!$B$8*ASM!$B$11*(1+ASM!$B$3)+ASM!$B$4+ASM!$B$5+ASM!$B$6)*IF(A75&lt;=7,ASM!$B$7,ASM!$B$17),0)</f>
        <v>698</v>
      </c>
      <c r="F75" s="10" t="n">
        <f aca="false">CEILING(E75/0.75,5)</f>
        <v>935</v>
      </c>
      <c r="G75" s="9" t="n">
        <f aca="false">F75*0.75</f>
        <v>701.25</v>
      </c>
      <c r="H75" s="7" t="n">
        <f aca="false">ROUND((D75+0.45)/(1-ASM!$B$9),0)</f>
        <v>503</v>
      </c>
      <c r="I75" s="7" t="n">
        <f aca="false">ROUND((D75+0.45)/(1-ASM!$B$9-ASM!$B$10),0)</f>
        <v>605</v>
      </c>
      <c r="J75" s="7" t="str">
        <f aca="false">IF(G75&gt;=H75,"OK","FLOOR ALTI")</f>
        <v>OK</v>
      </c>
    </row>
    <row r="76" customFormat="false" ht="15" hidden="false" customHeight="false" outlineLevel="0" collapsed="false">
      <c r="A76" s="7" t="n">
        <v>7</v>
      </c>
      <c r="B76" s="7" t="n">
        <v>13</v>
      </c>
      <c r="C76" s="8" t="n">
        <v>6.88</v>
      </c>
      <c r="D76" s="9" t="n">
        <f aca="false">ROUND(C76*ASM!$B$8*ASM!$B$11*(1+ASM!$B$3)+ASM!$B$4+ASM!$B$5+ASM!$B$6,2)</f>
        <v>463.67</v>
      </c>
      <c r="E76" s="7" t="n">
        <f aca="false">ROUND((C76*ASM!$B$8*ASM!$B$11*(1+ASM!$B$3)+ASM!$B$4+ASM!$B$5+ASM!$B$6)*IF(A76&lt;=7,ASM!$B$7,ASM!$B$17),0)</f>
        <v>719</v>
      </c>
      <c r="F76" s="10" t="n">
        <f aca="false">CEILING(E76/0.75,5)</f>
        <v>960</v>
      </c>
      <c r="G76" s="9" t="n">
        <f aca="false">F76*0.75</f>
        <v>720</v>
      </c>
      <c r="H76" s="7" t="n">
        <f aca="false">ROUND((D76+0.45)/(1-ASM!$B$9),0)</f>
        <v>519</v>
      </c>
      <c r="I76" s="7" t="n">
        <f aca="false">ROUND((D76+0.45)/(1-ASM!$B$9-ASM!$B$10),0)</f>
        <v>623</v>
      </c>
      <c r="J76" s="7" t="str">
        <f aca="false">IF(G76&gt;=H76,"OK","FLOOR ALTI")</f>
        <v>OK</v>
      </c>
    </row>
    <row r="77" customFormat="false" ht="15" hidden="false" customHeight="false" outlineLevel="0" collapsed="false">
      <c r="A77" s="7" t="n">
        <v>7</v>
      </c>
      <c r="B77" s="7" t="n">
        <v>14</v>
      </c>
      <c r="C77" s="8" t="n">
        <v>7.11</v>
      </c>
      <c r="D77" s="9" t="n">
        <f aca="false">ROUND(C77*ASM!$B$8*ASM!$B$11*(1+ASM!$B$3)+ASM!$B$4+ASM!$B$5+ASM!$B$6,2)</f>
        <v>477.16</v>
      </c>
      <c r="E77" s="7" t="n">
        <f aca="false">ROUND((C77*ASM!$B$8*ASM!$B$11*(1+ASM!$B$3)+ASM!$B$4+ASM!$B$5+ASM!$B$6)*IF(A77&lt;=7,ASM!$B$7,ASM!$B$17),0)</f>
        <v>740</v>
      </c>
      <c r="F77" s="10" t="n">
        <f aca="false">CEILING(E77/0.75,5)</f>
        <v>990</v>
      </c>
      <c r="G77" s="9" t="n">
        <f aca="false">F77*0.75</f>
        <v>742.5</v>
      </c>
      <c r="H77" s="7" t="n">
        <f aca="false">ROUND((D77+0.45)/(1-ASM!$B$9),0)</f>
        <v>534</v>
      </c>
      <c r="I77" s="7" t="n">
        <f aca="false">ROUND((D77+0.45)/(1-ASM!$B$9-ASM!$B$10),0)</f>
        <v>641</v>
      </c>
      <c r="J77" s="7" t="str">
        <f aca="false">IF(G77&gt;=H77,"OK","FLOOR ALTI")</f>
        <v>OK</v>
      </c>
    </row>
    <row r="78" customFormat="false" ht="15" hidden="false" customHeight="false" outlineLevel="0" collapsed="false">
      <c r="A78" s="7" t="n">
        <v>7</v>
      </c>
      <c r="B78" s="7" t="n">
        <v>15</v>
      </c>
      <c r="C78" s="8" t="n">
        <v>7.34</v>
      </c>
      <c r="D78" s="9" t="n">
        <f aca="false">ROUND(C78*ASM!$B$8*ASM!$B$11*(1+ASM!$B$3)+ASM!$B$4+ASM!$B$5+ASM!$B$6,2)</f>
        <v>490.66</v>
      </c>
      <c r="E78" s="7" t="n">
        <f aca="false">ROUND((C78*ASM!$B$8*ASM!$B$11*(1+ASM!$B$3)+ASM!$B$4+ASM!$B$5+ASM!$B$6)*IF(A78&lt;=7,ASM!$B$7,ASM!$B$17),0)</f>
        <v>761</v>
      </c>
      <c r="F78" s="10" t="n">
        <f aca="false">CEILING(E78/0.75,5)</f>
        <v>1015</v>
      </c>
      <c r="G78" s="9" t="n">
        <f aca="false">F78*0.75</f>
        <v>761.25</v>
      </c>
      <c r="H78" s="7" t="n">
        <f aca="false">ROUND((D78+0.45)/(1-ASM!$B$9),0)</f>
        <v>549</v>
      </c>
      <c r="I78" s="7" t="n">
        <f aca="false">ROUND((D78+0.45)/(1-ASM!$B$9-ASM!$B$10),0)</f>
        <v>659</v>
      </c>
      <c r="J78" s="7" t="str">
        <f aca="false">IF(G78&gt;=H78,"OK","FLOOR ALTI")</f>
        <v>OK</v>
      </c>
    </row>
    <row r="79" customFormat="false" ht="15" hidden="false" customHeight="false" outlineLevel="0" collapsed="false">
      <c r="A79" s="7" t="n">
        <v>7</v>
      </c>
      <c r="B79" s="7" t="n">
        <v>16</v>
      </c>
      <c r="C79" s="8" t="n">
        <v>7.58</v>
      </c>
      <c r="D79" s="9" t="n">
        <f aca="false">ROUND(C79*ASM!$B$8*ASM!$B$11*(1+ASM!$B$3)+ASM!$B$4+ASM!$B$5+ASM!$B$6,2)</f>
        <v>504.74</v>
      </c>
      <c r="E79" s="7" t="n">
        <f aca="false">ROUND((C79*ASM!$B$8*ASM!$B$11*(1+ASM!$B$3)+ASM!$B$4+ASM!$B$5+ASM!$B$6)*IF(A79&lt;=7,ASM!$B$7,ASM!$B$17),0)</f>
        <v>782</v>
      </c>
      <c r="F79" s="10" t="n">
        <f aca="false">CEILING(E79/0.75,5)</f>
        <v>1045</v>
      </c>
      <c r="G79" s="9" t="n">
        <f aca="false">F79*0.75</f>
        <v>783.75</v>
      </c>
      <c r="H79" s="7" t="n">
        <f aca="false">ROUND((D79+0.45)/(1-ASM!$B$9),0)</f>
        <v>564</v>
      </c>
      <c r="I79" s="7" t="n">
        <f aca="false">ROUND((D79+0.45)/(1-ASM!$B$9-ASM!$B$10),0)</f>
        <v>678</v>
      </c>
      <c r="J79" s="7" t="str">
        <f aca="false">IF(G79&gt;=H79,"OK","FLOOR ALTI")</f>
        <v>OK</v>
      </c>
    </row>
    <row r="80" customFormat="false" ht="15" hidden="false" customHeight="false" outlineLevel="0" collapsed="false">
      <c r="A80" s="7" t="n">
        <v>8</v>
      </c>
      <c r="B80" s="7" t="n">
        <v>4</v>
      </c>
      <c r="C80" s="8" t="n">
        <v>5.47</v>
      </c>
      <c r="D80" s="9" t="n">
        <f aca="false">ROUND(C80*ASM!$B$8*ASM!$B$11*(1+ASM!$B$3)+ASM!$B$4+ASM!$B$5+ASM!$B$6,2)</f>
        <v>380.94</v>
      </c>
      <c r="E80" s="7" t="n">
        <f aca="false">ROUND((C80*ASM!$B$8*ASM!$B$11*(1+ASM!$B$3)+ASM!$B$4+ASM!$B$5+ASM!$B$6)*IF(A80&lt;=7,ASM!$B$7,ASM!$B$17),0)</f>
        <v>762</v>
      </c>
      <c r="F80" s="10" t="n">
        <f aca="false">CEILING(E80/0.75,5)</f>
        <v>1020</v>
      </c>
      <c r="G80" s="9" t="n">
        <f aca="false">F80*0.75</f>
        <v>765</v>
      </c>
      <c r="H80" s="7" t="n">
        <f aca="false">ROUND((D80+0.45)/(1-ASM!$B$9),0)</f>
        <v>426</v>
      </c>
      <c r="I80" s="7" t="n">
        <f aca="false">ROUND((D80+0.45)/(1-ASM!$B$9-ASM!$B$10),0)</f>
        <v>512</v>
      </c>
      <c r="J80" s="7" t="str">
        <f aca="false">IF(G80&gt;=H80,"OK","FLOOR ALTI")</f>
        <v>OK</v>
      </c>
    </row>
    <row r="81" customFormat="false" ht="15" hidden="false" customHeight="false" outlineLevel="0" collapsed="false">
      <c r="A81" s="7" t="n">
        <v>8</v>
      </c>
      <c r="B81" s="7" t="n">
        <v>5</v>
      </c>
      <c r="C81" s="8" t="n">
        <v>5.74</v>
      </c>
      <c r="D81" s="9" t="n">
        <f aca="false">ROUND(C81*ASM!$B$8*ASM!$B$11*(1+ASM!$B$3)+ASM!$B$4+ASM!$B$5+ASM!$B$6,2)</f>
        <v>396.78</v>
      </c>
      <c r="E81" s="7" t="n">
        <f aca="false">ROUND((C81*ASM!$B$8*ASM!$B$11*(1+ASM!$B$3)+ASM!$B$4+ASM!$B$5+ASM!$B$6)*IF(A81&lt;=7,ASM!$B$7,ASM!$B$17),0)</f>
        <v>794</v>
      </c>
      <c r="F81" s="10" t="n">
        <f aca="false">CEILING(E81/0.75,5)</f>
        <v>1060</v>
      </c>
      <c r="G81" s="9" t="n">
        <f aca="false">F81*0.75</f>
        <v>795</v>
      </c>
      <c r="H81" s="7" t="n">
        <f aca="false">ROUND((D81+0.45)/(1-ASM!$B$9),0)</f>
        <v>444</v>
      </c>
      <c r="I81" s="7" t="n">
        <f aca="false">ROUND((D81+0.45)/(1-ASM!$B$9-ASM!$B$10),0)</f>
        <v>533</v>
      </c>
      <c r="J81" s="7" t="str">
        <f aca="false">IF(G81&gt;=H81,"OK","FLOOR ALTI")</f>
        <v>OK</v>
      </c>
    </row>
    <row r="82" customFormat="false" ht="15" hidden="false" customHeight="false" outlineLevel="0" collapsed="false">
      <c r="A82" s="7" t="n">
        <v>8</v>
      </c>
      <c r="B82" s="7" t="n">
        <v>6</v>
      </c>
      <c r="C82" s="8" t="n">
        <v>6</v>
      </c>
      <c r="D82" s="9" t="n">
        <f aca="false">ROUND(C82*ASM!$B$8*ASM!$B$11*(1+ASM!$B$3)+ASM!$B$4+ASM!$B$5+ASM!$B$6,2)</f>
        <v>412.03</v>
      </c>
      <c r="E82" s="7" t="n">
        <f aca="false">ROUND((C82*ASM!$B$8*ASM!$B$11*(1+ASM!$B$3)+ASM!$B$4+ASM!$B$5+ASM!$B$6)*IF(A82&lt;=7,ASM!$B$7,ASM!$B$17),0)</f>
        <v>824</v>
      </c>
      <c r="F82" s="10" t="n">
        <f aca="false">CEILING(E82/0.75,5)</f>
        <v>1100</v>
      </c>
      <c r="G82" s="9" t="n">
        <f aca="false">F82*0.75</f>
        <v>825</v>
      </c>
      <c r="H82" s="7" t="n">
        <f aca="false">ROUND((D82+0.45)/(1-ASM!$B$9),0)</f>
        <v>461</v>
      </c>
      <c r="I82" s="7" t="n">
        <f aca="false">ROUND((D82+0.45)/(1-ASM!$B$9-ASM!$B$10),0)</f>
        <v>554</v>
      </c>
      <c r="J82" s="7" t="str">
        <f aca="false">IF(G82&gt;=H82,"OK","FLOOR ALTI")</f>
        <v>OK</v>
      </c>
    </row>
    <row r="83" customFormat="false" ht="15" hidden="false" customHeight="false" outlineLevel="0" collapsed="false">
      <c r="A83" s="7" t="n">
        <v>8</v>
      </c>
      <c r="B83" s="7" t="n">
        <v>7</v>
      </c>
      <c r="C83" s="8" t="n">
        <v>6.27</v>
      </c>
      <c r="D83" s="9" t="n">
        <f aca="false">ROUND(C83*ASM!$B$8*ASM!$B$11*(1+ASM!$B$3)+ASM!$B$4+ASM!$B$5+ASM!$B$6,2)</f>
        <v>427.88</v>
      </c>
      <c r="E83" s="7" t="n">
        <f aca="false">ROUND((C83*ASM!$B$8*ASM!$B$11*(1+ASM!$B$3)+ASM!$B$4+ASM!$B$5+ASM!$B$6)*IF(A83&lt;=7,ASM!$B$7,ASM!$B$17),0)</f>
        <v>856</v>
      </c>
      <c r="F83" s="10" t="n">
        <f aca="false">CEILING(E83/0.75,5)</f>
        <v>1145</v>
      </c>
      <c r="G83" s="9" t="n">
        <f aca="false">F83*0.75</f>
        <v>858.75</v>
      </c>
      <c r="H83" s="7" t="n">
        <f aca="false">ROUND((D83+0.45)/(1-ASM!$B$9),0)</f>
        <v>479</v>
      </c>
      <c r="I83" s="7" t="n">
        <f aca="false">ROUND((D83+0.45)/(1-ASM!$B$9-ASM!$B$10),0)</f>
        <v>575</v>
      </c>
      <c r="J83" s="7" t="str">
        <f aca="false">IF(G83&gt;=H83,"OK","FLOOR ALTI")</f>
        <v>OK</v>
      </c>
    </row>
    <row r="84" customFormat="false" ht="15" hidden="false" customHeight="false" outlineLevel="0" collapsed="false">
      <c r="A84" s="7" t="n">
        <v>8</v>
      </c>
      <c r="B84" s="7" t="n">
        <v>8</v>
      </c>
      <c r="C84" s="8" t="n">
        <v>6.54</v>
      </c>
      <c r="D84" s="9" t="n">
        <f aca="false">ROUND(C84*ASM!$B$8*ASM!$B$11*(1+ASM!$B$3)+ASM!$B$4+ASM!$B$5+ASM!$B$6,2)</f>
        <v>443.72</v>
      </c>
      <c r="E84" s="7" t="n">
        <f aca="false">ROUND((C84*ASM!$B$8*ASM!$B$11*(1+ASM!$B$3)+ASM!$B$4+ASM!$B$5+ASM!$B$6)*IF(A84&lt;=7,ASM!$B$7,ASM!$B$17),0)</f>
        <v>887</v>
      </c>
      <c r="F84" s="10" t="n">
        <f aca="false">CEILING(E84/0.75,5)</f>
        <v>1185</v>
      </c>
      <c r="G84" s="9" t="n">
        <f aca="false">F84*0.75</f>
        <v>888.75</v>
      </c>
      <c r="H84" s="7" t="n">
        <f aca="false">ROUND((D84+0.45)/(1-ASM!$B$9),0)</f>
        <v>496</v>
      </c>
      <c r="I84" s="7" t="n">
        <f aca="false">ROUND((D84+0.45)/(1-ASM!$B$9-ASM!$B$10),0)</f>
        <v>596</v>
      </c>
      <c r="J84" s="7" t="str">
        <f aca="false">IF(G84&gt;=H84,"OK","FLOOR ALTI")</f>
        <v>OK</v>
      </c>
    </row>
    <row r="85" customFormat="false" ht="15" hidden="false" customHeight="false" outlineLevel="0" collapsed="false">
      <c r="A85" s="7" t="n">
        <v>8</v>
      </c>
      <c r="B85" s="7" t="n">
        <v>9</v>
      </c>
      <c r="C85" s="8" t="n">
        <v>6.8</v>
      </c>
      <c r="D85" s="9" t="n">
        <f aca="false">ROUND(C85*ASM!$B$8*ASM!$B$11*(1+ASM!$B$3)+ASM!$B$4+ASM!$B$5+ASM!$B$6,2)</f>
        <v>458.97</v>
      </c>
      <c r="E85" s="7" t="n">
        <f aca="false">ROUND((C85*ASM!$B$8*ASM!$B$11*(1+ASM!$B$3)+ASM!$B$4+ASM!$B$5+ASM!$B$6)*IF(A85&lt;=7,ASM!$B$7,ASM!$B$17),0)</f>
        <v>918</v>
      </c>
      <c r="F85" s="10" t="n">
        <f aca="false">CEILING(E85/0.75,5)</f>
        <v>1225</v>
      </c>
      <c r="G85" s="9" t="n">
        <f aca="false">F85*0.75</f>
        <v>918.75</v>
      </c>
      <c r="H85" s="7" t="n">
        <f aca="false">ROUND((D85+0.45)/(1-ASM!$B$9),0)</f>
        <v>513</v>
      </c>
      <c r="I85" s="7" t="n">
        <f aca="false">ROUND((D85+0.45)/(1-ASM!$B$9-ASM!$B$10),0)</f>
        <v>617</v>
      </c>
      <c r="J85" s="7" t="str">
        <f aca="false">IF(G85&gt;=H85,"OK","FLOOR ALTI")</f>
        <v>OK</v>
      </c>
    </row>
    <row r="86" customFormat="false" ht="15" hidden="false" customHeight="false" outlineLevel="0" collapsed="false">
      <c r="A86" s="7" t="n">
        <v>8</v>
      </c>
      <c r="B86" s="7" t="n">
        <v>10</v>
      </c>
      <c r="C86" s="8" t="n">
        <v>7.07</v>
      </c>
      <c r="D86" s="9" t="n">
        <f aca="false">ROUND(C86*ASM!$B$8*ASM!$B$11*(1+ASM!$B$3)+ASM!$B$4+ASM!$B$5+ASM!$B$6,2)</f>
        <v>474.81</v>
      </c>
      <c r="E86" s="7" t="n">
        <f aca="false">ROUND((C86*ASM!$B$8*ASM!$B$11*(1+ASM!$B$3)+ASM!$B$4+ASM!$B$5+ASM!$B$6)*IF(A86&lt;=7,ASM!$B$7,ASM!$B$17),0)</f>
        <v>950</v>
      </c>
      <c r="F86" s="10" t="n">
        <f aca="false">CEILING(E86/0.75,5)</f>
        <v>1270</v>
      </c>
      <c r="G86" s="9" t="n">
        <f aca="false">F86*0.75</f>
        <v>952.5</v>
      </c>
      <c r="H86" s="7" t="n">
        <f aca="false">ROUND((D86+0.45)/(1-ASM!$B$9),0)</f>
        <v>531</v>
      </c>
      <c r="I86" s="7" t="n">
        <f aca="false">ROUND((D86+0.45)/(1-ASM!$B$9-ASM!$B$10),0)</f>
        <v>638</v>
      </c>
      <c r="J86" s="7" t="str">
        <f aca="false">IF(G86&gt;=H86,"OK","FLOOR ALTI")</f>
        <v>OK</v>
      </c>
    </row>
    <row r="87" customFormat="false" ht="15" hidden="false" customHeight="false" outlineLevel="0" collapsed="false">
      <c r="A87" s="7" t="n">
        <v>8</v>
      </c>
      <c r="B87" s="7" t="n">
        <v>11</v>
      </c>
      <c r="C87" s="8" t="n">
        <v>7.33</v>
      </c>
      <c r="D87" s="9" t="n">
        <f aca="false">ROUND(C87*ASM!$B$8*ASM!$B$11*(1+ASM!$B$3)+ASM!$B$4+ASM!$B$5+ASM!$B$6,2)</f>
        <v>490.07</v>
      </c>
      <c r="E87" s="7" t="n">
        <f aca="false">ROUND((C87*ASM!$B$8*ASM!$B$11*(1+ASM!$B$3)+ASM!$B$4+ASM!$B$5+ASM!$B$6)*IF(A87&lt;=7,ASM!$B$7,ASM!$B$17),0)</f>
        <v>980</v>
      </c>
      <c r="F87" s="10" t="n">
        <f aca="false">CEILING(E87/0.75,5)</f>
        <v>1310</v>
      </c>
      <c r="G87" s="9" t="n">
        <f aca="false">F87*0.75</f>
        <v>982.5</v>
      </c>
      <c r="H87" s="7" t="n">
        <f aca="false">ROUND((D87+0.45)/(1-ASM!$B$9),0)</f>
        <v>548</v>
      </c>
      <c r="I87" s="7" t="n">
        <f aca="false">ROUND((D87+0.45)/(1-ASM!$B$9-ASM!$B$10),0)</f>
        <v>658</v>
      </c>
      <c r="J87" s="7" t="str">
        <f aca="false">IF(G87&gt;=H87,"OK","FLOOR ALTI")</f>
        <v>OK</v>
      </c>
    </row>
    <row r="88" customFormat="false" ht="15" hidden="false" customHeight="false" outlineLevel="0" collapsed="false">
      <c r="A88" s="7" t="n">
        <v>8</v>
      </c>
      <c r="B88" s="7" t="n">
        <v>12</v>
      </c>
      <c r="C88" s="8" t="n">
        <v>7.6</v>
      </c>
      <c r="D88" s="9" t="n">
        <f aca="false">ROUND(C88*ASM!$B$8*ASM!$B$11*(1+ASM!$B$3)+ASM!$B$4+ASM!$B$5+ASM!$B$6,2)</f>
        <v>505.91</v>
      </c>
      <c r="E88" s="7" t="n">
        <f aca="false">ROUND((C88*ASM!$B$8*ASM!$B$11*(1+ASM!$B$3)+ASM!$B$4+ASM!$B$5+ASM!$B$6)*IF(A88&lt;=7,ASM!$B$7,ASM!$B$17),0)</f>
        <v>1012</v>
      </c>
      <c r="F88" s="10" t="n">
        <f aca="false">CEILING(E88/0.75,5)</f>
        <v>1350</v>
      </c>
      <c r="G88" s="9" t="n">
        <f aca="false">F88*0.75</f>
        <v>1012.5</v>
      </c>
      <c r="H88" s="7" t="n">
        <f aca="false">ROUND((D88+0.45)/(1-ASM!$B$9),0)</f>
        <v>566</v>
      </c>
      <c r="I88" s="7" t="n">
        <f aca="false">ROUND((D88+0.45)/(1-ASM!$B$9-ASM!$B$10),0)</f>
        <v>680</v>
      </c>
      <c r="J88" s="7" t="str">
        <f aca="false">IF(G88&gt;=H88,"OK","FLOOR ALTI")</f>
        <v>OK</v>
      </c>
    </row>
    <row r="89" customFormat="false" ht="15" hidden="false" customHeight="false" outlineLevel="0" collapsed="false">
      <c r="A89" s="7" t="n">
        <v>8</v>
      </c>
      <c r="B89" s="7" t="n">
        <v>13</v>
      </c>
      <c r="C89" s="8" t="n">
        <v>7.86</v>
      </c>
      <c r="D89" s="9" t="n">
        <f aca="false">ROUND(C89*ASM!$B$8*ASM!$B$11*(1+ASM!$B$3)+ASM!$B$4+ASM!$B$5+ASM!$B$6,2)</f>
        <v>521.17</v>
      </c>
      <c r="E89" s="7" t="n">
        <f aca="false">ROUND((C89*ASM!$B$8*ASM!$B$11*(1+ASM!$B$3)+ASM!$B$4+ASM!$B$5+ASM!$B$6)*IF(A89&lt;=7,ASM!$B$7,ASM!$B$17),0)</f>
        <v>1042</v>
      </c>
      <c r="F89" s="10" t="n">
        <f aca="false">CEILING(E89/0.75,5)</f>
        <v>1390</v>
      </c>
      <c r="G89" s="9" t="n">
        <f aca="false">F89*0.75</f>
        <v>1042.5</v>
      </c>
      <c r="H89" s="7" t="n">
        <f aca="false">ROUND((D89+0.45)/(1-ASM!$B$9),0)</f>
        <v>583</v>
      </c>
      <c r="I89" s="7" t="n">
        <f aca="false">ROUND((D89+0.45)/(1-ASM!$B$9-ASM!$B$10),0)</f>
        <v>700</v>
      </c>
      <c r="J89" s="7" t="str">
        <f aca="false">IF(G89&gt;=H89,"OK","FLOOR ALTI")</f>
        <v>OK</v>
      </c>
    </row>
    <row r="90" customFormat="false" ht="15" hidden="false" customHeight="false" outlineLevel="0" collapsed="false">
      <c r="A90" s="7" t="n">
        <v>8</v>
      </c>
      <c r="B90" s="7" t="n">
        <v>14</v>
      </c>
      <c r="C90" s="8" t="n">
        <v>8.13</v>
      </c>
      <c r="D90" s="9" t="n">
        <f aca="false">ROUND(C90*ASM!$B$8*ASM!$B$11*(1+ASM!$B$3)+ASM!$B$4+ASM!$B$5+ASM!$B$6,2)</f>
        <v>537.01</v>
      </c>
      <c r="E90" s="7" t="n">
        <f aca="false">ROUND((C90*ASM!$B$8*ASM!$B$11*(1+ASM!$B$3)+ASM!$B$4+ASM!$B$5+ASM!$B$6)*IF(A90&lt;=7,ASM!$B$7,ASM!$B$17),0)</f>
        <v>1074</v>
      </c>
      <c r="F90" s="10" t="n">
        <f aca="false">CEILING(E90/0.75,5)</f>
        <v>1435</v>
      </c>
      <c r="G90" s="9" t="n">
        <f aca="false">F90*0.75</f>
        <v>1076.25</v>
      </c>
      <c r="H90" s="7" t="n">
        <f aca="false">ROUND((D90+0.45)/(1-ASM!$B$9),0)</f>
        <v>601</v>
      </c>
      <c r="I90" s="7" t="n">
        <f aca="false">ROUND((D90+0.45)/(1-ASM!$B$9-ASM!$B$10),0)</f>
        <v>721</v>
      </c>
      <c r="J90" s="7" t="str">
        <f aca="false">IF(G90&gt;=H90,"OK","FLOOR ALTI")</f>
        <v>OK</v>
      </c>
    </row>
    <row r="91" customFormat="false" ht="15" hidden="false" customHeight="false" outlineLevel="0" collapsed="false">
      <c r="A91" s="7" t="n">
        <v>8</v>
      </c>
      <c r="B91" s="7" t="n">
        <v>15</v>
      </c>
      <c r="C91" s="8" t="n">
        <v>8.39</v>
      </c>
      <c r="D91" s="9" t="n">
        <f aca="false">ROUND(C91*ASM!$B$8*ASM!$B$11*(1+ASM!$B$3)+ASM!$B$4+ASM!$B$5+ASM!$B$6,2)</f>
        <v>552.26</v>
      </c>
      <c r="E91" s="7" t="n">
        <f aca="false">ROUND((C91*ASM!$B$8*ASM!$B$11*(1+ASM!$B$3)+ASM!$B$4+ASM!$B$5+ASM!$B$6)*IF(A91&lt;=7,ASM!$B$7,ASM!$B$17),0)</f>
        <v>1105</v>
      </c>
      <c r="F91" s="10" t="n">
        <f aca="false">CEILING(E91/0.75,5)</f>
        <v>1475</v>
      </c>
      <c r="G91" s="9" t="n">
        <f aca="false">F91*0.75</f>
        <v>1106.25</v>
      </c>
      <c r="H91" s="7" t="n">
        <f aca="false">ROUND((D91+0.45)/(1-ASM!$B$9),0)</f>
        <v>618</v>
      </c>
      <c r="I91" s="7" t="n">
        <f aca="false">ROUND((D91+0.45)/(1-ASM!$B$9-ASM!$B$10),0)</f>
        <v>742</v>
      </c>
      <c r="J91" s="7" t="str">
        <f aca="false">IF(G91&gt;=H91,"OK","FLOOR ALTI")</f>
        <v>OK</v>
      </c>
    </row>
    <row r="92" customFormat="false" ht="15" hidden="false" customHeight="false" outlineLevel="0" collapsed="false">
      <c r="A92" s="7" t="n">
        <v>8</v>
      </c>
      <c r="B92" s="7" t="n">
        <v>16</v>
      </c>
      <c r="C92" s="8" t="n">
        <v>8.66</v>
      </c>
      <c r="D92" s="9" t="n">
        <f aca="false">ROUND(C92*ASM!$B$8*ASM!$B$11*(1+ASM!$B$3)+ASM!$B$4+ASM!$B$5+ASM!$B$6,2)</f>
        <v>568.1</v>
      </c>
      <c r="E92" s="7" t="n">
        <f aca="false">ROUND((C92*ASM!$B$8*ASM!$B$11*(1+ASM!$B$3)+ASM!$B$4+ASM!$B$5+ASM!$B$6)*IF(A92&lt;=7,ASM!$B$7,ASM!$B$17),0)</f>
        <v>1136</v>
      </c>
      <c r="F92" s="10" t="n">
        <f aca="false">CEILING(E92/0.75,5)</f>
        <v>1515</v>
      </c>
      <c r="G92" s="9" t="n">
        <f aca="false">F92*0.75</f>
        <v>1136.25</v>
      </c>
      <c r="H92" s="7" t="n">
        <f aca="false">ROUND((D92+0.45)/(1-ASM!$B$9),0)</f>
        <v>635</v>
      </c>
      <c r="I92" s="7" t="n">
        <f aca="false">ROUND((D92+0.45)/(1-ASM!$B$9-ASM!$B$10),0)</f>
        <v>763</v>
      </c>
      <c r="J92" s="7" t="str">
        <f aca="false">IF(G92&gt;=H92,"OK","FLOOR ALTI")</f>
        <v>OK</v>
      </c>
    </row>
    <row r="93" customFormat="false" ht="15" hidden="false" customHeight="false" outlineLevel="0" collapsed="false">
      <c r="A93" s="7" t="n">
        <v>9</v>
      </c>
      <c r="B93" s="7" t="n">
        <v>4</v>
      </c>
      <c r="C93" s="8" t="n">
        <v>6.16</v>
      </c>
      <c r="D93" s="9" t="n">
        <f aca="false">ROUND(C93*ASM!$B$8*ASM!$B$11*(1+ASM!$B$3)+ASM!$B$4+ASM!$B$5+ASM!$B$6,2)</f>
        <v>421.42</v>
      </c>
      <c r="E93" s="7" t="n">
        <f aca="false">ROUND((C93*ASM!$B$8*ASM!$B$11*(1+ASM!$B$3)+ASM!$B$4+ASM!$B$5+ASM!$B$6)*IF(A93&lt;=7,ASM!$B$7,ASM!$B$17),0)</f>
        <v>843</v>
      </c>
      <c r="F93" s="10" t="n">
        <f aca="false">CEILING(E93/0.75,5)</f>
        <v>1125</v>
      </c>
      <c r="G93" s="9" t="n">
        <f aca="false">F93*0.75</f>
        <v>843.75</v>
      </c>
      <c r="H93" s="7" t="n">
        <f aca="false">ROUND((D93+0.45)/(1-ASM!$B$9),0)</f>
        <v>471</v>
      </c>
      <c r="I93" s="7" t="n">
        <f aca="false">ROUND((D93+0.45)/(1-ASM!$B$9-ASM!$B$10),0)</f>
        <v>566</v>
      </c>
      <c r="J93" s="7" t="str">
        <f aca="false">IF(G93&gt;=H93,"OK","FLOOR ALTI")</f>
        <v>OK</v>
      </c>
    </row>
    <row r="94" customFormat="false" ht="15" hidden="false" customHeight="false" outlineLevel="0" collapsed="false">
      <c r="A94" s="7" t="n">
        <v>9</v>
      </c>
      <c r="B94" s="7" t="n">
        <v>5</v>
      </c>
      <c r="C94" s="8" t="n">
        <v>6.46</v>
      </c>
      <c r="D94" s="9" t="n">
        <f aca="false">ROUND(C94*ASM!$B$8*ASM!$B$11*(1+ASM!$B$3)+ASM!$B$4+ASM!$B$5+ASM!$B$6,2)</f>
        <v>439.02</v>
      </c>
      <c r="E94" s="7" t="n">
        <f aca="false">ROUND((C94*ASM!$B$8*ASM!$B$11*(1+ASM!$B$3)+ASM!$B$4+ASM!$B$5+ASM!$B$6)*IF(A94&lt;=7,ASM!$B$7,ASM!$B$17),0)</f>
        <v>878</v>
      </c>
      <c r="F94" s="10" t="n">
        <f aca="false">CEILING(E94/0.75,5)</f>
        <v>1175</v>
      </c>
      <c r="G94" s="9" t="n">
        <f aca="false">F94*0.75</f>
        <v>881.25</v>
      </c>
      <c r="H94" s="7" t="n">
        <f aca="false">ROUND((D94+0.45)/(1-ASM!$B$9),0)</f>
        <v>491</v>
      </c>
      <c r="I94" s="7" t="n">
        <f aca="false">ROUND((D94+0.45)/(1-ASM!$B$9-ASM!$B$10),0)</f>
        <v>590</v>
      </c>
      <c r="J94" s="7" t="str">
        <f aca="false">IF(G94&gt;=H94,"OK","FLOOR ALTI")</f>
        <v>OK</v>
      </c>
    </row>
    <row r="95" customFormat="false" ht="15" hidden="false" customHeight="false" outlineLevel="0" collapsed="false">
      <c r="A95" s="7" t="n">
        <v>9</v>
      </c>
      <c r="B95" s="7" t="n">
        <v>6</v>
      </c>
      <c r="C95" s="8" t="n">
        <v>6.76</v>
      </c>
      <c r="D95" s="9" t="n">
        <f aca="false">ROUND(C95*ASM!$B$8*ASM!$B$11*(1+ASM!$B$3)+ASM!$B$4+ASM!$B$5+ASM!$B$6,2)</f>
        <v>456.63</v>
      </c>
      <c r="E95" s="7" t="n">
        <f aca="false">ROUND((C95*ASM!$B$8*ASM!$B$11*(1+ASM!$B$3)+ASM!$B$4+ASM!$B$5+ASM!$B$6)*IF(A95&lt;=7,ASM!$B$7,ASM!$B$17),0)</f>
        <v>913</v>
      </c>
      <c r="F95" s="10" t="n">
        <f aca="false">CEILING(E95/0.75,5)</f>
        <v>1220</v>
      </c>
      <c r="G95" s="9" t="n">
        <f aca="false">F95*0.75</f>
        <v>915</v>
      </c>
      <c r="H95" s="7" t="n">
        <f aca="false">ROUND((D95+0.45)/(1-ASM!$B$9),0)</f>
        <v>511</v>
      </c>
      <c r="I95" s="7" t="n">
        <f aca="false">ROUND((D95+0.45)/(1-ASM!$B$9-ASM!$B$10),0)</f>
        <v>614</v>
      </c>
      <c r="J95" s="7" t="str">
        <f aca="false">IF(G95&gt;=H95,"OK","FLOOR ALTI")</f>
        <v>OK</v>
      </c>
    </row>
    <row r="96" customFormat="false" ht="15" hidden="false" customHeight="false" outlineLevel="0" collapsed="false">
      <c r="A96" s="7" t="n">
        <v>9</v>
      </c>
      <c r="B96" s="7" t="n">
        <v>7</v>
      </c>
      <c r="C96" s="8" t="n">
        <v>7.05</v>
      </c>
      <c r="D96" s="9" t="n">
        <f aca="false">ROUND(C96*ASM!$B$8*ASM!$B$11*(1+ASM!$B$3)+ASM!$B$4+ASM!$B$5+ASM!$B$6,2)</f>
        <v>473.64</v>
      </c>
      <c r="E96" s="7" t="n">
        <f aca="false">ROUND((C96*ASM!$B$8*ASM!$B$11*(1+ASM!$B$3)+ASM!$B$4+ASM!$B$5+ASM!$B$6)*IF(A96&lt;=7,ASM!$B$7,ASM!$B$17),0)</f>
        <v>947</v>
      </c>
      <c r="F96" s="10" t="n">
        <f aca="false">CEILING(E96/0.75,5)</f>
        <v>1265</v>
      </c>
      <c r="G96" s="9" t="n">
        <f aca="false">F96*0.75</f>
        <v>948.75</v>
      </c>
      <c r="H96" s="7" t="n">
        <f aca="false">ROUND((D96+0.45)/(1-ASM!$B$9),0)</f>
        <v>530</v>
      </c>
      <c r="I96" s="7" t="n">
        <f aca="false">ROUND((D96+0.45)/(1-ASM!$B$9-ASM!$B$10),0)</f>
        <v>636</v>
      </c>
      <c r="J96" s="7" t="str">
        <f aca="false">IF(G96&gt;=H96,"OK","FLOOR ALTI")</f>
        <v>OK</v>
      </c>
    </row>
    <row r="97" customFormat="false" ht="15" hidden="false" customHeight="false" outlineLevel="0" collapsed="false">
      <c r="A97" s="7" t="n">
        <v>9</v>
      </c>
      <c r="B97" s="7" t="n">
        <v>8</v>
      </c>
      <c r="C97" s="8" t="n">
        <v>7.35</v>
      </c>
      <c r="D97" s="9" t="n">
        <f aca="false">ROUND(C97*ASM!$B$8*ASM!$B$11*(1+ASM!$B$3)+ASM!$B$4+ASM!$B$5+ASM!$B$6,2)</f>
        <v>491.24</v>
      </c>
      <c r="E97" s="7" t="n">
        <f aca="false">ROUND((C97*ASM!$B$8*ASM!$B$11*(1+ASM!$B$3)+ASM!$B$4+ASM!$B$5+ASM!$B$6)*IF(A97&lt;=7,ASM!$B$7,ASM!$B$17),0)</f>
        <v>982</v>
      </c>
      <c r="F97" s="10" t="n">
        <f aca="false">CEILING(E97/0.75,5)</f>
        <v>1310</v>
      </c>
      <c r="G97" s="9" t="n">
        <f aca="false">F97*0.75</f>
        <v>982.5</v>
      </c>
      <c r="H97" s="7" t="n">
        <f aca="false">ROUND((D97+0.45)/(1-ASM!$B$9),0)</f>
        <v>549</v>
      </c>
      <c r="I97" s="7" t="n">
        <f aca="false">ROUND((D97+0.45)/(1-ASM!$B$9-ASM!$B$10),0)</f>
        <v>660</v>
      </c>
      <c r="J97" s="7" t="str">
        <f aca="false">IF(G97&gt;=H97,"OK","FLOOR ALTI")</f>
        <v>OK</v>
      </c>
    </row>
    <row r="98" customFormat="false" ht="15" hidden="false" customHeight="false" outlineLevel="0" collapsed="false">
      <c r="A98" s="7" t="n">
        <v>9</v>
      </c>
      <c r="B98" s="7" t="n">
        <v>9</v>
      </c>
      <c r="C98" s="8" t="n">
        <v>7.65</v>
      </c>
      <c r="D98" s="9" t="n">
        <f aca="false">ROUND(C98*ASM!$B$8*ASM!$B$11*(1+ASM!$B$3)+ASM!$B$4+ASM!$B$5+ASM!$B$6,2)</f>
        <v>508.84</v>
      </c>
      <c r="E98" s="7" t="n">
        <f aca="false">ROUND((C98*ASM!$B$8*ASM!$B$11*(1+ASM!$B$3)+ASM!$B$4+ASM!$B$5+ASM!$B$6)*IF(A98&lt;=7,ASM!$B$7,ASM!$B$17),0)</f>
        <v>1018</v>
      </c>
      <c r="F98" s="10" t="n">
        <f aca="false">CEILING(E98/0.75,5)</f>
        <v>1360</v>
      </c>
      <c r="G98" s="9" t="n">
        <f aca="false">F98*0.75</f>
        <v>1020</v>
      </c>
      <c r="H98" s="7" t="n">
        <f aca="false">ROUND((D98+0.45)/(1-ASM!$B$9),0)</f>
        <v>569</v>
      </c>
      <c r="I98" s="7" t="n">
        <f aca="false">ROUND((D98+0.45)/(1-ASM!$B$9-ASM!$B$10),0)</f>
        <v>684</v>
      </c>
      <c r="J98" s="7" t="str">
        <f aca="false">IF(G98&gt;=H98,"OK","FLOOR ALTI")</f>
        <v>OK</v>
      </c>
    </row>
    <row r="99" customFormat="false" ht="15" hidden="false" customHeight="false" outlineLevel="0" collapsed="false">
      <c r="A99" s="7" t="n">
        <v>9</v>
      </c>
      <c r="B99" s="7" t="n">
        <v>10</v>
      </c>
      <c r="C99" s="8" t="n">
        <v>7.95</v>
      </c>
      <c r="D99" s="9" t="n">
        <f aca="false">ROUND(C99*ASM!$B$8*ASM!$B$11*(1+ASM!$B$3)+ASM!$B$4+ASM!$B$5+ASM!$B$6,2)</f>
        <v>526.45</v>
      </c>
      <c r="E99" s="7" t="n">
        <f aca="false">ROUND((C99*ASM!$B$8*ASM!$B$11*(1+ASM!$B$3)+ASM!$B$4+ASM!$B$5+ASM!$B$6)*IF(A99&lt;=7,ASM!$B$7,ASM!$B$17),0)</f>
        <v>1053</v>
      </c>
      <c r="F99" s="10" t="n">
        <f aca="false">CEILING(E99/0.75,5)</f>
        <v>1405</v>
      </c>
      <c r="G99" s="9" t="n">
        <f aca="false">F99*0.75</f>
        <v>1053.75</v>
      </c>
      <c r="H99" s="7" t="n">
        <f aca="false">ROUND((D99+0.45)/(1-ASM!$B$9),0)</f>
        <v>589</v>
      </c>
      <c r="I99" s="7" t="n">
        <f aca="false">ROUND((D99+0.45)/(1-ASM!$B$9-ASM!$B$10),0)</f>
        <v>707</v>
      </c>
      <c r="J99" s="7" t="str">
        <f aca="false">IF(G99&gt;=H99,"OK","FLOOR ALTI")</f>
        <v>OK</v>
      </c>
    </row>
    <row r="100" customFormat="false" ht="15" hidden="false" customHeight="false" outlineLevel="0" collapsed="false">
      <c r="A100" s="7" t="n">
        <v>9</v>
      </c>
      <c r="B100" s="7" t="n">
        <v>11</v>
      </c>
      <c r="C100" s="8" t="n">
        <v>8.25</v>
      </c>
      <c r="D100" s="9" t="n">
        <f aca="false">ROUND(C100*ASM!$B$8*ASM!$B$11*(1+ASM!$B$3)+ASM!$B$4+ASM!$B$5+ASM!$B$6,2)</f>
        <v>544.05</v>
      </c>
      <c r="E100" s="7" t="n">
        <f aca="false">ROUND((C100*ASM!$B$8*ASM!$B$11*(1+ASM!$B$3)+ASM!$B$4+ASM!$B$5+ASM!$B$6)*IF(A100&lt;=7,ASM!$B$7,ASM!$B$17),0)</f>
        <v>1088</v>
      </c>
      <c r="F100" s="10" t="n">
        <f aca="false">CEILING(E100/0.75,5)</f>
        <v>1455</v>
      </c>
      <c r="G100" s="9" t="n">
        <f aca="false">F100*0.75</f>
        <v>1091.25</v>
      </c>
      <c r="H100" s="7" t="n">
        <f aca="false">ROUND((D100+0.45)/(1-ASM!$B$9),0)</f>
        <v>608</v>
      </c>
      <c r="I100" s="7" t="n">
        <f aca="false">ROUND((D100+0.45)/(1-ASM!$B$9-ASM!$B$10),0)</f>
        <v>731</v>
      </c>
      <c r="J100" s="7" t="str">
        <f aca="false">IF(G100&gt;=H100,"OK","FLOOR ALTI")</f>
        <v>OK</v>
      </c>
    </row>
    <row r="101" customFormat="false" ht="15" hidden="false" customHeight="false" outlineLevel="0" collapsed="false">
      <c r="A101" s="7" t="n">
        <v>9</v>
      </c>
      <c r="B101" s="7" t="n">
        <v>12</v>
      </c>
      <c r="C101" s="8" t="n">
        <v>8.55</v>
      </c>
      <c r="D101" s="9" t="n">
        <f aca="false">ROUND(C101*ASM!$B$8*ASM!$B$11*(1+ASM!$B$3)+ASM!$B$4+ASM!$B$5+ASM!$B$6,2)</f>
        <v>561.65</v>
      </c>
      <c r="E101" s="7" t="n">
        <f aca="false">ROUND((C101*ASM!$B$8*ASM!$B$11*(1+ASM!$B$3)+ASM!$B$4+ASM!$B$5+ASM!$B$6)*IF(A101&lt;=7,ASM!$B$7,ASM!$B$17),0)</f>
        <v>1123</v>
      </c>
      <c r="F101" s="10" t="n">
        <f aca="false">CEILING(E101/0.75,5)</f>
        <v>1500</v>
      </c>
      <c r="G101" s="9" t="n">
        <f aca="false">F101*0.75</f>
        <v>1125</v>
      </c>
      <c r="H101" s="7" t="n">
        <f aca="false">ROUND((D101+0.45)/(1-ASM!$B$9),0)</f>
        <v>628</v>
      </c>
      <c r="I101" s="7" t="n">
        <f aca="false">ROUND((D101+0.45)/(1-ASM!$B$9-ASM!$B$10),0)</f>
        <v>754</v>
      </c>
      <c r="J101" s="7" t="str">
        <f aca="false">IF(G101&gt;=H101,"OK","FLOOR ALTI")</f>
        <v>OK</v>
      </c>
    </row>
    <row r="102" customFormat="false" ht="15" hidden="false" customHeight="false" outlineLevel="0" collapsed="false">
      <c r="A102" s="7" t="n">
        <v>9</v>
      </c>
      <c r="B102" s="7" t="n">
        <v>13</v>
      </c>
      <c r="C102" s="8" t="n">
        <v>8.85</v>
      </c>
      <c r="D102" s="9" t="n">
        <f aca="false">ROUND(C102*ASM!$B$8*ASM!$B$11*(1+ASM!$B$3)+ASM!$B$4+ASM!$B$5+ASM!$B$6,2)</f>
        <v>579.25</v>
      </c>
      <c r="E102" s="7" t="n">
        <f aca="false">ROUND((C102*ASM!$B$8*ASM!$B$11*(1+ASM!$B$3)+ASM!$B$4+ASM!$B$5+ASM!$B$6)*IF(A102&lt;=7,ASM!$B$7,ASM!$B$17),0)</f>
        <v>1159</v>
      </c>
      <c r="F102" s="10" t="n">
        <f aca="false">CEILING(E102/0.75,5)</f>
        <v>1550</v>
      </c>
      <c r="G102" s="9" t="n">
        <f aca="false">F102*0.75</f>
        <v>1162.5</v>
      </c>
      <c r="H102" s="7" t="n">
        <f aca="false">ROUND((D102+0.45)/(1-ASM!$B$9),0)</f>
        <v>648</v>
      </c>
      <c r="I102" s="7" t="n">
        <f aca="false">ROUND((D102+0.45)/(1-ASM!$B$9-ASM!$B$10),0)</f>
        <v>778</v>
      </c>
      <c r="J102" s="7" t="str">
        <f aca="false">IF(G102&gt;=H102,"OK","FLOOR ALTI")</f>
        <v>OK</v>
      </c>
    </row>
    <row r="103" customFormat="false" ht="15" hidden="false" customHeight="false" outlineLevel="0" collapsed="false">
      <c r="A103" s="7" t="n">
        <v>9</v>
      </c>
      <c r="B103" s="7" t="n">
        <v>14</v>
      </c>
      <c r="C103" s="8" t="n">
        <v>9.14</v>
      </c>
      <c r="D103" s="9" t="n">
        <f aca="false">ROUND(C103*ASM!$B$8*ASM!$B$11*(1+ASM!$B$3)+ASM!$B$4+ASM!$B$5+ASM!$B$6,2)</f>
        <v>596.27</v>
      </c>
      <c r="E103" s="7" t="n">
        <f aca="false">ROUND((C103*ASM!$B$8*ASM!$B$11*(1+ASM!$B$3)+ASM!$B$4+ASM!$B$5+ASM!$B$6)*IF(A103&lt;=7,ASM!$B$7,ASM!$B$17),0)</f>
        <v>1193</v>
      </c>
      <c r="F103" s="10" t="n">
        <f aca="false">CEILING(E103/0.75,5)</f>
        <v>1595</v>
      </c>
      <c r="G103" s="9" t="n">
        <f aca="false">F103*0.75</f>
        <v>1196.25</v>
      </c>
      <c r="H103" s="7" t="n">
        <f aca="false">ROUND((D103+0.45)/(1-ASM!$B$9),0)</f>
        <v>667</v>
      </c>
      <c r="I103" s="7" t="n">
        <f aca="false">ROUND((D103+0.45)/(1-ASM!$B$9-ASM!$B$10),0)</f>
        <v>801</v>
      </c>
      <c r="J103" s="7" t="str">
        <f aca="false">IF(G103&gt;=H103,"OK","FLOOR ALTI")</f>
        <v>OK</v>
      </c>
    </row>
    <row r="104" customFormat="false" ht="15" hidden="false" customHeight="false" outlineLevel="0" collapsed="false">
      <c r="A104" s="7" t="n">
        <v>9</v>
      </c>
      <c r="B104" s="7" t="n">
        <v>15</v>
      </c>
      <c r="C104" s="8" t="n">
        <v>9.44</v>
      </c>
      <c r="D104" s="9" t="n">
        <f aca="false">ROUND(C104*ASM!$B$8*ASM!$B$11*(1+ASM!$B$3)+ASM!$B$4+ASM!$B$5+ASM!$B$6,2)</f>
        <v>613.87</v>
      </c>
      <c r="E104" s="7" t="n">
        <f aca="false">ROUND((C104*ASM!$B$8*ASM!$B$11*(1+ASM!$B$3)+ASM!$B$4+ASM!$B$5+ASM!$B$6)*IF(A104&lt;=7,ASM!$B$7,ASM!$B$17),0)</f>
        <v>1228</v>
      </c>
      <c r="F104" s="10" t="n">
        <f aca="false">CEILING(E104/0.75,5)</f>
        <v>1640</v>
      </c>
      <c r="G104" s="9" t="n">
        <f aca="false">F104*0.75</f>
        <v>1230</v>
      </c>
      <c r="H104" s="7" t="n">
        <f aca="false">ROUND((D104+0.45)/(1-ASM!$B$9),0)</f>
        <v>686</v>
      </c>
      <c r="I104" s="7" t="n">
        <f aca="false">ROUND((D104+0.45)/(1-ASM!$B$9-ASM!$B$10),0)</f>
        <v>825</v>
      </c>
      <c r="J104" s="7" t="str">
        <f aca="false">IF(G104&gt;=H104,"OK","FLOOR ALTI")</f>
        <v>OK</v>
      </c>
    </row>
    <row r="105" customFormat="false" ht="15" hidden="false" customHeight="false" outlineLevel="0" collapsed="false">
      <c r="A105" s="7" t="n">
        <v>9</v>
      </c>
      <c r="B105" s="7" t="n">
        <v>16</v>
      </c>
      <c r="C105" s="8" t="n">
        <v>9.74</v>
      </c>
      <c r="D105" s="9" t="n">
        <f aca="false">ROUND(C105*ASM!$B$8*ASM!$B$11*(1+ASM!$B$3)+ASM!$B$4+ASM!$B$5+ASM!$B$6,2)</f>
        <v>631.47</v>
      </c>
      <c r="E105" s="7" t="n">
        <f aca="false">ROUND((C105*ASM!$B$8*ASM!$B$11*(1+ASM!$B$3)+ASM!$B$4+ASM!$B$5+ASM!$B$6)*IF(A105&lt;=7,ASM!$B$7,ASM!$B$17),0)</f>
        <v>1263</v>
      </c>
      <c r="F105" s="10" t="n">
        <f aca="false">CEILING(E105/0.75,5)</f>
        <v>1685</v>
      </c>
      <c r="G105" s="9" t="n">
        <f aca="false">F105*0.75</f>
        <v>1263.75</v>
      </c>
      <c r="H105" s="7" t="n">
        <f aca="false">ROUND((D105+0.45)/(1-ASM!$B$9),0)</f>
        <v>706</v>
      </c>
      <c r="I105" s="7" t="n">
        <f aca="false">ROUND((D105+0.45)/(1-ASM!$B$9-ASM!$B$10),0)</f>
        <v>848</v>
      </c>
      <c r="J105" s="7" t="str">
        <f aca="false">IF(G105&gt;=H105,"OK","FLOOR ALTI")</f>
        <v>OK</v>
      </c>
    </row>
    <row r="106" customFormat="false" ht="15" hidden="false" customHeight="false" outlineLevel="0" collapsed="false">
      <c r="A106" s="7" t="n">
        <v>10</v>
      </c>
      <c r="B106" s="7" t="n">
        <v>4</v>
      </c>
      <c r="C106" s="8" t="n">
        <v>6.84</v>
      </c>
      <c r="D106" s="9" t="n">
        <f aca="false">ROUND(C106*ASM!$B$8*ASM!$B$11*(1+ASM!$B$3)+ASM!$B$4+ASM!$B$5+ASM!$B$6,2)</f>
        <v>461.32</v>
      </c>
      <c r="E106" s="7" t="n">
        <f aca="false">ROUND((C106*ASM!$B$8*ASM!$B$11*(1+ASM!$B$3)+ASM!$B$4+ASM!$B$5+ASM!$B$6)*IF(A106&lt;=7,ASM!$B$7,ASM!$B$17),0)</f>
        <v>923</v>
      </c>
      <c r="F106" s="10" t="n">
        <f aca="false">CEILING(E106/0.75,5)</f>
        <v>1235</v>
      </c>
      <c r="G106" s="9" t="n">
        <f aca="false">F106*0.75</f>
        <v>926.25</v>
      </c>
      <c r="H106" s="7" t="n">
        <f aca="false">ROUND((D106+0.45)/(1-ASM!$B$9),0)</f>
        <v>516</v>
      </c>
      <c r="I106" s="7" t="n">
        <f aca="false">ROUND((D106+0.45)/(1-ASM!$B$9-ASM!$B$10),0)</f>
        <v>620</v>
      </c>
      <c r="J106" s="7" t="str">
        <f aca="false">IF(G106&gt;=H106,"OK","FLOOR ALTI")</f>
        <v>OK</v>
      </c>
    </row>
    <row r="107" customFormat="false" ht="15" hidden="false" customHeight="false" outlineLevel="0" collapsed="false">
      <c r="A107" s="7" t="n">
        <v>10</v>
      </c>
      <c r="B107" s="7" t="n">
        <v>5</v>
      </c>
      <c r="C107" s="8" t="n">
        <v>7.17</v>
      </c>
      <c r="D107" s="9" t="n">
        <f aca="false">ROUND(C107*ASM!$B$8*ASM!$B$11*(1+ASM!$B$3)+ASM!$B$4+ASM!$B$5+ASM!$B$6,2)</f>
        <v>480.68</v>
      </c>
      <c r="E107" s="7" t="n">
        <f aca="false">ROUND((C107*ASM!$B$8*ASM!$B$11*(1+ASM!$B$3)+ASM!$B$4+ASM!$B$5+ASM!$B$6)*IF(A107&lt;=7,ASM!$B$7,ASM!$B$17),0)</f>
        <v>961</v>
      </c>
      <c r="F107" s="10" t="n">
        <f aca="false">CEILING(E107/0.75,5)</f>
        <v>1285</v>
      </c>
      <c r="G107" s="9" t="n">
        <f aca="false">F107*0.75</f>
        <v>963.75</v>
      </c>
      <c r="H107" s="7" t="n">
        <f aca="false">ROUND((D107+0.45)/(1-ASM!$B$9),0)</f>
        <v>538</v>
      </c>
      <c r="I107" s="7" t="n">
        <f aca="false">ROUND((D107+0.45)/(1-ASM!$B$9-ASM!$B$10),0)</f>
        <v>646</v>
      </c>
      <c r="J107" s="7" t="str">
        <f aca="false">IF(G107&gt;=H107,"OK","FLOOR ALTI")</f>
        <v>OK</v>
      </c>
    </row>
    <row r="108" customFormat="false" ht="15" hidden="false" customHeight="false" outlineLevel="0" collapsed="false">
      <c r="A108" s="7" t="n">
        <v>10</v>
      </c>
      <c r="B108" s="7" t="n">
        <v>6</v>
      </c>
      <c r="C108" s="8" t="n">
        <v>7.51</v>
      </c>
      <c r="D108" s="9" t="n">
        <f aca="false">ROUND(C108*ASM!$B$8*ASM!$B$11*(1+ASM!$B$3)+ASM!$B$4+ASM!$B$5+ASM!$B$6,2)</f>
        <v>500.63</v>
      </c>
      <c r="E108" s="7" t="n">
        <f aca="false">ROUND((C108*ASM!$B$8*ASM!$B$11*(1+ASM!$B$3)+ASM!$B$4+ASM!$B$5+ASM!$B$6)*IF(A108&lt;=7,ASM!$B$7,ASM!$B$17),0)</f>
        <v>1001</v>
      </c>
      <c r="F108" s="10" t="n">
        <f aca="false">CEILING(E108/0.75,5)</f>
        <v>1335</v>
      </c>
      <c r="G108" s="9" t="n">
        <f aca="false">F108*0.75</f>
        <v>1001.25</v>
      </c>
      <c r="H108" s="7" t="n">
        <f aca="false">ROUND((D108+0.45)/(1-ASM!$B$9),0)</f>
        <v>560</v>
      </c>
      <c r="I108" s="7" t="n">
        <f aca="false">ROUND((D108+0.45)/(1-ASM!$B$9-ASM!$B$10),0)</f>
        <v>673</v>
      </c>
      <c r="J108" s="7" t="str">
        <f aca="false">IF(G108&gt;=H108,"OK","FLOOR ALTI")</f>
        <v>OK</v>
      </c>
    </row>
    <row r="109" customFormat="false" ht="15" hidden="false" customHeight="false" outlineLevel="0" collapsed="false">
      <c r="A109" s="7" t="n">
        <v>10</v>
      </c>
      <c r="B109" s="7" t="n">
        <v>7</v>
      </c>
      <c r="C109" s="8" t="n">
        <v>7.84</v>
      </c>
      <c r="D109" s="9" t="n">
        <f aca="false">ROUND(C109*ASM!$B$8*ASM!$B$11*(1+ASM!$B$3)+ASM!$B$4+ASM!$B$5+ASM!$B$6,2)</f>
        <v>519.99</v>
      </c>
      <c r="E109" s="7" t="n">
        <f aca="false">ROUND((C109*ASM!$B$8*ASM!$B$11*(1+ASM!$B$3)+ASM!$B$4+ASM!$B$5+ASM!$B$6)*IF(A109&lt;=7,ASM!$B$7,ASM!$B$17),0)</f>
        <v>1040</v>
      </c>
      <c r="F109" s="10" t="n">
        <f aca="false">CEILING(E109/0.75,5)</f>
        <v>1390</v>
      </c>
      <c r="G109" s="9" t="n">
        <f aca="false">F109*0.75</f>
        <v>1042.5</v>
      </c>
      <c r="H109" s="7" t="n">
        <f aca="false">ROUND((D109+0.45)/(1-ASM!$B$9),0)</f>
        <v>581</v>
      </c>
      <c r="I109" s="7" t="n">
        <f aca="false">ROUND((D109+0.45)/(1-ASM!$B$9-ASM!$B$10),0)</f>
        <v>699</v>
      </c>
      <c r="J109" s="7" t="str">
        <f aca="false">IF(G109&gt;=H109,"OK","FLOOR ALTI")</f>
        <v>OK</v>
      </c>
    </row>
    <row r="110" customFormat="false" ht="15" hidden="false" customHeight="false" outlineLevel="0" collapsed="false">
      <c r="A110" s="7" t="n">
        <v>10</v>
      </c>
      <c r="B110" s="7" t="n">
        <v>8</v>
      </c>
      <c r="C110" s="8" t="n">
        <v>8.17</v>
      </c>
      <c r="D110" s="9" t="n">
        <f aca="false">ROUND(C110*ASM!$B$8*ASM!$B$11*(1+ASM!$B$3)+ASM!$B$4+ASM!$B$5+ASM!$B$6,2)</f>
        <v>539.35</v>
      </c>
      <c r="E110" s="7" t="n">
        <f aca="false">ROUND((C110*ASM!$B$8*ASM!$B$11*(1+ASM!$B$3)+ASM!$B$4+ASM!$B$5+ASM!$B$6)*IF(A110&lt;=7,ASM!$B$7,ASM!$B$17),0)</f>
        <v>1079</v>
      </c>
      <c r="F110" s="10" t="n">
        <f aca="false">CEILING(E110/0.75,5)</f>
        <v>1440</v>
      </c>
      <c r="G110" s="9" t="n">
        <f aca="false">F110*0.75</f>
        <v>1080</v>
      </c>
      <c r="H110" s="7" t="n">
        <f aca="false">ROUND((D110+0.45)/(1-ASM!$B$9),0)</f>
        <v>603</v>
      </c>
      <c r="I110" s="7" t="n">
        <f aca="false">ROUND((D110+0.45)/(1-ASM!$B$9-ASM!$B$10),0)</f>
        <v>725</v>
      </c>
      <c r="J110" s="7" t="str">
        <f aca="false">IF(G110&gt;=H110,"OK","FLOOR ALTI")</f>
        <v>OK</v>
      </c>
    </row>
    <row r="111" customFormat="false" ht="15" hidden="false" customHeight="false" outlineLevel="0" collapsed="false">
      <c r="A111" s="7" t="n">
        <v>10</v>
      </c>
      <c r="B111" s="7" t="n">
        <v>9</v>
      </c>
      <c r="C111" s="8" t="n">
        <v>8.5</v>
      </c>
      <c r="D111" s="9" t="n">
        <f aca="false">ROUND(C111*ASM!$B$8*ASM!$B$11*(1+ASM!$B$3)+ASM!$B$4+ASM!$B$5+ASM!$B$6,2)</f>
        <v>558.72</v>
      </c>
      <c r="E111" s="7" t="n">
        <f aca="false">ROUND((C111*ASM!$B$8*ASM!$B$11*(1+ASM!$B$3)+ASM!$B$4+ASM!$B$5+ASM!$B$6)*IF(A111&lt;=7,ASM!$B$7,ASM!$B$17),0)</f>
        <v>1117</v>
      </c>
      <c r="F111" s="10" t="n">
        <f aca="false">CEILING(E111/0.75,5)</f>
        <v>1490</v>
      </c>
      <c r="G111" s="9" t="n">
        <f aca="false">F111*0.75</f>
        <v>1117.5</v>
      </c>
      <c r="H111" s="7" t="n">
        <f aca="false">ROUND((D111+0.45)/(1-ASM!$B$9),0)</f>
        <v>625</v>
      </c>
      <c r="I111" s="7" t="n">
        <f aca="false">ROUND((D111+0.45)/(1-ASM!$B$9-ASM!$B$10),0)</f>
        <v>751</v>
      </c>
      <c r="J111" s="7" t="str">
        <f aca="false">IF(G111&gt;=H111,"OK","FLOOR ALTI")</f>
        <v>OK</v>
      </c>
    </row>
    <row r="112" customFormat="false" ht="15" hidden="false" customHeight="false" outlineLevel="0" collapsed="false">
      <c r="A112" s="7" t="n">
        <v>10</v>
      </c>
      <c r="B112" s="7" t="n">
        <v>10</v>
      </c>
      <c r="C112" s="8" t="n">
        <v>8.83</v>
      </c>
      <c r="D112" s="9" t="n">
        <f aca="false">ROUND(C112*ASM!$B$8*ASM!$B$11*(1+ASM!$B$3)+ASM!$B$4+ASM!$B$5+ASM!$B$6,2)</f>
        <v>578.08</v>
      </c>
      <c r="E112" s="7" t="n">
        <f aca="false">ROUND((C112*ASM!$B$8*ASM!$B$11*(1+ASM!$B$3)+ASM!$B$4+ASM!$B$5+ASM!$B$6)*IF(A112&lt;=7,ASM!$B$7,ASM!$B$17),0)</f>
        <v>1156</v>
      </c>
      <c r="F112" s="10" t="n">
        <f aca="false">CEILING(E112/0.75,5)</f>
        <v>1545</v>
      </c>
      <c r="G112" s="9" t="n">
        <f aca="false">F112*0.75</f>
        <v>1158.75</v>
      </c>
      <c r="H112" s="7" t="n">
        <f aca="false">ROUND((D112+0.45)/(1-ASM!$B$9),0)</f>
        <v>646</v>
      </c>
      <c r="I112" s="7" t="n">
        <f aca="false">ROUND((D112+0.45)/(1-ASM!$B$9-ASM!$B$10),0)</f>
        <v>777</v>
      </c>
      <c r="J112" s="7" t="str">
        <f aca="false">IF(G112&gt;=H112,"OK","FLOOR ALTI")</f>
        <v>OK</v>
      </c>
    </row>
    <row r="113" customFormat="false" ht="15" hidden="false" customHeight="false" outlineLevel="0" collapsed="false">
      <c r="A113" s="7" t="n">
        <v>10</v>
      </c>
      <c r="B113" s="7" t="n">
        <v>11</v>
      </c>
      <c r="C113" s="8" t="n">
        <v>9.16</v>
      </c>
      <c r="D113" s="9" t="n">
        <f aca="false">ROUND(C113*ASM!$B$8*ASM!$B$11*(1+ASM!$B$3)+ASM!$B$4+ASM!$B$5+ASM!$B$6,2)</f>
        <v>597.44</v>
      </c>
      <c r="E113" s="7" t="n">
        <f aca="false">ROUND((C113*ASM!$B$8*ASM!$B$11*(1+ASM!$B$3)+ASM!$B$4+ASM!$B$5+ASM!$B$6)*IF(A113&lt;=7,ASM!$B$7,ASM!$B$17),0)</f>
        <v>1195</v>
      </c>
      <c r="F113" s="10" t="n">
        <f aca="false">CEILING(E113/0.75,5)</f>
        <v>1595</v>
      </c>
      <c r="G113" s="9" t="n">
        <f aca="false">F113*0.75</f>
        <v>1196.25</v>
      </c>
      <c r="H113" s="7" t="n">
        <f aca="false">ROUND((D113+0.45)/(1-ASM!$B$9),0)</f>
        <v>668</v>
      </c>
      <c r="I113" s="7" t="n">
        <f aca="false">ROUND((D113+0.45)/(1-ASM!$B$9-ASM!$B$10),0)</f>
        <v>803</v>
      </c>
      <c r="J113" s="7" t="str">
        <f aca="false">IF(G113&gt;=H113,"OK","FLOOR ALTI")</f>
        <v>OK</v>
      </c>
    </row>
    <row r="114" customFormat="false" ht="15" hidden="false" customHeight="false" outlineLevel="0" collapsed="false">
      <c r="A114" s="7" t="n">
        <v>10</v>
      </c>
      <c r="B114" s="7" t="n">
        <v>12</v>
      </c>
      <c r="C114" s="8" t="n">
        <v>9.5</v>
      </c>
      <c r="D114" s="9" t="n">
        <f aca="false">ROUND(C114*ASM!$B$8*ASM!$B$11*(1+ASM!$B$3)+ASM!$B$4+ASM!$B$5+ASM!$B$6,2)</f>
        <v>617.39</v>
      </c>
      <c r="E114" s="7" t="n">
        <f aca="false">ROUND((C114*ASM!$B$8*ASM!$B$11*(1+ASM!$B$3)+ASM!$B$4+ASM!$B$5+ASM!$B$6)*IF(A114&lt;=7,ASM!$B$7,ASM!$B$17),0)</f>
        <v>1235</v>
      </c>
      <c r="F114" s="10" t="n">
        <f aca="false">CEILING(E114/0.75,5)</f>
        <v>1650</v>
      </c>
      <c r="G114" s="9" t="n">
        <f aca="false">F114*0.75</f>
        <v>1237.5</v>
      </c>
      <c r="H114" s="7" t="n">
        <f aca="false">ROUND((D114+0.45)/(1-ASM!$B$9),0)</f>
        <v>690</v>
      </c>
      <c r="I114" s="7" t="n">
        <f aca="false">ROUND((D114+0.45)/(1-ASM!$B$9-ASM!$B$10),0)</f>
        <v>829</v>
      </c>
      <c r="J114" s="7" t="str">
        <f aca="false">IF(G114&gt;=H114,"OK","FLOOR ALTI")</f>
        <v>OK</v>
      </c>
    </row>
    <row r="115" customFormat="false" ht="15" hidden="false" customHeight="false" outlineLevel="0" collapsed="false">
      <c r="A115" s="7" t="n">
        <v>10</v>
      </c>
      <c r="B115" s="7" t="n">
        <v>13</v>
      </c>
      <c r="C115" s="8" t="n">
        <v>9.83</v>
      </c>
      <c r="D115" s="9" t="n">
        <f aca="false">ROUND(C115*ASM!$B$8*ASM!$B$11*(1+ASM!$B$3)+ASM!$B$4+ASM!$B$5+ASM!$B$6,2)</f>
        <v>636.75</v>
      </c>
      <c r="E115" s="7" t="n">
        <f aca="false">ROUND((C115*ASM!$B$8*ASM!$B$11*(1+ASM!$B$3)+ASM!$B$4+ASM!$B$5+ASM!$B$6)*IF(A115&lt;=7,ASM!$B$7,ASM!$B$17),0)</f>
        <v>1273</v>
      </c>
      <c r="F115" s="10" t="n">
        <f aca="false">CEILING(E115/0.75,5)</f>
        <v>1700</v>
      </c>
      <c r="G115" s="9" t="n">
        <f aca="false">F115*0.75</f>
        <v>1275</v>
      </c>
      <c r="H115" s="7" t="n">
        <f aca="false">ROUND((D115+0.45)/(1-ASM!$B$9),0)</f>
        <v>712</v>
      </c>
      <c r="I115" s="7" t="n">
        <f aca="false">ROUND((D115+0.45)/(1-ASM!$B$9-ASM!$B$10),0)</f>
        <v>855</v>
      </c>
      <c r="J115" s="7" t="str">
        <f aca="false">IF(G115&gt;=H115,"OK","FLOOR ALTI")</f>
        <v>OK</v>
      </c>
    </row>
    <row r="116" customFormat="false" ht="15" hidden="false" customHeight="false" outlineLevel="0" collapsed="false">
      <c r="A116" s="7" t="n">
        <v>10</v>
      </c>
      <c r="B116" s="7" t="n">
        <v>14</v>
      </c>
      <c r="C116" s="8" t="n">
        <v>10.16</v>
      </c>
      <c r="D116" s="9" t="n">
        <f aca="false">ROUND(C116*ASM!$B$8*ASM!$B$11*(1+ASM!$B$3)+ASM!$B$4+ASM!$B$5+ASM!$B$6,2)</f>
        <v>656.11</v>
      </c>
      <c r="E116" s="7" t="n">
        <f aca="false">ROUND((C116*ASM!$B$8*ASM!$B$11*(1+ASM!$B$3)+ASM!$B$4+ASM!$B$5+ASM!$B$6)*IF(A116&lt;=7,ASM!$B$7,ASM!$B$17),0)</f>
        <v>1312</v>
      </c>
      <c r="F116" s="10" t="n">
        <f aca="false">CEILING(E116/0.75,5)</f>
        <v>1750</v>
      </c>
      <c r="G116" s="9" t="n">
        <f aca="false">F116*0.75</f>
        <v>1312.5</v>
      </c>
      <c r="H116" s="7" t="n">
        <f aca="false">ROUND((D116+0.45)/(1-ASM!$B$9),0)</f>
        <v>734</v>
      </c>
      <c r="I116" s="7" t="n">
        <f aca="false">ROUND((D116+0.45)/(1-ASM!$B$9-ASM!$B$10),0)</f>
        <v>881</v>
      </c>
      <c r="J116" s="7" t="str">
        <f aca="false">IF(G116&gt;=H116,"OK","FLOOR ALTI")</f>
        <v>OK</v>
      </c>
    </row>
    <row r="117" customFormat="false" ht="15" hidden="false" customHeight="false" outlineLevel="0" collapsed="false">
      <c r="A117" s="7" t="n">
        <v>10</v>
      </c>
      <c r="B117" s="7" t="n">
        <v>15</v>
      </c>
      <c r="C117" s="8" t="n">
        <v>10.49</v>
      </c>
      <c r="D117" s="9" t="n">
        <f aca="false">ROUND(C117*ASM!$B$8*ASM!$B$11*(1+ASM!$B$3)+ASM!$B$4+ASM!$B$5+ASM!$B$6,2)</f>
        <v>675.47</v>
      </c>
      <c r="E117" s="7" t="n">
        <f aca="false">ROUND((C117*ASM!$B$8*ASM!$B$11*(1+ASM!$B$3)+ASM!$B$4+ASM!$B$5+ASM!$B$6)*IF(A117&lt;=7,ASM!$B$7,ASM!$B$17),0)</f>
        <v>1351</v>
      </c>
      <c r="F117" s="10" t="n">
        <f aca="false">CEILING(E117/0.75,5)</f>
        <v>1805</v>
      </c>
      <c r="G117" s="9" t="n">
        <f aca="false">F117*0.75</f>
        <v>1353.75</v>
      </c>
      <c r="H117" s="7" t="n">
        <f aca="false">ROUND((D117+0.45)/(1-ASM!$B$9),0)</f>
        <v>755</v>
      </c>
      <c r="I117" s="7" t="n">
        <f aca="false">ROUND((D117+0.45)/(1-ASM!$B$9-ASM!$B$10),0)</f>
        <v>907</v>
      </c>
      <c r="J117" s="7" t="str">
        <f aca="false">IF(G117&gt;=H117,"OK","FLOOR ALTI")</f>
        <v>OK</v>
      </c>
    </row>
    <row r="118" customFormat="false" ht="15" hidden="false" customHeight="false" outlineLevel="0" collapsed="false">
      <c r="A118" s="7" t="n">
        <v>10</v>
      </c>
      <c r="B118" s="7" t="n">
        <v>16</v>
      </c>
      <c r="C118" s="8" t="n">
        <v>10.82</v>
      </c>
      <c r="D118" s="9" t="n">
        <f aca="false">ROUND(C118*ASM!$B$8*ASM!$B$11*(1+ASM!$B$3)+ASM!$B$4+ASM!$B$5+ASM!$B$6,2)</f>
        <v>694.84</v>
      </c>
      <c r="E118" s="7" t="n">
        <f aca="false">ROUND((C118*ASM!$B$8*ASM!$B$11*(1+ASM!$B$3)+ASM!$B$4+ASM!$B$5+ASM!$B$6)*IF(A118&lt;=7,ASM!$B$7,ASM!$B$17),0)</f>
        <v>1390</v>
      </c>
      <c r="F118" s="10" t="n">
        <f aca="false">CEILING(E118/0.75,5)</f>
        <v>1855</v>
      </c>
      <c r="G118" s="9" t="n">
        <f aca="false">F118*0.75</f>
        <v>1391.25</v>
      </c>
      <c r="H118" s="7" t="n">
        <f aca="false">ROUND((D118+0.45)/(1-ASM!$B$9),0)</f>
        <v>777</v>
      </c>
      <c r="I118" s="7" t="n">
        <f aca="false">ROUND((D118+0.45)/(1-ASM!$B$9-ASM!$B$10),0)</f>
        <v>933</v>
      </c>
      <c r="J118" s="7" t="str">
        <f aca="false">IF(G118&gt;=H118,"OK","FLOOR ALTI")</f>
        <v>OK</v>
      </c>
    </row>
    <row r="119" customFormat="false" ht="15" hidden="false" customHeight="false" outlineLevel="0" collapsed="false">
      <c r="A119" s="7" t="n">
        <v>11</v>
      </c>
      <c r="B119" s="7" t="n">
        <v>4</v>
      </c>
      <c r="C119" s="8" t="n">
        <v>7.53</v>
      </c>
      <c r="D119" s="9" t="n">
        <f aca="false">ROUND(C119*ASM!$B$8*ASM!$B$11*(1+ASM!$B$3)+ASM!$B$4+ASM!$B$5+ASM!$B$6,2)</f>
        <v>501.8</v>
      </c>
      <c r="E119" s="7" t="n">
        <f aca="false">ROUND((C119*ASM!$B$8*ASM!$B$11*(1+ASM!$B$3)+ASM!$B$4+ASM!$B$5+ASM!$B$6)*IF(A119&lt;=7,ASM!$B$7,ASM!$B$17),0)</f>
        <v>1004</v>
      </c>
      <c r="F119" s="10" t="n">
        <f aca="false">CEILING(E119/0.75,5)</f>
        <v>1340</v>
      </c>
      <c r="G119" s="9" t="n">
        <f aca="false">F119*0.75</f>
        <v>1005</v>
      </c>
      <c r="H119" s="7" t="n">
        <f aca="false">ROUND((D119+0.45)/(1-ASM!$B$9),0)</f>
        <v>561</v>
      </c>
      <c r="I119" s="7" t="n">
        <f aca="false">ROUND((D119+0.45)/(1-ASM!$B$9-ASM!$B$10),0)</f>
        <v>674</v>
      </c>
      <c r="J119" s="7" t="str">
        <f aca="false">IF(G119&gt;=H119,"OK","FLOOR ALTI")</f>
        <v>OK</v>
      </c>
    </row>
    <row r="120" customFormat="false" ht="15" hidden="false" customHeight="false" outlineLevel="0" collapsed="false">
      <c r="A120" s="7" t="n">
        <v>11</v>
      </c>
      <c r="B120" s="7" t="n">
        <v>5</v>
      </c>
      <c r="C120" s="8" t="n">
        <v>7.89</v>
      </c>
      <c r="D120" s="9" t="n">
        <f aca="false">ROUND(C120*ASM!$B$8*ASM!$B$11*(1+ASM!$B$3)+ASM!$B$4+ASM!$B$5+ASM!$B$6,2)</f>
        <v>522.93</v>
      </c>
      <c r="E120" s="7" t="n">
        <f aca="false">ROUND((C120*ASM!$B$8*ASM!$B$11*(1+ASM!$B$3)+ASM!$B$4+ASM!$B$5+ASM!$B$6)*IF(A120&lt;=7,ASM!$B$7,ASM!$B$17),0)</f>
        <v>1046</v>
      </c>
      <c r="F120" s="10" t="n">
        <f aca="false">CEILING(E120/0.75,5)</f>
        <v>1395</v>
      </c>
      <c r="G120" s="9" t="n">
        <f aca="false">F120*0.75</f>
        <v>1046.25</v>
      </c>
      <c r="H120" s="7" t="n">
        <f aca="false">ROUND((D120+0.45)/(1-ASM!$B$9),0)</f>
        <v>585</v>
      </c>
      <c r="I120" s="7" t="n">
        <f aca="false">ROUND((D120+0.45)/(1-ASM!$B$9-ASM!$B$10),0)</f>
        <v>703</v>
      </c>
      <c r="J120" s="7" t="str">
        <f aca="false">IF(G120&gt;=H120,"OK","FLOOR ALTI")</f>
        <v>OK</v>
      </c>
    </row>
    <row r="121" customFormat="false" ht="15" hidden="false" customHeight="false" outlineLevel="0" collapsed="false">
      <c r="A121" s="7" t="n">
        <v>11</v>
      </c>
      <c r="B121" s="7" t="n">
        <v>6</v>
      </c>
      <c r="C121" s="8" t="n">
        <v>8.26</v>
      </c>
      <c r="D121" s="9" t="n">
        <f aca="false">ROUND(C121*ASM!$B$8*ASM!$B$11*(1+ASM!$B$3)+ASM!$B$4+ASM!$B$5+ASM!$B$6,2)</f>
        <v>544.63</v>
      </c>
      <c r="E121" s="7" t="n">
        <f aca="false">ROUND((C121*ASM!$B$8*ASM!$B$11*(1+ASM!$B$3)+ASM!$B$4+ASM!$B$5+ASM!$B$6)*IF(A121&lt;=7,ASM!$B$7,ASM!$B$17),0)</f>
        <v>1089</v>
      </c>
      <c r="F121" s="10" t="n">
        <f aca="false">CEILING(E121/0.75,5)</f>
        <v>1455</v>
      </c>
      <c r="G121" s="9" t="n">
        <f aca="false">F121*0.75</f>
        <v>1091.25</v>
      </c>
      <c r="H121" s="7" t="n">
        <f aca="false">ROUND((D121+0.45)/(1-ASM!$B$9),0)</f>
        <v>609</v>
      </c>
      <c r="I121" s="7" t="n">
        <f aca="false">ROUND((D121+0.45)/(1-ASM!$B$9-ASM!$B$10),0)</f>
        <v>732</v>
      </c>
      <c r="J121" s="7" t="str">
        <f aca="false">IF(G121&gt;=H121,"OK","FLOOR ALTI")</f>
        <v>OK</v>
      </c>
    </row>
    <row r="122" customFormat="false" ht="15" hidden="false" customHeight="false" outlineLevel="0" collapsed="false">
      <c r="A122" s="7" t="n">
        <v>11</v>
      </c>
      <c r="B122" s="7" t="n">
        <v>7</v>
      </c>
      <c r="C122" s="8" t="n">
        <v>8.62</v>
      </c>
      <c r="D122" s="9" t="n">
        <f aca="false">ROUND(C122*ASM!$B$8*ASM!$B$11*(1+ASM!$B$3)+ASM!$B$4+ASM!$B$5+ASM!$B$6,2)</f>
        <v>565.76</v>
      </c>
      <c r="E122" s="7" t="n">
        <f aca="false">ROUND((C122*ASM!$B$8*ASM!$B$11*(1+ASM!$B$3)+ASM!$B$4+ASM!$B$5+ASM!$B$6)*IF(A122&lt;=7,ASM!$B$7,ASM!$B$17),0)</f>
        <v>1132</v>
      </c>
      <c r="F122" s="10" t="n">
        <f aca="false">CEILING(E122/0.75,5)</f>
        <v>1510</v>
      </c>
      <c r="G122" s="9" t="n">
        <f aca="false">F122*0.75</f>
        <v>1132.5</v>
      </c>
      <c r="H122" s="7" t="n">
        <f aca="false">ROUND((D122+0.45)/(1-ASM!$B$9),0)</f>
        <v>633</v>
      </c>
      <c r="I122" s="7" t="n">
        <f aca="false">ROUND((D122+0.45)/(1-ASM!$B$9-ASM!$B$10),0)</f>
        <v>760</v>
      </c>
      <c r="J122" s="7" t="str">
        <f aca="false">IF(G122&gt;=H122,"OK","FLOOR ALTI")</f>
        <v>OK</v>
      </c>
    </row>
    <row r="123" customFormat="false" ht="15" hidden="false" customHeight="false" outlineLevel="0" collapsed="false">
      <c r="A123" s="7" t="n">
        <v>11</v>
      </c>
      <c r="B123" s="7" t="n">
        <v>8</v>
      </c>
      <c r="C123" s="8" t="n">
        <v>8.99</v>
      </c>
      <c r="D123" s="9" t="n">
        <f aca="false">ROUND(C123*ASM!$B$8*ASM!$B$11*(1+ASM!$B$3)+ASM!$B$4+ASM!$B$5+ASM!$B$6,2)</f>
        <v>587.46</v>
      </c>
      <c r="E123" s="7" t="n">
        <f aca="false">ROUND((C123*ASM!$B$8*ASM!$B$11*(1+ASM!$B$3)+ASM!$B$4+ASM!$B$5+ASM!$B$6)*IF(A123&lt;=7,ASM!$B$7,ASM!$B$17),0)</f>
        <v>1175</v>
      </c>
      <c r="F123" s="10" t="n">
        <f aca="false">CEILING(E123/0.75,5)</f>
        <v>1570</v>
      </c>
      <c r="G123" s="9" t="n">
        <f aca="false">F123*0.75</f>
        <v>1177.5</v>
      </c>
      <c r="H123" s="7" t="n">
        <f aca="false">ROUND((D123+0.45)/(1-ASM!$B$9),0)</f>
        <v>657</v>
      </c>
      <c r="I123" s="7" t="n">
        <f aca="false">ROUND((D123+0.45)/(1-ASM!$B$9-ASM!$B$10),0)</f>
        <v>789</v>
      </c>
      <c r="J123" s="7" t="str">
        <f aca="false">IF(G123&gt;=H123,"OK","FLOOR ALTI")</f>
        <v>OK</v>
      </c>
    </row>
    <row r="124" customFormat="false" ht="15" hidden="false" customHeight="false" outlineLevel="0" collapsed="false">
      <c r="A124" s="7" t="n">
        <v>11</v>
      </c>
      <c r="B124" s="7" t="n">
        <v>9</v>
      </c>
      <c r="C124" s="8" t="n">
        <v>9.35</v>
      </c>
      <c r="D124" s="9" t="n">
        <f aca="false">ROUND(C124*ASM!$B$8*ASM!$B$11*(1+ASM!$B$3)+ASM!$B$4+ASM!$B$5+ASM!$B$6,2)</f>
        <v>608.59</v>
      </c>
      <c r="E124" s="7" t="n">
        <f aca="false">ROUND((C124*ASM!$B$8*ASM!$B$11*(1+ASM!$B$3)+ASM!$B$4+ASM!$B$5+ASM!$B$6)*IF(A124&lt;=7,ASM!$B$7,ASM!$B$17),0)</f>
        <v>1217</v>
      </c>
      <c r="F124" s="10" t="n">
        <f aca="false">CEILING(E124/0.75,5)</f>
        <v>1625</v>
      </c>
      <c r="G124" s="9" t="n">
        <f aca="false">F124*0.75</f>
        <v>1218.75</v>
      </c>
      <c r="H124" s="7" t="n">
        <f aca="false">ROUND((D124+0.45)/(1-ASM!$B$9),0)</f>
        <v>680</v>
      </c>
      <c r="I124" s="7" t="n">
        <f aca="false">ROUND((D124+0.45)/(1-ASM!$B$9-ASM!$B$10),0)</f>
        <v>818</v>
      </c>
      <c r="J124" s="7" t="str">
        <f aca="false">IF(G124&gt;=H124,"OK","FLOOR ALTI")</f>
        <v>OK</v>
      </c>
    </row>
    <row r="125" customFormat="false" ht="15" hidden="false" customHeight="false" outlineLevel="0" collapsed="false">
      <c r="A125" s="7" t="n">
        <v>11</v>
      </c>
      <c r="B125" s="7" t="n">
        <v>10</v>
      </c>
      <c r="C125" s="8" t="n">
        <v>9.72</v>
      </c>
      <c r="D125" s="9" t="n">
        <f aca="false">ROUND(C125*ASM!$B$8*ASM!$B$11*(1+ASM!$B$3)+ASM!$B$4+ASM!$B$5+ASM!$B$6,2)</f>
        <v>630.3</v>
      </c>
      <c r="E125" s="7" t="n">
        <f aca="false">ROUND((C125*ASM!$B$8*ASM!$B$11*(1+ASM!$B$3)+ASM!$B$4+ASM!$B$5+ASM!$B$6)*IF(A125&lt;=7,ASM!$B$7,ASM!$B$17),0)</f>
        <v>1261</v>
      </c>
      <c r="F125" s="10" t="n">
        <f aca="false">CEILING(E125/0.75,5)</f>
        <v>1685</v>
      </c>
      <c r="G125" s="9" t="n">
        <f aca="false">F125*0.75</f>
        <v>1263.75</v>
      </c>
      <c r="H125" s="7" t="n">
        <f aca="false">ROUND((D125+0.45)/(1-ASM!$B$9),0)</f>
        <v>705</v>
      </c>
      <c r="I125" s="7" t="n">
        <f aca="false">ROUND((D125+0.45)/(1-ASM!$B$9-ASM!$B$10),0)</f>
        <v>847</v>
      </c>
      <c r="J125" s="7" t="str">
        <f aca="false">IF(G125&gt;=H125,"OK","FLOOR ALTI")</f>
        <v>OK</v>
      </c>
    </row>
    <row r="126" customFormat="false" ht="15" hidden="false" customHeight="false" outlineLevel="0" collapsed="false">
      <c r="A126" s="7" t="n">
        <v>11</v>
      </c>
      <c r="B126" s="7" t="n">
        <v>11</v>
      </c>
      <c r="C126" s="8" t="n">
        <v>10.08</v>
      </c>
      <c r="D126" s="9" t="n">
        <f aca="false">ROUND(C126*ASM!$B$8*ASM!$B$11*(1+ASM!$B$3)+ASM!$B$4+ASM!$B$5+ASM!$B$6,2)</f>
        <v>651.42</v>
      </c>
      <c r="E126" s="7" t="n">
        <f aca="false">ROUND((C126*ASM!$B$8*ASM!$B$11*(1+ASM!$B$3)+ASM!$B$4+ASM!$B$5+ASM!$B$6)*IF(A126&lt;=7,ASM!$B$7,ASM!$B$17),0)</f>
        <v>1303</v>
      </c>
      <c r="F126" s="10" t="n">
        <f aca="false">CEILING(E126/0.75,5)</f>
        <v>1740</v>
      </c>
      <c r="G126" s="9" t="n">
        <f aca="false">F126*0.75</f>
        <v>1305</v>
      </c>
      <c r="H126" s="7" t="n">
        <f aca="false">ROUND((D126+0.45)/(1-ASM!$B$9),0)</f>
        <v>728</v>
      </c>
      <c r="I126" s="7" t="n">
        <f aca="false">ROUND((D126+0.45)/(1-ASM!$B$9-ASM!$B$10),0)</f>
        <v>875</v>
      </c>
      <c r="J126" s="7" t="str">
        <f aca="false">IF(G126&gt;=H126,"OK","FLOOR ALTI")</f>
        <v>OK</v>
      </c>
    </row>
    <row r="127" customFormat="false" ht="15" hidden="false" customHeight="false" outlineLevel="0" collapsed="false">
      <c r="A127" s="7" t="n">
        <v>11</v>
      </c>
      <c r="B127" s="7" t="n">
        <v>12</v>
      </c>
      <c r="C127" s="8" t="n">
        <v>10.45</v>
      </c>
      <c r="D127" s="9" t="n">
        <f aca="false">ROUND(C127*ASM!$B$8*ASM!$B$11*(1+ASM!$B$3)+ASM!$B$4+ASM!$B$5+ASM!$B$6,2)</f>
        <v>673.13</v>
      </c>
      <c r="E127" s="7" t="n">
        <f aca="false">ROUND((C127*ASM!$B$8*ASM!$B$11*(1+ASM!$B$3)+ASM!$B$4+ASM!$B$5+ASM!$B$6)*IF(A127&lt;=7,ASM!$B$7,ASM!$B$17),0)</f>
        <v>1346</v>
      </c>
      <c r="F127" s="10" t="n">
        <f aca="false">CEILING(E127/0.75,5)</f>
        <v>1795</v>
      </c>
      <c r="G127" s="9" t="n">
        <f aca="false">F127*0.75</f>
        <v>1346.25</v>
      </c>
      <c r="H127" s="7" t="n">
        <f aca="false">ROUND((D127+0.45)/(1-ASM!$B$9),0)</f>
        <v>753</v>
      </c>
      <c r="I127" s="7" t="n">
        <f aca="false">ROUND((D127+0.45)/(1-ASM!$B$9-ASM!$B$10),0)</f>
        <v>904</v>
      </c>
      <c r="J127" s="7" t="str">
        <f aca="false">IF(G127&gt;=H127,"OK","FLOOR ALTI")</f>
        <v>OK</v>
      </c>
    </row>
    <row r="128" customFormat="false" ht="15" hidden="false" customHeight="false" outlineLevel="0" collapsed="false">
      <c r="A128" s="7" t="n">
        <v>11</v>
      </c>
      <c r="B128" s="7" t="n">
        <v>13</v>
      </c>
      <c r="C128" s="8" t="n">
        <v>10.81</v>
      </c>
      <c r="D128" s="9" t="n">
        <f aca="false">ROUND(C128*ASM!$B$8*ASM!$B$11*(1+ASM!$B$3)+ASM!$B$4+ASM!$B$5+ASM!$B$6,2)</f>
        <v>694.25</v>
      </c>
      <c r="E128" s="7" t="n">
        <f aca="false">ROUND((C128*ASM!$B$8*ASM!$B$11*(1+ASM!$B$3)+ASM!$B$4+ASM!$B$5+ASM!$B$6)*IF(A128&lt;=7,ASM!$B$7,ASM!$B$17),0)</f>
        <v>1388</v>
      </c>
      <c r="F128" s="10" t="n">
        <f aca="false">CEILING(E128/0.75,5)</f>
        <v>1855</v>
      </c>
      <c r="G128" s="9" t="n">
        <f aca="false">F128*0.75</f>
        <v>1391.25</v>
      </c>
      <c r="H128" s="7" t="n">
        <f aca="false">ROUND((D128+0.45)/(1-ASM!$B$9),0)</f>
        <v>776</v>
      </c>
      <c r="I128" s="7" t="n">
        <f aca="false">ROUND((D128+0.45)/(1-ASM!$B$9-ASM!$B$10),0)</f>
        <v>932</v>
      </c>
      <c r="J128" s="7" t="str">
        <f aca="false">IF(G128&gt;=H128,"OK","FLOOR ALTI")</f>
        <v>OK</v>
      </c>
    </row>
    <row r="129" customFormat="false" ht="15" hidden="false" customHeight="false" outlineLevel="0" collapsed="false">
      <c r="A129" s="7" t="n">
        <v>11</v>
      </c>
      <c r="B129" s="7" t="n">
        <v>14</v>
      </c>
      <c r="C129" s="8" t="n">
        <v>11.18</v>
      </c>
      <c r="D129" s="9" t="n">
        <f aca="false">ROUND(C129*ASM!$B$8*ASM!$B$11*(1+ASM!$B$3)+ASM!$B$4+ASM!$B$5+ASM!$B$6,2)</f>
        <v>715.96</v>
      </c>
      <c r="E129" s="7" t="n">
        <f aca="false">ROUND((C129*ASM!$B$8*ASM!$B$11*(1+ASM!$B$3)+ASM!$B$4+ASM!$B$5+ASM!$B$6)*IF(A129&lt;=7,ASM!$B$7,ASM!$B$17),0)</f>
        <v>1432</v>
      </c>
      <c r="F129" s="10" t="n">
        <f aca="false">CEILING(E129/0.75,5)</f>
        <v>1910</v>
      </c>
      <c r="G129" s="9" t="n">
        <f aca="false">F129*0.75</f>
        <v>1432.5</v>
      </c>
      <c r="H129" s="7" t="n">
        <f aca="false">ROUND((D129+0.45)/(1-ASM!$B$9),0)</f>
        <v>800</v>
      </c>
      <c r="I129" s="7" t="n">
        <f aca="false">ROUND((D129+0.45)/(1-ASM!$B$9-ASM!$B$10),0)</f>
        <v>962</v>
      </c>
      <c r="J129" s="7" t="str">
        <f aca="false">IF(G129&gt;=H129,"OK","FLOOR ALTI")</f>
        <v>OK</v>
      </c>
    </row>
    <row r="130" customFormat="false" ht="15" hidden="false" customHeight="false" outlineLevel="0" collapsed="false">
      <c r="A130" s="7" t="n">
        <v>11</v>
      </c>
      <c r="B130" s="7" t="n">
        <v>15</v>
      </c>
      <c r="C130" s="8" t="n">
        <v>11.53</v>
      </c>
      <c r="D130" s="9" t="n">
        <f aca="false">ROUND(C130*ASM!$B$8*ASM!$B$11*(1+ASM!$B$3)+ASM!$B$4+ASM!$B$5+ASM!$B$6,2)</f>
        <v>736.49</v>
      </c>
      <c r="E130" s="7" t="n">
        <f aca="false">ROUND((C130*ASM!$B$8*ASM!$B$11*(1+ASM!$B$3)+ASM!$B$4+ASM!$B$5+ASM!$B$6)*IF(A130&lt;=7,ASM!$B$7,ASM!$B$17),0)</f>
        <v>1473</v>
      </c>
      <c r="F130" s="10" t="n">
        <f aca="false">CEILING(E130/0.75,5)</f>
        <v>1965</v>
      </c>
      <c r="G130" s="9" t="n">
        <f aca="false">F130*0.75</f>
        <v>1473.75</v>
      </c>
      <c r="H130" s="7" t="n">
        <f aca="false">ROUND((D130+0.45)/(1-ASM!$B$9),0)</f>
        <v>823</v>
      </c>
      <c r="I130" s="7" t="n">
        <f aca="false">ROUND((D130+0.45)/(1-ASM!$B$9-ASM!$B$10),0)</f>
        <v>989</v>
      </c>
      <c r="J130" s="7" t="str">
        <f aca="false">IF(G130&gt;=H130,"OK","FLOOR ALTI")</f>
        <v>OK</v>
      </c>
    </row>
    <row r="131" customFormat="false" ht="15" hidden="false" customHeight="false" outlineLevel="0" collapsed="false">
      <c r="A131" s="7" t="n">
        <v>11</v>
      </c>
      <c r="B131" s="7" t="n">
        <v>16</v>
      </c>
      <c r="C131" s="8" t="n">
        <v>11.91</v>
      </c>
      <c r="D131" s="9" t="n">
        <f aca="false">ROUND(C131*ASM!$B$8*ASM!$B$11*(1+ASM!$B$3)+ASM!$B$4+ASM!$B$5+ASM!$B$6,2)</f>
        <v>758.79</v>
      </c>
      <c r="E131" s="7" t="n">
        <f aca="false">ROUND((C131*ASM!$B$8*ASM!$B$11*(1+ASM!$B$3)+ASM!$B$4+ASM!$B$5+ASM!$B$6)*IF(A131&lt;=7,ASM!$B$7,ASM!$B$17),0)</f>
        <v>1518</v>
      </c>
      <c r="F131" s="10" t="n">
        <f aca="false">CEILING(E131/0.75,5)</f>
        <v>2025</v>
      </c>
      <c r="G131" s="9" t="n">
        <f aca="false">F131*0.75</f>
        <v>1518.75</v>
      </c>
      <c r="H131" s="7" t="n">
        <f aca="false">ROUND((D131+0.45)/(1-ASM!$B$9),0)</f>
        <v>848</v>
      </c>
      <c r="I131" s="7" t="n">
        <f aca="false">ROUND((D131+0.45)/(1-ASM!$B$9-ASM!$B$10),0)</f>
        <v>1019</v>
      </c>
      <c r="J131" s="7" t="str">
        <f aca="false">IF(G131&gt;=H131,"OK","FLOOR ALTI")</f>
        <v>OK</v>
      </c>
    </row>
    <row r="132" customFormat="false" ht="15" hidden="false" customHeight="false" outlineLevel="0" collapsed="false">
      <c r="A132" s="7" t="n">
        <v>12</v>
      </c>
      <c r="B132" s="7" t="n">
        <v>4</v>
      </c>
      <c r="C132" s="8" t="n">
        <v>8.21</v>
      </c>
      <c r="D132" s="9" t="n">
        <f aca="false">ROUND(C132*ASM!$B$8*ASM!$B$11*(1+ASM!$B$3)+ASM!$B$4+ASM!$B$5+ASM!$B$6,2)</f>
        <v>541.7</v>
      </c>
      <c r="E132" s="7" t="n">
        <f aca="false">ROUND((C132*ASM!$B$8*ASM!$B$11*(1+ASM!$B$3)+ASM!$B$4+ASM!$B$5+ASM!$B$6)*IF(A132&lt;=7,ASM!$B$7,ASM!$B$17),0)</f>
        <v>1083</v>
      </c>
      <c r="F132" s="10" t="n">
        <f aca="false">CEILING(E132/0.75,5)</f>
        <v>1445</v>
      </c>
      <c r="G132" s="9" t="n">
        <f aca="false">F132*0.75</f>
        <v>1083.75</v>
      </c>
      <c r="H132" s="7" t="n">
        <f aca="false">ROUND((D132+0.45)/(1-ASM!$B$9),0)</f>
        <v>606</v>
      </c>
      <c r="I132" s="7" t="n">
        <f aca="false">ROUND((D132+0.45)/(1-ASM!$B$9-ASM!$B$10),0)</f>
        <v>728</v>
      </c>
      <c r="J132" s="7" t="str">
        <f aca="false">IF(G132&gt;=H132,"OK","FLOOR ALTI")</f>
        <v>OK</v>
      </c>
    </row>
    <row r="133" customFormat="false" ht="15" hidden="false" customHeight="false" outlineLevel="0" collapsed="false">
      <c r="A133" s="7" t="n">
        <v>12</v>
      </c>
      <c r="B133" s="7" t="n">
        <v>5</v>
      </c>
      <c r="C133" s="8" t="n">
        <v>8.61</v>
      </c>
      <c r="D133" s="9" t="n">
        <f aca="false">ROUND(C133*ASM!$B$8*ASM!$B$11*(1+ASM!$B$3)+ASM!$B$4+ASM!$B$5+ASM!$B$6,2)</f>
        <v>565.17</v>
      </c>
      <c r="E133" s="7" t="n">
        <f aca="false">ROUND((C133*ASM!$B$8*ASM!$B$11*(1+ASM!$B$3)+ASM!$B$4+ASM!$B$5+ASM!$B$6)*IF(A133&lt;=7,ASM!$B$7,ASM!$B$17),0)</f>
        <v>1130</v>
      </c>
      <c r="F133" s="10" t="n">
        <f aca="false">CEILING(E133/0.75,5)</f>
        <v>1510</v>
      </c>
      <c r="G133" s="9" t="n">
        <f aca="false">F133*0.75</f>
        <v>1132.5</v>
      </c>
      <c r="H133" s="7" t="n">
        <f aca="false">ROUND((D133+0.45)/(1-ASM!$B$9),0)</f>
        <v>632</v>
      </c>
      <c r="I133" s="7" t="n">
        <f aca="false">ROUND((D133+0.45)/(1-ASM!$B$9-ASM!$B$10),0)</f>
        <v>759</v>
      </c>
      <c r="J133" s="7" t="str">
        <f aca="false">IF(G133&gt;=H133,"OK","FLOOR ALTI")</f>
        <v>OK</v>
      </c>
    </row>
    <row r="134" customFormat="false" ht="15" hidden="false" customHeight="false" outlineLevel="0" collapsed="false">
      <c r="A134" s="7" t="n">
        <v>12</v>
      </c>
      <c r="B134" s="7" t="n">
        <v>6</v>
      </c>
      <c r="C134" s="8" t="n">
        <v>9.01</v>
      </c>
      <c r="D134" s="9" t="n">
        <f aca="false">ROUND(C134*ASM!$B$8*ASM!$B$11*(1+ASM!$B$3)+ASM!$B$4+ASM!$B$5+ASM!$B$6,2)</f>
        <v>588.64</v>
      </c>
      <c r="E134" s="7" t="n">
        <f aca="false">ROUND((C134*ASM!$B$8*ASM!$B$11*(1+ASM!$B$3)+ASM!$B$4+ASM!$B$5+ASM!$B$6)*IF(A134&lt;=7,ASM!$B$7,ASM!$B$17),0)</f>
        <v>1177</v>
      </c>
      <c r="F134" s="10" t="n">
        <f aca="false">CEILING(E134/0.75,5)</f>
        <v>1570</v>
      </c>
      <c r="G134" s="9" t="n">
        <f aca="false">F134*0.75</f>
        <v>1177.5</v>
      </c>
      <c r="H134" s="7" t="n">
        <f aca="false">ROUND((D134+0.45)/(1-ASM!$B$9),0)</f>
        <v>658</v>
      </c>
      <c r="I134" s="7" t="n">
        <f aca="false">ROUND((D134+0.45)/(1-ASM!$B$9-ASM!$B$10),0)</f>
        <v>791</v>
      </c>
      <c r="J134" s="7" t="str">
        <f aca="false">IF(G134&gt;=H134,"OK","FLOOR ALTI")</f>
        <v>OK</v>
      </c>
    </row>
    <row r="135" customFormat="false" ht="15" hidden="false" customHeight="false" outlineLevel="0" collapsed="false">
      <c r="A135" s="7" t="n">
        <v>12</v>
      </c>
      <c r="B135" s="7" t="n">
        <v>7</v>
      </c>
      <c r="C135" s="8" t="n">
        <v>9.41</v>
      </c>
      <c r="D135" s="9" t="n">
        <f aca="false">ROUND(C135*ASM!$B$8*ASM!$B$11*(1+ASM!$B$3)+ASM!$B$4+ASM!$B$5+ASM!$B$6,2)</f>
        <v>612.11</v>
      </c>
      <c r="E135" s="7" t="n">
        <f aca="false">ROUND((C135*ASM!$B$8*ASM!$B$11*(1+ASM!$B$3)+ASM!$B$4+ASM!$B$5+ASM!$B$6)*IF(A135&lt;=7,ASM!$B$7,ASM!$B$17),0)</f>
        <v>1224</v>
      </c>
      <c r="F135" s="10" t="n">
        <f aca="false">CEILING(E135/0.75,5)</f>
        <v>1635</v>
      </c>
      <c r="G135" s="9" t="n">
        <f aca="false">F135*0.75</f>
        <v>1226.25</v>
      </c>
      <c r="H135" s="7" t="n">
        <f aca="false">ROUND((D135+0.45)/(1-ASM!$B$9),0)</f>
        <v>684</v>
      </c>
      <c r="I135" s="7" t="n">
        <f aca="false">ROUND((D135+0.45)/(1-ASM!$B$9-ASM!$B$10),0)</f>
        <v>822</v>
      </c>
      <c r="J135" s="7" t="str">
        <f aca="false">IF(G135&gt;=H135,"OK","FLOOR ALTI")</f>
        <v>OK</v>
      </c>
    </row>
    <row r="136" customFormat="false" ht="15" hidden="false" customHeight="false" outlineLevel="0" collapsed="false">
      <c r="A136" s="7" t="n">
        <v>12</v>
      </c>
      <c r="B136" s="7" t="n">
        <v>8</v>
      </c>
      <c r="C136" s="8" t="n">
        <v>9.8</v>
      </c>
      <c r="D136" s="9" t="n">
        <f aca="false">ROUND(C136*ASM!$B$8*ASM!$B$11*(1+ASM!$B$3)+ASM!$B$4+ASM!$B$5+ASM!$B$6,2)</f>
        <v>634.99</v>
      </c>
      <c r="E136" s="7" t="n">
        <f aca="false">ROUND((C136*ASM!$B$8*ASM!$B$11*(1+ASM!$B$3)+ASM!$B$4+ASM!$B$5+ASM!$B$6)*IF(A136&lt;=7,ASM!$B$7,ASM!$B$17),0)</f>
        <v>1270</v>
      </c>
      <c r="F136" s="10" t="n">
        <f aca="false">CEILING(E136/0.75,5)</f>
        <v>1695</v>
      </c>
      <c r="G136" s="9" t="n">
        <f aca="false">F136*0.75</f>
        <v>1271.25</v>
      </c>
      <c r="H136" s="7" t="n">
        <f aca="false">ROUND((D136+0.45)/(1-ASM!$B$9),0)</f>
        <v>710</v>
      </c>
      <c r="I136" s="7" t="n">
        <f aca="false">ROUND((D136+0.45)/(1-ASM!$B$9-ASM!$B$10),0)</f>
        <v>853</v>
      </c>
      <c r="J136" s="7" t="str">
        <f aca="false">IF(G136&gt;=H136,"OK","FLOOR ALTI")</f>
        <v>OK</v>
      </c>
    </row>
    <row r="137" customFormat="false" ht="15" hidden="false" customHeight="false" outlineLevel="0" collapsed="false">
      <c r="A137" s="7" t="n">
        <v>12</v>
      </c>
      <c r="B137" s="7" t="n">
        <v>9</v>
      </c>
      <c r="C137" s="8" t="n">
        <v>10.2</v>
      </c>
      <c r="D137" s="9" t="n">
        <f aca="false">ROUND(C137*ASM!$B$8*ASM!$B$11*(1+ASM!$B$3)+ASM!$B$4+ASM!$B$5+ASM!$B$6,2)</f>
        <v>658.46</v>
      </c>
      <c r="E137" s="7" t="n">
        <f aca="false">ROUND((C137*ASM!$B$8*ASM!$B$11*(1+ASM!$B$3)+ASM!$B$4+ASM!$B$5+ASM!$B$6)*IF(A137&lt;=7,ASM!$B$7,ASM!$B$17),0)</f>
        <v>1317</v>
      </c>
      <c r="F137" s="10" t="n">
        <f aca="false">CEILING(E137/0.75,5)</f>
        <v>1760</v>
      </c>
      <c r="G137" s="9" t="n">
        <f aca="false">F137*0.75</f>
        <v>1320</v>
      </c>
      <c r="H137" s="7" t="n">
        <f aca="false">ROUND((D137+0.45)/(1-ASM!$B$9),0)</f>
        <v>736</v>
      </c>
      <c r="I137" s="7" t="n">
        <f aca="false">ROUND((D137+0.45)/(1-ASM!$B$9-ASM!$B$10),0)</f>
        <v>884</v>
      </c>
      <c r="J137" s="7" t="str">
        <f aca="false">IF(G137&gt;=H137,"OK","FLOOR ALTI")</f>
        <v>OK</v>
      </c>
    </row>
    <row r="138" customFormat="false" ht="15" hidden="false" customHeight="false" outlineLevel="0" collapsed="false">
      <c r="A138" s="7" t="n">
        <v>12</v>
      </c>
      <c r="B138" s="7" t="n">
        <v>10</v>
      </c>
      <c r="C138" s="8" t="n">
        <v>10.6</v>
      </c>
      <c r="D138" s="9" t="n">
        <f aca="false">ROUND(C138*ASM!$B$8*ASM!$B$11*(1+ASM!$B$3)+ASM!$B$4+ASM!$B$5+ASM!$B$6,2)</f>
        <v>681.93</v>
      </c>
      <c r="E138" s="7" t="n">
        <f aca="false">ROUND((C138*ASM!$B$8*ASM!$B$11*(1+ASM!$B$3)+ASM!$B$4+ASM!$B$5+ASM!$B$6)*IF(A138&lt;=7,ASM!$B$7,ASM!$B$17),0)</f>
        <v>1364</v>
      </c>
      <c r="F138" s="10" t="n">
        <f aca="false">CEILING(E138/0.75,5)</f>
        <v>1820</v>
      </c>
      <c r="G138" s="9" t="n">
        <f aca="false">F138*0.75</f>
        <v>1365</v>
      </c>
      <c r="H138" s="7" t="n">
        <f aca="false">ROUND((D138+0.45)/(1-ASM!$B$9),0)</f>
        <v>762</v>
      </c>
      <c r="I138" s="7" t="n">
        <f aca="false">ROUND((D138+0.45)/(1-ASM!$B$9-ASM!$B$10),0)</f>
        <v>916</v>
      </c>
      <c r="J138" s="7" t="str">
        <f aca="false">IF(G138&gt;=H138,"OK","FLOOR ALTI")</f>
        <v>OK</v>
      </c>
    </row>
    <row r="139" customFormat="false" ht="15" hidden="false" customHeight="false" outlineLevel="0" collapsed="false">
      <c r="A139" s="7" t="n">
        <v>12</v>
      </c>
      <c r="B139" s="7" t="n">
        <v>11</v>
      </c>
      <c r="C139" s="8" t="n">
        <v>11</v>
      </c>
      <c r="D139" s="9" t="n">
        <f aca="false">ROUND(C139*ASM!$B$8*ASM!$B$11*(1+ASM!$B$3)+ASM!$B$4+ASM!$B$5+ASM!$B$6,2)</f>
        <v>705.4</v>
      </c>
      <c r="E139" s="7" t="n">
        <f aca="false">ROUND((C139*ASM!$B$8*ASM!$B$11*(1+ASM!$B$3)+ASM!$B$4+ASM!$B$5+ASM!$B$6)*IF(A139&lt;=7,ASM!$B$7,ASM!$B$17),0)</f>
        <v>1411</v>
      </c>
      <c r="F139" s="10" t="n">
        <f aca="false">CEILING(E139/0.75,5)</f>
        <v>1885</v>
      </c>
      <c r="G139" s="9" t="n">
        <f aca="false">F139*0.75</f>
        <v>1413.75</v>
      </c>
      <c r="H139" s="7" t="n">
        <f aca="false">ROUND((D139+0.45)/(1-ASM!$B$9),0)</f>
        <v>789</v>
      </c>
      <c r="I139" s="7" t="n">
        <f aca="false">ROUND((D139+0.45)/(1-ASM!$B$9-ASM!$B$10),0)</f>
        <v>947</v>
      </c>
      <c r="J139" s="7" t="str">
        <f aca="false">IF(G139&gt;=H139,"OK","FLOOR ALTI")</f>
        <v>OK</v>
      </c>
    </row>
    <row r="140" customFormat="false" ht="15" hidden="false" customHeight="false" outlineLevel="0" collapsed="false">
      <c r="A140" s="7" t="n">
        <v>12</v>
      </c>
      <c r="B140" s="7" t="n">
        <v>12</v>
      </c>
      <c r="C140" s="8" t="n">
        <v>11.4</v>
      </c>
      <c r="D140" s="9" t="n">
        <f aca="false">ROUND(C140*ASM!$B$8*ASM!$B$11*(1+ASM!$B$3)+ASM!$B$4+ASM!$B$5+ASM!$B$6,2)</f>
        <v>728.87</v>
      </c>
      <c r="E140" s="7" t="n">
        <f aca="false">ROUND((C140*ASM!$B$8*ASM!$B$11*(1+ASM!$B$3)+ASM!$B$4+ASM!$B$5+ASM!$B$6)*IF(A140&lt;=7,ASM!$B$7,ASM!$B$17),0)</f>
        <v>1458</v>
      </c>
      <c r="F140" s="10" t="n">
        <f aca="false">CEILING(E140/0.75,5)</f>
        <v>1945</v>
      </c>
      <c r="G140" s="9" t="n">
        <f aca="false">F140*0.75</f>
        <v>1458.75</v>
      </c>
      <c r="H140" s="7" t="n">
        <f aca="false">ROUND((D140+0.45)/(1-ASM!$B$9),0)</f>
        <v>815</v>
      </c>
      <c r="I140" s="7" t="n">
        <f aca="false">ROUND((D140+0.45)/(1-ASM!$B$9-ASM!$B$10),0)</f>
        <v>979</v>
      </c>
      <c r="J140" s="7" t="str">
        <f aca="false">IF(G140&gt;=H140,"OK","FLOOR ALTI")</f>
        <v>OK</v>
      </c>
    </row>
    <row r="141" customFormat="false" ht="15" hidden="false" customHeight="false" outlineLevel="0" collapsed="false">
      <c r="A141" s="7" t="n">
        <v>12</v>
      </c>
      <c r="B141" s="7" t="n">
        <v>13</v>
      </c>
      <c r="C141" s="8" t="n">
        <v>11.79</v>
      </c>
      <c r="D141" s="9" t="n">
        <f aca="false">ROUND(C141*ASM!$B$8*ASM!$B$11*(1+ASM!$B$3)+ASM!$B$4+ASM!$B$5+ASM!$B$6,2)</f>
        <v>751.75</v>
      </c>
      <c r="E141" s="7" t="n">
        <f aca="false">ROUND((C141*ASM!$B$8*ASM!$B$11*(1+ASM!$B$3)+ASM!$B$4+ASM!$B$5+ASM!$B$6)*IF(A141&lt;=7,ASM!$B$7,ASM!$B$17),0)</f>
        <v>1503</v>
      </c>
      <c r="F141" s="10" t="n">
        <f aca="false">CEILING(E141/0.75,5)</f>
        <v>2005</v>
      </c>
      <c r="G141" s="9" t="n">
        <f aca="false">F141*0.75</f>
        <v>1503.75</v>
      </c>
      <c r="H141" s="7" t="n">
        <f aca="false">ROUND((D141+0.45)/(1-ASM!$B$9),0)</f>
        <v>840</v>
      </c>
      <c r="I141" s="7" t="n">
        <f aca="false">ROUND((D141+0.45)/(1-ASM!$B$9-ASM!$B$10),0)</f>
        <v>1010</v>
      </c>
      <c r="J141" s="7" t="str">
        <f aca="false">IF(G141&gt;=H141,"OK","FLOOR ALTI")</f>
        <v>OK</v>
      </c>
    </row>
    <row r="142" customFormat="false" ht="15" hidden="false" customHeight="false" outlineLevel="0" collapsed="false">
      <c r="A142" s="7" t="n">
        <v>12</v>
      </c>
      <c r="B142" s="7" t="n">
        <v>14</v>
      </c>
      <c r="C142" s="8" t="n">
        <v>12.19</v>
      </c>
      <c r="D142" s="9" t="n">
        <f aca="false">ROUND(C142*ASM!$B$8*ASM!$B$11*(1+ASM!$B$3)+ASM!$B$4+ASM!$B$5+ASM!$B$6,2)</f>
        <v>775.22</v>
      </c>
      <c r="E142" s="7" t="n">
        <f aca="false">ROUND((C142*ASM!$B$8*ASM!$B$11*(1+ASM!$B$3)+ASM!$B$4+ASM!$B$5+ASM!$B$6)*IF(A142&lt;=7,ASM!$B$7,ASM!$B$17),0)</f>
        <v>1550</v>
      </c>
      <c r="F142" s="10" t="n">
        <f aca="false">CEILING(E142/0.75,5)</f>
        <v>2070</v>
      </c>
      <c r="G142" s="9" t="n">
        <f aca="false">F142*0.75</f>
        <v>1552.5</v>
      </c>
      <c r="H142" s="7" t="n">
        <f aca="false">ROUND((D142+0.45)/(1-ASM!$B$9),0)</f>
        <v>867</v>
      </c>
      <c r="I142" s="7" t="n">
        <f aca="false">ROUND((D142+0.45)/(1-ASM!$B$9-ASM!$B$10),0)</f>
        <v>1041</v>
      </c>
      <c r="J142" s="7" t="str">
        <f aca="false">IF(G142&gt;=H142,"OK","FLOOR ALTI")</f>
        <v>OK</v>
      </c>
    </row>
    <row r="143" customFormat="false" ht="15" hidden="false" customHeight="false" outlineLevel="0" collapsed="false">
      <c r="A143" s="7" t="n">
        <v>12</v>
      </c>
      <c r="B143" s="7" t="n">
        <v>15</v>
      </c>
      <c r="C143" s="8" t="n">
        <v>12.59</v>
      </c>
      <c r="D143" s="9" t="n">
        <f aca="false">ROUND(C143*ASM!$B$8*ASM!$B$11*(1+ASM!$B$3)+ASM!$B$4+ASM!$B$5+ASM!$B$6,2)</f>
        <v>798.69</v>
      </c>
      <c r="E143" s="7" t="n">
        <f aca="false">ROUND((C143*ASM!$B$8*ASM!$B$11*(1+ASM!$B$3)+ASM!$B$4+ASM!$B$5+ASM!$B$6)*IF(A143&lt;=7,ASM!$B$7,ASM!$B$17),0)</f>
        <v>1597</v>
      </c>
      <c r="F143" s="10" t="n">
        <f aca="false">CEILING(E143/0.75,5)</f>
        <v>2130</v>
      </c>
      <c r="G143" s="9" t="n">
        <f aca="false">F143*0.75</f>
        <v>1597.5</v>
      </c>
      <c r="H143" s="7" t="n">
        <f aca="false">ROUND((D143+0.45)/(1-ASM!$B$9),0)</f>
        <v>893</v>
      </c>
      <c r="I143" s="7" t="n">
        <f aca="false">ROUND((D143+0.45)/(1-ASM!$B$9-ASM!$B$10),0)</f>
        <v>1073</v>
      </c>
      <c r="J143" s="7" t="str">
        <f aca="false">IF(G143&gt;=H143,"OK","FLOOR ALTI")</f>
        <v>OK</v>
      </c>
    </row>
    <row r="144" customFormat="false" ht="15" hidden="false" customHeight="false" outlineLevel="0" collapsed="false">
      <c r="A144" s="7" t="n">
        <v>12</v>
      </c>
      <c r="B144" s="7" t="n">
        <v>16</v>
      </c>
      <c r="C144" s="8" t="n">
        <v>12.99</v>
      </c>
      <c r="D144" s="9" t="n">
        <f aca="false">ROUND(C144*ASM!$B$8*ASM!$B$11*(1+ASM!$B$3)+ASM!$B$4+ASM!$B$5+ASM!$B$6,2)</f>
        <v>822.15</v>
      </c>
      <c r="E144" s="7" t="n">
        <f aca="false">ROUND((C144*ASM!$B$8*ASM!$B$11*(1+ASM!$B$3)+ASM!$B$4+ASM!$B$5+ASM!$B$6)*IF(A144&lt;=7,ASM!$B$7,ASM!$B$17),0)</f>
        <v>1644</v>
      </c>
      <c r="F144" s="10" t="n">
        <f aca="false">CEILING(E144/0.75,5)</f>
        <v>2195</v>
      </c>
      <c r="G144" s="9" t="n">
        <f aca="false">F144*0.75</f>
        <v>1646.25</v>
      </c>
      <c r="H144" s="7" t="n">
        <f aca="false">ROUND((D144+0.45)/(1-ASM!$B$9),0)</f>
        <v>919</v>
      </c>
      <c r="I144" s="7" t="n">
        <f aca="false">ROUND((D144+0.45)/(1-ASM!$B$9-ASM!$B$10),0)</f>
        <v>1104</v>
      </c>
      <c r="J144" s="7" t="str">
        <f aca="false">IF(G144&gt;=H144,"OK","FLOOR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</row>
    <row r="2" customFormat="false" ht="15" hidden="false" customHeight="false" outlineLevel="0" collapsed="false">
      <c r="A2" s="7" t="n">
        <v>2</v>
      </c>
      <c r="B2" s="7" t="n">
        <v>4</v>
      </c>
      <c r="C2" s="8" t="n">
        <v>1.56</v>
      </c>
      <c r="D2" s="9" t="n">
        <f aca="false">ROUND(C2*ASM!$B$8*ASM!$B$12*(1+ASM!$B$3)+ASM!$B$4+ASM!$B$5+ASM!$B$6,2)</f>
        <v>187.96</v>
      </c>
      <c r="E2" s="7" t="n">
        <f aca="false">ROUND((C2*ASM!$B$8*ASM!$B$12*(1+ASM!$B$3)+ASM!$B$4+ASM!$B$5+ASM!$B$6)*IF(A2&lt;=7,ASM!$B$7,ASM!$B$17),0)</f>
        <v>291</v>
      </c>
      <c r="F2" s="10" t="n">
        <f aca="false">CEILING(E2/0.75,5)</f>
        <v>390</v>
      </c>
      <c r="G2" s="9" t="n">
        <f aca="false">F2*0.75</f>
        <v>292.5</v>
      </c>
      <c r="H2" s="7" t="n">
        <f aca="false">ROUND((D2+0.45)/(1-ASM!$B$9),0)</f>
        <v>211</v>
      </c>
      <c r="I2" s="7" t="n">
        <f aca="false">ROUND((D2+0.45)/(1-ASM!$B$9-ASM!$B$10),0)</f>
        <v>253</v>
      </c>
      <c r="J2" s="7" t="str">
        <f aca="false">IF(G2&gt;=H2,"OK","FLOOR ALTI")</f>
        <v>OK</v>
      </c>
    </row>
    <row r="3" customFormat="false" ht="15" hidden="false" customHeight="false" outlineLevel="0" collapsed="false">
      <c r="A3" s="7" t="n">
        <v>2</v>
      </c>
      <c r="B3" s="7" t="n">
        <v>5</v>
      </c>
      <c r="C3" s="8" t="n">
        <v>1.63</v>
      </c>
      <c r="D3" s="9" t="n">
        <f aca="false">ROUND(C3*ASM!$B$8*ASM!$B$12*(1+ASM!$B$3)+ASM!$B$4+ASM!$B$5+ASM!$B$6,2)</f>
        <v>193.71</v>
      </c>
      <c r="E3" s="7" t="n">
        <f aca="false">ROUND((C3*ASM!$B$8*ASM!$B$12*(1+ASM!$B$3)+ASM!$B$4+ASM!$B$5+ASM!$B$6)*IF(A3&lt;=7,ASM!$B$7,ASM!$B$17),0)</f>
        <v>300</v>
      </c>
      <c r="F3" s="10" t="n">
        <f aca="false">CEILING(E3/0.75,5)</f>
        <v>400</v>
      </c>
      <c r="G3" s="9" t="n">
        <f aca="false">F3*0.75</f>
        <v>300</v>
      </c>
      <c r="H3" s="7" t="n">
        <f aca="false">ROUND((D3+0.45)/(1-ASM!$B$9),0)</f>
        <v>217</v>
      </c>
      <c r="I3" s="7" t="n">
        <f aca="false">ROUND((D3+0.45)/(1-ASM!$B$9-ASM!$B$10),0)</f>
        <v>261</v>
      </c>
      <c r="J3" s="7" t="str">
        <f aca="false">IF(G3&gt;=H3,"OK","FLOOR ALTI")</f>
        <v>OK</v>
      </c>
    </row>
    <row r="4" customFormat="false" ht="15" hidden="false" customHeight="false" outlineLevel="0" collapsed="false">
      <c r="A4" s="7" t="n">
        <v>2</v>
      </c>
      <c r="B4" s="7" t="n">
        <v>6</v>
      </c>
      <c r="C4" s="8" t="n">
        <v>1.71</v>
      </c>
      <c r="D4" s="9" t="n">
        <f aca="false">ROUND(C4*ASM!$B$8*ASM!$B$12*(1+ASM!$B$3)+ASM!$B$4+ASM!$B$5+ASM!$B$6,2)</f>
        <v>200.27</v>
      </c>
      <c r="E4" s="7" t="n">
        <f aca="false">ROUND((C4*ASM!$B$8*ASM!$B$12*(1+ASM!$B$3)+ASM!$B$4+ASM!$B$5+ASM!$B$6)*IF(A4&lt;=7,ASM!$B$7,ASM!$B$17),0)</f>
        <v>310</v>
      </c>
      <c r="F4" s="10" t="n">
        <f aca="false">CEILING(E4/0.75,5)</f>
        <v>415</v>
      </c>
      <c r="G4" s="9" t="n">
        <f aca="false">F4*0.75</f>
        <v>311.25</v>
      </c>
      <c r="H4" s="7" t="n">
        <f aca="false">ROUND((D4+0.45)/(1-ASM!$B$9),0)</f>
        <v>224</v>
      </c>
      <c r="I4" s="7" t="n">
        <f aca="false">ROUND((D4+0.45)/(1-ASM!$B$9-ASM!$B$10),0)</f>
        <v>269</v>
      </c>
      <c r="J4" s="7" t="str">
        <f aca="false">IF(G4&gt;=H4,"OK","FLOOR ALTI")</f>
        <v>OK</v>
      </c>
    </row>
    <row r="5" customFormat="false" ht="15" hidden="false" customHeight="false" outlineLevel="0" collapsed="false">
      <c r="A5" s="7" t="n">
        <v>2</v>
      </c>
      <c r="B5" s="7" t="n">
        <v>7</v>
      </c>
      <c r="C5" s="8" t="n">
        <v>1.78</v>
      </c>
      <c r="D5" s="9" t="n">
        <f aca="false">ROUND(C5*ASM!$B$8*ASM!$B$12*(1+ASM!$B$3)+ASM!$B$4+ASM!$B$5+ASM!$B$6,2)</f>
        <v>206.01</v>
      </c>
      <c r="E5" s="7" t="n">
        <f aca="false">ROUND((C5*ASM!$B$8*ASM!$B$12*(1+ASM!$B$3)+ASM!$B$4+ASM!$B$5+ASM!$B$6)*IF(A5&lt;=7,ASM!$B$7,ASM!$B$17),0)</f>
        <v>319</v>
      </c>
      <c r="F5" s="10" t="n">
        <f aca="false">CEILING(E5/0.75,5)</f>
        <v>430</v>
      </c>
      <c r="G5" s="9" t="n">
        <f aca="false">F5*0.75</f>
        <v>322.5</v>
      </c>
      <c r="H5" s="7" t="n">
        <f aca="false">ROUND((D5+0.45)/(1-ASM!$B$9),0)</f>
        <v>231</v>
      </c>
      <c r="I5" s="7" t="n">
        <f aca="false">ROUND((D5+0.45)/(1-ASM!$B$9-ASM!$B$10),0)</f>
        <v>277</v>
      </c>
      <c r="J5" s="7" t="str">
        <f aca="false">IF(G5&gt;=H5,"OK","FLOOR ALTI")</f>
        <v>OK</v>
      </c>
    </row>
    <row r="6" customFormat="false" ht="15" hidden="false" customHeight="false" outlineLevel="0" collapsed="false">
      <c r="A6" s="7" t="n">
        <v>2</v>
      </c>
      <c r="B6" s="7" t="n">
        <v>8</v>
      </c>
      <c r="C6" s="8" t="n">
        <v>1.86</v>
      </c>
      <c r="D6" s="9" t="n">
        <f aca="false">ROUND(C6*ASM!$B$8*ASM!$B$12*(1+ASM!$B$3)+ASM!$B$4+ASM!$B$5+ASM!$B$6,2)</f>
        <v>212.57</v>
      </c>
      <c r="E6" s="7" t="n">
        <f aca="false">ROUND((C6*ASM!$B$8*ASM!$B$12*(1+ASM!$B$3)+ASM!$B$4+ASM!$B$5+ASM!$B$6)*IF(A6&lt;=7,ASM!$B$7,ASM!$B$17),0)</f>
        <v>329</v>
      </c>
      <c r="F6" s="10" t="n">
        <f aca="false">CEILING(E6/0.75,5)</f>
        <v>440</v>
      </c>
      <c r="G6" s="9" t="n">
        <f aca="false">F6*0.75</f>
        <v>330</v>
      </c>
      <c r="H6" s="7" t="n">
        <f aca="false">ROUND((D6+0.45)/(1-ASM!$B$9),0)</f>
        <v>238</v>
      </c>
      <c r="I6" s="7" t="n">
        <f aca="false">ROUND((D6+0.45)/(1-ASM!$B$9-ASM!$B$10),0)</f>
        <v>286</v>
      </c>
      <c r="J6" s="7" t="str">
        <f aca="false">IF(G6&gt;=H6,"OK","FLOOR ALTI")</f>
        <v>OK</v>
      </c>
    </row>
    <row r="7" customFormat="false" ht="15" hidden="false" customHeight="false" outlineLevel="0" collapsed="false">
      <c r="A7" s="7" t="n">
        <v>2</v>
      </c>
      <c r="B7" s="7" t="n">
        <v>9</v>
      </c>
      <c r="C7" s="8" t="n">
        <v>1.93</v>
      </c>
      <c r="D7" s="9" t="n">
        <f aca="false">ROUND(C7*ASM!$B$8*ASM!$B$12*(1+ASM!$B$3)+ASM!$B$4+ASM!$B$5+ASM!$B$6,2)</f>
        <v>218.32</v>
      </c>
      <c r="E7" s="7" t="n">
        <f aca="false">ROUND((C7*ASM!$B$8*ASM!$B$12*(1+ASM!$B$3)+ASM!$B$4+ASM!$B$5+ASM!$B$6)*IF(A7&lt;=7,ASM!$B$7,ASM!$B$17),0)</f>
        <v>338</v>
      </c>
      <c r="F7" s="10" t="n">
        <f aca="false">CEILING(E7/0.75,5)</f>
        <v>455</v>
      </c>
      <c r="G7" s="9" t="n">
        <f aca="false">F7*0.75</f>
        <v>341.25</v>
      </c>
      <c r="H7" s="7" t="n">
        <f aca="false">ROUND((D7+0.45)/(1-ASM!$B$9),0)</f>
        <v>244</v>
      </c>
      <c r="I7" s="7" t="n">
        <f aca="false">ROUND((D7+0.45)/(1-ASM!$B$9-ASM!$B$10),0)</f>
        <v>294</v>
      </c>
      <c r="J7" s="7" t="str">
        <f aca="false">IF(G7&gt;=H7,"OK","FLOOR ALTI")</f>
        <v>OK</v>
      </c>
    </row>
    <row r="8" customFormat="false" ht="15" hidden="false" customHeight="false" outlineLevel="0" collapsed="false">
      <c r="A8" s="7" t="n">
        <v>2</v>
      </c>
      <c r="B8" s="7" t="n">
        <v>10</v>
      </c>
      <c r="C8" s="8" t="n">
        <v>2.01</v>
      </c>
      <c r="D8" s="9" t="n">
        <f aca="false">ROUND(C8*ASM!$B$8*ASM!$B$12*(1+ASM!$B$3)+ASM!$B$4+ASM!$B$5+ASM!$B$6,2)</f>
        <v>224.88</v>
      </c>
      <c r="E8" s="7" t="n">
        <f aca="false">ROUND((C8*ASM!$B$8*ASM!$B$12*(1+ASM!$B$3)+ASM!$B$4+ASM!$B$5+ASM!$B$6)*IF(A8&lt;=7,ASM!$B$7,ASM!$B$17),0)</f>
        <v>349</v>
      </c>
      <c r="F8" s="10" t="n">
        <f aca="false">CEILING(E8/0.75,5)</f>
        <v>470</v>
      </c>
      <c r="G8" s="9" t="n">
        <f aca="false">F8*0.75</f>
        <v>352.5</v>
      </c>
      <c r="H8" s="7" t="n">
        <f aca="false">ROUND((D8+0.45)/(1-ASM!$B$9),0)</f>
        <v>252</v>
      </c>
      <c r="I8" s="7" t="n">
        <f aca="false">ROUND((D8+0.45)/(1-ASM!$B$9-ASM!$B$10),0)</f>
        <v>302</v>
      </c>
      <c r="J8" s="7" t="str">
        <f aca="false">IF(G8&gt;=H8,"OK","FLOOR ALTI")</f>
        <v>OK</v>
      </c>
    </row>
    <row r="9" customFormat="false" ht="15" hidden="false" customHeight="false" outlineLevel="0" collapsed="false">
      <c r="A9" s="7" t="n">
        <v>2</v>
      </c>
      <c r="B9" s="7" t="n">
        <v>11</v>
      </c>
      <c r="C9" s="8" t="n">
        <v>2.08</v>
      </c>
      <c r="D9" s="9" t="n">
        <f aca="false">ROUND(C9*ASM!$B$8*ASM!$B$12*(1+ASM!$B$3)+ASM!$B$4+ASM!$B$5+ASM!$B$6,2)</f>
        <v>230.62</v>
      </c>
      <c r="E9" s="7" t="n">
        <f aca="false">ROUND((C9*ASM!$B$8*ASM!$B$12*(1+ASM!$B$3)+ASM!$B$4+ASM!$B$5+ASM!$B$6)*IF(A9&lt;=7,ASM!$B$7,ASM!$B$17),0)</f>
        <v>357</v>
      </c>
      <c r="F9" s="10" t="n">
        <f aca="false">CEILING(E9/0.75,5)</f>
        <v>480</v>
      </c>
      <c r="G9" s="9" t="n">
        <f aca="false">F9*0.75</f>
        <v>360</v>
      </c>
      <c r="H9" s="7" t="n">
        <f aca="false">ROUND((D9+0.45)/(1-ASM!$B$9),0)</f>
        <v>258</v>
      </c>
      <c r="I9" s="7" t="n">
        <f aca="false">ROUND((D9+0.45)/(1-ASM!$B$9-ASM!$B$10),0)</f>
        <v>310</v>
      </c>
      <c r="J9" s="7" t="str">
        <f aca="false">IF(G9&gt;=H9,"OK","FLOOR ALTI")</f>
        <v>OK</v>
      </c>
    </row>
    <row r="10" customFormat="false" ht="15" hidden="false" customHeight="false" outlineLevel="0" collapsed="false">
      <c r="A10" s="7" t="n">
        <v>2</v>
      </c>
      <c r="B10" s="7" t="n">
        <v>12</v>
      </c>
      <c r="C10" s="8" t="n">
        <v>2.16</v>
      </c>
      <c r="D10" s="9" t="n">
        <f aca="false">ROUND(C10*ASM!$B$8*ASM!$B$12*(1+ASM!$B$3)+ASM!$B$4+ASM!$B$5+ASM!$B$6,2)</f>
        <v>237.18</v>
      </c>
      <c r="E10" s="7" t="n">
        <f aca="false">ROUND((C10*ASM!$B$8*ASM!$B$12*(1+ASM!$B$3)+ASM!$B$4+ASM!$B$5+ASM!$B$6)*IF(A10&lt;=7,ASM!$B$7,ASM!$B$17),0)</f>
        <v>368</v>
      </c>
      <c r="F10" s="10" t="n">
        <f aca="false">CEILING(E10/0.75,5)</f>
        <v>495</v>
      </c>
      <c r="G10" s="9" t="n">
        <f aca="false">F10*0.75</f>
        <v>371.25</v>
      </c>
      <c r="H10" s="7" t="n">
        <f aca="false">ROUND((D10+0.45)/(1-ASM!$B$9),0)</f>
        <v>266</v>
      </c>
      <c r="I10" s="7" t="n">
        <f aca="false">ROUND((D10+0.45)/(1-ASM!$B$9-ASM!$B$10),0)</f>
        <v>319</v>
      </c>
      <c r="J10" s="7" t="str">
        <f aca="false">IF(G10&gt;=H10,"OK","FLOOR ALTI")</f>
        <v>OK</v>
      </c>
    </row>
    <row r="11" customFormat="false" ht="15" hidden="false" customHeight="false" outlineLevel="0" collapsed="false">
      <c r="A11" s="7" t="n">
        <v>2</v>
      </c>
      <c r="B11" s="7" t="n">
        <v>13</v>
      </c>
      <c r="C11" s="8" t="n">
        <v>2.23</v>
      </c>
      <c r="D11" s="9" t="n">
        <f aca="false">ROUND(C11*ASM!$B$8*ASM!$B$12*(1+ASM!$B$3)+ASM!$B$4+ASM!$B$5+ASM!$B$6,2)</f>
        <v>242.92</v>
      </c>
      <c r="E11" s="7" t="n">
        <f aca="false">ROUND((C11*ASM!$B$8*ASM!$B$12*(1+ASM!$B$3)+ASM!$B$4+ASM!$B$5+ASM!$B$6)*IF(A11&lt;=7,ASM!$B$7,ASM!$B$17),0)</f>
        <v>377</v>
      </c>
      <c r="F11" s="10" t="n">
        <f aca="false">CEILING(E11/0.75,5)</f>
        <v>505</v>
      </c>
      <c r="G11" s="9" t="n">
        <f aca="false">F11*0.75</f>
        <v>378.75</v>
      </c>
      <c r="H11" s="7" t="n">
        <f aca="false">ROUND((D11+0.45)/(1-ASM!$B$9),0)</f>
        <v>272</v>
      </c>
      <c r="I11" s="7" t="n">
        <f aca="false">ROUND((D11+0.45)/(1-ASM!$B$9-ASM!$B$10),0)</f>
        <v>327</v>
      </c>
      <c r="J11" s="7" t="str">
        <f aca="false">IF(G11&gt;=H11,"OK","FLOOR ALTI")</f>
        <v>OK</v>
      </c>
    </row>
    <row r="12" customFormat="false" ht="15" hidden="false" customHeight="false" outlineLevel="0" collapsed="false">
      <c r="A12" s="7" t="n">
        <v>2</v>
      </c>
      <c r="B12" s="7" t="n">
        <v>14</v>
      </c>
      <c r="C12" s="8" t="n">
        <v>2.31</v>
      </c>
      <c r="D12" s="9" t="n">
        <f aca="false">ROUND(C12*ASM!$B$8*ASM!$B$12*(1+ASM!$B$3)+ASM!$B$4+ASM!$B$5+ASM!$B$6,2)</f>
        <v>249.49</v>
      </c>
      <c r="E12" s="7" t="n">
        <f aca="false">ROUND((C12*ASM!$B$8*ASM!$B$12*(1+ASM!$B$3)+ASM!$B$4+ASM!$B$5+ASM!$B$6)*IF(A12&lt;=7,ASM!$B$7,ASM!$B$17),0)</f>
        <v>387</v>
      </c>
      <c r="F12" s="10" t="n">
        <f aca="false">CEILING(E12/0.75,5)</f>
        <v>520</v>
      </c>
      <c r="G12" s="9" t="n">
        <f aca="false">F12*0.75</f>
        <v>390</v>
      </c>
      <c r="H12" s="7" t="n">
        <f aca="false">ROUND((D12+0.45)/(1-ASM!$B$9),0)</f>
        <v>279</v>
      </c>
      <c r="I12" s="7" t="n">
        <f aca="false">ROUND((D12+0.45)/(1-ASM!$B$9-ASM!$B$10),0)</f>
        <v>335</v>
      </c>
      <c r="J12" s="7" t="str">
        <f aca="false">IF(G12&gt;=H12,"OK","FLOOR ALTI")</f>
        <v>OK</v>
      </c>
    </row>
    <row r="13" customFormat="false" ht="15" hidden="false" customHeight="false" outlineLevel="0" collapsed="false">
      <c r="A13" s="7" t="n">
        <v>2</v>
      </c>
      <c r="B13" s="7" t="n">
        <v>15</v>
      </c>
      <c r="C13" s="8" t="n">
        <v>2.38</v>
      </c>
      <c r="D13" s="9" t="n">
        <f aca="false">ROUND(C13*ASM!$B$8*ASM!$B$12*(1+ASM!$B$3)+ASM!$B$4+ASM!$B$5+ASM!$B$6,2)</f>
        <v>255.23</v>
      </c>
      <c r="E13" s="7" t="n">
        <f aca="false">ROUND((C13*ASM!$B$8*ASM!$B$12*(1+ASM!$B$3)+ASM!$B$4+ASM!$B$5+ASM!$B$6)*IF(A13&lt;=7,ASM!$B$7,ASM!$B$17),0)</f>
        <v>396</v>
      </c>
      <c r="F13" s="10" t="n">
        <f aca="false">CEILING(E13/0.75,5)</f>
        <v>530</v>
      </c>
      <c r="G13" s="9" t="n">
        <f aca="false">F13*0.75</f>
        <v>397.5</v>
      </c>
      <c r="H13" s="7" t="n">
        <f aca="false">ROUND((D13+0.45)/(1-ASM!$B$9),0)</f>
        <v>286</v>
      </c>
      <c r="I13" s="7" t="n">
        <f aca="false">ROUND((D13+0.45)/(1-ASM!$B$9-ASM!$B$10),0)</f>
        <v>343</v>
      </c>
      <c r="J13" s="7" t="str">
        <f aca="false">IF(G13&gt;=H13,"OK","FLOOR ALTI")</f>
        <v>OK</v>
      </c>
    </row>
    <row r="14" customFormat="false" ht="15" hidden="false" customHeight="false" outlineLevel="0" collapsed="false">
      <c r="A14" s="7" t="n">
        <v>2</v>
      </c>
      <c r="B14" s="7" t="n">
        <v>16</v>
      </c>
      <c r="C14" s="8" t="n">
        <v>2.46</v>
      </c>
      <c r="D14" s="9" t="n">
        <f aca="false">ROUND(C14*ASM!$B$8*ASM!$B$12*(1+ASM!$B$3)+ASM!$B$4+ASM!$B$5+ASM!$B$6,2)</f>
        <v>261.79</v>
      </c>
      <c r="E14" s="7" t="n">
        <f aca="false">ROUND((C14*ASM!$B$8*ASM!$B$12*(1+ASM!$B$3)+ASM!$B$4+ASM!$B$5+ASM!$B$6)*IF(A14&lt;=7,ASM!$B$7,ASM!$B$17),0)</f>
        <v>406</v>
      </c>
      <c r="F14" s="10" t="n">
        <f aca="false">CEILING(E14/0.75,5)</f>
        <v>545</v>
      </c>
      <c r="G14" s="9" t="n">
        <f aca="false">F14*0.75</f>
        <v>408.75</v>
      </c>
      <c r="H14" s="7" t="n">
        <f aca="false">ROUND((D14+0.45)/(1-ASM!$B$9),0)</f>
        <v>293</v>
      </c>
      <c r="I14" s="7" t="n">
        <f aca="false">ROUND((D14+0.45)/(1-ASM!$B$9-ASM!$B$10),0)</f>
        <v>352</v>
      </c>
      <c r="J14" s="7" t="str">
        <f aca="false">IF(G14&gt;=H14,"OK","FLOOR ALTI")</f>
        <v>OK</v>
      </c>
    </row>
    <row r="15" customFormat="false" ht="15" hidden="false" customHeight="false" outlineLevel="0" collapsed="false">
      <c r="A15" s="7" t="n">
        <v>3</v>
      </c>
      <c r="B15" s="7" t="n">
        <v>4</v>
      </c>
      <c r="C15" s="8" t="n">
        <v>2.33</v>
      </c>
      <c r="D15" s="9" t="n">
        <f aca="false">ROUND(C15*ASM!$B$8*ASM!$B$12*(1+ASM!$B$3)+ASM!$B$4+ASM!$B$5+ASM!$B$6,2)</f>
        <v>251.13</v>
      </c>
      <c r="E15" s="7" t="n">
        <f aca="false">ROUND((C15*ASM!$B$8*ASM!$B$12*(1+ASM!$B$3)+ASM!$B$4+ASM!$B$5+ASM!$B$6)*IF(A15&lt;=7,ASM!$B$7,ASM!$B$17),0)</f>
        <v>389</v>
      </c>
      <c r="F15" s="10" t="n">
        <f aca="false">CEILING(E15/0.75,5)</f>
        <v>520</v>
      </c>
      <c r="G15" s="9" t="n">
        <f aca="false">F15*0.75</f>
        <v>390</v>
      </c>
      <c r="H15" s="7" t="n">
        <f aca="false">ROUND((D15+0.45)/(1-ASM!$B$9),0)</f>
        <v>281</v>
      </c>
      <c r="I15" s="7" t="n">
        <f aca="false">ROUND((D15+0.45)/(1-ASM!$B$9-ASM!$B$10),0)</f>
        <v>338</v>
      </c>
      <c r="J15" s="7" t="str">
        <f aca="false">IF(G15&gt;=H15,"OK","FLOOR ALTI")</f>
        <v>OK</v>
      </c>
    </row>
    <row r="16" customFormat="false" ht="15" hidden="false" customHeight="false" outlineLevel="0" collapsed="false">
      <c r="A16" s="7" t="n">
        <v>3</v>
      </c>
      <c r="B16" s="7" t="n">
        <v>5</v>
      </c>
      <c r="C16" s="8" t="n">
        <v>2.45</v>
      </c>
      <c r="D16" s="9" t="n">
        <f aca="false">ROUND(C16*ASM!$B$8*ASM!$B$12*(1+ASM!$B$3)+ASM!$B$4+ASM!$B$5+ASM!$B$6,2)</f>
        <v>260.97</v>
      </c>
      <c r="E16" s="7" t="n">
        <f aca="false">ROUND((C16*ASM!$B$8*ASM!$B$12*(1+ASM!$B$3)+ASM!$B$4+ASM!$B$5+ASM!$B$6)*IF(A16&lt;=7,ASM!$B$7,ASM!$B$17),0)</f>
        <v>405</v>
      </c>
      <c r="F16" s="10" t="n">
        <f aca="false">CEILING(E16/0.75,5)</f>
        <v>540</v>
      </c>
      <c r="G16" s="9" t="n">
        <f aca="false">F16*0.75</f>
        <v>405</v>
      </c>
      <c r="H16" s="7" t="n">
        <f aca="false">ROUND((D16+0.45)/(1-ASM!$B$9),0)</f>
        <v>292</v>
      </c>
      <c r="I16" s="7" t="n">
        <f aca="false">ROUND((D16+0.45)/(1-ASM!$B$9-ASM!$B$10),0)</f>
        <v>351</v>
      </c>
      <c r="J16" s="7" t="str">
        <f aca="false">IF(G16&gt;=H16,"OK","FLOOR ALTI")</f>
        <v>OK</v>
      </c>
    </row>
    <row r="17" customFormat="false" ht="15" hidden="false" customHeight="false" outlineLevel="0" collapsed="false">
      <c r="A17" s="7" t="n">
        <v>3</v>
      </c>
      <c r="B17" s="7" t="n">
        <v>6</v>
      </c>
      <c r="C17" s="8" t="n">
        <v>2.56</v>
      </c>
      <c r="D17" s="9" t="n">
        <f aca="false">ROUND(C17*ASM!$B$8*ASM!$B$12*(1+ASM!$B$3)+ASM!$B$4+ASM!$B$5+ASM!$B$6,2)</f>
        <v>269.99</v>
      </c>
      <c r="E17" s="7" t="n">
        <f aca="false">ROUND((C17*ASM!$B$8*ASM!$B$12*(1+ASM!$B$3)+ASM!$B$4+ASM!$B$5+ASM!$B$6)*IF(A17&lt;=7,ASM!$B$7,ASM!$B$17),0)</f>
        <v>418</v>
      </c>
      <c r="F17" s="10" t="n">
        <f aca="false">CEILING(E17/0.75,5)</f>
        <v>560</v>
      </c>
      <c r="G17" s="9" t="n">
        <f aca="false">F17*0.75</f>
        <v>420</v>
      </c>
      <c r="H17" s="7" t="n">
        <f aca="false">ROUND((D17+0.45)/(1-ASM!$B$9),0)</f>
        <v>302</v>
      </c>
      <c r="I17" s="7" t="n">
        <f aca="false">ROUND((D17+0.45)/(1-ASM!$B$9-ASM!$B$10),0)</f>
        <v>363</v>
      </c>
      <c r="J17" s="7" t="str">
        <f aca="false">IF(G17&gt;=H17,"OK","FLOOR ALTI")</f>
        <v>OK</v>
      </c>
    </row>
    <row r="18" customFormat="false" ht="15" hidden="false" customHeight="false" outlineLevel="0" collapsed="false">
      <c r="A18" s="7" t="n">
        <v>3</v>
      </c>
      <c r="B18" s="7" t="n">
        <v>7</v>
      </c>
      <c r="C18" s="8" t="n">
        <v>2.67</v>
      </c>
      <c r="D18" s="9" t="n">
        <f aca="false">ROUND(C18*ASM!$B$8*ASM!$B$12*(1+ASM!$B$3)+ASM!$B$4+ASM!$B$5+ASM!$B$6,2)</f>
        <v>279.02</v>
      </c>
      <c r="E18" s="7" t="n">
        <f aca="false">ROUND((C18*ASM!$B$8*ASM!$B$12*(1+ASM!$B$3)+ASM!$B$4+ASM!$B$5+ASM!$B$6)*IF(A18&lt;=7,ASM!$B$7,ASM!$B$17),0)</f>
        <v>432</v>
      </c>
      <c r="F18" s="10" t="n">
        <f aca="false">CEILING(E18/0.75,5)</f>
        <v>580</v>
      </c>
      <c r="G18" s="9" t="n">
        <f aca="false">F18*0.75</f>
        <v>435</v>
      </c>
      <c r="H18" s="7" t="n">
        <f aca="false">ROUND((D18+0.45)/(1-ASM!$B$9),0)</f>
        <v>312</v>
      </c>
      <c r="I18" s="7" t="n">
        <f aca="false">ROUND((D18+0.45)/(1-ASM!$B$9-ASM!$B$10),0)</f>
        <v>375</v>
      </c>
      <c r="J18" s="7" t="str">
        <f aca="false">IF(G18&gt;=H18,"OK","FLOOR ALTI")</f>
        <v>OK</v>
      </c>
    </row>
    <row r="19" customFormat="false" ht="15" hidden="false" customHeight="false" outlineLevel="0" collapsed="false">
      <c r="A19" s="7" t="n">
        <v>3</v>
      </c>
      <c r="B19" s="7" t="n">
        <v>8</v>
      </c>
      <c r="C19" s="8" t="n">
        <v>2.79</v>
      </c>
      <c r="D19" s="9" t="n">
        <f aca="false">ROUND(C19*ASM!$B$8*ASM!$B$12*(1+ASM!$B$3)+ASM!$B$4+ASM!$B$5+ASM!$B$6,2)</f>
        <v>288.86</v>
      </c>
      <c r="E19" s="7" t="n">
        <f aca="false">ROUND((C19*ASM!$B$8*ASM!$B$12*(1+ASM!$B$3)+ASM!$B$4+ASM!$B$5+ASM!$B$6)*IF(A19&lt;=7,ASM!$B$7,ASM!$B$17),0)</f>
        <v>448</v>
      </c>
      <c r="F19" s="10" t="n">
        <f aca="false">CEILING(E19/0.75,5)</f>
        <v>600</v>
      </c>
      <c r="G19" s="9" t="n">
        <f aca="false">F19*0.75</f>
        <v>450</v>
      </c>
      <c r="H19" s="7" t="n">
        <f aca="false">ROUND((D19+0.45)/(1-ASM!$B$9),0)</f>
        <v>323</v>
      </c>
      <c r="I19" s="7" t="n">
        <f aca="false">ROUND((D19+0.45)/(1-ASM!$B$9-ASM!$B$10),0)</f>
        <v>388</v>
      </c>
      <c r="J19" s="7" t="str">
        <f aca="false">IF(G19&gt;=H19,"OK","FLOOR ALTI")</f>
        <v>OK</v>
      </c>
    </row>
    <row r="20" customFormat="false" ht="15" hidden="false" customHeight="false" outlineLevel="0" collapsed="false">
      <c r="A20" s="7" t="n">
        <v>3</v>
      </c>
      <c r="B20" s="7" t="n">
        <v>9</v>
      </c>
      <c r="C20" s="8" t="n">
        <v>2.9</v>
      </c>
      <c r="D20" s="9" t="n">
        <f aca="false">ROUND(C20*ASM!$B$8*ASM!$B$12*(1+ASM!$B$3)+ASM!$B$4+ASM!$B$5+ASM!$B$6,2)</f>
        <v>297.88</v>
      </c>
      <c r="E20" s="7" t="n">
        <f aca="false">ROUND((C20*ASM!$B$8*ASM!$B$12*(1+ASM!$B$3)+ASM!$B$4+ASM!$B$5+ASM!$B$6)*IF(A20&lt;=7,ASM!$B$7,ASM!$B$17),0)</f>
        <v>462</v>
      </c>
      <c r="F20" s="10" t="n">
        <f aca="false">CEILING(E20/0.75,5)</f>
        <v>620</v>
      </c>
      <c r="G20" s="9" t="n">
        <f aca="false">F20*0.75</f>
        <v>465</v>
      </c>
      <c r="H20" s="7" t="n">
        <f aca="false">ROUND((D20+0.45)/(1-ASM!$B$9),0)</f>
        <v>333</v>
      </c>
      <c r="I20" s="7" t="n">
        <f aca="false">ROUND((D20+0.45)/(1-ASM!$B$9-ASM!$B$10),0)</f>
        <v>400</v>
      </c>
      <c r="J20" s="7" t="str">
        <f aca="false">IF(G20&gt;=H20,"OK","FLOOR ALTI")</f>
        <v>OK</v>
      </c>
    </row>
    <row r="21" customFormat="false" ht="15" hidden="false" customHeight="false" outlineLevel="0" collapsed="false">
      <c r="A21" s="7" t="n">
        <v>3</v>
      </c>
      <c r="B21" s="7" t="n">
        <v>10</v>
      </c>
      <c r="C21" s="8" t="n">
        <v>3.01</v>
      </c>
      <c r="D21" s="9" t="n">
        <f aca="false">ROUND(C21*ASM!$B$8*ASM!$B$12*(1+ASM!$B$3)+ASM!$B$4+ASM!$B$5+ASM!$B$6,2)</f>
        <v>306.91</v>
      </c>
      <c r="E21" s="7" t="n">
        <f aca="false">ROUND((C21*ASM!$B$8*ASM!$B$12*(1+ASM!$B$3)+ASM!$B$4+ASM!$B$5+ASM!$B$6)*IF(A21&lt;=7,ASM!$B$7,ASM!$B$17),0)</f>
        <v>476</v>
      </c>
      <c r="F21" s="10" t="n">
        <f aca="false">CEILING(E21/0.75,5)</f>
        <v>635</v>
      </c>
      <c r="G21" s="9" t="n">
        <f aca="false">F21*0.75</f>
        <v>476.25</v>
      </c>
      <c r="H21" s="7" t="n">
        <f aca="false">ROUND((D21+0.45)/(1-ASM!$B$9),0)</f>
        <v>343</v>
      </c>
      <c r="I21" s="7" t="n">
        <f aca="false">ROUND((D21+0.45)/(1-ASM!$B$9-ASM!$B$10),0)</f>
        <v>413</v>
      </c>
      <c r="J21" s="7" t="str">
        <f aca="false">IF(G21&gt;=H21,"OK","FLOOR ALTI")</f>
        <v>OK</v>
      </c>
    </row>
    <row r="22" customFormat="false" ht="15" hidden="false" customHeight="false" outlineLevel="0" collapsed="false">
      <c r="A22" s="7" t="n">
        <v>3</v>
      </c>
      <c r="B22" s="7" t="n">
        <v>11</v>
      </c>
      <c r="C22" s="8" t="n">
        <v>3.12</v>
      </c>
      <c r="D22" s="9" t="n">
        <f aca="false">ROUND(C22*ASM!$B$8*ASM!$B$12*(1+ASM!$B$3)+ASM!$B$4+ASM!$B$5+ASM!$B$6,2)</f>
        <v>315.93</v>
      </c>
      <c r="E22" s="7" t="n">
        <f aca="false">ROUND((C22*ASM!$B$8*ASM!$B$12*(1+ASM!$B$3)+ASM!$B$4+ASM!$B$5+ASM!$B$6)*IF(A22&lt;=7,ASM!$B$7,ASM!$B$17),0)</f>
        <v>490</v>
      </c>
      <c r="F22" s="10" t="n">
        <f aca="false">CEILING(E22/0.75,5)</f>
        <v>655</v>
      </c>
      <c r="G22" s="9" t="n">
        <f aca="false">F22*0.75</f>
        <v>491.25</v>
      </c>
      <c r="H22" s="7" t="n">
        <f aca="false">ROUND((D22+0.45)/(1-ASM!$B$9),0)</f>
        <v>353</v>
      </c>
      <c r="I22" s="7" t="n">
        <f aca="false">ROUND((D22+0.45)/(1-ASM!$B$9-ASM!$B$10),0)</f>
        <v>425</v>
      </c>
      <c r="J22" s="7" t="str">
        <f aca="false">IF(G22&gt;=H22,"OK","FLOOR ALTI")</f>
        <v>OK</v>
      </c>
    </row>
    <row r="23" customFormat="false" ht="15" hidden="false" customHeight="false" outlineLevel="0" collapsed="false">
      <c r="A23" s="7" t="n">
        <v>3</v>
      </c>
      <c r="B23" s="7" t="n">
        <v>12</v>
      </c>
      <c r="C23" s="8" t="n">
        <v>3.24</v>
      </c>
      <c r="D23" s="9" t="n">
        <f aca="false">ROUND(C23*ASM!$B$8*ASM!$B$12*(1+ASM!$B$3)+ASM!$B$4+ASM!$B$5+ASM!$B$6,2)</f>
        <v>325.77</v>
      </c>
      <c r="E23" s="7" t="n">
        <f aca="false">ROUND((C23*ASM!$B$8*ASM!$B$12*(1+ASM!$B$3)+ASM!$B$4+ASM!$B$5+ASM!$B$6)*IF(A23&lt;=7,ASM!$B$7,ASM!$B$17),0)</f>
        <v>505</v>
      </c>
      <c r="F23" s="10" t="n">
        <f aca="false">CEILING(E23/0.75,5)</f>
        <v>675</v>
      </c>
      <c r="G23" s="9" t="n">
        <f aca="false">F23*0.75</f>
        <v>506.25</v>
      </c>
      <c r="H23" s="7" t="n">
        <f aca="false">ROUND((D23+0.45)/(1-ASM!$B$9),0)</f>
        <v>364</v>
      </c>
      <c r="I23" s="7" t="n">
        <f aca="false">ROUND((D23+0.45)/(1-ASM!$B$9-ASM!$B$10),0)</f>
        <v>438</v>
      </c>
      <c r="J23" s="7" t="str">
        <f aca="false">IF(G23&gt;=H23,"OK","FLOOR ALTI")</f>
        <v>OK</v>
      </c>
    </row>
    <row r="24" customFormat="false" ht="15" hidden="false" customHeight="false" outlineLevel="0" collapsed="false">
      <c r="A24" s="7" t="n">
        <v>3</v>
      </c>
      <c r="B24" s="7" t="n">
        <v>13</v>
      </c>
      <c r="C24" s="8" t="n">
        <v>3.35</v>
      </c>
      <c r="D24" s="9" t="n">
        <f aca="false">ROUND(C24*ASM!$B$8*ASM!$B$12*(1+ASM!$B$3)+ASM!$B$4+ASM!$B$5+ASM!$B$6,2)</f>
        <v>334.8</v>
      </c>
      <c r="E24" s="7" t="n">
        <f aca="false">ROUND((C24*ASM!$B$8*ASM!$B$12*(1+ASM!$B$3)+ASM!$B$4+ASM!$B$5+ASM!$B$6)*IF(A24&lt;=7,ASM!$B$7,ASM!$B$17),0)</f>
        <v>519</v>
      </c>
      <c r="F24" s="10" t="n">
        <f aca="false">CEILING(E24/0.75,5)</f>
        <v>695</v>
      </c>
      <c r="G24" s="9" t="n">
        <f aca="false">F24*0.75</f>
        <v>521.25</v>
      </c>
      <c r="H24" s="7" t="n">
        <f aca="false">ROUND((D24+0.45)/(1-ASM!$B$9),0)</f>
        <v>375</v>
      </c>
      <c r="I24" s="7" t="n">
        <f aca="false">ROUND((D24+0.45)/(1-ASM!$B$9-ASM!$B$10),0)</f>
        <v>450</v>
      </c>
      <c r="J24" s="7" t="str">
        <f aca="false">IF(G24&gt;=H24,"OK","FLOOR ALTI")</f>
        <v>OK</v>
      </c>
    </row>
    <row r="25" customFormat="false" ht="15" hidden="false" customHeight="false" outlineLevel="0" collapsed="false">
      <c r="A25" s="7" t="n">
        <v>3</v>
      </c>
      <c r="B25" s="7" t="n">
        <v>14</v>
      </c>
      <c r="C25" s="8" t="n">
        <v>3.46</v>
      </c>
      <c r="D25" s="9" t="n">
        <f aca="false">ROUND(C25*ASM!$B$8*ASM!$B$12*(1+ASM!$B$3)+ASM!$B$4+ASM!$B$5+ASM!$B$6,2)</f>
        <v>343.82</v>
      </c>
      <c r="E25" s="7" t="n">
        <f aca="false">ROUND((C25*ASM!$B$8*ASM!$B$12*(1+ASM!$B$3)+ASM!$B$4+ASM!$B$5+ASM!$B$6)*IF(A25&lt;=7,ASM!$B$7,ASM!$B$17),0)</f>
        <v>533</v>
      </c>
      <c r="F25" s="10" t="n">
        <f aca="false">CEILING(E25/0.75,5)</f>
        <v>715</v>
      </c>
      <c r="G25" s="9" t="n">
        <f aca="false">F25*0.75</f>
        <v>536.25</v>
      </c>
      <c r="H25" s="7" t="n">
        <f aca="false">ROUND((D25+0.45)/(1-ASM!$B$9),0)</f>
        <v>385</v>
      </c>
      <c r="I25" s="7" t="n">
        <f aca="false">ROUND((D25+0.45)/(1-ASM!$B$9-ASM!$B$10),0)</f>
        <v>462</v>
      </c>
      <c r="J25" s="7" t="str">
        <f aca="false">IF(G25&gt;=H25,"OK","FLOOR ALTI")</f>
        <v>OK</v>
      </c>
    </row>
    <row r="26" customFormat="false" ht="15" hidden="false" customHeight="false" outlineLevel="0" collapsed="false">
      <c r="A26" s="7" t="n">
        <v>3</v>
      </c>
      <c r="B26" s="7" t="n">
        <v>15</v>
      </c>
      <c r="C26" s="8" t="n">
        <v>3.58</v>
      </c>
      <c r="D26" s="9" t="n">
        <f aca="false">ROUND(C26*ASM!$B$8*ASM!$B$12*(1+ASM!$B$3)+ASM!$B$4+ASM!$B$5+ASM!$B$6,2)</f>
        <v>353.66</v>
      </c>
      <c r="E26" s="7" t="n">
        <f aca="false">ROUND((C26*ASM!$B$8*ASM!$B$12*(1+ASM!$B$3)+ASM!$B$4+ASM!$B$5+ASM!$B$6)*IF(A26&lt;=7,ASM!$B$7,ASM!$B$17),0)</f>
        <v>548</v>
      </c>
      <c r="F26" s="10" t="n">
        <f aca="false">CEILING(E26/0.75,5)</f>
        <v>735</v>
      </c>
      <c r="G26" s="9" t="n">
        <f aca="false">F26*0.75</f>
        <v>551.25</v>
      </c>
      <c r="H26" s="7" t="n">
        <f aca="false">ROUND((D26+0.45)/(1-ASM!$B$9),0)</f>
        <v>396</v>
      </c>
      <c r="I26" s="7" t="n">
        <f aca="false">ROUND((D26+0.45)/(1-ASM!$B$9-ASM!$B$10),0)</f>
        <v>475</v>
      </c>
      <c r="J26" s="7" t="str">
        <f aca="false">IF(G26&gt;=H26,"OK","FLOOR ALTI")</f>
        <v>OK</v>
      </c>
    </row>
    <row r="27" customFormat="false" ht="15" hidden="false" customHeight="false" outlineLevel="0" collapsed="false">
      <c r="A27" s="7" t="n">
        <v>3</v>
      </c>
      <c r="B27" s="7" t="n">
        <v>16</v>
      </c>
      <c r="C27" s="8" t="n">
        <v>3.69</v>
      </c>
      <c r="D27" s="9" t="n">
        <f aca="false">ROUND(C27*ASM!$B$8*ASM!$B$12*(1+ASM!$B$3)+ASM!$B$4+ASM!$B$5+ASM!$B$6,2)</f>
        <v>362.69</v>
      </c>
      <c r="E27" s="7" t="n">
        <f aca="false">ROUND((C27*ASM!$B$8*ASM!$B$12*(1+ASM!$B$3)+ASM!$B$4+ASM!$B$5+ASM!$B$6)*IF(A27&lt;=7,ASM!$B$7,ASM!$B$17),0)</f>
        <v>562</v>
      </c>
      <c r="F27" s="10" t="n">
        <f aca="false">CEILING(E27/0.75,5)</f>
        <v>750</v>
      </c>
      <c r="G27" s="9" t="n">
        <f aca="false">F27*0.75</f>
        <v>562.5</v>
      </c>
      <c r="H27" s="7" t="n">
        <f aca="false">ROUND((D27+0.45)/(1-ASM!$B$9),0)</f>
        <v>406</v>
      </c>
      <c r="I27" s="7" t="n">
        <f aca="false">ROUND((D27+0.45)/(1-ASM!$B$9-ASM!$B$10),0)</f>
        <v>487</v>
      </c>
      <c r="J27" s="7" t="str">
        <f aca="false">IF(G27&gt;=H27,"OK","FLOOR ALTI")</f>
        <v>OK</v>
      </c>
    </row>
    <row r="28" customFormat="false" ht="15" hidden="false" customHeight="false" outlineLevel="0" collapsed="false">
      <c r="A28" s="7" t="n">
        <v>4</v>
      </c>
      <c r="B28" s="7" t="n">
        <v>4</v>
      </c>
      <c r="C28" s="8" t="n">
        <v>3.11</v>
      </c>
      <c r="D28" s="9" t="n">
        <f aca="false">ROUND(C28*ASM!$B$8*ASM!$B$12*(1+ASM!$B$3)+ASM!$B$4+ASM!$B$5+ASM!$B$6,2)</f>
        <v>315.11</v>
      </c>
      <c r="E28" s="7" t="n">
        <f aca="false">ROUND((C28*ASM!$B$8*ASM!$B$12*(1+ASM!$B$3)+ASM!$B$4+ASM!$B$5+ASM!$B$6)*IF(A28&lt;=7,ASM!$B$7,ASM!$B$17),0)</f>
        <v>488</v>
      </c>
      <c r="F28" s="10" t="n">
        <f aca="false">CEILING(E28/0.75,5)</f>
        <v>655</v>
      </c>
      <c r="G28" s="9" t="n">
        <f aca="false">F28*0.75</f>
        <v>491.25</v>
      </c>
      <c r="H28" s="7" t="n">
        <f aca="false">ROUND((D28+0.45)/(1-ASM!$B$9),0)</f>
        <v>353</v>
      </c>
      <c r="I28" s="7" t="n">
        <f aca="false">ROUND((D28+0.45)/(1-ASM!$B$9-ASM!$B$10),0)</f>
        <v>424</v>
      </c>
      <c r="J28" s="7" t="str">
        <f aca="false">IF(G28&gt;=H28,"OK","FLOOR ALTI")</f>
        <v>OK</v>
      </c>
    </row>
    <row r="29" customFormat="false" ht="15" hidden="false" customHeight="false" outlineLevel="0" collapsed="false">
      <c r="A29" s="7" t="n">
        <v>4</v>
      </c>
      <c r="B29" s="7" t="n">
        <v>5</v>
      </c>
      <c r="C29" s="8" t="n">
        <v>3.26</v>
      </c>
      <c r="D29" s="9" t="n">
        <f aca="false">ROUND(C29*ASM!$B$8*ASM!$B$12*(1+ASM!$B$3)+ASM!$B$4+ASM!$B$5+ASM!$B$6,2)</f>
        <v>327.41</v>
      </c>
      <c r="E29" s="7" t="n">
        <f aca="false">ROUND((C29*ASM!$B$8*ASM!$B$12*(1+ASM!$B$3)+ASM!$B$4+ASM!$B$5+ASM!$B$6)*IF(A29&lt;=7,ASM!$B$7,ASM!$B$17),0)</f>
        <v>507</v>
      </c>
      <c r="F29" s="10" t="n">
        <f aca="false">CEILING(E29/0.75,5)</f>
        <v>680</v>
      </c>
      <c r="G29" s="9" t="n">
        <f aca="false">F29*0.75</f>
        <v>510</v>
      </c>
      <c r="H29" s="7" t="n">
        <f aca="false">ROUND((D29+0.45)/(1-ASM!$B$9),0)</f>
        <v>366</v>
      </c>
      <c r="I29" s="7" t="n">
        <f aca="false">ROUND((D29+0.45)/(1-ASM!$B$9-ASM!$B$10),0)</f>
        <v>440</v>
      </c>
      <c r="J29" s="7" t="str">
        <f aca="false">IF(G29&gt;=H29,"OK","FLOOR ALTI")</f>
        <v>OK</v>
      </c>
    </row>
    <row r="30" customFormat="false" ht="15" hidden="false" customHeight="false" outlineLevel="0" collapsed="false">
      <c r="A30" s="7" t="n">
        <v>4</v>
      </c>
      <c r="B30" s="7" t="n">
        <v>6</v>
      </c>
      <c r="C30" s="8" t="n">
        <v>3.41</v>
      </c>
      <c r="D30" s="9" t="n">
        <f aca="false">ROUND(C30*ASM!$B$8*ASM!$B$12*(1+ASM!$B$3)+ASM!$B$4+ASM!$B$5+ASM!$B$6,2)</f>
        <v>339.72</v>
      </c>
      <c r="E30" s="7" t="n">
        <f aca="false">ROUND((C30*ASM!$B$8*ASM!$B$12*(1+ASM!$B$3)+ASM!$B$4+ASM!$B$5+ASM!$B$6)*IF(A30&lt;=7,ASM!$B$7,ASM!$B$17),0)</f>
        <v>527</v>
      </c>
      <c r="F30" s="10" t="n">
        <f aca="false">CEILING(E30/0.75,5)</f>
        <v>705</v>
      </c>
      <c r="G30" s="9" t="n">
        <f aca="false">F30*0.75</f>
        <v>528.75</v>
      </c>
      <c r="H30" s="7" t="n">
        <f aca="false">ROUND((D30+0.45)/(1-ASM!$B$9),0)</f>
        <v>380</v>
      </c>
      <c r="I30" s="7" t="n">
        <f aca="false">ROUND((D30+0.45)/(1-ASM!$B$9-ASM!$B$10),0)</f>
        <v>457</v>
      </c>
      <c r="J30" s="7" t="str">
        <f aca="false">IF(G30&gt;=H30,"OK","FLOOR ALTI")</f>
        <v>OK</v>
      </c>
    </row>
    <row r="31" customFormat="false" ht="15" hidden="false" customHeight="false" outlineLevel="0" collapsed="false">
      <c r="A31" s="7" t="n">
        <v>4</v>
      </c>
      <c r="B31" s="7" t="n">
        <v>7</v>
      </c>
      <c r="C31" s="8" t="n">
        <v>3.56</v>
      </c>
      <c r="D31" s="9" t="n">
        <f aca="false">ROUND(C31*ASM!$B$8*ASM!$B$12*(1+ASM!$B$3)+ASM!$B$4+ASM!$B$5+ASM!$B$6,2)</f>
        <v>352.02</v>
      </c>
      <c r="E31" s="7" t="n">
        <f aca="false">ROUND((C31*ASM!$B$8*ASM!$B$12*(1+ASM!$B$3)+ASM!$B$4+ASM!$B$5+ASM!$B$6)*IF(A31&lt;=7,ASM!$B$7,ASM!$B$17),0)</f>
        <v>546</v>
      </c>
      <c r="F31" s="10" t="n">
        <f aca="false">CEILING(E31/0.75,5)</f>
        <v>730</v>
      </c>
      <c r="G31" s="9" t="n">
        <f aca="false">F31*0.75</f>
        <v>547.5</v>
      </c>
      <c r="H31" s="7" t="n">
        <f aca="false">ROUND((D31+0.45)/(1-ASM!$B$9),0)</f>
        <v>394</v>
      </c>
      <c r="I31" s="7" t="n">
        <f aca="false">ROUND((D31+0.45)/(1-ASM!$B$9-ASM!$B$10),0)</f>
        <v>473</v>
      </c>
      <c r="J31" s="7" t="str">
        <f aca="false">IF(G31&gt;=H31,"OK","FLOOR ALTI")</f>
        <v>OK</v>
      </c>
    </row>
    <row r="32" customFormat="false" ht="15" hidden="false" customHeight="false" outlineLevel="0" collapsed="false">
      <c r="A32" s="7" t="n">
        <v>4</v>
      </c>
      <c r="B32" s="7" t="n">
        <v>8</v>
      </c>
      <c r="C32" s="8" t="n">
        <v>3.71</v>
      </c>
      <c r="D32" s="9" t="n">
        <f aca="false">ROUND(C32*ASM!$B$8*ASM!$B$12*(1+ASM!$B$3)+ASM!$B$4+ASM!$B$5+ASM!$B$6,2)</f>
        <v>364.33</v>
      </c>
      <c r="E32" s="7" t="n">
        <f aca="false">ROUND((C32*ASM!$B$8*ASM!$B$12*(1+ASM!$B$3)+ASM!$B$4+ASM!$B$5+ASM!$B$6)*IF(A32&lt;=7,ASM!$B$7,ASM!$B$17),0)</f>
        <v>565</v>
      </c>
      <c r="F32" s="10" t="n">
        <f aca="false">CEILING(E32/0.75,5)</f>
        <v>755</v>
      </c>
      <c r="G32" s="9" t="n">
        <f aca="false">F32*0.75</f>
        <v>566.25</v>
      </c>
      <c r="H32" s="7" t="n">
        <f aca="false">ROUND((D32+0.45)/(1-ASM!$B$9),0)</f>
        <v>408</v>
      </c>
      <c r="I32" s="7" t="n">
        <f aca="false">ROUND((D32+0.45)/(1-ASM!$B$9-ASM!$B$10),0)</f>
        <v>490</v>
      </c>
      <c r="J32" s="7" t="str">
        <f aca="false">IF(G32&gt;=H32,"OK","FLOOR ALTI")</f>
        <v>OK</v>
      </c>
    </row>
    <row r="33" customFormat="false" ht="15" hidden="false" customHeight="false" outlineLevel="0" collapsed="false">
      <c r="A33" s="7" t="n">
        <v>4</v>
      </c>
      <c r="B33" s="7" t="n">
        <v>9</v>
      </c>
      <c r="C33" s="8" t="n">
        <v>3.86</v>
      </c>
      <c r="D33" s="9" t="n">
        <f aca="false">ROUND(C33*ASM!$B$8*ASM!$B$12*(1+ASM!$B$3)+ASM!$B$4+ASM!$B$5+ASM!$B$6,2)</f>
        <v>376.63</v>
      </c>
      <c r="E33" s="7" t="n">
        <f aca="false">ROUND((C33*ASM!$B$8*ASM!$B$12*(1+ASM!$B$3)+ASM!$B$4+ASM!$B$5+ASM!$B$6)*IF(A33&lt;=7,ASM!$B$7,ASM!$B$17),0)</f>
        <v>584</v>
      </c>
      <c r="F33" s="10" t="n">
        <f aca="false">CEILING(E33/0.75,5)</f>
        <v>780</v>
      </c>
      <c r="G33" s="9" t="n">
        <f aca="false">F33*0.75</f>
        <v>585</v>
      </c>
      <c r="H33" s="7" t="n">
        <f aca="false">ROUND((D33+0.45)/(1-ASM!$B$9),0)</f>
        <v>421</v>
      </c>
      <c r="I33" s="7" t="n">
        <f aca="false">ROUND((D33+0.45)/(1-ASM!$B$9-ASM!$B$10),0)</f>
        <v>506</v>
      </c>
      <c r="J33" s="7" t="str">
        <f aca="false">IF(G33&gt;=H33,"OK","FLOOR ALTI")</f>
        <v>OK</v>
      </c>
    </row>
    <row r="34" customFormat="false" ht="15" hidden="false" customHeight="false" outlineLevel="0" collapsed="false">
      <c r="A34" s="7" t="n">
        <v>4</v>
      </c>
      <c r="B34" s="7" t="n">
        <v>10</v>
      </c>
      <c r="C34" s="8" t="n">
        <v>4.01</v>
      </c>
      <c r="D34" s="9" t="n">
        <f aca="false">ROUND(C34*ASM!$B$8*ASM!$B$12*(1+ASM!$B$3)+ASM!$B$4+ASM!$B$5+ASM!$B$6,2)</f>
        <v>388.94</v>
      </c>
      <c r="E34" s="7" t="n">
        <f aca="false">ROUND((C34*ASM!$B$8*ASM!$B$12*(1+ASM!$B$3)+ASM!$B$4+ASM!$B$5+ASM!$B$6)*IF(A34&lt;=7,ASM!$B$7,ASM!$B$17),0)</f>
        <v>603</v>
      </c>
      <c r="F34" s="10" t="n">
        <f aca="false">CEILING(E34/0.75,5)</f>
        <v>805</v>
      </c>
      <c r="G34" s="9" t="n">
        <f aca="false">F34*0.75</f>
        <v>603.75</v>
      </c>
      <c r="H34" s="7" t="n">
        <f aca="false">ROUND((D34+0.45)/(1-ASM!$B$9),0)</f>
        <v>435</v>
      </c>
      <c r="I34" s="7" t="n">
        <f aca="false">ROUND((D34+0.45)/(1-ASM!$B$9-ASM!$B$10),0)</f>
        <v>523</v>
      </c>
      <c r="J34" s="7" t="str">
        <f aca="false">IF(G34&gt;=H34,"OK","FLOOR ALTI")</f>
        <v>OK</v>
      </c>
    </row>
    <row r="35" customFormat="false" ht="15" hidden="false" customHeight="false" outlineLevel="0" collapsed="false">
      <c r="A35" s="7" t="n">
        <v>4</v>
      </c>
      <c r="B35" s="7" t="n">
        <v>11</v>
      </c>
      <c r="C35" s="8" t="n">
        <v>4.17</v>
      </c>
      <c r="D35" s="9" t="n">
        <f aca="false">ROUND(C35*ASM!$B$8*ASM!$B$12*(1+ASM!$B$3)+ASM!$B$4+ASM!$B$5+ASM!$B$6,2)</f>
        <v>402.06</v>
      </c>
      <c r="E35" s="7" t="n">
        <f aca="false">ROUND((C35*ASM!$B$8*ASM!$B$12*(1+ASM!$B$3)+ASM!$B$4+ASM!$B$5+ASM!$B$6)*IF(A35&lt;=7,ASM!$B$7,ASM!$B$17),0)</f>
        <v>623</v>
      </c>
      <c r="F35" s="10" t="n">
        <f aca="false">CEILING(E35/0.75,5)</f>
        <v>835</v>
      </c>
      <c r="G35" s="9" t="n">
        <f aca="false">F35*0.75</f>
        <v>626.25</v>
      </c>
      <c r="H35" s="7" t="n">
        <f aca="false">ROUND((D35+0.45)/(1-ASM!$B$9),0)</f>
        <v>450</v>
      </c>
      <c r="I35" s="7" t="n">
        <f aca="false">ROUND((D35+0.45)/(1-ASM!$B$9-ASM!$B$10),0)</f>
        <v>540</v>
      </c>
      <c r="J35" s="7" t="str">
        <f aca="false">IF(G35&gt;=H35,"OK","FLOOR ALTI")</f>
        <v>OK</v>
      </c>
    </row>
    <row r="36" customFormat="false" ht="15" hidden="false" customHeight="false" outlineLevel="0" collapsed="false">
      <c r="A36" s="7" t="n">
        <v>4</v>
      </c>
      <c r="B36" s="7" t="n">
        <v>12</v>
      </c>
      <c r="C36" s="8" t="n">
        <v>4.32</v>
      </c>
      <c r="D36" s="9" t="n">
        <f aca="false">ROUND(C36*ASM!$B$8*ASM!$B$12*(1+ASM!$B$3)+ASM!$B$4+ASM!$B$5+ASM!$B$6,2)</f>
        <v>414.36</v>
      </c>
      <c r="E36" s="7" t="n">
        <f aca="false">ROUND((C36*ASM!$B$8*ASM!$B$12*(1+ASM!$B$3)+ASM!$B$4+ASM!$B$5+ASM!$B$6)*IF(A36&lt;=7,ASM!$B$7,ASM!$B$17),0)</f>
        <v>642</v>
      </c>
      <c r="F36" s="10" t="n">
        <f aca="false">CEILING(E36/0.75,5)</f>
        <v>860</v>
      </c>
      <c r="G36" s="9" t="n">
        <f aca="false">F36*0.75</f>
        <v>645</v>
      </c>
      <c r="H36" s="7" t="n">
        <f aca="false">ROUND((D36+0.45)/(1-ASM!$B$9),0)</f>
        <v>463</v>
      </c>
      <c r="I36" s="7" t="n">
        <f aca="false">ROUND((D36+0.45)/(1-ASM!$B$9-ASM!$B$10),0)</f>
        <v>557</v>
      </c>
      <c r="J36" s="7" t="str">
        <f aca="false">IF(G36&gt;=H36,"OK","FLOOR ALTI")</f>
        <v>OK</v>
      </c>
    </row>
    <row r="37" customFormat="false" ht="15" hidden="false" customHeight="false" outlineLevel="0" collapsed="false">
      <c r="A37" s="7" t="n">
        <v>4</v>
      </c>
      <c r="B37" s="7" t="n">
        <v>13</v>
      </c>
      <c r="C37" s="8" t="n">
        <v>4.47</v>
      </c>
      <c r="D37" s="9" t="n">
        <f aca="false">ROUND(C37*ASM!$B$8*ASM!$B$12*(1+ASM!$B$3)+ASM!$B$4+ASM!$B$5+ASM!$B$6,2)</f>
        <v>426.67</v>
      </c>
      <c r="E37" s="7" t="n">
        <f aca="false">ROUND((C37*ASM!$B$8*ASM!$B$12*(1+ASM!$B$3)+ASM!$B$4+ASM!$B$5+ASM!$B$6)*IF(A37&lt;=7,ASM!$B$7,ASM!$B$17),0)</f>
        <v>661</v>
      </c>
      <c r="F37" s="10" t="n">
        <f aca="false">CEILING(E37/0.75,5)</f>
        <v>885</v>
      </c>
      <c r="G37" s="9" t="n">
        <f aca="false">F37*0.75</f>
        <v>663.75</v>
      </c>
      <c r="H37" s="7" t="n">
        <f aca="false">ROUND((D37+0.45)/(1-ASM!$B$9),0)</f>
        <v>477</v>
      </c>
      <c r="I37" s="7" t="n">
        <f aca="false">ROUND((D37+0.45)/(1-ASM!$B$9-ASM!$B$10),0)</f>
        <v>573</v>
      </c>
      <c r="J37" s="7" t="str">
        <f aca="false">IF(G37&gt;=H37,"OK","FLOOR ALTI")</f>
        <v>OK</v>
      </c>
    </row>
    <row r="38" customFormat="false" ht="15" hidden="false" customHeight="false" outlineLevel="0" collapsed="false">
      <c r="A38" s="7" t="n">
        <v>4</v>
      </c>
      <c r="B38" s="7" t="n">
        <v>14</v>
      </c>
      <c r="C38" s="8" t="n">
        <v>4.62</v>
      </c>
      <c r="D38" s="9" t="n">
        <f aca="false">ROUND(C38*ASM!$B$8*ASM!$B$12*(1+ASM!$B$3)+ASM!$B$4+ASM!$B$5+ASM!$B$6,2)</f>
        <v>438.97</v>
      </c>
      <c r="E38" s="7" t="n">
        <f aca="false">ROUND((C38*ASM!$B$8*ASM!$B$12*(1+ASM!$B$3)+ASM!$B$4+ASM!$B$5+ASM!$B$6)*IF(A38&lt;=7,ASM!$B$7,ASM!$B$17),0)</f>
        <v>680</v>
      </c>
      <c r="F38" s="10" t="n">
        <f aca="false">CEILING(E38/0.75,5)</f>
        <v>910</v>
      </c>
      <c r="G38" s="9" t="n">
        <f aca="false">F38*0.75</f>
        <v>682.5</v>
      </c>
      <c r="H38" s="7" t="n">
        <f aca="false">ROUND((D38+0.45)/(1-ASM!$B$9),0)</f>
        <v>491</v>
      </c>
      <c r="I38" s="7" t="n">
        <f aca="false">ROUND((D38+0.45)/(1-ASM!$B$9-ASM!$B$10),0)</f>
        <v>590</v>
      </c>
      <c r="J38" s="7" t="str">
        <f aca="false">IF(G38&gt;=H38,"OK","FLOOR ALTI")</f>
        <v>OK</v>
      </c>
    </row>
    <row r="39" customFormat="false" ht="15" hidden="false" customHeight="false" outlineLevel="0" collapsed="false">
      <c r="A39" s="7" t="n">
        <v>4</v>
      </c>
      <c r="B39" s="7" t="n">
        <v>15</v>
      </c>
      <c r="C39" s="8" t="n">
        <v>4.77</v>
      </c>
      <c r="D39" s="9" t="n">
        <f aca="false">ROUND(C39*ASM!$B$8*ASM!$B$12*(1+ASM!$B$3)+ASM!$B$4+ASM!$B$5+ASM!$B$6,2)</f>
        <v>451.28</v>
      </c>
      <c r="E39" s="7" t="n">
        <f aca="false">ROUND((C39*ASM!$B$8*ASM!$B$12*(1+ASM!$B$3)+ASM!$B$4+ASM!$B$5+ASM!$B$6)*IF(A39&lt;=7,ASM!$B$7,ASM!$B$17),0)</f>
        <v>699</v>
      </c>
      <c r="F39" s="10" t="n">
        <f aca="false">CEILING(E39/0.75,5)</f>
        <v>935</v>
      </c>
      <c r="G39" s="9" t="n">
        <f aca="false">F39*0.75</f>
        <v>701.25</v>
      </c>
      <c r="H39" s="7" t="n">
        <f aca="false">ROUND((D39+0.45)/(1-ASM!$B$9),0)</f>
        <v>505</v>
      </c>
      <c r="I39" s="7" t="n">
        <f aca="false">ROUND((D39+0.45)/(1-ASM!$B$9-ASM!$B$10),0)</f>
        <v>606</v>
      </c>
      <c r="J39" s="7" t="str">
        <f aca="false">IF(G39&gt;=H39,"OK","FLOOR ALTI")</f>
        <v>OK</v>
      </c>
    </row>
    <row r="40" customFormat="false" ht="15" hidden="false" customHeight="false" outlineLevel="0" collapsed="false">
      <c r="A40" s="7" t="n">
        <v>4</v>
      </c>
      <c r="B40" s="7" t="n">
        <v>16</v>
      </c>
      <c r="C40" s="8" t="n">
        <v>4.92</v>
      </c>
      <c r="D40" s="9" t="n">
        <f aca="false">ROUND(C40*ASM!$B$8*ASM!$B$12*(1+ASM!$B$3)+ASM!$B$4+ASM!$B$5+ASM!$B$6,2)</f>
        <v>463.58</v>
      </c>
      <c r="E40" s="7" t="n">
        <f aca="false">ROUND((C40*ASM!$B$8*ASM!$B$12*(1+ASM!$B$3)+ASM!$B$4+ASM!$B$5+ASM!$B$6)*IF(A40&lt;=7,ASM!$B$7,ASM!$B$17),0)</f>
        <v>719</v>
      </c>
      <c r="F40" s="10" t="n">
        <f aca="false">CEILING(E40/0.75,5)</f>
        <v>960</v>
      </c>
      <c r="G40" s="9" t="n">
        <f aca="false">F40*0.75</f>
        <v>720</v>
      </c>
      <c r="H40" s="7" t="n">
        <f aca="false">ROUND((D40+0.45)/(1-ASM!$B$9),0)</f>
        <v>518</v>
      </c>
      <c r="I40" s="7" t="n">
        <f aca="false">ROUND((D40+0.45)/(1-ASM!$B$9-ASM!$B$10),0)</f>
        <v>623</v>
      </c>
      <c r="J40" s="7" t="str">
        <f aca="false">IF(G40&gt;=H40,"OK","FLOOR ALTI")</f>
        <v>OK</v>
      </c>
    </row>
    <row r="41" customFormat="false" ht="15" hidden="false" customHeight="false" outlineLevel="0" collapsed="false">
      <c r="A41" s="7" t="n">
        <v>5</v>
      </c>
      <c r="B41" s="7" t="n">
        <v>4</v>
      </c>
      <c r="C41" s="8" t="n">
        <v>3.89</v>
      </c>
      <c r="D41" s="9" t="n">
        <f aca="false">ROUND(C41*ASM!$B$8*ASM!$B$12*(1+ASM!$B$3)+ASM!$B$4+ASM!$B$5+ASM!$B$6,2)</f>
        <v>379.09</v>
      </c>
      <c r="E41" s="7" t="n">
        <f aca="false">ROUND((C41*ASM!$B$8*ASM!$B$12*(1+ASM!$B$3)+ASM!$B$4+ASM!$B$5+ASM!$B$6)*IF(A41&lt;=7,ASM!$B$7,ASM!$B$17),0)</f>
        <v>588</v>
      </c>
      <c r="F41" s="10" t="n">
        <f aca="false">CEILING(E41/0.75,5)</f>
        <v>785</v>
      </c>
      <c r="G41" s="9" t="n">
        <f aca="false">F41*0.75</f>
        <v>588.75</v>
      </c>
      <c r="H41" s="7" t="n">
        <f aca="false">ROUND((D41+0.45)/(1-ASM!$B$9),0)</f>
        <v>424</v>
      </c>
      <c r="I41" s="7" t="n">
        <f aca="false">ROUND((D41+0.45)/(1-ASM!$B$9-ASM!$B$10),0)</f>
        <v>509</v>
      </c>
      <c r="J41" s="7" t="str">
        <f aca="false">IF(G41&gt;=H41,"OK","FLOOR ALTI")</f>
        <v>OK</v>
      </c>
    </row>
    <row r="42" customFormat="false" ht="15" hidden="false" customHeight="false" outlineLevel="0" collapsed="false">
      <c r="A42" s="7" t="n">
        <v>5</v>
      </c>
      <c r="B42" s="7" t="n">
        <v>5</v>
      </c>
      <c r="C42" s="8" t="n">
        <v>4.06</v>
      </c>
      <c r="D42" s="9" t="n">
        <f aca="false">ROUND(C42*ASM!$B$8*ASM!$B$12*(1+ASM!$B$3)+ASM!$B$4+ASM!$B$5+ASM!$B$6,2)</f>
        <v>393.04</v>
      </c>
      <c r="E42" s="7" t="n">
        <f aca="false">ROUND((C42*ASM!$B$8*ASM!$B$12*(1+ASM!$B$3)+ASM!$B$4+ASM!$B$5+ASM!$B$6)*IF(A42&lt;=7,ASM!$B$7,ASM!$B$17),0)</f>
        <v>609</v>
      </c>
      <c r="F42" s="10" t="n">
        <f aca="false">CEILING(E42/0.75,5)</f>
        <v>815</v>
      </c>
      <c r="G42" s="9" t="n">
        <f aca="false">F42*0.75</f>
        <v>611.25</v>
      </c>
      <c r="H42" s="7" t="n">
        <f aca="false">ROUND((D42+0.45)/(1-ASM!$B$9),0)</f>
        <v>440</v>
      </c>
      <c r="I42" s="7" t="n">
        <f aca="false">ROUND((D42+0.45)/(1-ASM!$B$9-ASM!$B$10),0)</f>
        <v>528</v>
      </c>
      <c r="J42" s="7" t="str">
        <f aca="false">IF(G42&gt;=H42,"OK","FLOOR ALTI")</f>
        <v>OK</v>
      </c>
    </row>
    <row r="43" customFormat="false" ht="15" hidden="false" customHeight="false" outlineLevel="0" collapsed="false">
      <c r="A43" s="7" t="n">
        <v>5</v>
      </c>
      <c r="B43" s="7" t="n">
        <v>6</v>
      </c>
      <c r="C43" s="8" t="n">
        <v>4.26</v>
      </c>
      <c r="D43" s="9" t="n">
        <f aca="false">ROUND(C43*ASM!$B$8*ASM!$B$12*(1+ASM!$B$3)+ASM!$B$4+ASM!$B$5+ASM!$B$6,2)</f>
        <v>409.44</v>
      </c>
      <c r="E43" s="7" t="n">
        <f aca="false">ROUND((C43*ASM!$B$8*ASM!$B$12*(1+ASM!$B$3)+ASM!$B$4+ASM!$B$5+ASM!$B$6)*IF(A43&lt;=7,ASM!$B$7,ASM!$B$17),0)</f>
        <v>635</v>
      </c>
      <c r="F43" s="10" t="n">
        <f aca="false">CEILING(E43/0.75,5)</f>
        <v>850</v>
      </c>
      <c r="G43" s="9" t="n">
        <f aca="false">F43*0.75</f>
        <v>637.5</v>
      </c>
      <c r="H43" s="7" t="n">
        <f aca="false">ROUND((D43+0.45)/(1-ASM!$B$9),0)</f>
        <v>458</v>
      </c>
      <c r="I43" s="7" t="n">
        <f aca="false">ROUND((D43+0.45)/(1-ASM!$B$9-ASM!$B$10),0)</f>
        <v>550</v>
      </c>
      <c r="J43" s="7" t="str">
        <f aca="false">IF(G43&gt;=H43,"OK","FLOOR ALTI")</f>
        <v>OK</v>
      </c>
    </row>
    <row r="44" customFormat="false" ht="15" hidden="false" customHeight="false" outlineLevel="0" collapsed="false">
      <c r="A44" s="7" t="n">
        <v>5</v>
      </c>
      <c r="B44" s="7" t="n">
        <v>7</v>
      </c>
      <c r="C44" s="8" t="n">
        <v>4.45</v>
      </c>
      <c r="D44" s="9" t="n">
        <f aca="false">ROUND(C44*ASM!$B$8*ASM!$B$12*(1+ASM!$B$3)+ASM!$B$4+ASM!$B$5+ASM!$B$6,2)</f>
        <v>425.03</v>
      </c>
      <c r="E44" s="7" t="n">
        <f aca="false">ROUND((C44*ASM!$B$8*ASM!$B$12*(1+ASM!$B$3)+ASM!$B$4+ASM!$B$5+ASM!$B$6)*IF(A44&lt;=7,ASM!$B$7,ASM!$B$17),0)</f>
        <v>659</v>
      </c>
      <c r="F44" s="10" t="n">
        <f aca="false">CEILING(E44/0.75,5)</f>
        <v>880</v>
      </c>
      <c r="G44" s="9" t="n">
        <f aca="false">F44*0.75</f>
        <v>660</v>
      </c>
      <c r="H44" s="7" t="n">
        <f aca="false">ROUND((D44+0.45)/(1-ASM!$B$9),0)</f>
        <v>475</v>
      </c>
      <c r="I44" s="7" t="n">
        <f aca="false">ROUND((D44+0.45)/(1-ASM!$B$9-ASM!$B$10),0)</f>
        <v>571</v>
      </c>
      <c r="J44" s="7" t="str">
        <f aca="false">IF(G44&gt;=H44,"OK","FLOOR ALTI")</f>
        <v>OK</v>
      </c>
    </row>
    <row r="45" customFormat="false" ht="15" hidden="false" customHeight="false" outlineLevel="0" collapsed="false">
      <c r="A45" s="7" t="n">
        <v>5</v>
      </c>
      <c r="B45" s="7" t="n">
        <v>8</v>
      </c>
      <c r="C45" s="8" t="n">
        <v>4.64</v>
      </c>
      <c r="D45" s="9" t="n">
        <f aca="false">ROUND(C45*ASM!$B$8*ASM!$B$12*(1+ASM!$B$3)+ASM!$B$4+ASM!$B$5+ASM!$B$6,2)</f>
        <v>440.61</v>
      </c>
      <c r="E45" s="7" t="n">
        <f aca="false">ROUND((C45*ASM!$B$8*ASM!$B$12*(1+ASM!$B$3)+ASM!$B$4+ASM!$B$5+ASM!$B$6)*IF(A45&lt;=7,ASM!$B$7,ASM!$B$17),0)</f>
        <v>683</v>
      </c>
      <c r="F45" s="10" t="n">
        <f aca="false">CEILING(E45/0.75,5)</f>
        <v>915</v>
      </c>
      <c r="G45" s="9" t="n">
        <f aca="false">F45*0.75</f>
        <v>686.25</v>
      </c>
      <c r="H45" s="7" t="n">
        <f aca="false">ROUND((D45+0.45)/(1-ASM!$B$9),0)</f>
        <v>493</v>
      </c>
      <c r="I45" s="7" t="n">
        <f aca="false">ROUND((D45+0.45)/(1-ASM!$B$9-ASM!$B$10),0)</f>
        <v>592</v>
      </c>
      <c r="J45" s="7" t="str">
        <f aca="false">IF(G45&gt;=H45,"OK","FLOOR ALTI")</f>
        <v>OK</v>
      </c>
    </row>
    <row r="46" customFormat="false" ht="15" hidden="false" customHeight="false" outlineLevel="0" collapsed="false">
      <c r="A46" s="7" t="n">
        <v>5</v>
      </c>
      <c r="B46" s="7" t="n">
        <v>9</v>
      </c>
      <c r="C46" s="8" t="n">
        <v>4.83</v>
      </c>
      <c r="D46" s="9" t="n">
        <f aca="false">ROUND(C46*ASM!$B$8*ASM!$B$12*(1+ASM!$B$3)+ASM!$B$4+ASM!$B$5+ASM!$B$6,2)</f>
        <v>456.2</v>
      </c>
      <c r="E46" s="7" t="n">
        <f aca="false">ROUND((C46*ASM!$B$8*ASM!$B$12*(1+ASM!$B$3)+ASM!$B$4+ASM!$B$5+ASM!$B$6)*IF(A46&lt;=7,ASM!$B$7,ASM!$B$17),0)</f>
        <v>707</v>
      </c>
      <c r="F46" s="10" t="n">
        <f aca="false">CEILING(E46/0.75,5)</f>
        <v>945</v>
      </c>
      <c r="G46" s="9" t="n">
        <f aca="false">F46*0.75</f>
        <v>708.75</v>
      </c>
      <c r="H46" s="7" t="n">
        <f aca="false">ROUND((D46+0.45)/(1-ASM!$B$9),0)</f>
        <v>510</v>
      </c>
      <c r="I46" s="7" t="n">
        <f aca="false">ROUND((D46+0.45)/(1-ASM!$B$9-ASM!$B$10),0)</f>
        <v>613</v>
      </c>
      <c r="J46" s="7" t="str">
        <f aca="false">IF(G46&gt;=H46,"OK","FLOOR ALTI")</f>
        <v>OK</v>
      </c>
    </row>
    <row r="47" customFormat="false" ht="15" hidden="false" customHeight="false" outlineLevel="0" collapsed="false">
      <c r="A47" s="7" t="n">
        <v>5</v>
      </c>
      <c r="B47" s="7" t="n">
        <v>10</v>
      </c>
      <c r="C47" s="8" t="n">
        <v>5.02</v>
      </c>
      <c r="D47" s="9" t="n">
        <f aca="false">ROUND(C47*ASM!$B$8*ASM!$B$12*(1+ASM!$B$3)+ASM!$B$4+ASM!$B$5+ASM!$B$6,2)</f>
        <v>471.78</v>
      </c>
      <c r="E47" s="7" t="n">
        <f aca="false">ROUND((C47*ASM!$B$8*ASM!$B$12*(1+ASM!$B$3)+ASM!$B$4+ASM!$B$5+ASM!$B$6)*IF(A47&lt;=7,ASM!$B$7,ASM!$B$17),0)</f>
        <v>731</v>
      </c>
      <c r="F47" s="10" t="n">
        <f aca="false">CEILING(E47/0.75,5)</f>
        <v>975</v>
      </c>
      <c r="G47" s="9" t="n">
        <f aca="false">F47*0.75</f>
        <v>731.25</v>
      </c>
      <c r="H47" s="7" t="n">
        <f aca="false">ROUND((D47+0.45)/(1-ASM!$B$9),0)</f>
        <v>528</v>
      </c>
      <c r="I47" s="7" t="n">
        <f aca="false">ROUND((D47+0.45)/(1-ASM!$B$9-ASM!$B$10),0)</f>
        <v>634</v>
      </c>
      <c r="J47" s="7" t="str">
        <f aca="false">IF(G47&gt;=H47,"OK","FLOOR ALTI")</f>
        <v>OK</v>
      </c>
    </row>
    <row r="48" customFormat="false" ht="15" hidden="false" customHeight="false" outlineLevel="0" collapsed="false">
      <c r="A48" s="7" t="n">
        <v>5</v>
      </c>
      <c r="B48" s="7" t="n">
        <v>11</v>
      </c>
      <c r="C48" s="8" t="n">
        <v>5.21</v>
      </c>
      <c r="D48" s="9" t="n">
        <f aca="false">ROUND(C48*ASM!$B$8*ASM!$B$12*(1+ASM!$B$3)+ASM!$B$4+ASM!$B$5+ASM!$B$6,2)</f>
        <v>487.37</v>
      </c>
      <c r="E48" s="7" t="n">
        <f aca="false">ROUND((C48*ASM!$B$8*ASM!$B$12*(1+ASM!$B$3)+ASM!$B$4+ASM!$B$5+ASM!$B$6)*IF(A48&lt;=7,ASM!$B$7,ASM!$B$17),0)</f>
        <v>755</v>
      </c>
      <c r="F48" s="10" t="n">
        <f aca="false">CEILING(E48/0.75,5)</f>
        <v>1010</v>
      </c>
      <c r="G48" s="9" t="n">
        <f aca="false">F48*0.75</f>
        <v>757.5</v>
      </c>
      <c r="H48" s="7" t="n">
        <f aca="false">ROUND((D48+0.45)/(1-ASM!$B$9),0)</f>
        <v>545</v>
      </c>
      <c r="I48" s="7" t="n">
        <f aca="false">ROUND((D48+0.45)/(1-ASM!$B$9-ASM!$B$10),0)</f>
        <v>655</v>
      </c>
      <c r="J48" s="7" t="str">
        <f aca="false">IF(G48&gt;=H48,"OK","FLOOR ALTI")</f>
        <v>OK</v>
      </c>
    </row>
    <row r="49" customFormat="false" ht="15" hidden="false" customHeight="false" outlineLevel="0" collapsed="false">
      <c r="A49" s="7" t="n">
        <v>5</v>
      </c>
      <c r="B49" s="7" t="n">
        <v>12</v>
      </c>
      <c r="C49" s="8" t="n">
        <v>5.4</v>
      </c>
      <c r="D49" s="9" t="n">
        <f aca="false">ROUND(C49*ASM!$B$8*ASM!$B$12*(1+ASM!$B$3)+ASM!$B$4+ASM!$B$5+ASM!$B$6,2)</f>
        <v>502.96</v>
      </c>
      <c r="E49" s="7" t="n">
        <f aca="false">ROUND((C49*ASM!$B$8*ASM!$B$12*(1+ASM!$B$3)+ASM!$B$4+ASM!$B$5+ASM!$B$6)*IF(A49&lt;=7,ASM!$B$7,ASM!$B$17),0)</f>
        <v>780</v>
      </c>
      <c r="F49" s="10" t="n">
        <f aca="false">CEILING(E49/0.75,5)</f>
        <v>1040</v>
      </c>
      <c r="G49" s="9" t="n">
        <f aca="false">F49*0.75</f>
        <v>780</v>
      </c>
      <c r="H49" s="7" t="n">
        <f aca="false">ROUND((D49+0.45)/(1-ASM!$B$9),0)</f>
        <v>562</v>
      </c>
      <c r="I49" s="7" t="n">
        <f aca="false">ROUND((D49+0.45)/(1-ASM!$B$9-ASM!$B$10),0)</f>
        <v>676</v>
      </c>
      <c r="J49" s="7" t="str">
        <f aca="false">IF(G49&gt;=H49,"OK","FLOOR ALTI")</f>
        <v>OK</v>
      </c>
    </row>
    <row r="50" customFormat="false" ht="15" hidden="false" customHeight="false" outlineLevel="0" collapsed="false">
      <c r="A50" s="7" t="n">
        <v>5</v>
      </c>
      <c r="B50" s="7" t="n">
        <v>13</v>
      </c>
      <c r="C50" s="8" t="n">
        <v>5.58</v>
      </c>
      <c r="D50" s="9" t="n">
        <f aca="false">ROUND(C50*ASM!$B$8*ASM!$B$12*(1+ASM!$B$3)+ASM!$B$4+ASM!$B$5+ASM!$B$6,2)</f>
        <v>517.72</v>
      </c>
      <c r="E50" s="7" t="n">
        <f aca="false">ROUND((C50*ASM!$B$8*ASM!$B$12*(1+ASM!$B$3)+ASM!$B$4+ASM!$B$5+ASM!$B$6)*IF(A50&lt;=7,ASM!$B$7,ASM!$B$17),0)</f>
        <v>802</v>
      </c>
      <c r="F50" s="10" t="n">
        <f aca="false">CEILING(E50/0.75,5)</f>
        <v>1070</v>
      </c>
      <c r="G50" s="9" t="n">
        <f aca="false">F50*0.75</f>
        <v>802.5</v>
      </c>
      <c r="H50" s="7" t="n">
        <f aca="false">ROUND((D50+0.45)/(1-ASM!$B$9),0)</f>
        <v>579</v>
      </c>
      <c r="I50" s="7" t="n">
        <f aca="false">ROUND((D50+0.45)/(1-ASM!$B$9-ASM!$B$10),0)</f>
        <v>696</v>
      </c>
      <c r="J50" s="7" t="str">
        <f aca="false">IF(G50&gt;=H50,"OK","FLOOR ALTI")</f>
        <v>OK</v>
      </c>
    </row>
    <row r="51" customFormat="false" ht="15" hidden="false" customHeight="false" outlineLevel="0" collapsed="false">
      <c r="A51" s="7" t="n">
        <v>5</v>
      </c>
      <c r="B51" s="7" t="n">
        <v>14</v>
      </c>
      <c r="C51" s="8" t="n">
        <v>5.77</v>
      </c>
      <c r="D51" s="9" t="n">
        <f aca="false">ROUND(C51*ASM!$B$8*ASM!$B$12*(1+ASM!$B$3)+ASM!$B$4+ASM!$B$5+ASM!$B$6,2)</f>
        <v>533.31</v>
      </c>
      <c r="E51" s="7" t="n">
        <f aca="false">ROUND((C51*ASM!$B$8*ASM!$B$12*(1+ASM!$B$3)+ASM!$B$4+ASM!$B$5+ASM!$B$6)*IF(A51&lt;=7,ASM!$B$7,ASM!$B$17),0)</f>
        <v>827</v>
      </c>
      <c r="F51" s="10" t="n">
        <f aca="false">CEILING(E51/0.75,5)</f>
        <v>1105</v>
      </c>
      <c r="G51" s="9" t="n">
        <f aca="false">F51*0.75</f>
        <v>828.75</v>
      </c>
      <c r="H51" s="7" t="n">
        <f aca="false">ROUND((D51+0.45)/(1-ASM!$B$9),0)</f>
        <v>596</v>
      </c>
      <c r="I51" s="7" t="n">
        <f aca="false">ROUND((D51+0.45)/(1-ASM!$B$9-ASM!$B$10),0)</f>
        <v>716</v>
      </c>
      <c r="J51" s="7" t="str">
        <f aca="false">IF(G51&gt;=H51,"OK","FLOOR ALTI")</f>
        <v>OK</v>
      </c>
    </row>
    <row r="52" customFormat="false" ht="15" hidden="false" customHeight="false" outlineLevel="0" collapsed="false">
      <c r="A52" s="7" t="n">
        <v>5</v>
      </c>
      <c r="B52" s="7" t="n">
        <v>15</v>
      </c>
      <c r="C52" s="8" t="n">
        <v>5.96</v>
      </c>
      <c r="D52" s="9" t="n">
        <f aca="false">ROUND(C52*ASM!$B$8*ASM!$B$12*(1+ASM!$B$3)+ASM!$B$4+ASM!$B$5+ASM!$B$6,2)</f>
        <v>548.89</v>
      </c>
      <c r="E52" s="7" t="n">
        <f aca="false">ROUND((C52*ASM!$B$8*ASM!$B$12*(1+ASM!$B$3)+ASM!$B$4+ASM!$B$5+ASM!$B$6)*IF(A52&lt;=7,ASM!$B$7,ASM!$B$17),0)</f>
        <v>851</v>
      </c>
      <c r="F52" s="10" t="n">
        <f aca="false">CEILING(E52/0.75,5)</f>
        <v>1135</v>
      </c>
      <c r="G52" s="9" t="n">
        <f aca="false">F52*0.75</f>
        <v>851.25</v>
      </c>
      <c r="H52" s="7" t="n">
        <f aca="false">ROUND((D52+0.45)/(1-ASM!$B$9),0)</f>
        <v>614</v>
      </c>
      <c r="I52" s="7" t="n">
        <f aca="false">ROUND((D52+0.45)/(1-ASM!$B$9-ASM!$B$10),0)</f>
        <v>737</v>
      </c>
      <c r="J52" s="7" t="str">
        <f aca="false">IF(G52&gt;=H52,"OK","FLOOR ALTI")</f>
        <v>OK</v>
      </c>
    </row>
    <row r="53" customFormat="false" ht="15" hidden="false" customHeight="false" outlineLevel="0" collapsed="false">
      <c r="A53" s="7" t="n">
        <v>5</v>
      </c>
      <c r="B53" s="7" t="n">
        <v>16</v>
      </c>
      <c r="C53" s="8" t="n">
        <v>6.15</v>
      </c>
      <c r="D53" s="9" t="n">
        <f aca="false">ROUND(C53*ASM!$B$8*ASM!$B$12*(1+ASM!$B$3)+ASM!$B$4+ASM!$B$5+ASM!$B$6,2)</f>
        <v>564.48</v>
      </c>
      <c r="E53" s="7" t="n">
        <f aca="false">ROUND((C53*ASM!$B$8*ASM!$B$12*(1+ASM!$B$3)+ASM!$B$4+ASM!$B$5+ASM!$B$6)*IF(A53&lt;=7,ASM!$B$7,ASM!$B$17),0)</f>
        <v>875</v>
      </c>
      <c r="F53" s="10" t="n">
        <f aca="false">CEILING(E53/0.75,5)</f>
        <v>1170</v>
      </c>
      <c r="G53" s="9" t="n">
        <f aca="false">F53*0.75</f>
        <v>877.5</v>
      </c>
      <c r="H53" s="7" t="n">
        <f aca="false">ROUND((D53+0.45)/(1-ASM!$B$9),0)</f>
        <v>631</v>
      </c>
      <c r="I53" s="7" t="n">
        <f aca="false">ROUND((D53+0.45)/(1-ASM!$B$9-ASM!$B$10),0)</f>
        <v>758</v>
      </c>
      <c r="J53" s="7" t="str">
        <f aca="false">IF(G53&gt;=H53,"OK","FLOOR ALTI")</f>
        <v>OK</v>
      </c>
    </row>
    <row r="54" customFormat="false" ht="15" hidden="false" customHeight="false" outlineLevel="0" collapsed="false">
      <c r="A54" s="7" t="n">
        <v>6</v>
      </c>
      <c r="B54" s="7" t="n">
        <v>4</v>
      </c>
      <c r="C54" s="8" t="n">
        <v>4.67</v>
      </c>
      <c r="D54" s="9" t="n">
        <f aca="false">ROUND(C54*ASM!$B$8*ASM!$B$12*(1+ASM!$B$3)+ASM!$B$4+ASM!$B$5+ASM!$B$6,2)</f>
        <v>443.07</v>
      </c>
      <c r="E54" s="7" t="n">
        <f aca="false">ROUND((C54*ASM!$B$8*ASM!$B$12*(1+ASM!$B$3)+ASM!$B$4+ASM!$B$5+ASM!$B$6)*IF(A54&lt;=7,ASM!$B$7,ASM!$B$17),0)</f>
        <v>687</v>
      </c>
      <c r="F54" s="10" t="n">
        <f aca="false">CEILING(E54/0.75,5)</f>
        <v>920</v>
      </c>
      <c r="G54" s="9" t="n">
        <f aca="false">F54*0.75</f>
        <v>690</v>
      </c>
      <c r="H54" s="7" t="n">
        <f aca="false">ROUND((D54+0.45)/(1-ASM!$B$9),0)</f>
        <v>496</v>
      </c>
      <c r="I54" s="7" t="n">
        <f aca="false">ROUND((D54+0.45)/(1-ASM!$B$9-ASM!$B$10),0)</f>
        <v>595</v>
      </c>
      <c r="J54" s="7" t="str">
        <f aca="false">IF(G54&gt;=H54,"OK","FLOOR ALTI")</f>
        <v>OK</v>
      </c>
    </row>
    <row r="55" customFormat="false" ht="15" hidden="false" customHeight="false" outlineLevel="0" collapsed="false">
      <c r="A55" s="7" t="n">
        <v>6</v>
      </c>
      <c r="B55" s="7" t="n">
        <v>5</v>
      </c>
      <c r="C55" s="8" t="n">
        <v>4.89</v>
      </c>
      <c r="D55" s="9" t="n">
        <f aca="false">ROUND(C55*ASM!$B$8*ASM!$B$12*(1+ASM!$B$3)+ASM!$B$4+ASM!$B$5+ASM!$B$6,2)</f>
        <v>461.12</v>
      </c>
      <c r="E55" s="7" t="n">
        <f aca="false">ROUND((C55*ASM!$B$8*ASM!$B$12*(1+ASM!$B$3)+ASM!$B$4+ASM!$B$5+ASM!$B$6)*IF(A55&lt;=7,ASM!$B$7,ASM!$B$17),0)</f>
        <v>715</v>
      </c>
      <c r="F55" s="10" t="n">
        <f aca="false">CEILING(E55/0.75,5)</f>
        <v>955</v>
      </c>
      <c r="G55" s="9" t="n">
        <f aca="false">F55*0.75</f>
        <v>716.25</v>
      </c>
      <c r="H55" s="7" t="n">
        <f aca="false">ROUND((D55+0.45)/(1-ASM!$B$9),0)</f>
        <v>516</v>
      </c>
      <c r="I55" s="7" t="n">
        <f aca="false">ROUND((D55+0.45)/(1-ASM!$B$9-ASM!$B$10),0)</f>
        <v>620</v>
      </c>
      <c r="J55" s="7" t="str">
        <f aca="false">IF(G55&gt;=H55,"OK","FLOOR ALTI")</f>
        <v>OK</v>
      </c>
    </row>
    <row r="56" customFormat="false" ht="15" hidden="false" customHeight="false" outlineLevel="0" collapsed="false">
      <c r="A56" s="7" t="n">
        <v>6</v>
      </c>
      <c r="B56" s="7" t="n">
        <v>6</v>
      </c>
      <c r="C56" s="8" t="n">
        <v>5.12</v>
      </c>
      <c r="D56" s="9" t="n">
        <f aca="false">ROUND(C56*ASM!$B$8*ASM!$B$12*(1+ASM!$B$3)+ASM!$B$4+ASM!$B$5+ASM!$B$6,2)</f>
        <v>479.99</v>
      </c>
      <c r="E56" s="7" t="n">
        <f aca="false">ROUND((C56*ASM!$B$8*ASM!$B$12*(1+ASM!$B$3)+ASM!$B$4+ASM!$B$5+ASM!$B$6)*IF(A56&lt;=7,ASM!$B$7,ASM!$B$17),0)</f>
        <v>744</v>
      </c>
      <c r="F56" s="10" t="n">
        <f aca="false">CEILING(E56/0.75,5)</f>
        <v>995</v>
      </c>
      <c r="G56" s="9" t="n">
        <f aca="false">F56*0.75</f>
        <v>746.25</v>
      </c>
      <c r="H56" s="7" t="n">
        <f aca="false">ROUND((D56+0.45)/(1-ASM!$B$9),0)</f>
        <v>537</v>
      </c>
      <c r="I56" s="7" t="n">
        <f aca="false">ROUND((D56+0.45)/(1-ASM!$B$9-ASM!$B$10),0)</f>
        <v>645</v>
      </c>
      <c r="J56" s="7" t="str">
        <f aca="false">IF(G56&gt;=H56,"OK","FLOOR ALTI")</f>
        <v>OK</v>
      </c>
    </row>
    <row r="57" customFormat="false" ht="15" hidden="false" customHeight="false" outlineLevel="0" collapsed="false">
      <c r="A57" s="7" t="n">
        <v>6</v>
      </c>
      <c r="B57" s="7" t="n">
        <v>7</v>
      </c>
      <c r="C57" s="8" t="n">
        <v>5.34</v>
      </c>
      <c r="D57" s="9" t="n">
        <f aca="false">ROUND(C57*ASM!$B$8*ASM!$B$12*(1+ASM!$B$3)+ASM!$B$4+ASM!$B$5+ASM!$B$6,2)</f>
        <v>498.03</v>
      </c>
      <c r="E57" s="7" t="n">
        <f aca="false">ROUND((C57*ASM!$B$8*ASM!$B$12*(1+ASM!$B$3)+ASM!$B$4+ASM!$B$5+ASM!$B$6)*IF(A57&lt;=7,ASM!$B$7,ASM!$B$17),0)</f>
        <v>772</v>
      </c>
      <c r="F57" s="10" t="n">
        <f aca="false">CEILING(E57/0.75,5)</f>
        <v>1030</v>
      </c>
      <c r="G57" s="9" t="n">
        <f aca="false">F57*0.75</f>
        <v>772.5</v>
      </c>
      <c r="H57" s="7" t="n">
        <f aca="false">ROUND((D57+0.45)/(1-ASM!$B$9),0)</f>
        <v>557</v>
      </c>
      <c r="I57" s="7" t="n">
        <f aca="false">ROUND((D57+0.45)/(1-ASM!$B$9-ASM!$B$10),0)</f>
        <v>669</v>
      </c>
      <c r="J57" s="7" t="str">
        <f aca="false">IF(G57&gt;=H57,"OK","FLOOR ALTI")</f>
        <v>OK</v>
      </c>
    </row>
    <row r="58" customFormat="false" ht="15" hidden="false" customHeight="false" outlineLevel="0" collapsed="false">
      <c r="A58" s="7" t="n">
        <v>6</v>
      </c>
      <c r="B58" s="7" t="n">
        <v>8</v>
      </c>
      <c r="C58" s="8" t="n">
        <v>5.57</v>
      </c>
      <c r="D58" s="9" t="n">
        <f aca="false">ROUND(C58*ASM!$B$8*ASM!$B$12*(1+ASM!$B$3)+ASM!$B$4+ASM!$B$5+ASM!$B$6,2)</f>
        <v>516.9</v>
      </c>
      <c r="E58" s="7" t="n">
        <f aca="false">ROUND((C58*ASM!$B$8*ASM!$B$12*(1+ASM!$B$3)+ASM!$B$4+ASM!$B$5+ASM!$B$6)*IF(A58&lt;=7,ASM!$B$7,ASM!$B$17),0)</f>
        <v>801</v>
      </c>
      <c r="F58" s="10" t="n">
        <f aca="false">CEILING(E58/0.75,5)</f>
        <v>1070</v>
      </c>
      <c r="G58" s="9" t="n">
        <f aca="false">F58*0.75</f>
        <v>802.5</v>
      </c>
      <c r="H58" s="7" t="n">
        <f aca="false">ROUND((D58+0.45)/(1-ASM!$B$9),0)</f>
        <v>578</v>
      </c>
      <c r="I58" s="7" t="n">
        <f aca="false">ROUND((D58+0.45)/(1-ASM!$B$9-ASM!$B$10),0)</f>
        <v>694</v>
      </c>
      <c r="J58" s="7" t="str">
        <f aca="false">IF(G58&gt;=H58,"OK","FLOOR ALTI")</f>
        <v>OK</v>
      </c>
    </row>
    <row r="59" customFormat="false" ht="15" hidden="false" customHeight="false" outlineLevel="0" collapsed="false">
      <c r="A59" s="7" t="n">
        <v>6</v>
      </c>
      <c r="B59" s="7" t="n">
        <v>9</v>
      </c>
      <c r="C59" s="8" t="n">
        <v>5.8</v>
      </c>
      <c r="D59" s="9" t="n">
        <f aca="false">ROUND(C59*ASM!$B$8*ASM!$B$12*(1+ASM!$B$3)+ASM!$B$4+ASM!$B$5+ASM!$B$6,2)</f>
        <v>535.77</v>
      </c>
      <c r="E59" s="7" t="n">
        <f aca="false">ROUND((C59*ASM!$B$8*ASM!$B$12*(1+ASM!$B$3)+ASM!$B$4+ASM!$B$5+ASM!$B$6)*IF(A59&lt;=7,ASM!$B$7,ASM!$B$17),0)</f>
        <v>830</v>
      </c>
      <c r="F59" s="10" t="n">
        <f aca="false">CEILING(E59/0.75,5)</f>
        <v>1110</v>
      </c>
      <c r="G59" s="9" t="n">
        <f aca="false">F59*0.75</f>
        <v>832.5</v>
      </c>
      <c r="H59" s="7" t="n">
        <f aca="false">ROUND((D59+0.45)/(1-ASM!$B$9),0)</f>
        <v>599</v>
      </c>
      <c r="I59" s="7" t="n">
        <f aca="false">ROUND((D59+0.45)/(1-ASM!$B$9-ASM!$B$10),0)</f>
        <v>720</v>
      </c>
      <c r="J59" s="7" t="str">
        <f aca="false">IF(G59&gt;=H59,"OK","FLOOR ALTI")</f>
        <v>OK</v>
      </c>
    </row>
    <row r="60" customFormat="false" ht="15" hidden="false" customHeight="false" outlineLevel="0" collapsed="false">
      <c r="A60" s="7" t="n">
        <v>6</v>
      </c>
      <c r="B60" s="7" t="n">
        <v>10</v>
      </c>
      <c r="C60" s="8" t="n">
        <v>6.02</v>
      </c>
      <c r="D60" s="9" t="n">
        <f aca="false">ROUND(C60*ASM!$B$8*ASM!$B$12*(1+ASM!$B$3)+ASM!$B$4+ASM!$B$5+ASM!$B$6,2)</f>
        <v>553.81</v>
      </c>
      <c r="E60" s="7" t="n">
        <f aca="false">ROUND((C60*ASM!$B$8*ASM!$B$12*(1+ASM!$B$3)+ASM!$B$4+ASM!$B$5+ASM!$B$6)*IF(A60&lt;=7,ASM!$B$7,ASM!$B$17),0)</f>
        <v>858</v>
      </c>
      <c r="F60" s="10" t="n">
        <f aca="false">CEILING(E60/0.75,5)</f>
        <v>1145</v>
      </c>
      <c r="G60" s="9" t="n">
        <f aca="false">F60*0.75</f>
        <v>858.75</v>
      </c>
      <c r="H60" s="7" t="n">
        <f aca="false">ROUND((D60+0.45)/(1-ASM!$B$9),0)</f>
        <v>619</v>
      </c>
      <c r="I60" s="7" t="n">
        <f aca="false">ROUND((D60+0.45)/(1-ASM!$B$9-ASM!$B$10),0)</f>
        <v>744</v>
      </c>
      <c r="J60" s="7" t="str">
        <f aca="false">IF(G60&gt;=H60,"OK","FLOOR ALTI")</f>
        <v>OK</v>
      </c>
    </row>
    <row r="61" customFormat="false" ht="15" hidden="false" customHeight="false" outlineLevel="0" collapsed="false">
      <c r="A61" s="7" t="n">
        <v>6</v>
      </c>
      <c r="B61" s="7" t="n">
        <v>11</v>
      </c>
      <c r="C61" s="8" t="n">
        <v>6.25</v>
      </c>
      <c r="D61" s="9" t="n">
        <f aca="false">ROUND(C61*ASM!$B$8*ASM!$B$12*(1+ASM!$B$3)+ASM!$B$4+ASM!$B$5+ASM!$B$6,2)</f>
        <v>572.68</v>
      </c>
      <c r="E61" s="7" t="n">
        <f aca="false">ROUND((C61*ASM!$B$8*ASM!$B$12*(1+ASM!$B$3)+ASM!$B$4+ASM!$B$5+ASM!$B$6)*IF(A61&lt;=7,ASM!$B$7,ASM!$B$17),0)</f>
        <v>888</v>
      </c>
      <c r="F61" s="10" t="n">
        <f aca="false">CEILING(E61/0.75,5)</f>
        <v>1185</v>
      </c>
      <c r="G61" s="9" t="n">
        <f aca="false">F61*0.75</f>
        <v>888.75</v>
      </c>
      <c r="H61" s="7" t="n">
        <f aca="false">ROUND((D61+0.45)/(1-ASM!$B$9),0)</f>
        <v>640</v>
      </c>
      <c r="I61" s="7" t="n">
        <f aca="false">ROUND((D61+0.45)/(1-ASM!$B$9-ASM!$B$10),0)</f>
        <v>769</v>
      </c>
      <c r="J61" s="7" t="str">
        <f aca="false">IF(G61&gt;=H61,"OK","FLOOR ALTI")</f>
        <v>OK</v>
      </c>
    </row>
    <row r="62" customFormat="false" ht="15" hidden="false" customHeight="false" outlineLevel="0" collapsed="false">
      <c r="A62" s="7" t="n">
        <v>6</v>
      </c>
      <c r="B62" s="7" t="n">
        <v>12</v>
      </c>
      <c r="C62" s="8" t="n">
        <v>6.47</v>
      </c>
      <c r="D62" s="9" t="n">
        <f aca="false">ROUND(C62*ASM!$B$8*ASM!$B$12*(1+ASM!$B$3)+ASM!$B$4+ASM!$B$5+ASM!$B$6,2)</f>
        <v>590.73</v>
      </c>
      <c r="E62" s="7" t="n">
        <f aca="false">ROUND((C62*ASM!$B$8*ASM!$B$12*(1+ASM!$B$3)+ASM!$B$4+ASM!$B$5+ASM!$B$6)*IF(A62&lt;=7,ASM!$B$7,ASM!$B$17),0)</f>
        <v>916</v>
      </c>
      <c r="F62" s="10" t="n">
        <f aca="false">CEILING(E62/0.75,5)</f>
        <v>1225</v>
      </c>
      <c r="G62" s="9" t="n">
        <f aca="false">F62*0.75</f>
        <v>918.75</v>
      </c>
      <c r="H62" s="7" t="n">
        <f aca="false">ROUND((D62+0.45)/(1-ASM!$B$9),0)</f>
        <v>661</v>
      </c>
      <c r="I62" s="7" t="n">
        <f aca="false">ROUND((D62+0.45)/(1-ASM!$B$9-ASM!$B$10),0)</f>
        <v>794</v>
      </c>
      <c r="J62" s="7" t="str">
        <f aca="false">IF(G62&gt;=H62,"OK","FLOOR ALTI")</f>
        <v>OK</v>
      </c>
    </row>
    <row r="63" customFormat="false" ht="15" hidden="false" customHeight="false" outlineLevel="0" collapsed="false">
      <c r="A63" s="7" t="n">
        <v>6</v>
      </c>
      <c r="B63" s="7" t="n">
        <v>13</v>
      </c>
      <c r="C63" s="8" t="n">
        <v>6.7</v>
      </c>
      <c r="D63" s="9" t="n">
        <f aca="false">ROUND(C63*ASM!$B$8*ASM!$B$12*(1+ASM!$B$3)+ASM!$B$4+ASM!$B$5+ASM!$B$6,2)</f>
        <v>609.59</v>
      </c>
      <c r="E63" s="7" t="n">
        <f aca="false">ROUND((C63*ASM!$B$8*ASM!$B$12*(1+ASM!$B$3)+ASM!$B$4+ASM!$B$5+ASM!$B$6)*IF(A63&lt;=7,ASM!$B$7,ASM!$B$17),0)</f>
        <v>945</v>
      </c>
      <c r="F63" s="10" t="n">
        <f aca="false">CEILING(E63/0.75,5)</f>
        <v>1260</v>
      </c>
      <c r="G63" s="9" t="n">
        <f aca="false">F63*0.75</f>
        <v>945</v>
      </c>
      <c r="H63" s="7" t="n">
        <f aca="false">ROUND((D63+0.45)/(1-ASM!$B$9),0)</f>
        <v>682</v>
      </c>
      <c r="I63" s="7" t="n">
        <f aca="false">ROUND((D63+0.45)/(1-ASM!$B$9-ASM!$B$10),0)</f>
        <v>819</v>
      </c>
      <c r="J63" s="7" t="str">
        <f aca="false">IF(G63&gt;=H63,"OK","FLOOR ALTI")</f>
        <v>OK</v>
      </c>
    </row>
    <row r="64" customFormat="false" ht="15" hidden="false" customHeight="false" outlineLevel="0" collapsed="false">
      <c r="A64" s="7" t="n">
        <v>6</v>
      </c>
      <c r="B64" s="7" t="n">
        <v>14</v>
      </c>
      <c r="C64" s="8" t="n">
        <v>6.93</v>
      </c>
      <c r="D64" s="9" t="n">
        <f aca="false">ROUND(C64*ASM!$B$8*ASM!$B$12*(1+ASM!$B$3)+ASM!$B$4+ASM!$B$5+ASM!$B$6,2)</f>
        <v>628.46</v>
      </c>
      <c r="E64" s="7" t="n">
        <f aca="false">ROUND((C64*ASM!$B$8*ASM!$B$12*(1+ASM!$B$3)+ASM!$B$4+ASM!$B$5+ASM!$B$6)*IF(A64&lt;=7,ASM!$B$7,ASM!$B$17),0)</f>
        <v>974</v>
      </c>
      <c r="F64" s="10" t="n">
        <f aca="false">CEILING(E64/0.75,5)</f>
        <v>1300</v>
      </c>
      <c r="G64" s="9" t="n">
        <f aca="false">F64*0.75</f>
        <v>975</v>
      </c>
      <c r="H64" s="7" t="n">
        <f aca="false">ROUND((D64+0.45)/(1-ASM!$B$9),0)</f>
        <v>703</v>
      </c>
      <c r="I64" s="7" t="n">
        <f aca="false">ROUND((D64+0.45)/(1-ASM!$B$9-ASM!$B$10),0)</f>
        <v>844</v>
      </c>
      <c r="J64" s="7" t="str">
        <f aca="false">IF(G64&gt;=H64,"OK","FLOOR ALTI")</f>
        <v>OK</v>
      </c>
    </row>
    <row r="65" customFormat="false" ht="15" hidden="false" customHeight="false" outlineLevel="0" collapsed="false">
      <c r="A65" s="7" t="n">
        <v>6</v>
      </c>
      <c r="B65" s="7" t="n">
        <v>15</v>
      </c>
      <c r="C65" s="8" t="n">
        <v>7.15</v>
      </c>
      <c r="D65" s="9" t="n">
        <f aca="false">ROUND(C65*ASM!$B$8*ASM!$B$12*(1+ASM!$B$3)+ASM!$B$4+ASM!$B$5+ASM!$B$6,2)</f>
        <v>646.51</v>
      </c>
      <c r="E65" s="7" t="n">
        <f aca="false">ROUND((C65*ASM!$B$8*ASM!$B$12*(1+ASM!$B$3)+ASM!$B$4+ASM!$B$5+ASM!$B$6)*IF(A65&lt;=7,ASM!$B$7,ASM!$B$17),0)</f>
        <v>1002</v>
      </c>
      <c r="F65" s="10" t="n">
        <f aca="false">CEILING(E65/0.75,5)</f>
        <v>1340</v>
      </c>
      <c r="G65" s="9" t="n">
        <f aca="false">F65*0.75</f>
        <v>1005</v>
      </c>
      <c r="H65" s="7" t="n">
        <f aca="false">ROUND((D65+0.45)/(1-ASM!$B$9),0)</f>
        <v>723</v>
      </c>
      <c r="I65" s="7" t="n">
        <f aca="false">ROUND((D65+0.45)/(1-ASM!$B$9-ASM!$B$10),0)</f>
        <v>868</v>
      </c>
      <c r="J65" s="7" t="str">
        <f aca="false">IF(G65&gt;=H65,"OK","FLOOR ALTI")</f>
        <v>OK</v>
      </c>
    </row>
    <row r="66" customFormat="false" ht="15" hidden="false" customHeight="false" outlineLevel="0" collapsed="false">
      <c r="A66" s="7" t="n">
        <v>6</v>
      </c>
      <c r="B66" s="7" t="n">
        <v>16</v>
      </c>
      <c r="C66" s="8" t="n">
        <v>7.38</v>
      </c>
      <c r="D66" s="9" t="n">
        <f aca="false">ROUND(C66*ASM!$B$8*ASM!$B$12*(1+ASM!$B$3)+ASM!$B$4+ASM!$B$5+ASM!$B$6,2)</f>
        <v>665.37</v>
      </c>
      <c r="E66" s="7" t="n">
        <f aca="false">ROUND((C66*ASM!$B$8*ASM!$B$12*(1+ASM!$B$3)+ASM!$B$4+ASM!$B$5+ASM!$B$6)*IF(A66&lt;=7,ASM!$B$7,ASM!$B$17),0)</f>
        <v>1031</v>
      </c>
      <c r="F66" s="10" t="n">
        <f aca="false">CEILING(E66/0.75,5)</f>
        <v>1375</v>
      </c>
      <c r="G66" s="9" t="n">
        <f aca="false">F66*0.75</f>
        <v>1031.25</v>
      </c>
      <c r="H66" s="7" t="n">
        <f aca="false">ROUND((D66+0.45)/(1-ASM!$B$9),0)</f>
        <v>744</v>
      </c>
      <c r="I66" s="7" t="n">
        <f aca="false">ROUND((D66+0.45)/(1-ASM!$B$9-ASM!$B$10),0)</f>
        <v>894</v>
      </c>
      <c r="J66" s="7" t="str">
        <f aca="false">IF(G66&gt;=H66,"OK","FLOOR ALTI")</f>
        <v>OK</v>
      </c>
    </row>
    <row r="67" customFormat="false" ht="15" hidden="false" customHeight="false" outlineLevel="0" collapsed="false">
      <c r="A67" s="7" t="n">
        <v>7</v>
      </c>
      <c r="B67" s="7" t="n">
        <v>4</v>
      </c>
      <c r="C67" s="8" t="n">
        <v>5.44</v>
      </c>
      <c r="D67" s="9" t="n">
        <f aca="false">ROUND(C67*ASM!$B$8*ASM!$B$12*(1+ASM!$B$3)+ASM!$B$4+ASM!$B$5+ASM!$B$6,2)</f>
        <v>506.24</v>
      </c>
      <c r="E67" s="7" t="n">
        <f aca="false">ROUND((C67*ASM!$B$8*ASM!$B$12*(1+ASM!$B$3)+ASM!$B$4+ASM!$B$5+ASM!$B$6)*IF(A67&lt;=7,ASM!$B$7,ASM!$B$17),0)</f>
        <v>785</v>
      </c>
      <c r="F67" s="10" t="n">
        <f aca="false">CEILING(E67/0.75,5)</f>
        <v>1050</v>
      </c>
      <c r="G67" s="9" t="n">
        <f aca="false">F67*0.75</f>
        <v>787.5</v>
      </c>
      <c r="H67" s="7" t="n">
        <f aca="false">ROUND((D67+0.45)/(1-ASM!$B$9),0)</f>
        <v>566</v>
      </c>
      <c r="I67" s="7" t="n">
        <f aca="false">ROUND((D67+0.45)/(1-ASM!$B$9-ASM!$B$10),0)</f>
        <v>680</v>
      </c>
      <c r="J67" s="7" t="str">
        <f aca="false">IF(G67&gt;=H67,"OK","FLOOR ALTI")</f>
        <v>OK</v>
      </c>
    </row>
    <row r="68" customFormat="false" ht="15" hidden="false" customHeight="false" outlineLevel="0" collapsed="false">
      <c r="A68" s="7" t="n">
        <v>7</v>
      </c>
      <c r="B68" s="7" t="n">
        <v>5</v>
      </c>
      <c r="C68" s="8" t="n">
        <v>5.71</v>
      </c>
      <c r="D68" s="9" t="n">
        <f aca="false">ROUND(C68*ASM!$B$8*ASM!$B$12*(1+ASM!$B$3)+ASM!$B$4+ASM!$B$5+ASM!$B$6,2)</f>
        <v>528.38</v>
      </c>
      <c r="E68" s="7" t="n">
        <f aca="false">ROUND((C68*ASM!$B$8*ASM!$B$12*(1+ASM!$B$3)+ASM!$B$4+ASM!$B$5+ASM!$B$6)*IF(A68&lt;=7,ASM!$B$7,ASM!$B$17),0)</f>
        <v>819</v>
      </c>
      <c r="F68" s="10" t="n">
        <f aca="false">CEILING(E68/0.75,5)</f>
        <v>1095</v>
      </c>
      <c r="G68" s="9" t="n">
        <f aca="false">F68*0.75</f>
        <v>821.25</v>
      </c>
      <c r="H68" s="7" t="n">
        <f aca="false">ROUND((D68+0.45)/(1-ASM!$B$9),0)</f>
        <v>591</v>
      </c>
      <c r="I68" s="7" t="n">
        <f aca="false">ROUND((D68+0.45)/(1-ASM!$B$9-ASM!$B$10),0)</f>
        <v>710</v>
      </c>
      <c r="J68" s="7" t="str">
        <f aca="false">IF(G68&gt;=H68,"OK","FLOOR ALTI")</f>
        <v>OK</v>
      </c>
    </row>
    <row r="69" customFormat="false" ht="15" hidden="false" customHeight="false" outlineLevel="0" collapsed="false">
      <c r="A69" s="7" t="n">
        <v>7</v>
      </c>
      <c r="B69" s="7" t="n">
        <v>6</v>
      </c>
      <c r="C69" s="8" t="n">
        <v>5.97</v>
      </c>
      <c r="D69" s="9" t="n">
        <f aca="false">ROUND(C69*ASM!$B$8*ASM!$B$12*(1+ASM!$B$3)+ASM!$B$4+ASM!$B$5+ASM!$B$6,2)</f>
        <v>549.71</v>
      </c>
      <c r="E69" s="7" t="n">
        <f aca="false">ROUND((C69*ASM!$B$8*ASM!$B$12*(1+ASM!$B$3)+ASM!$B$4+ASM!$B$5+ASM!$B$6)*IF(A69&lt;=7,ASM!$B$7,ASM!$B$17),0)</f>
        <v>852</v>
      </c>
      <c r="F69" s="10" t="n">
        <f aca="false">CEILING(E69/0.75,5)</f>
        <v>1140</v>
      </c>
      <c r="G69" s="9" t="n">
        <f aca="false">F69*0.75</f>
        <v>855</v>
      </c>
      <c r="H69" s="7" t="n">
        <f aca="false">ROUND((D69+0.45)/(1-ASM!$B$9),0)</f>
        <v>615</v>
      </c>
      <c r="I69" s="7" t="n">
        <f aca="false">ROUND((D69+0.45)/(1-ASM!$B$9-ASM!$B$10),0)</f>
        <v>738</v>
      </c>
      <c r="J69" s="7" t="str">
        <f aca="false">IF(G69&gt;=H69,"OK","FLOOR ALTI")</f>
        <v>OK</v>
      </c>
    </row>
    <row r="70" customFormat="false" ht="15" hidden="false" customHeight="false" outlineLevel="0" collapsed="false">
      <c r="A70" s="7" t="n">
        <v>7</v>
      </c>
      <c r="B70" s="7" t="n">
        <v>7</v>
      </c>
      <c r="C70" s="8" t="n">
        <v>6.23</v>
      </c>
      <c r="D70" s="9" t="n">
        <f aca="false">ROUND(C70*ASM!$B$8*ASM!$B$12*(1+ASM!$B$3)+ASM!$B$4+ASM!$B$5+ASM!$B$6,2)</f>
        <v>571.04</v>
      </c>
      <c r="E70" s="7" t="n">
        <f aca="false">ROUND((C70*ASM!$B$8*ASM!$B$12*(1+ASM!$B$3)+ASM!$B$4+ASM!$B$5+ASM!$B$6)*IF(A70&lt;=7,ASM!$B$7,ASM!$B$17),0)</f>
        <v>885</v>
      </c>
      <c r="F70" s="10" t="n">
        <f aca="false">CEILING(E70/0.75,5)</f>
        <v>1180</v>
      </c>
      <c r="G70" s="9" t="n">
        <f aca="false">F70*0.75</f>
        <v>885</v>
      </c>
      <c r="H70" s="7" t="n">
        <f aca="false">ROUND((D70+0.45)/(1-ASM!$B$9),0)</f>
        <v>639</v>
      </c>
      <c r="I70" s="7" t="n">
        <f aca="false">ROUND((D70+0.45)/(1-ASM!$B$9-ASM!$B$10),0)</f>
        <v>767</v>
      </c>
      <c r="J70" s="7" t="str">
        <f aca="false">IF(G70&gt;=H70,"OK","FLOOR ALTI")</f>
        <v>OK</v>
      </c>
    </row>
    <row r="71" customFormat="false" ht="15" hidden="false" customHeight="false" outlineLevel="0" collapsed="false">
      <c r="A71" s="7" t="n">
        <v>7</v>
      </c>
      <c r="B71" s="7" t="n">
        <v>8</v>
      </c>
      <c r="C71" s="8" t="n">
        <v>6.5</v>
      </c>
      <c r="D71" s="9" t="n">
        <f aca="false">ROUND(C71*ASM!$B$8*ASM!$B$12*(1+ASM!$B$3)+ASM!$B$4+ASM!$B$5+ASM!$B$6,2)</f>
        <v>593.19</v>
      </c>
      <c r="E71" s="7" t="n">
        <f aca="false">ROUND((C71*ASM!$B$8*ASM!$B$12*(1+ASM!$B$3)+ASM!$B$4+ASM!$B$5+ASM!$B$6)*IF(A71&lt;=7,ASM!$B$7,ASM!$B$17),0)</f>
        <v>919</v>
      </c>
      <c r="F71" s="10" t="n">
        <f aca="false">CEILING(E71/0.75,5)</f>
        <v>1230</v>
      </c>
      <c r="G71" s="9" t="n">
        <f aca="false">F71*0.75</f>
        <v>922.5</v>
      </c>
      <c r="H71" s="7" t="n">
        <f aca="false">ROUND((D71+0.45)/(1-ASM!$B$9),0)</f>
        <v>663</v>
      </c>
      <c r="I71" s="7" t="n">
        <f aca="false">ROUND((D71+0.45)/(1-ASM!$B$9-ASM!$B$10),0)</f>
        <v>797</v>
      </c>
      <c r="J71" s="7" t="str">
        <f aca="false">IF(G71&gt;=H71,"OK","FLOOR ALTI")</f>
        <v>OK</v>
      </c>
    </row>
    <row r="72" customFormat="false" ht="15" hidden="false" customHeight="false" outlineLevel="0" collapsed="false">
      <c r="A72" s="7" t="n">
        <v>7</v>
      </c>
      <c r="B72" s="7" t="n">
        <v>9</v>
      </c>
      <c r="C72" s="8" t="n">
        <v>6.76</v>
      </c>
      <c r="D72" s="9" t="n">
        <f aca="false">ROUND(C72*ASM!$B$8*ASM!$B$12*(1+ASM!$B$3)+ASM!$B$4+ASM!$B$5+ASM!$B$6,2)</f>
        <v>614.51</v>
      </c>
      <c r="E72" s="7" t="n">
        <f aca="false">ROUND((C72*ASM!$B$8*ASM!$B$12*(1+ASM!$B$3)+ASM!$B$4+ASM!$B$5+ASM!$B$6)*IF(A72&lt;=7,ASM!$B$7,ASM!$B$17),0)</f>
        <v>952</v>
      </c>
      <c r="F72" s="10" t="n">
        <f aca="false">CEILING(E72/0.75,5)</f>
        <v>1270</v>
      </c>
      <c r="G72" s="9" t="n">
        <f aca="false">F72*0.75</f>
        <v>952.5</v>
      </c>
      <c r="H72" s="7" t="n">
        <f aca="false">ROUND((D72+0.45)/(1-ASM!$B$9),0)</f>
        <v>687</v>
      </c>
      <c r="I72" s="7" t="n">
        <f aca="false">ROUND((D72+0.45)/(1-ASM!$B$9-ASM!$B$10),0)</f>
        <v>825</v>
      </c>
      <c r="J72" s="7" t="str">
        <f aca="false">IF(G72&gt;=H72,"OK","FLOOR ALTI")</f>
        <v>OK</v>
      </c>
    </row>
    <row r="73" customFormat="false" ht="15" hidden="false" customHeight="false" outlineLevel="0" collapsed="false">
      <c r="A73" s="7" t="n">
        <v>7</v>
      </c>
      <c r="B73" s="7" t="n">
        <v>10</v>
      </c>
      <c r="C73" s="8" t="n">
        <v>7.03</v>
      </c>
      <c r="D73" s="9" t="n">
        <f aca="false">ROUND(C73*ASM!$B$8*ASM!$B$12*(1+ASM!$B$3)+ASM!$B$4+ASM!$B$5+ASM!$B$6,2)</f>
        <v>636.66</v>
      </c>
      <c r="E73" s="7" t="n">
        <f aca="false">ROUND((C73*ASM!$B$8*ASM!$B$12*(1+ASM!$B$3)+ASM!$B$4+ASM!$B$5+ASM!$B$6)*IF(A73&lt;=7,ASM!$B$7,ASM!$B$17),0)</f>
        <v>987</v>
      </c>
      <c r="F73" s="10" t="n">
        <f aca="false">CEILING(E73/0.75,5)</f>
        <v>1320</v>
      </c>
      <c r="G73" s="9" t="n">
        <f aca="false">F73*0.75</f>
        <v>990</v>
      </c>
      <c r="H73" s="7" t="n">
        <f aca="false">ROUND((D73+0.45)/(1-ASM!$B$9),0)</f>
        <v>712</v>
      </c>
      <c r="I73" s="7" t="n">
        <f aca="false">ROUND((D73+0.45)/(1-ASM!$B$9-ASM!$B$10),0)</f>
        <v>855</v>
      </c>
      <c r="J73" s="7" t="str">
        <f aca="false">IF(G73&gt;=H73,"OK","FLOOR ALTI")</f>
        <v>OK</v>
      </c>
    </row>
    <row r="74" customFormat="false" ht="15" hidden="false" customHeight="false" outlineLevel="0" collapsed="false">
      <c r="A74" s="7" t="n">
        <v>7</v>
      </c>
      <c r="B74" s="7" t="n">
        <v>11</v>
      </c>
      <c r="C74" s="8" t="n">
        <v>7.29</v>
      </c>
      <c r="D74" s="9" t="n">
        <f aca="false">ROUND(C74*ASM!$B$8*ASM!$B$12*(1+ASM!$B$3)+ASM!$B$4+ASM!$B$5+ASM!$B$6,2)</f>
        <v>657.99</v>
      </c>
      <c r="E74" s="7" t="n">
        <f aca="false">ROUND((C74*ASM!$B$8*ASM!$B$12*(1+ASM!$B$3)+ASM!$B$4+ASM!$B$5+ASM!$B$6)*IF(A74&lt;=7,ASM!$B$7,ASM!$B$17),0)</f>
        <v>1020</v>
      </c>
      <c r="F74" s="10" t="n">
        <f aca="false">CEILING(E74/0.75,5)</f>
        <v>1360</v>
      </c>
      <c r="G74" s="9" t="n">
        <f aca="false">F74*0.75</f>
        <v>1020</v>
      </c>
      <c r="H74" s="7" t="n">
        <f aca="false">ROUND((D74+0.45)/(1-ASM!$B$9),0)</f>
        <v>736</v>
      </c>
      <c r="I74" s="7" t="n">
        <f aca="false">ROUND((D74+0.45)/(1-ASM!$B$9-ASM!$B$10),0)</f>
        <v>884</v>
      </c>
      <c r="J74" s="7" t="str">
        <f aca="false">IF(G74&gt;=H74,"OK","FLOOR ALTI")</f>
        <v>OK</v>
      </c>
    </row>
    <row r="75" customFormat="false" ht="15" hidden="false" customHeight="false" outlineLevel="0" collapsed="false">
      <c r="A75" s="7" t="n">
        <v>7</v>
      </c>
      <c r="B75" s="7" t="n">
        <v>12</v>
      </c>
      <c r="C75" s="8" t="n">
        <v>7.55</v>
      </c>
      <c r="D75" s="9" t="n">
        <f aca="false">ROUND(C75*ASM!$B$8*ASM!$B$12*(1+ASM!$B$3)+ASM!$B$4+ASM!$B$5+ASM!$B$6,2)</f>
        <v>679.32</v>
      </c>
      <c r="E75" s="7" t="n">
        <f aca="false">ROUND((C75*ASM!$B$8*ASM!$B$12*(1+ASM!$B$3)+ASM!$B$4+ASM!$B$5+ASM!$B$6)*IF(A75&lt;=7,ASM!$B$7,ASM!$B$17),0)</f>
        <v>1053</v>
      </c>
      <c r="F75" s="10" t="n">
        <f aca="false">CEILING(E75/0.75,5)</f>
        <v>1405</v>
      </c>
      <c r="G75" s="9" t="n">
        <f aca="false">F75*0.75</f>
        <v>1053.75</v>
      </c>
      <c r="H75" s="7" t="n">
        <f aca="false">ROUND((D75+0.45)/(1-ASM!$B$9),0)</f>
        <v>760</v>
      </c>
      <c r="I75" s="7" t="n">
        <f aca="false">ROUND((D75+0.45)/(1-ASM!$B$9-ASM!$B$10),0)</f>
        <v>912</v>
      </c>
      <c r="J75" s="7" t="str">
        <f aca="false">IF(G75&gt;=H75,"OK","FLOOR ALTI")</f>
        <v>OK</v>
      </c>
    </row>
    <row r="76" customFormat="false" ht="15" hidden="false" customHeight="false" outlineLevel="0" collapsed="false">
      <c r="A76" s="7" t="n">
        <v>7</v>
      </c>
      <c r="B76" s="7" t="n">
        <v>13</v>
      </c>
      <c r="C76" s="8" t="n">
        <v>7.82</v>
      </c>
      <c r="D76" s="9" t="n">
        <f aca="false">ROUND(C76*ASM!$B$8*ASM!$B$12*(1+ASM!$B$3)+ASM!$B$4+ASM!$B$5+ASM!$B$6,2)</f>
        <v>701.47</v>
      </c>
      <c r="E76" s="7" t="n">
        <f aca="false">ROUND((C76*ASM!$B$8*ASM!$B$12*(1+ASM!$B$3)+ASM!$B$4+ASM!$B$5+ASM!$B$6)*IF(A76&lt;=7,ASM!$B$7,ASM!$B$17),0)</f>
        <v>1087</v>
      </c>
      <c r="F76" s="10" t="n">
        <f aca="false">CEILING(E76/0.75,5)</f>
        <v>1450</v>
      </c>
      <c r="G76" s="9" t="n">
        <f aca="false">F76*0.75</f>
        <v>1087.5</v>
      </c>
      <c r="H76" s="7" t="n">
        <f aca="false">ROUND((D76+0.45)/(1-ASM!$B$9),0)</f>
        <v>784</v>
      </c>
      <c r="I76" s="7" t="n">
        <f aca="false">ROUND((D76+0.45)/(1-ASM!$B$9-ASM!$B$10),0)</f>
        <v>942</v>
      </c>
      <c r="J76" s="7" t="str">
        <f aca="false">IF(G76&gt;=H76,"OK","FLOOR ALTI")</f>
        <v>OK</v>
      </c>
    </row>
    <row r="77" customFormat="false" ht="15" hidden="false" customHeight="false" outlineLevel="0" collapsed="false">
      <c r="A77" s="7" t="n">
        <v>7</v>
      </c>
      <c r="B77" s="7" t="n">
        <v>14</v>
      </c>
      <c r="C77" s="8" t="n">
        <v>8.08</v>
      </c>
      <c r="D77" s="9" t="n">
        <f aca="false">ROUND(C77*ASM!$B$8*ASM!$B$12*(1+ASM!$B$3)+ASM!$B$4+ASM!$B$5+ASM!$B$6,2)</f>
        <v>722.79</v>
      </c>
      <c r="E77" s="7" t="n">
        <f aca="false">ROUND((C77*ASM!$B$8*ASM!$B$12*(1+ASM!$B$3)+ASM!$B$4+ASM!$B$5+ASM!$B$6)*IF(A77&lt;=7,ASM!$B$7,ASM!$B$17),0)</f>
        <v>1120</v>
      </c>
      <c r="F77" s="10" t="n">
        <f aca="false">CEILING(E77/0.75,5)</f>
        <v>1495</v>
      </c>
      <c r="G77" s="9" t="n">
        <f aca="false">F77*0.75</f>
        <v>1121.25</v>
      </c>
      <c r="H77" s="7" t="n">
        <f aca="false">ROUND((D77+0.45)/(1-ASM!$B$9),0)</f>
        <v>808</v>
      </c>
      <c r="I77" s="7" t="n">
        <f aca="false">ROUND((D77+0.45)/(1-ASM!$B$9-ASM!$B$10),0)</f>
        <v>971</v>
      </c>
      <c r="J77" s="7" t="str">
        <f aca="false">IF(G77&gt;=H77,"OK","FLOOR ALTI")</f>
        <v>OK</v>
      </c>
    </row>
    <row r="78" customFormat="false" ht="15" hidden="false" customHeight="false" outlineLevel="0" collapsed="false">
      <c r="A78" s="7" t="n">
        <v>7</v>
      </c>
      <c r="B78" s="7" t="n">
        <v>15</v>
      </c>
      <c r="C78" s="8" t="n">
        <v>8.35</v>
      </c>
      <c r="D78" s="9" t="n">
        <f aca="false">ROUND(C78*ASM!$B$8*ASM!$B$12*(1+ASM!$B$3)+ASM!$B$4+ASM!$B$5+ASM!$B$6,2)</f>
        <v>744.94</v>
      </c>
      <c r="E78" s="7" t="n">
        <f aca="false">ROUND((C78*ASM!$B$8*ASM!$B$12*(1+ASM!$B$3)+ASM!$B$4+ASM!$B$5+ASM!$B$6)*IF(A78&lt;=7,ASM!$B$7,ASM!$B$17),0)</f>
        <v>1155</v>
      </c>
      <c r="F78" s="10" t="n">
        <f aca="false">CEILING(E78/0.75,5)</f>
        <v>1540</v>
      </c>
      <c r="G78" s="9" t="n">
        <f aca="false">F78*0.75</f>
        <v>1155</v>
      </c>
      <c r="H78" s="7" t="n">
        <f aca="false">ROUND((D78+0.45)/(1-ASM!$B$9),0)</f>
        <v>833</v>
      </c>
      <c r="I78" s="7" t="n">
        <f aca="false">ROUND((D78+0.45)/(1-ASM!$B$9-ASM!$B$10),0)</f>
        <v>1001</v>
      </c>
      <c r="J78" s="7" t="str">
        <f aca="false">IF(G78&gt;=H78,"OK","FLOOR ALTI")</f>
        <v>OK</v>
      </c>
    </row>
    <row r="79" customFormat="false" ht="15" hidden="false" customHeight="false" outlineLevel="0" collapsed="false">
      <c r="A79" s="7" t="n">
        <v>7</v>
      </c>
      <c r="B79" s="7" t="n">
        <v>16</v>
      </c>
      <c r="C79" s="8" t="n">
        <v>8.61</v>
      </c>
      <c r="D79" s="9" t="n">
        <f aca="false">ROUND(C79*ASM!$B$8*ASM!$B$12*(1+ASM!$B$3)+ASM!$B$4+ASM!$B$5+ASM!$B$6,2)</f>
        <v>766.27</v>
      </c>
      <c r="E79" s="7" t="n">
        <f aca="false">ROUND((C79*ASM!$B$8*ASM!$B$12*(1+ASM!$B$3)+ASM!$B$4+ASM!$B$5+ASM!$B$6)*IF(A79&lt;=7,ASM!$B$7,ASM!$B$17),0)</f>
        <v>1188</v>
      </c>
      <c r="F79" s="10" t="n">
        <f aca="false">CEILING(E79/0.75,5)</f>
        <v>1585</v>
      </c>
      <c r="G79" s="9" t="n">
        <f aca="false">F79*0.75</f>
        <v>1188.75</v>
      </c>
      <c r="H79" s="7" t="n">
        <f aca="false">ROUND((D79+0.45)/(1-ASM!$B$9),0)</f>
        <v>857</v>
      </c>
      <c r="I79" s="7" t="n">
        <f aca="false">ROUND((D79+0.45)/(1-ASM!$B$9-ASM!$B$10),0)</f>
        <v>1029</v>
      </c>
      <c r="J79" s="7" t="str">
        <f aca="false">IF(G79&gt;=H79,"OK","FLOOR ALTI")</f>
        <v>OK</v>
      </c>
    </row>
    <row r="80" customFormat="false" ht="15" hidden="false" customHeight="false" outlineLevel="0" collapsed="false">
      <c r="A80" s="7" t="n">
        <v>8</v>
      </c>
      <c r="B80" s="7" t="n">
        <v>4</v>
      </c>
      <c r="C80" s="8" t="n">
        <v>6.22</v>
      </c>
      <c r="D80" s="9" t="n">
        <f aca="false">ROUND(C80*ASM!$B$8*ASM!$B$12*(1+ASM!$B$3)+ASM!$B$4+ASM!$B$5+ASM!$B$6,2)</f>
        <v>570.22</v>
      </c>
      <c r="E80" s="7" t="n">
        <f aca="false">ROUND((C80*ASM!$B$8*ASM!$B$12*(1+ASM!$B$3)+ASM!$B$4+ASM!$B$5+ASM!$B$6)*IF(A80&lt;=7,ASM!$B$7,ASM!$B$17),0)</f>
        <v>1140</v>
      </c>
      <c r="F80" s="10" t="n">
        <f aca="false">CEILING(E80/0.75,5)</f>
        <v>1520</v>
      </c>
      <c r="G80" s="9" t="n">
        <f aca="false">F80*0.75</f>
        <v>1140</v>
      </c>
      <c r="H80" s="7" t="n">
        <f aca="false">ROUND((D80+0.45)/(1-ASM!$B$9),0)</f>
        <v>638</v>
      </c>
      <c r="I80" s="7" t="n">
        <f aca="false">ROUND((D80+0.45)/(1-ASM!$B$9-ASM!$B$10),0)</f>
        <v>766</v>
      </c>
      <c r="J80" s="7" t="str">
        <f aca="false">IF(G80&gt;=H80,"OK","FLOOR ALTI")</f>
        <v>OK</v>
      </c>
    </row>
    <row r="81" customFormat="false" ht="15" hidden="false" customHeight="false" outlineLevel="0" collapsed="false">
      <c r="A81" s="7" t="n">
        <v>8</v>
      </c>
      <c r="B81" s="7" t="n">
        <v>5</v>
      </c>
      <c r="C81" s="8" t="n">
        <v>6.52</v>
      </c>
      <c r="D81" s="9" t="n">
        <f aca="false">ROUND(C81*ASM!$B$8*ASM!$B$12*(1+ASM!$B$3)+ASM!$B$4+ASM!$B$5+ASM!$B$6,2)</f>
        <v>594.83</v>
      </c>
      <c r="E81" s="7" t="n">
        <f aca="false">ROUND((C81*ASM!$B$8*ASM!$B$12*(1+ASM!$B$3)+ASM!$B$4+ASM!$B$5+ASM!$B$6)*IF(A81&lt;=7,ASM!$B$7,ASM!$B$17),0)</f>
        <v>1190</v>
      </c>
      <c r="F81" s="10" t="n">
        <f aca="false">CEILING(E81/0.75,5)</f>
        <v>1590</v>
      </c>
      <c r="G81" s="9" t="n">
        <f aca="false">F81*0.75</f>
        <v>1192.5</v>
      </c>
      <c r="H81" s="7" t="n">
        <f aca="false">ROUND((D81+0.45)/(1-ASM!$B$9),0)</f>
        <v>665</v>
      </c>
      <c r="I81" s="7" t="n">
        <f aca="false">ROUND((D81+0.45)/(1-ASM!$B$9-ASM!$B$10),0)</f>
        <v>799</v>
      </c>
      <c r="J81" s="7" t="str">
        <f aca="false">IF(G81&gt;=H81,"OK","FLOOR ALTI")</f>
        <v>OK</v>
      </c>
    </row>
    <row r="82" customFormat="false" ht="15" hidden="false" customHeight="false" outlineLevel="0" collapsed="false">
      <c r="A82" s="7" t="n">
        <v>8</v>
      </c>
      <c r="B82" s="7" t="n">
        <v>6</v>
      </c>
      <c r="C82" s="8" t="n">
        <v>6.82</v>
      </c>
      <c r="D82" s="9" t="n">
        <f aca="false">ROUND(C82*ASM!$B$8*ASM!$B$12*(1+ASM!$B$3)+ASM!$B$4+ASM!$B$5+ASM!$B$6,2)</f>
        <v>619.44</v>
      </c>
      <c r="E82" s="7" t="n">
        <f aca="false">ROUND((C82*ASM!$B$8*ASM!$B$12*(1+ASM!$B$3)+ASM!$B$4+ASM!$B$5+ASM!$B$6)*IF(A82&lt;=7,ASM!$B$7,ASM!$B$17),0)</f>
        <v>1239</v>
      </c>
      <c r="F82" s="10" t="n">
        <f aca="false">CEILING(E82/0.75,5)</f>
        <v>1655</v>
      </c>
      <c r="G82" s="9" t="n">
        <f aca="false">F82*0.75</f>
        <v>1241.25</v>
      </c>
      <c r="H82" s="7" t="n">
        <f aca="false">ROUND((D82+0.45)/(1-ASM!$B$9),0)</f>
        <v>693</v>
      </c>
      <c r="I82" s="7" t="n">
        <f aca="false">ROUND((D82+0.45)/(1-ASM!$B$9-ASM!$B$10),0)</f>
        <v>832</v>
      </c>
      <c r="J82" s="7" t="str">
        <f aca="false">IF(G82&gt;=H82,"OK","FLOOR ALTI")</f>
        <v>OK</v>
      </c>
    </row>
    <row r="83" customFormat="false" ht="15" hidden="false" customHeight="false" outlineLevel="0" collapsed="false">
      <c r="A83" s="7" t="n">
        <v>8</v>
      </c>
      <c r="B83" s="7" t="n">
        <v>7</v>
      </c>
      <c r="C83" s="8" t="n">
        <v>7.13</v>
      </c>
      <c r="D83" s="9" t="n">
        <f aca="false">ROUND(C83*ASM!$B$8*ASM!$B$12*(1+ASM!$B$3)+ASM!$B$4+ASM!$B$5+ASM!$B$6,2)</f>
        <v>644.87</v>
      </c>
      <c r="E83" s="7" t="n">
        <f aca="false">ROUND((C83*ASM!$B$8*ASM!$B$12*(1+ASM!$B$3)+ASM!$B$4+ASM!$B$5+ASM!$B$6)*IF(A83&lt;=7,ASM!$B$7,ASM!$B$17),0)</f>
        <v>1290</v>
      </c>
      <c r="F83" s="10" t="n">
        <f aca="false">CEILING(E83/0.75,5)</f>
        <v>1720</v>
      </c>
      <c r="G83" s="9" t="n">
        <f aca="false">F83*0.75</f>
        <v>1290</v>
      </c>
      <c r="H83" s="7" t="n">
        <f aca="false">ROUND((D83+0.45)/(1-ASM!$B$9),0)</f>
        <v>721</v>
      </c>
      <c r="I83" s="7" t="n">
        <f aca="false">ROUND((D83+0.45)/(1-ASM!$B$9-ASM!$B$10),0)</f>
        <v>866</v>
      </c>
      <c r="J83" s="7" t="str">
        <f aca="false">IF(G83&gt;=H83,"OK","FLOOR ALTI")</f>
        <v>OK</v>
      </c>
    </row>
    <row r="84" customFormat="false" ht="15" hidden="false" customHeight="false" outlineLevel="0" collapsed="false">
      <c r="A84" s="7" t="n">
        <v>8</v>
      </c>
      <c r="B84" s="7" t="n">
        <v>8</v>
      </c>
      <c r="C84" s="8" t="n">
        <v>7.43</v>
      </c>
      <c r="D84" s="9" t="n">
        <f aca="false">ROUND(C84*ASM!$B$8*ASM!$B$12*(1+ASM!$B$3)+ASM!$B$4+ASM!$B$5+ASM!$B$6,2)</f>
        <v>669.47</v>
      </c>
      <c r="E84" s="7" t="n">
        <f aca="false">ROUND((C84*ASM!$B$8*ASM!$B$12*(1+ASM!$B$3)+ASM!$B$4+ASM!$B$5+ASM!$B$6)*IF(A84&lt;=7,ASM!$B$7,ASM!$B$17),0)</f>
        <v>1339</v>
      </c>
      <c r="F84" s="10" t="n">
        <f aca="false">CEILING(E84/0.75,5)</f>
        <v>1790</v>
      </c>
      <c r="G84" s="9" t="n">
        <f aca="false">F84*0.75</f>
        <v>1342.5</v>
      </c>
      <c r="H84" s="7" t="n">
        <f aca="false">ROUND((D84+0.45)/(1-ASM!$B$9),0)</f>
        <v>749</v>
      </c>
      <c r="I84" s="7" t="n">
        <f aca="false">ROUND((D84+0.45)/(1-ASM!$B$9-ASM!$B$10),0)</f>
        <v>899</v>
      </c>
      <c r="J84" s="7" t="str">
        <f aca="false">IF(G84&gt;=H84,"OK","FLOOR ALTI")</f>
        <v>OK</v>
      </c>
    </row>
    <row r="85" customFormat="false" ht="15" hidden="false" customHeight="false" outlineLevel="0" collapsed="false">
      <c r="A85" s="7" t="n">
        <v>8</v>
      </c>
      <c r="B85" s="7" t="n">
        <v>9</v>
      </c>
      <c r="C85" s="8" t="n">
        <v>7.73</v>
      </c>
      <c r="D85" s="9" t="n">
        <f aca="false">ROUND(C85*ASM!$B$8*ASM!$B$12*(1+ASM!$B$3)+ASM!$B$4+ASM!$B$5+ASM!$B$6,2)</f>
        <v>694.08</v>
      </c>
      <c r="E85" s="7" t="n">
        <f aca="false">ROUND((C85*ASM!$B$8*ASM!$B$12*(1+ASM!$B$3)+ASM!$B$4+ASM!$B$5+ASM!$B$6)*IF(A85&lt;=7,ASM!$B$7,ASM!$B$17),0)</f>
        <v>1388</v>
      </c>
      <c r="F85" s="10" t="n">
        <f aca="false">CEILING(E85/0.75,5)</f>
        <v>1855</v>
      </c>
      <c r="G85" s="9" t="n">
        <f aca="false">F85*0.75</f>
        <v>1391.25</v>
      </c>
      <c r="H85" s="7" t="n">
        <f aca="false">ROUND((D85+0.45)/(1-ASM!$B$9),0)</f>
        <v>776</v>
      </c>
      <c r="I85" s="7" t="n">
        <f aca="false">ROUND((D85+0.45)/(1-ASM!$B$9-ASM!$B$10),0)</f>
        <v>932</v>
      </c>
      <c r="J85" s="7" t="str">
        <f aca="false">IF(G85&gt;=H85,"OK","FLOOR ALTI")</f>
        <v>OK</v>
      </c>
    </row>
    <row r="86" customFormat="false" ht="15" hidden="false" customHeight="false" outlineLevel="0" collapsed="false">
      <c r="A86" s="7" t="n">
        <v>8</v>
      </c>
      <c r="B86" s="7" t="n">
        <v>10</v>
      </c>
      <c r="C86" s="8" t="n">
        <v>8.03</v>
      </c>
      <c r="D86" s="9" t="n">
        <f aca="false">ROUND(C86*ASM!$B$8*ASM!$B$12*(1+ASM!$B$3)+ASM!$B$4+ASM!$B$5+ASM!$B$6,2)</f>
        <v>718.69</v>
      </c>
      <c r="E86" s="7" t="n">
        <f aca="false">ROUND((C86*ASM!$B$8*ASM!$B$12*(1+ASM!$B$3)+ASM!$B$4+ASM!$B$5+ASM!$B$6)*IF(A86&lt;=7,ASM!$B$7,ASM!$B$17),0)</f>
        <v>1437</v>
      </c>
      <c r="F86" s="10" t="n">
        <f aca="false">CEILING(E86/0.75,5)</f>
        <v>1920</v>
      </c>
      <c r="G86" s="9" t="n">
        <f aca="false">F86*0.75</f>
        <v>1440</v>
      </c>
      <c r="H86" s="7" t="n">
        <f aca="false">ROUND((D86+0.45)/(1-ASM!$B$9),0)</f>
        <v>804</v>
      </c>
      <c r="I86" s="7" t="n">
        <f aca="false">ROUND((D86+0.45)/(1-ASM!$B$9-ASM!$B$10),0)</f>
        <v>965</v>
      </c>
      <c r="J86" s="7" t="str">
        <f aca="false">IF(G86&gt;=H86,"OK","FLOOR ALTI")</f>
        <v>OK</v>
      </c>
    </row>
    <row r="87" customFormat="false" ht="15" hidden="false" customHeight="false" outlineLevel="0" collapsed="false">
      <c r="A87" s="7" t="n">
        <v>8</v>
      </c>
      <c r="B87" s="7" t="n">
        <v>11</v>
      </c>
      <c r="C87" s="8" t="n">
        <v>8.33</v>
      </c>
      <c r="D87" s="9" t="n">
        <f aca="false">ROUND(C87*ASM!$B$8*ASM!$B$12*(1+ASM!$B$3)+ASM!$B$4+ASM!$B$5+ASM!$B$6,2)</f>
        <v>743.3</v>
      </c>
      <c r="E87" s="7" t="n">
        <f aca="false">ROUND((C87*ASM!$B$8*ASM!$B$12*(1+ASM!$B$3)+ASM!$B$4+ASM!$B$5+ASM!$B$6)*IF(A87&lt;=7,ASM!$B$7,ASM!$B$17),0)</f>
        <v>1487</v>
      </c>
      <c r="F87" s="10" t="n">
        <f aca="false">CEILING(E87/0.75,5)</f>
        <v>1985</v>
      </c>
      <c r="G87" s="9" t="n">
        <f aca="false">F87*0.75</f>
        <v>1488.75</v>
      </c>
      <c r="H87" s="7" t="n">
        <f aca="false">ROUND((D87+0.45)/(1-ASM!$B$9),0)</f>
        <v>831</v>
      </c>
      <c r="I87" s="7" t="n">
        <f aca="false">ROUND((D87+0.45)/(1-ASM!$B$9-ASM!$B$10),0)</f>
        <v>998</v>
      </c>
      <c r="J87" s="7" t="str">
        <f aca="false">IF(G87&gt;=H87,"OK","FLOOR ALTI")</f>
        <v>OK</v>
      </c>
    </row>
    <row r="88" customFormat="false" ht="15" hidden="false" customHeight="false" outlineLevel="0" collapsed="false">
      <c r="A88" s="7" t="n">
        <v>8</v>
      </c>
      <c r="B88" s="7" t="n">
        <v>12</v>
      </c>
      <c r="C88" s="8" t="n">
        <v>8.63</v>
      </c>
      <c r="D88" s="9" t="n">
        <f aca="false">ROUND(C88*ASM!$B$8*ASM!$B$12*(1+ASM!$B$3)+ASM!$B$4+ASM!$B$5+ASM!$B$6,2)</f>
        <v>767.91</v>
      </c>
      <c r="E88" s="7" t="n">
        <f aca="false">ROUND((C88*ASM!$B$8*ASM!$B$12*(1+ASM!$B$3)+ASM!$B$4+ASM!$B$5+ASM!$B$6)*IF(A88&lt;=7,ASM!$B$7,ASM!$B$17),0)</f>
        <v>1536</v>
      </c>
      <c r="F88" s="10" t="n">
        <f aca="false">CEILING(E88/0.75,5)</f>
        <v>2050</v>
      </c>
      <c r="G88" s="9" t="n">
        <f aca="false">F88*0.75</f>
        <v>1537.5</v>
      </c>
      <c r="H88" s="7" t="n">
        <f aca="false">ROUND((D88+0.45)/(1-ASM!$B$9),0)</f>
        <v>859</v>
      </c>
      <c r="I88" s="7" t="n">
        <f aca="false">ROUND((D88+0.45)/(1-ASM!$B$9-ASM!$B$10),0)</f>
        <v>1031</v>
      </c>
      <c r="J88" s="7" t="str">
        <f aca="false">IF(G88&gt;=H88,"OK","FLOOR ALTI")</f>
        <v>OK</v>
      </c>
    </row>
    <row r="89" customFormat="false" ht="15" hidden="false" customHeight="false" outlineLevel="0" collapsed="false">
      <c r="A89" s="7" t="n">
        <v>8</v>
      </c>
      <c r="B89" s="7" t="n">
        <v>13</v>
      </c>
      <c r="C89" s="8" t="n">
        <v>8.93</v>
      </c>
      <c r="D89" s="9" t="n">
        <f aca="false">ROUND(C89*ASM!$B$8*ASM!$B$12*(1+ASM!$B$3)+ASM!$B$4+ASM!$B$5+ASM!$B$6,2)</f>
        <v>792.52</v>
      </c>
      <c r="E89" s="7" t="n">
        <f aca="false">ROUND((C89*ASM!$B$8*ASM!$B$12*(1+ASM!$B$3)+ASM!$B$4+ASM!$B$5+ASM!$B$6)*IF(A89&lt;=7,ASM!$B$7,ASM!$B$17),0)</f>
        <v>1585</v>
      </c>
      <c r="F89" s="10" t="n">
        <f aca="false">CEILING(E89/0.75,5)</f>
        <v>2115</v>
      </c>
      <c r="G89" s="9" t="n">
        <f aca="false">F89*0.75</f>
        <v>1586.25</v>
      </c>
      <c r="H89" s="7" t="n">
        <f aca="false">ROUND((D89+0.45)/(1-ASM!$B$9),0)</f>
        <v>886</v>
      </c>
      <c r="I89" s="7" t="n">
        <f aca="false">ROUND((D89+0.45)/(1-ASM!$B$9-ASM!$B$10),0)</f>
        <v>1064</v>
      </c>
      <c r="J89" s="7" t="str">
        <f aca="false">IF(G89&gt;=H89,"OK","FLOOR ALTI")</f>
        <v>OK</v>
      </c>
    </row>
    <row r="90" customFormat="false" ht="15" hidden="false" customHeight="false" outlineLevel="0" collapsed="false">
      <c r="A90" s="7" t="n">
        <v>8</v>
      </c>
      <c r="B90" s="7" t="n">
        <v>14</v>
      </c>
      <c r="C90" s="8" t="n">
        <v>9.24</v>
      </c>
      <c r="D90" s="9" t="n">
        <f aca="false">ROUND(C90*ASM!$B$8*ASM!$B$12*(1+ASM!$B$3)+ASM!$B$4+ASM!$B$5+ASM!$B$6,2)</f>
        <v>817.95</v>
      </c>
      <c r="E90" s="7" t="n">
        <f aca="false">ROUND((C90*ASM!$B$8*ASM!$B$12*(1+ASM!$B$3)+ASM!$B$4+ASM!$B$5+ASM!$B$6)*IF(A90&lt;=7,ASM!$B$7,ASM!$B$17),0)</f>
        <v>1636</v>
      </c>
      <c r="F90" s="10" t="n">
        <f aca="false">CEILING(E90/0.75,5)</f>
        <v>2185</v>
      </c>
      <c r="G90" s="9" t="n">
        <f aca="false">F90*0.75</f>
        <v>1638.75</v>
      </c>
      <c r="H90" s="7" t="n">
        <f aca="false">ROUND((D90+0.45)/(1-ASM!$B$9),0)</f>
        <v>914</v>
      </c>
      <c r="I90" s="7" t="n">
        <f aca="false">ROUND((D90+0.45)/(1-ASM!$B$9-ASM!$B$10),0)</f>
        <v>1099</v>
      </c>
      <c r="J90" s="7" t="str">
        <f aca="false">IF(G90&gt;=H90,"OK","FLOOR ALTI")</f>
        <v>OK</v>
      </c>
    </row>
    <row r="91" customFormat="false" ht="15" hidden="false" customHeight="false" outlineLevel="0" collapsed="false">
      <c r="A91" s="7" t="n">
        <v>8</v>
      </c>
      <c r="B91" s="7" t="n">
        <v>15</v>
      </c>
      <c r="C91" s="8" t="n">
        <v>9.54</v>
      </c>
      <c r="D91" s="9" t="n">
        <f aca="false">ROUND(C91*ASM!$B$8*ASM!$B$12*(1+ASM!$B$3)+ASM!$B$4+ASM!$B$5+ASM!$B$6,2)</f>
        <v>842.55</v>
      </c>
      <c r="E91" s="7" t="n">
        <f aca="false">ROUND((C91*ASM!$B$8*ASM!$B$12*(1+ASM!$B$3)+ASM!$B$4+ASM!$B$5+ASM!$B$6)*IF(A91&lt;=7,ASM!$B$7,ASM!$B$17),0)</f>
        <v>1685</v>
      </c>
      <c r="F91" s="10" t="n">
        <f aca="false">CEILING(E91/0.75,5)</f>
        <v>2250</v>
      </c>
      <c r="G91" s="9" t="n">
        <f aca="false">F91*0.75</f>
        <v>1687.5</v>
      </c>
      <c r="H91" s="7" t="n">
        <f aca="false">ROUND((D91+0.45)/(1-ASM!$B$9),0)</f>
        <v>942</v>
      </c>
      <c r="I91" s="7" t="n">
        <f aca="false">ROUND((D91+0.45)/(1-ASM!$B$9-ASM!$B$10),0)</f>
        <v>1132</v>
      </c>
      <c r="J91" s="7" t="str">
        <f aca="false">IF(G91&gt;=H91,"OK","FLOOR ALTI")</f>
        <v>OK</v>
      </c>
    </row>
    <row r="92" customFormat="false" ht="15" hidden="false" customHeight="false" outlineLevel="0" collapsed="false">
      <c r="A92" s="7" t="n">
        <v>8</v>
      </c>
      <c r="B92" s="7" t="n">
        <v>16</v>
      </c>
      <c r="C92" s="8" t="n">
        <v>9.84</v>
      </c>
      <c r="D92" s="9" t="n">
        <f aca="false">ROUND(C92*ASM!$B$8*ASM!$B$12*(1+ASM!$B$3)+ASM!$B$4+ASM!$B$5+ASM!$B$6,2)</f>
        <v>867.16</v>
      </c>
      <c r="E92" s="7" t="n">
        <f aca="false">ROUND((C92*ASM!$B$8*ASM!$B$12*(1+ASM!$B$3)+ASM!$B$4+ASM!$B$5+ASM!$B$6)*IF(A92&lt;=7,ASM!$B$7,ASM!$B$17),0)</f>
        <v>1734</v>
      </c>
      <c r="F92" s="10" t="n">
        <f aca="false">CEILING(E92/0.75,5)</f>
        <v>2315</v>
      </c>
      <c r="G92" s="9" t="n">
        <f aca="false">F92*0.75</f>
        <v>1736.25</v>
      </c>
      <c r="H92" s="7" t="n">
        <f aca="false">ROUND((D92+0.45)/(1-ASM!$B$9),0)</f>
        <v>969</v>
      </c>
      <c r="I92" s="7" t="n">
        <f aca="false">ROUND((D92+0.45)/(1-ASM!$B$9-ASM!$B$10),0)</f>
        <v>1165</v>
      </c>
      <c r="J92" s="7" t="str">
        <f aca="false">IF(G92&gt;=H92,"OK","FLOOR ALTI")</f>
        <v>OK</v>
      </c>
    </row>
    <row r="93" customFormat="false" ht="15" hidden="false" customHeight="false" outlineLevel="0" collapsed="false">
      <c r="A93" s="7" t="n">
        <v>9</v>
      </c>
      <c r="B93" s="7" t="n">
        <v>4</v>
      </c>
      <c r="C93" s="8" t="n">
        <v>7</v>
      </c>
      <c r="D93" s="9" t="n">
        <f aca="false">ROUND(C93*ASM!$B$8*ASM!$B$12*(1+ASM!$B$3)+ASM!$B$4+ASM!$B$5+ASM!$B$6,2)</f>
        <v>634.2</v>
      </c>
      <c r="E93" s="7" t="n">
        <f aca="false">ROUND((C93*ASM!$B$8*ASM!$B$12*(1+ASM!$B$3)+ASM!$B$4+ASM!$B$5+ASM!$B$6)*IF(A93&lt;=7,ASM!$B$7,ASM!$B$17),0)</f>
        <v>1268</v>
      </c>
      <c r="F93" s="10" t="n">
        <f aca="false">CEILING(E93/0.75,5)</f>
        <v>1695</v>
      </c>
      <c r="G93" s="9" t="n">
        <f aca="false">F93*0.75</f>
        <v>1271.25</v>
      </c>
      <c r="H93" s="7" t="n">
        <f aca="false">ROUND((D93+0.45)/(1-ASM!$B$9),0)</f>
        <v>709</v>
      </c>
      <c r="I93" s="7" t="n">
        <f aca="false">ROUND((D93+0.45)/(1-ASM!$B$9-ASM!$B$10),0)</f>
        <v>852</v>
      </c>
      <c r="J93" s="7" t="str">
        <f aca="false">IF(G93&gt;=H93,"OK","FLOOR ALTI")</f>
        <v>OK</v>
      </c>
    </row>
    <row r="94" customFormat="false" ht="15" hidden="false" customHeight="false" outlineLevel="0" collapsed="false">
      <c r="A94" s="7" t="n">
        <v>9</v>
      </c>
      <c r="B94" s="7" t="n">
        <v>5</v>
      </c>
      <c r="C94" s="8" t="n">
        <v>7.34</v>
      </c>
      <c r="D94" s="9" t="n">
        <f aca="false">ROUND(C94*ASM!$B$8*ASM!$B$12*(1+ASM!$B$3)+ASM!$B$4+ASM!$B$5+ASM!$B$6,2)</f>
        <v>662.09</v>
      </c>
      <c r="E94" s="7" t="n">
        <f aca="false">ROUND((C94*ASM!$B$8*ASM!$B$12*(1+ASM!$B$3)+ASM!$B$4+ASM!$B$5+ASM!$B$6)*IF(A94&lt;=7,ASM!$B$7,ASM!$B$17),0)</f>
        <v>1324</v>
      </c>
      <c r="F94" s="10" t="n">
        <f aca="false">CEILING(E94/0.75,5)</f>
        <v>1770</v>
      </c>
      <c r="G94" s="9" t="n">
        <f aca="false">F94*0.75</f>
        <v>1327.5</v>
      </c>
      <c r="H94" s="7" t="n">
        <f aca="false">ROUND((D94+0.45)/(1-ASM!$B$9),0)</f>
        <v>740</v>
      </c>
      <c r="I94" s="7" t="n">
        <f aca="false">ROUND((D94+0.45)/(1-ASM!$B$9-ASM!$B$10),0)</f>
        <v>889</v>
      </c>
      <c r="J94" s="7" t="str">
        <f aca="false">IF(G94&gt;=H94,"OK","FLOOR ALTI")</f>
        <v>OK</v>
      </c>
    </row>
    <row r="95" customFormat="false" ht="15" hidden="false" customHeight="false" outlineLevel="0" collapsed="false">
      <c r="A95" s="7" t="n">
        <v>9</v>
      </c>
      <c r="B95" s="7" t="n">
        <v>6</v>
      </c>
      <c r="C95" s="8" t="n">
        <v>7.68</v>
      </c>
      <c r="D95" s="9" t="n">
        <f aca="false">ROUND(C95*ASM!$B$8*ASM!$B$12*(1+ASM!$B$3)+ASM!$B$4+ASM!$B$5+ASM!$B$6,2)</f>
        <v>689.98</v>
      </c>
      <c r="E95" s="7" t="n">
        <f aca="false">ROUND((C95*ASM!$B$8*ASM!$B$12*(1+ASM!$B$3)+ASM!$B$4+ASM!$B$5+ASM!$B$6)*IF(A95&lt;=7,ASM!$B$7,ASM!$B$17),0)</f>
        <v>1380</v>
      </c>
      <c r="F95" s="10" t="n">
        <f aca="false">CEILING(E95/0.75,5)</f>
        <v>1840</v>
      </c>
      <c r="G95" s="9" t="n">
        <f aca="false">F95*0.75</f>
        <v>1380</v>
      </c>
      <c r="H95" s="7" t="n">
        <f aca="false">ROUND((D95+0.45)/(1-ASM!$B$9),0)</f>
        <v>771</v>
      </c>
      <c r="I95" s="7" t="n">
        <f aca="false">ROUND((D95+0.45)/(1-ASM!$B$9-ASM!$B$10),0)</f>
        <v>927</v>
      </c>
      <c r="J95" s="7" t="str">
        <f aca="false">IF(G95&gt;=H95,"OK","FLOOR ALTI")</f>
        <v>OK</v>
      </c>
    </row>
    <row r="96" customFormat="false" ht="15" hidden="false" customHeight="false" outlineLevel="0" collapsed="false">
      <c r="A96" s="7" t="n">
        <v>9</v>
      </c>
      <c r="B96" s="7" t="n">
        <v>7</v>
      </c>
      <c r="C96" s="8" t="n">
        <v>8.02</v>
      </c>
      <c r="D96" s="9" t="n">
        <f aca="false">ROUND(C96*ASM!$B$8*ASM!$B$12*(1+ASM!$B$3)+ASM!$B$4+ASM!$B$5+ASM!$B$6,2)</f>
        <v>717.87</v>
      </c>
      <c r="E96" s="7" t="n">
        <f aca="false">ROUND((C96*ASM!$B$8*ASM!$B$12*(1+ASM!$B$3)+ASM!$B$4+ASM!$B$5+ASM!$B$6)*IF(A96&lt;=7,ASM!$B$7,ASM!$B$17),0)</f>
        <v>1436</v>
      </c>
      <c r="F96" s="10" t="n">
        <f aca="false">CEILING(E96/0.75,5)</f>
        <v>1915</v>
      </c>
      <c r="G96" s="9" t="n">
        <f aca="false">F96*0.75</f>
        <v>1436.25</v>
      </c>
      <c r="H96" s="7" t="n">
        <f aca="false">ROUND((D96+0.45)/(1-ASM!$B$9),0)</f>
        <v>803</v>
      </c>
      <c r="I96" s="7" t="n">
        <f aca="false">ROUND((D96+0.45)/(1-ASM!$B$9-ASM!$B$10),0)</f>
        <v>964</v>
      </c>
      <c r="J96" s="7" t="str">
        <f aca="false">IF(G96&gt;=H96,"OK","FLOOR ALTI")</f>
        <v>OK</v>
      </c>
    </row>
    <row r="97" customFormat="false" ht="15" hidden="false" customHeight="false" outlineLevel="0" collapsed="false">
      <c r="A97" s="7" t="n">
        <v>9</v>
      </c>
      <c r="B97" s="7" t="n">
        <v>8</v>
      </c>
      <c r="C97" s="8" t="n">
        <v>8.36</v>
      </c>
      <c r="D97" s="9" t="n">
        <f aca="false">ROUND(C97*ASM!$B$8*ASM!$B$12*(1+ASM!$B$3)+ASM!$B$4+ASM!$B$5+ASM!$B$6,2)</f>
        <v>745.76</v>
      </c>
      <c r="E97" s="7" t="n">
        <f aca="false">ROUND((C97*ASM!$B$8*ASM!$B$12*(1+ASM!$B$3)+ASM!$B$4+ASM!$B$5+ASM!$B$6)*IF(A97&lt;=7,ASM!$B$7,ASM!$B$17),0)</f>
        <v>1492</v>
      </c>
      <c r="F97" s="10" t="n">
        <f aca="false">CEILING(E97/0.75,5)</f>
        <v>1990</v>
      </c>
      <c r="G97" s="9" t="n">
        <f aca="false">F97*0.75</f>
        <v>1492.5</v>
      </c>
      <c r="H97" s="7" t="n">
        <f aca="false">ROUND((D97+0.45)/(1-ASM!$B$9),0)</f>
        <v>834</v>
      </c>
      <c r="I97" s="7" t="n">
        <f aca="false">ROUND((D97+0.45)/(1-ASM!$B$9-ASM!$B$10),0)</f>
        <v>1002</v>
      </c>
      <c r="J97" s="7" t="str">
        <f aca="false">IF(G97&gt;=H97,"OK","FLOOR ALTI")</f>
        <v>OK</v>
      </c>
    </row>
    <row r="98" customFormat="false" ht="15" hidden="false" customHeight="false" outlineLevel="0" collapsed="false">
      <c r="A98" s="7" t="n">
        <v>9</v>
      </c>
      <c r="B98" s="7" t="n">
        <v>9</v>
      </c>
      <c r="C98" s="8" t="n">
        <v>8.69</v>
      </c>
      <c r="D98" s="9" t="n">
        <f aca="false">ROUND(C98*ASM!$B$8*ASM!$B$12*(1+ASM!$B$3)+ASM!$B$4+ASM!$B$5+ASM!$B$6,2)</f>
        <v>772.83</v>
      </c>
      <c r="E98" s="7" t="n">
        <f aca="false">ROUND((C98*ASM!$B$8*ASM!$B$12*(1+ASM!$B$3)+ASM!$B$4+ASM!$B$5+ASM!$B$6)*IF(A98&lt;=7,ASM!$B$7,ASM!$B$17),0)</f>
        <v>1546</v>
      </c>
      <c r="F98" s="10" t="n">
        <f aca="false">CEILING(E98/0.75,5)</f>
        <v>2065</v>
      </c>
      <c r="G98" s="9" t="n">
        <f aca="false">F98*0.75</f>
        <v>1548.75</v>
      </c>
      <c r="H98" s="7" t="n">
        <f aca="false">ROUND((D98+0.45)/(1-ASM!$B$9),0)</f>
        <v>864</v>
      </c>
      <c r="I98" s="7" t="n">
        <f aca="false">ROUND((D98+0.45)/(1-ASM!$B$9-ASM!$B$10),0)</f>
        <v>1038</v>
      </c>
      <c r="J98" s="7" t="str">
        <f aca="false">IF(G98&gt;=H98,"OK","FLOOR ALTI")</f>
        <v>OK</v>
      </c>
    </row>
    <row r="99" customFormat="false" ht="15" hidden="false" customHeight="false" outlineLevel="0" collapsed="false">
      <c r="A99" s="7" t="n">
        <v>9</v>
      </c>
      <c r="B99" s="7" t="n">
        <v>10</v>
      </c>
      <c r="C99" s="8" t="n">
        <v>9.03</v>
      </c>
      <c r="D99" s="9" t="n">
        <f aca="false">ROUND(C99*ASM!$B$8*ASM!$B$12*(1+ASM!$B$3)+ASM!$B$4+ASM!$B$5+ASM!$B$6,2)</f>
        <v>800.72</v>
      </c>
      <c r="E99" s="7" t="n">
        <f aca="false">ROUND((C99*ASM!$B$8*ASM!$B$12*(1+ASM!$B$3)+ASM!$B$4+ASM!$B$5+ASM!$B$6)*IF(A99&lt;=7,ASM!$B$7,ASM!$B$17),0)</f>
        <v>1601</v>
      </c>
      <c r="F99" s="10" t="n">
        <f aca="false">CEILING(E99/0.75,5)</f>
        <v>2135</v>
      </c>
      <c r="G99" s="9" t="n">
        <f aca="false">F99*0.75</f>
        <v>1601.25</v>
      </c>
      <c r="H99" s="7" t="n">
        <f aca="false">ROUND((D99+0.45)/(1-ASM!$B$9),0)</f>
        <v>895</v>
      </c>
      <c r="I99" s="7" t="n">
        <f aca="false">ROUND((D99+0.45)/(1-ASM!$B$9-ASM!$B$10),0)</f>
        <v>1075</v>
      </c>
      <c r="J99" s="7" t="str">
        <f aca="false">IF(G99&gt;=H99,"OK","FLOOR ALTI")</f>
        <v>OK</v>
      </c>
    </row>
    <row r="100" customFormat="false" ht="15" hidden="false" customHeight="false" outlineLevel="0" collapsed="false">
      <c r="A100" s="7" t="n">
        <v>9</v>
      </c>
      <c r="B100" s="7" t="n">
        <v>11</v>
      </c>
      <c r="C100" s="8" t="n">
        <v>9.37</v>
      </c>
      <c r="D100" s="9" t="n">
        <f aca="false">ROUND(C100*ASM!$B$8*ASM!$B$12*(1+ASM!$B$3)+ASM!$B$4+ASM!$B$5+ASM!$B$6,2)</f>
        <v>828.61</v>
      </c>
      <c r="E100" s="7" t="n">
        <f aca="false">ROUND((C100*ASM!$B$8*ASM!$B$12*(1+ASM!$B$3)+ASM!$B$4+ASM!$B$5+ASM!$B$6)*IF(A100&lt;=7,ASM!$B$7,ASM!$B$17),0)</f>
        <v>1657</v>
      </c>
      <c r="F100" s="10" t="n">
        <f aca="false">CEILING(E100/0.75,5)</f>
        <v>2210</v>
      </c>
      <c r="G100" s="9" t="n">
        <f aca="false">F100*0.75</f>
        <v>1657.5</v>
      </c>
      <c r="H100" s="7" t="n">
        <f aca="false">ROUND((D100+0.45)/(1-ASM!$B$9),0)</f>
        <v>926</v>
      </c>
      <c r="I100" s="7" t="n">
        <f aca="false">ROUND((D100+0.45)/(1-ASM!$B$9-ASM!$B$10),0)</f>
        <v>1113</v>
      </c>
      <c r="J100" s="7" t="str">
        <f aca="false">IF(G100&gt;=H100,"OK","FLOOR ALTI")</f>
        <v>OK</v>
      </c>
    </row>
    <row r="101" customFormat="false" ht="15" hidden="false" customHeight="false" outlineLevel="0" collapsed="false">
      <c r="A101" s="7" t="n">
        <v>9</v>
      </c>
      <c r="B101" s="7" t="n">
        <v>12</v>
      </c>
      <c r="C101" s="8" t="n">
        <v>9.71</v>
      </c>
      <c r="D101" s="9" t="n">
        <f aca="false">ROUND(C101*ASM!$B$8*ASM!$B$12*(1+ASM!$B$3)+ASM!$B$4+ASM!$B$5+ASM!$B$6,2)</f>
        <v>856.5</v>
      </c>
      <c r="E101" s="7" t="n">
        <f aca="false">ROUND((C101*ASM!$B$8*ASM!$B$12*(1+ASM!$B$3)+ASM!$B$4+ASM!$B$5+ASM!$B$6)*IF(A101&lt;=7,ASM!$B$7,ASM!$B$17),0)</f>
        <v>1713</v>
      </c>
      <c r="F101" s="10" t="n">
        <f aca="false">CEILING(E101/0.75,5)</f>
        <v>2285</v>
      </c>
      <c r="G101" s="9" t="n">
        <f aca="false">F101*0.75</f>
        <v>1713.75</v>
      </c>
      <c r="H101" s="7" t="n">
        <f aca="false">ROUND((D101+0.45)/(1-ASM!$B$9),0)</f>
        <v>957</v>
      </c>
      <c r="I101" s="7" t="n">
        <f aca="false">ROUND((D101+0.45)/(1-ASM!$B$9-ASM!$B$10),0)</f>
        <v>1150</v>
      </c>
      <c r="J101" s="7" t="str">
        <f aca="false">IF(G101&gt;=H101,"OK","FLOOR ALTI")</f>
        <v>OK</v>
      </c>
    </row>
    <row r="102" customFormat="false" ht="15" hidden="false" customHeight="false" outlineLevel="0" collapsed="false">
      <c r="A102" s="7" t="n">
        <v>9</v>
      </c>
      <c r="B102" s="7" t="n">
        <v>13</v>
      </c>
      <c r="C102" s="8" t="n">
        <v>10.05</v>
      </c>
      <c r="D102" s="9" t="n">
        <f aca="false">ROUND(C102*ASM!$B$8*ASM!$B$12*(1+ASM!$B$3)+ASM!$B$4+ASM!$B$5+ASM!$B$6,2)</f>
        <v>884.39</v>
      </c>
      <c r="E102" s="7" t="n">
        <f aca="false">ROUND((C102*ASM!$B$8*ASM!$B$12*(1+ASM!$B$3)+ASM!$B$4+ASM!$B$5+ASM!$B$6)*IF(A102&lt;=7,ASM!$B$7,ASM!$B$17),0)</f>
        <v>1769</v>
      </c>
      <c r="F102" s="10" t="n">
        <f aca="false">CEILING(E102/0.75,5)</f>
        <v>2360</v>
      </c>
      <c r="G102" s="9" t="n">
        <f aca="false">F102*0.75</f>
        <v>1770</v>
      </c>
      <c r="H102" s="7" t="n">
        <f aca="false">ROUND((D102+0.45)/(1-ASM!$B$9),0)</f>
        <v>989</v>
      </c>
      <c r="I102" s="7" t="n">
        <f aca="false">ROUND((D102+0.45)/(1-ASM!$B$9-ASM!$B$10),0)</f>
        <v>1188</v>
      </c>
      <c r="J102" s="7" t="str">
        <f aca="false">IF(G102&gt;=H102,"OK","FLOOR ALTI")</f>
        <v>OK</v>
      </c>
    </row>
    <row r="103" customFormat="false" ht="15" hidden="false" customHeight="false" outlineLevel="0" collapsed="false">
      <c r="A103" s="7" t="n">
        <v>9</v>
      </c>
      <c r="B103" s="7" t="n">
        <v>14</v>
      </c>
      <c r="C103" s="8" t="n">
        <v>10.39</v>
      </c>
      <c r="D103" s="9" t="n">
        <f aca="false">ROUND(C103*ASM!$B$8*ASM!$B$12*(1+ASM!$B$3)+ASM!$B$4+ASM!$B$5+ASM!$B$6,2)</f>
        <v>912.28</v>
      </c>
      <c r="E103" s="7" t="n">
        <f aca="false">ROUND((C103*ASM!$B$8*ASM!$B$12*(1+ASM!$B$3)+ASM!$B$4+ASM!$B$5+ASM!$B$6)*IF(A103&lt;=7,ASM!$B$7,ASM!$B$17),0)</f>
        <v>1825</v>
      </c>
      <c r="F103" s="10" t="n">
        <f aca="false">CEILING(E103/0.75,5)</f>
        <v>2435</v>
      </c>
      <c r="G103" s="9" t="n">
        <f aca="false">F103*0.75</f>
        <v>1826.25</v>
      </c>
      <c r="H103" s="7" t="n">
        <f aca="false">ROUND((D103+0.45)/(1-ASM!$B$9),0)</f>
        <v>1020</v>
      </c>
      <c r="I103" s="7" t="n">
        <f aca="false">ROUND((D103+0.45)/(1-ASM!$B$9-ASM!$B$10),0)</f>
        <v>1225</v>
      </c>
      <c r="J103" s="7" t="str">
        <f aca="false">IF(G103&gt;=H103,"OK","FLOOR ALTI")</f>
        <v>OK</v>
      </c>
    </row>
    <row r="104" customFormat="false" ht="15" hidden="false" customHeight="false" outlineLevel="0" collapsed="false">
      <c r="A104" s="7" t="n">
        <v>9</v>
      </c>
      <c r="B104" s="7" t="n">
        <v>15</v>
      </c>
      <c r="C104" s="8" t="n">
        <v>10.73</v>
      </c>
      <c r="D104" s="9" t="n">
        <f aca="false">ROUND(C104*ASM!$B$8*ASM!$B$12*(1+ASM!$B$3)+ASM!$B$4+ASM!$B$5+ASM!$B$6,2)</f>
        <v>940.17</v>
      </c>
      <c r="E104" s="7" t="n">
        <f aca="false">ROUND((C104*ASM!$B$8*ASM!$B$12*(1+ASM!$B$3)+ASM!$B$4+ASM!$B$5+ASM!$B$6)*IF(A104&lt;=7,ASM!$B$7,ASM!$B$17),0)</f>
        <v>1880</v>
      </c>
      <c r="F104" s="10" t="n">
        <f aca="false">CEILING(E104/0.75,5)</f>
        <v>2510</v>
      </c>
      <c r="G104" s="9" t="n">
        <f aca="false">F104*0.75</f>
        <v>1882.5</v>
      </c>
      <c r="H104" s="7" t="n">
        <f aca="false">ROUND((D104+0.45)/(1-ASM!$B$9),0)</f>
        <v>1051</v>
      </c>
      <c r="I104" s="7" t="n">
        <f aca="false">ROUND((D104+0.45)/(1-ASM!$B$9-ASM!$B$10),0)</f>
        <v>1263</v>
      </c>
      <c r="J104" s="7" t="str">
        <f aca="false">IF(G104&gt;=H104,"OK","FLOOR ALTI")</f>
        <v>OK</v>
      </c>
    </row>
    <row r="105" customFormat="false" ht="15" hidden="false" customHeight="false" outlineLevel="0" collapsed="false">
      <c r="A105" s="7" t="n">
        <v>9</v>
      </c>
      <c r="B105" s="7" t="n">
        <v>16</v>
      </c>
      <c r="C105" s="8" t="n">
        <v>11.07</v>
      </c>
      <c r="D105" s="9" t="n">
        <f aca="false">ROUND(C105*ASM!$B$8*ASM!$B$12*(1+ASM!$B$3)+ASM!$B$4+ASM!$B$5+ASM!$B$6,2)</f>
        <v>968.06</v>
      </c>
      <c r="E105" s="7" t="n">
        <f aca="false">ROUND((C105*ASM!$B$8*ASM!$B$12*(1+ASM!$B$3)+ASM!$B$4+ASM!$B$5+ASM!$B$6)*IF(A105&lt;=7,ASM!$B$7,ASM!$B$17),0)</f>
        <v>1936</v>
      </c>
      <c r="F105" s="10" t="n">
        <f aca="false">CEILING(E105/0.75,5)</f>
        <v>2585</v>
      </c>
      <c r="G105" s="9" t="n">
        <f aca="false">F105*0.75</f>
        <v>1938.75</v>
      </c>
      <c r="H105" s="7" t="n">
        <f aca="false">ROUND((D105+0.45)/(1-ASM!$B$9),0)</f>
        <v>1082</v>
      </c>
      <c r="I105" s="7" t="n">
        <f aca="false">ROUND((D105+0.45)/(1-ASM!$B$9-ASM!$B$10),0)</f>
        <v>1300</v>
      </c>
      <c r="J105" s="7" t="str">
        <f aca="false">IF(G105&gt;=H105,"OK","FLOOR ALTI")</f>
        <v>OK</v>
      </c>
    </row>
    <row r="106" customFormat="false" ht="15" hidden="false" customHeight="false" outlineLevel="0" collapsed="false">
      <c r="A106" s="7" t="n">
        <v>10</v>
      </c>
      <c r="B106" s="7" t="n">
        <v>4</v>
      </c>
      <c r="C106" s="8" t="n">
        <v>7.78</v>
      </c>
      <c r="D106" s="9" t="n">
        <f aca="false">ROUND(C106*ASM!$B$8*ASM!$B$12*(1+ASM!$B$3)+ASM!$B$4+ASM!$B$5+ASM!$B$6,2)</f>
        <v>698.18</v>
      </c>
      <c r="E106" s="7" t="n">
        <f aca="false">ROUND((C106*ASM!$B$8*ASM!$B$12*(1+ASM!$B$3)+ASM!$B$4+ASM!$B$5+ASM!$B$6)*IF(A106&lt;=7,ASM!$B$7,ASM!$B$17),0)</f>
        <v>1396</v>
      </c>
      <c r="F106" s="10" t="n">
        <f aca="false">CEILING(E106/0.75,5)</f>
        <v>1865</v>
      </c>
      <c r="G106" s="9" t="n">
        <f aca="false">F106*0.75</f>
        <v>1398.75</v>
      </c>
      <c r="H106" s="7" t="n">
        <f aca="false">ROUND((D106+0.45)/(1-ASM!$B$9),0)</f>
        <v>781</v>
      </c>
      <c r="I106" s="7" t="n">
        <f aca="false">ROUND((D106+0.45)/(1-ASM!$B$9-ASM!$B$10),0)</f>
        <v>938</v>
      </c>
      <c r="J106" s="7" t="str">
        <f aca="false">IF(G106&gt;=H106,"OK","FLOOR ALTI")</f>
        <v>OK</v>
      </c>
    </row>
    <row r="107" customFormat="false" ht="15" hidden="false" customHeight="false" outlineLevel="0" collapsed="false">
      <c r="A107" s="7" t="n">
        <v>10</v>
      </c>
      <c r="B107" s="7" t="n">
        <v>5</v>
      </c>
      <c r="C107" s="8" t="n">
        <v>8.15</v>
      </c>
      <c r="D107" s="9" t="n">
        <f aca="false">ROUND(C107*ASM!$B$8*ASM!$B$12*(1+ASM!$B$3)+ASM!$B$4+ASM!$B$5+ASM!$B$6,2)</f>
        <v>728.53</v>
      </c>
      <c r="E107" s="7" t="n">
        <f aca="false">ROUND((C107*ASM!$B$8*ASM!$B$12*(1+ASM!$B$3)+ASM!$B$4+ASM!$B$5+ASM!$B$6)*IF(A107&lt;=7,ASM!$B$7,ASM!$B$17),0)</f>
        <v>1457</v>
      </c>
      <c r="F107" s="10" t="n">
        <f aca="false">CEILING(E107/0.75,5)</f>
        <v>1945</v>
      </c>
      <c r="G107" s="9" t="n">
        <f aca="false">F107*0.75</f>
        <v>1458.75</v>
      </c>
      <c r="H107" s="7" t="n">
        <f aca="false">ROUND((D107+0.45)/(1-ASM!$B$9),0)</f>
        <v>815</v>
      </c>
      <c r="I107" s="7" t="n">
        <f aca="false">ROUND((D107+0.45)/(1-ASM!$B$9-ASM!$B$10),0)</f>
        <v>978</v>
      </c>
      <c r="J107" s="7" t="str">
        <f aca="false">IF(G107&gt;=H107,"OK","FLOOR ALTI")</f>
        <v>OK</v>
      </c>
    </row>
    <row r="108" customFormat="false" ht="15" hidden="false" customHeight="false" outlineLevel="0" collapsed="false">
      <c r="A108" s="7" t="n">
        <v>10</v>
      </c>
      <c r="B108" s="7" t="n">
        <v>6</v>
      </c>
      <c r="C108" s="8" t="n">
        <v>8.53</v>
      </c>
      <c r="D108" s="9" t="n">
        <f aca="false">ROUND(C108*ASM!$B$8*ASM!$B$12*(1+ASM!$B$3)+ASM!$B$4+ASM!$B$5+ASM!$B$6,2)</f>
        <v>759.71</v>
      </c>
      <c r="E108" s="7" t="n">
        <f aca="false">ROUND((C108*ASM!$B$8*ASM!$B$12*(1+ASM!$B$3)+ASM!$B$4+ASM!$B$5+ASM!$B$6)*IF(A108&lt;=7,ASM!$B$7,ASM!$B$17),0)</f>
        <v>1519</v>
      </c>
      <c r="F108" s="10" t="n">
        <f aca="false">CEILING(E108/0.75,5)</f>
        <v>2030</v>
      </c>
      <c r="G108" s="9" t="n">
        <f aca="false">F108*0.75</f>
        <v>1522.5</v>
      </c>
      <c r="H108" s="7" t="n">
        <f aca="false">ROUND((D108+0.45)/(1-ASM!$B$9),0)</f>
        <v>849</v>
      </c>
      <c r="I108" s="7" t="n">
        <f aca="false">ROUND((D108+0.45)/(1-ASM!$B$9-ASM!$B$10),0)</f>
        <v>1020</v>
      </c>
      <c r="J108" s="7" t="str">
        <f aca="false">IF(G108&gt;=H108,"OK","FLOOR ALTI")</f>
        <v>OK</v>
      </c>
    </row>
    <row r="109" customFormat="false" ht="15" hidden="false" customHeight="false" outlineLevel="0" collapsed="false">
      <c r="A109" s="7" t="n">
        <v>10</v>
      </c>
      <c r="B109" s="7" t="n">
        <v>7</v>
      </c>
      <c r="C109" s="8" t="n">
        <v>8.91</v>
      </c>
      <c r="D109" s="9" t="n">
        <f aca="false">ROUND(C109*ASM!$B$8*ASM!$B$12*(1+ASM!$B$3)+ASM!$B$4+ASM!$B$5+ASM!$B$6,2)</f>
        <v>790.88</v>
      </c>
      <c r="E109" s="7" t="n">
        <f aca="false">ROUND((C109*ASM!$B$8*ASM!$B$12*(1+ASM!$B$3)+ASM!$B$4+ASM!$B$5+ASM!$B$6)*IF(A109&lt;=7,ASM!$B$7,ASM!$B$17),0)</f>
        <v>1582</v>
      </c>
      <c r="F109" s="10" t="n">
        <f aca="false">CEILING(E109/0.75,5)</f>
        <v>2110</v>
      </c>
      <c r="G109" s="9" t="n">
        <f aca="false">F109*0.75</f>
        <v>1582.5</v>
      </c>
      <c r="H109" s="7" t="n">
        <f aca="false">ROUND((D109+0.45)/(1-ASM!$B$9),0)</f>
        <v>884</v>
      </c>
      <c r="I109" s="7" t="n">
        <f aca="false">ROUND((D109+0.45)/(1-ASM!$B$9-ASM!$B$10),0)</f>
        <v>1062</v>
      </c>
      <c r="J109" s="7" t="str">
        <f aca="false">IF(G109&gt;=H109,"OK","FLOOR ALTI")</f>
        <v>OK</v>
      </c>
    </row>
    <row r="110" customFormat="false" ht="15" hidden="false" customHeight="false" outlineLevel="0" collapsed="false">
      <c r="A110" s="7" t="n">
        <v>10</v>
      </c>
      <c r="B110" s="7" t="n">
        <v>8</v>
      </c>
      <c r="C110" s="8" t="n">
        <v>9.28</v>
      </c>
      <c r="D110" s="9" t="n">
        <f aca="false">ROUND(C110*ASM!$B$8*ASM!$B$12*(1+ASM!$B$3)+ASM!$B$4+ASM!$B$5+ASM!$B$6,2)</f>
        <v>821.23</v>
      </c>
      <c r="E110" s="7" t="n">
        <f aca="false">ROUND((C110*ASM!$B$8*ASM!$B$12*(1+ASM!$B$3)+ASM!$B$4+ASM!$B$5+ASM!$B$6)*IF(A110&lt;=7,ASM!$B$7,ASM!$B$17),0)</f>
        <v>1642</v>
      </c>
      <c r="F110" s="10" t="n">
        <f aca="false">CEILING(E110/0.75,5)</f>
        <v>2190</v>
      </c>
      <c r="G110" s="9" t="n">
        <f aca="false">F110*0.75</f>
        <v>1642.5</v>
      </c>
      <c r="H110" s="7" t="n">
        <f aca="false">ROUND((D110+0.45)/(1-ASM!$B$9),0)</f>
        <v>918</v>
      </c>
      <c r="I110" s="7" t="n">
        <f aca="false">ROUND((D110+0.45)/(1-ASM!$B$9-ASM!$B$10),0)</f>
        <v>1103</v>
      </c>
      <c r="J110" s="7" t="str">
        <f aca="false">IF(G110&gt;=H110,"OK","FLOOR ALTI")</f>
        <v>OK</v>
      </c>
    </row>
    <row r="111" customFormat="false" ht="15" hidden="false" customHeight="false" outlineLevel="0" collapsed="false">
      <c r="A111" s="7" t="n">
        <v>10</v>
      </c>
      <c r="B111" s="7" t="n">
        <v>9</v>
      </c>
      <c r="C111" s="8" t="n">
        <v>9.66</v>
      </c>
      <c r="D111" s="9" t="n">
        <f aca="false">ROUND(C111*ASM!$B$8*ASM!$B$12*(1+ASM!$B$3)+ASM!$B$4+ASM!$B$5+ASM!$B$6,2)</f>
        <v>852.4</v>
      </c>
      <c r="E111" s="7" t="n">
        <f aca="false">ROUND((C111*ASM!$B$8*ASM!$B$12*(1+ASM!$B$3)+ASM!$B$4+ASM!$B$5+ASM!$B$6)*IF(A111&lt;=7,ASM!$B$7,ASM!$B$17),0)</f>
        <v>1705</v>
      </c>
      <c r="F111" s="10" t="n">
        <f aca="false">CEILING(E111/0.75,5)</f>
        <v>2275</v>
      </c>
      <c r="G111" s="9" t="n">
        <f aca="false">F111*0.75</f>
        <v>1706.25</v>
      </c>
      <c r="H111" s="7" t="n">
        <f aca="false">ROUND((D111+0.45)/(1-ASM!$B$9),0)</f>
        <v>953</v>
      </c>
      <c r="I111" s="7" t="n">
        <f aca="false">ROUND((D111+0.45)/(1-ASM!$B$9-ASM!$B$10),0)</f>
        <v>1145</v>
      </c>
      <c r="J111" s="7" t="str">
        <f aca="false">IF(G111&gt;=H111,"OK","FLOOR ALTI")</f>
        <v>OK</v>
      </c>
    </row>
    <row r="112" customFormat="false" ht="15" hidden="false" customHeight="false" outlineLevel="0" collapsed="false">
      <c r="A112" s="7" t="n">
        <v>10</v>
      </c>
      <c r="B112" s="7" t="n">
        <v>10</v>
      </c>
      <c r="C112" s="8" t="n">
        <v>10.04</v>
      </c>
      <c r="D112" s="9" t="n">
        <f aca="false">ROUND(C112*ASM!$B$8*ASM!$B$12*(1+ASM!$B$3)+ASM!$B$4+ASM!$B$5+ASM!$B$6,2)</f>
        <v>883.57</v>
      </c>
      <c r="E112" s="7" t="n">
        <f aca="false">ROUND((C112*ASM!$B$8*ASM!$B$12*(1+ASM!$B$3)+ASM!$B$4+ASM!$B$5+ASM!$B$6)*IF(A112&lt;=7,ASM!$B$7,ASM!$B$17),0)</f>
        <v>1767</v>
      </c>
      <c r="F112" s="10" t="n">
        <f aca="false">CEILING(E112/0.75,5)</f>
        <v>2360</v>
      </c>
      <c r="G112" s="9" t="n">
        <f aca="false">F112*0.75</f>
        <v>1770</v>
      </c>
      <c r="H112" s="7" t="n">
        <f aca="false">ROUND((D112+0.45)/(1-ASM!$B$9),0)</f>
        <v>988</v>
      </c>
      <c r="I112" s="7" t="n">
        <f aca="false">ROUND((D112+0.45)/(1-ASM!$B$9-ASM!$B$10),0)</f>
        <v>1187</v>
      </c>
      <c r="J112" s="7" t="str">
        <f aca="false">IF(G112&gt;=H112,"OK","FLOOR ALTI")</f>
        <v>OK</v>
      </c>
    </row>
    <row r="113" customFormat="false" ht="15" hidden="false" customHeight="false" outlineLevel="0" collapsed="false">
      <c r="A113" s="7" t="n">
        <v>10</v>
      </c>
      <c r="B113" s="7" t="n">
        <v>11</v>
      </c>
      <c r="C113" s="8" t="n">
        <v>10.41</v>
      </c>
      <c r="D113" s="9" t="n">
        <f aca="false">ROUND(C113*ASM!$B$8*ASM!$B$12*(1+ASM!$B$3)+ASM!$B$4+ASM!$B$5+ASM!$B$6,2)</f>
        <v>913.92</v>
      </c>
      <c r="E113" s="7" t="n">
        <f aca="false">ROUND((C113*ASM!$B$8*ASM!$B$12*(1+ASM!$B$3)+ASM!$B$4+ASM!$B$5+ASM!$B$6)*IF(A113&lt;=7,ASM!$B$7,ASM!$B$17),0)</f>
        <v>1828</v>
      </c>
      <c r="F113" s="10" t="n">
        <f aca="false">CEILING(E113/0.75,5)</f>
        <v>2440</v>
      </c>
      <c r="G113" s="9" t="n">
        <f aca="false">F113*0.75</f>
        <v>1830</v>
      </c>
      <c r="H113" s="7" t="n">
        <f aca="false">ROUND((D113+0.45)/(1-ASM!$B$9),0)</f>
        <v>1022</v>
      </c>
      <c r="I113" s="7" t="n">
        <f aca="false">ROUND((D113+0.45)/(1-ASM!$B$9-ASM!$B$10),0)</f>
        <v>1227</v>
      </c>
      <c r="J113" s="7" t="str">
        <f aca="false">IF(G113&gt;=H113,"OK","FLOOR ALTI")</f>
        <v>OK</v>
      </c>
    </row>
    <row r="114" customFormat="false" ht="15" hidden="false" customHeight="false" outlineLevel="0" collapsed="false">
      <c r="A114" s="7" t="n">
        <v>10</v>
      </c>
      <c r="B114" s="7" t="n">
        <v>12</v>
      </c>
      <c r="C114" s="8" t="n">
        <v>10.79</v>
      </c>
      <c r="D114" s="9" t="n">
        <f aca="false">ROUND(C114*ASM!$B$8*ASM!$B$12*(1+ASM!$B$3)+ASM!$B$4+ASM!$B$5+ASM!$B$6,2)</f>
        <v>945.09</v>
      </c>
      <c r="E114" s="7" t="n">
        <f aca="false">ROUND((C114*ASM!$B$8*ASM!$B$12*(1+ASM!$B$3)+ASM!$B$4+ASM!$B$5+ASM!$B$6)*IF(A114&lt;=7,ASM!$B$7,ASM!$B$17),0)</f>
        <v>1890</v>
      </c>
      <c r="F114" s="10" t="n">
        <f aca="false">CEILING(E114/0.75,5)</f>
        <v>2520</v>
      </c>
      <c r="G114" s="9" t="n">
        <f aca="false">F114*0.75</f>
        <v>1890</v>
      </c>
      <c r="H114" s="7" t="n">
        <f aca="false">ROUND((D114+0.45)/(1-ASM!$B$9),0)</f>
        <v>1056</v>
      </c>
      <c r="I114" s="7" t="n">
        <f aca="false">ROUND((D114+0.45)/(1-ASM!$B$9-ASM!$B$10),0)</f>
        <v>1269</v>
      </c>
      <c r="J114" s="7" t="str">
        <f aca="false">IF(G114&gt;=H114,"OK","FLOOR ALTI")</f>
        <v>OK</v>
      </c>
    </row>
    <row r="115" customFormat="false" ht="15" hidden="false" customHeight="false" outlineLevel="0" collapsed="false">
      <c r="A115" s="7" t="n">
        <v>10</v>
      </c>
      <c r="B115" s="7" t="n">
        <v>13</v>
      </c>
      <c r="C115" s="8" t="n">
        <v>11.17</v>
      </c>
      <c r="D115" s="9" t="n">
        <f aca="false">ROUND(C115*ASM!$B$8*ASM!$B$12*(1+ASM!$B$3)+ASM!$B$4+ASM!$B$5+ASM!$B$6,2)</f>
        <v>976.26</v>
      </c>
      <c r="E115" s="7" t="n">
        <f aca="false">ROUND((C115*ASM!$B$8*ASM!$B$12*(1+ASM!$B$3)+ASM!$B$4+ASM!$B$5+ASM!$B$6)*IF(A115&lt;=7,ASM!$B$7,ASM!$B$17),0)</f>
        <v>1953</v>
      </c>
      <c r="F115" s="10" t="n">
        <f aca="false">CEILING(E115/0.75,5)</f>
        <v>2605</v>
      </c>
      <c r="G115" s="9" t="n">
        <f aca="false">F115*0.75</f>
        <v>1953.75</v>
      </c>
      <c r="H115" s="7" t="n">
        <f aca="false">ROUND((D115+0.45)/(1-ASM!$B$9),0)</f>
        <v>1091</v>
      </c>
      <c r="I115" s="7" t="n">
        <f aca="false">ROUND((D115+0.45)/(1-ASM!$B$9-ASM!$B$10),0)</f>
        <v>1311</v>
      </c>
      <c r="J115" s="7" t="str">
        <f aca="false">IF(G115&gt;=H115,"OK","FLOOR ALTI")</f>
        <v>OK</v>
      </c>
    </row>
    <row r="116" customFormat="false" ht="15" hidden="false" customHeight="false" outlineLevel="0" collapsed="false">
      <c r="A116" s="7" t="n">
        <v>10</v>
      </c>
      <c r="B116" s="7" t="n">
        <v>14</v>
      </c>
      <c r="C116" s="8" t="n">
        <v>11.55</v>
      </c>
      <c r="D116" s="9" t="n">
        <f aca="false">ROUND(C116*ASM!$B$8*ASM!$B$12*(1+ASM!$B$3)+ASM!$B$4+ASM!$B$5+ASM!$B$6,2)</f>
        <v>1007.43</v>
      </c>
      <c r="E116" s="7" t="n">
        <f aca="false">ROUND((C116*ASM!$B$8*ASM!$B$12*(1+ASM!$B$3)+ASM!$B$4+ASM!$B$5+ASM!$B$6)*IF(A116&lt;=7,ASM!$B$7,ASM!$B$17),0)</f>
        <v>2015</v>
      </c>
      <c r="F116" s="10" t="n">
        <f aca="false">CEILING(E116/0.75,5)</f>
        <v>2690</v>
      </c>
      <c r="G116" s="9" t="n">
        <f aca="false">F116*0.75</f>
        <v>2017.5</v>
      </c>
      <c r="H116" s="7" t="n">
        <f aca="false">ROUND((D116+0.45)/(1-ASM!$B$9),0)</f>
        <v>1126</v>
      </c>
      <c r="I116" s="7" t="n">
        <f aca="false">ROUND((D116+0.45)/(1-ASM!$B$9-ASM!$B$10),0)</f>
        <v>1353</v>
      </c>
      <c r="J116" s="7" t="str">
        <f aca="false">IF(G116&gt;=H116,"OK","FLOOR ALTI")</f>
        <v>OK</v>
      </c>
    </row>
    <row r="117" customFormat="false" ht="15" hidden="false" customHeight="false" outlineLevel="0" collapsed="false">
      <c r="A117" s="7" t="n">
        <v>10</v>
      </c>
      <c r="B117" s="7" t="n">
        <v>15</v>
      </c>
      <c r="C117" s="8" t="n">
        <v>11.92</v>
      </c>
      <c r="D117" s="9" t="n">
        <f aca="false">ROUND(C117*ASM!$B$8*ASM!$B$12*(1+ASM!$B$3)+ASM!$B$4+ASM!$B$5+ASM!$B$6,2)</f>
        <v>1037.78</v>
      </c>
      <c r="E117" s="7" t="n">
        <f aca="false">ROUND((C117*ASM!$B$8*ASM!$B$12*(1+ASM!$B$3)+ASM!$B$4+ASM!$B$5+ASM!$B$6)*IF(A117&lt;=7,ASM!$B$7,ASM!$B$17),0)</f>
        <v>2076</v>
      </c>
      <c r="F117" s="10" t="n">
        <f aca="false">CEILING(E117/0.75,5)</f>
        <v>2770</v>
      </c>
      <c r="G117" s="9" t="n">
        <f aca="false">F117*0.75</f>
        <v>2077.5</v>
      </c>
      <c r="H117" s="7" t="n">
        <f aca="false">ROUND((D117+0.45)/(1-ASM!$B$9),0)</f>
        <v>1160</v>
      </c>
      <c r="I117" s="7" t="n">
        <f aca="false">ROUND((D117+0.45)/(1-ASM!$B$9-ASM!$B$10),0)</f>
        <v>1394</v>
      </c>
      <c r="J117" s="7" t="str">
        <f aca="false">IF(G117&gt;=H117,"OK","FLOOR ALTI")</f>
        <v>OK</v>
      </c>
    </row>
    <row r="118" customFormat="false" ht="15" hidden="false" customHeight="false" outlineLevel="0" collapsed="false">
      <c r="A118" s="7" t="n">
        <v>10</v>
      </c>
      <c r="B118" s="7" t="n">
        <v>16</v>
      </c>
      <c r="C118" s="8" t="n">
        <v>12.3</v>
      </c>
      <c r="D118" s="9" t="n">
        <f aca="false">ROUND(C118*ASM!$B$8*ASM!$B$12*(1+ASM!$B$3)+ASM!$B$4+ASM!$B$5+ASM!$B$6,2)</f>
        <v>1068.95</v>
      </c>
      <c r="E118" s="7" t="n">
        <f aca="false">ROUND((C118*ASM!$B$8*ASM!$B$12*(1+ASM!$B$3)+ASM!$B$4+ASM!$B$5+ASM!$B$6)*IF(A118&lt;=7,ASM!$B$7,ASM!$B$17),0)</f>
        <v>2138</v>
      </c>
      <c r="F118" s="10" t="n">
        <f aca="false">CEILING(E118/0.75,5)</f>
        <v>2855</v>
      </c>
      <c r="G118" s="9" t="n">
        <f aca="false">F118*0.75</f>
        <v>2141.25</v>
      </c>
      <c r="H118" s="7" t="n">
        <f aca="false">ROUND((D118+0.45)/(1-ASM!$B$9),0)</f>
        <v>1195</v>
      </c>
      <c r="I118" s="7" t="n">
        <f aca="false">ROUND((D118+0.45)/(1-ASM!$B$9-ASM!$B$10),0)</f>
        <v>1435</v>
      </c>
      <c r="J118" s="7" t="str">
        <f aca="false">IF(G118&gt;=H118,"OK","FLOOR ALTI")</f>
        <v>OK</v>
      </c>
    </row>
    <row r="119" customFormat="false" ht="15" hidden="false" customHeight="false" outlineLevel="0" collapsed="false">
      <c r="A119" s="7" t="n">
        <v>11</v>
      </c>
      <c r="B119" s="7" t="n">
        <v>4</v>
      </c>
      <c r="C119" s="8" t="n">
        <v>8.55</v>
      </c>
      <c r="D119" s="9" t="n">
        <f aca="false">ROUND(C119*ASM!$B$8*ASM!$B$12*(1+ASM!$B$3)+ASM!$B$4+ASM!$B$5+ASM!$B$6,2)</f>
        <v>761.35</v>
      </c>
      <c r="E119" s="7" t="n">
        <f aca="false">ROUND((C119*ASM!$B$8*ASM!$B$12*(1+ASM!$B$3)+ASM!$B$4+ASM!$B$5+ASM!$B$6)*IF(A119&lt;=7,ASM!$B$7,ASM!$B$17),0)</f>
        <v>1523</v>
      </c>
      <c r="F119" s="10" t="n">
        <f aca="false">CEILING(E119/0.75,5)</f>
        <v>2035</v>
      </c>
      <c r="G119" s="9" t="n">
        <f aca="false">F119*0.75</f>
        <v>1526.25</v>
      </c>
      <c r="H119" s="7" t="n">
        <f aca="false">ROUND((D119+0.45)/(1-ASM!$B$9),0)</f>
        <v>851</v>
      </c>
      <c r="I119" s="7" t="n">
        <f aca="false">ROUND((D119+0.45)/(1-ASM!$B$9-ASM!$B$10),0)</f>
        <v>1023</v>
      </c>
      <c r="J119" s="7" t="str">
        <f aca="false">IF(G119&gt;=H119,"OK","FLOOR ALTI")</f>
        <v>OK</v>
      </c>
    </row>
    <row r="120" customFormat="false" ht="15" hidden="false" customHeight="false" outlineLevel="0" collapsed="false">
      <c r="A120" s="7" t="n">
        <v>11</v>
      </c>
      <c r="B120" s="7" t="n">
        <v>5</v>
      </c>
      <c r="C120" s="8" t="n">
        <v>8.97</v>
      </c>
      <c r="D120" s="9" t="n">
        <f aca="false">ROUND(C120*ASM!$B$8*ASM!$B$12*(1+ASM!$B$3)+ASM!$B$4+ASM!$B$5+ASM!$B$6,2)</f>
        <v>795.8</v>
      </c>
      <c r="E120" s="7" t="n">
        <f aca="false">ROUND((C120*ASM!$B$8*ASM!$B$12*(1+ASM!$B$3)+ASM!$B$4+ASM!$B$5+ASM!$B$6)*IF(A120&lt;=7,ASM!$B$7,ASM!$B$17),0)</f>
        <v>1592</v>
      </c>
      <c r="F120" s="10" t="n">
        <f aca="false">CEILING(E120/0.75,5)</f>
        <v>2125</v>
      </c>
      <c r="G120" s="9" t="n">
        <f aca="false">F120*0.75</f>
        <v>1593.75</v>
      </c>
      <c r="H120" s="7" t="n">
        <f aca="false">ROUND((D120+0.45)/(1-ASM!$B$9),0)</f>
        <v>890</v>
      </c>
      <c r="I120" s="7" t="n">
        <f aca="false">ROUND((D120+0.45)/(1-ASM!$B$9-ASM!$B$10),0)</f>
        <v>1069</v>
      </c>
      <c r="J120" s="7" t="str">
        <f aca="false">IF(G120&gt;=H120,"OK","FLOOR ALTI")</f>
        <v>OK</v>
      </c>
    </row>
    <row r="121" customFormat="false" ht="15" hidden="false" customHeight="false" outlineLevel="0" collapsed="false">
      <c r="A121" s="7" t="n">
        <v>11</v>
      </c>
      <c r="B121" s="7" t="n">
        <v>6</v>
      </c>
      <c r="C121" s="8" t="n">
        <v>9.38</v>
      </c>
      <c r="D121" s="9" t="n">
        <f aca="false">ROUND(C121*ASM!$B$8*ASM!$B$12*(1+ASM!$B$3)+ASM!$B$4+ASM!$B$5+ASM!$B$6,2)</f>
        <v>829.43</v>
      </c>
      <c r="E121" s="7" t="n">
        <f aca="false">ROUND((C121*ASM!$B$8*ASM!$B$12*(1+ASM!$B$3)+ASM!$B$4+ASM!$B$5+ASM!$B$6)*IF(A121&lt;=7,ASM!$B$7,ASM!$B$17),0)</f>
        <v>1659</v>
      </c>
      <c r="F121" s="10" t="n">
        <f aca="false">CEILING(E121/0.75,5)</f>
        <v>2215</v>
      </c>
      <c r="G121" s="9" t="n">
        <f aca="false">F121*0.75</f>
        <v>1661.25</v>
      </c>
      <c r="H121" s="7" t="n">
        <f aca="false">ROUND((D121+0.45)/(1-ASM!$B$9),0)</f>
        <v>927</v>
      </c>
      <c r="I121" s="7" t="n">
        <f aca="false">ROUND((D121+0.45)/(1-ASM!$B$9-ASM!$B$10),0)</f>
        <v>1114</v>
      </c>
      <c r="J121" s="7" t="str">
        <f aca="false">IF(G121&gt;=H121,"OK","FLOOR ALTI")</f>
        <v>OK</v>
      </c>
    </row>
    <row r="122" customFormat="false" ht="15" hidden="false" customHeight="false" outlineLevel="0" collapsed="false">
      <c r="A122" s="7" t="n">
        <v>11</v>
      </c>
      <c r="B122" s="7" t="n">
        <v>7</v>
      </c>
      <c r="C122" s="8" t="n">
        <v>9.8</v>
      </c>
      <c r="D122" s="9" t="n">
        <f aca="false">ROUND(C122*ASM!$B$8*ASM!$B$12*(1+ASM!$B$3)+ASM!$B$4+ASM!$B$5+ASM!$B$6,2)</f>
        <v>863.88</v>
      </c>
      <c r="E122" s="7" t="n">
        <f aca="false">ROUND((C122*ASM!$B$8*ASM!$B$12*(1+ASM!$B$3)+ASM!$B$4+ASM!$B$5+ASM!$B$6)*IF(A122&lt;=7,ASM!$B$7,ASM!$B$17),0)</f>
        <v>1728</v>
      </c>
      <c r="F122" s="10" t="n">
        <f aca="false">CEILING(E122/0.75,5)</f>
        <v>2305</v>
      </c>
      <c r="G122" s="9" t="n">
        <f aca="false">F122*0.75</f>
        <v>1728.75</v>
      </c>
      <c r="H122" s="7" t="n">
        <f aca="false">ROUND((D122+0.45)/(1-ASM!$B$9),0)</f>
        <v>966</v>
      </c>
      <c r="I122" s="7" t="n">
        <f aca="false">ROUND((D122+0.45)/(1-ASM!$B$9-ASM!$B$10),0)</f>
        <v>1160</v>
      </c>
      <c r="J122" s="7" t="str">
        <f aca="false">IF(G122&gt;=H122,"OK","FLOOR ALTI")</f>
        <v>OK</v>
      </c>
    </row>
    <row r="123" customFormat="false" ht="15" hidden="false" customHeight="false" outlineLevel="0" collapsed="false">
      <c r="A123" s="7" t="n">
        <v>11</v>
      </c>
      <c r="B123" s="7" t="n">
        <v>8</v>
      </c>
      <c r="C123" s="8" t="n">
        <v>10.21</v>
      </c>
      <c r="D123" s="9" t="n">
        <f aca="false">ROUND(C123*ASM!$B$8*ASM!$B$12*(1+ASM!$B$3)+ASM!$B$4+ASM!$B$5+ASM!$B$6,2)</f>
        <v>897.51</v>
      </c>
      <c r="E123" s="7" t="n">
        <f aca="false">ROUND((C123*ASM!$B$8*ASM!$B$12*(1+ASM!$B$3)+ASM!$B$4+ASM!$B$5+ASM!$B$6)*IF(A123&lt;=7,ASM!$B$7,ASM!$B$17),0)</f>
        <v>1795</v>
      </c>
      <c r="F123" s="10" t="n">
        <f aca="false">CEILING(E123/0.75,5)</f>
        <v>2395</v>
      </c>
      <c r="G123" s="9" t="n">
        <f aca="false">F123*0.75</f>
        <v>1796.25</v>
      </c>
      <c r="H123" s="7" t="n">
        <f aca="false">ROUND((D123+0.45)/(1-ASM!$B$9),0)</f>
        <v>1003</v>
      </c>
      <c r="I123" s="7" t="n">
        <f aca="false">ROUND((D123+0.45)/(1-ASM!$B$9-ASM!$B$10),0)</f>
        <v>1205</v>
      </c>
      <c r="J123" s="7" t="str">
        <f aca="false">IF(G123&gt;=H123,"OK","FLOOR ALTI")</f>
        <v>OK</v>
      </c>
    </row>
    <row r="124" customFormat="false" ht="15" hidden="false" customHeight="false" outlineLevel="0" collapsed="false">
      <c r="A124" s="7" t="n">
        <v>11</v>
      </c>
      <c r="B124" s="7" t="n">
        <v>9</v>
      </c>
      <c r="C124" s="8" t="n">
        <v>10.63</v>
      </c>
      <c r="D124" s="9" t="n">
        <f aca="false">ROUND(C124*ASM!$B$8*ASM!$B$12*(1+ASM!$B$3)+ASM!$B$4+ASM!$B$5+ASM!$B$6,2)</f>
        <v>931.97</v>
      </c>
      <c r="E124" s="7" t="n">
        <f aca="false">ROUND((C124*ASM!$B$8*ASM!$B$12*(1+ASM!$B$3)+ASM!$B$4+ASM!$B$5+ASM!$B$6)*IF(A124&lt;=7,ASM!$B$7,ASM!$B$17),0)</f>
        <v>1864</v>
      </c>
      <c r="F124" s="10" t="n">
        <f aca="false">CEILING(E124/0.75,5)</f>
        <v>2490</v>
      </c>
      <c r="G124" s="9" t="n">
        <f aca="false">F124*0.75</f>
        <v>1867.5</v>
      </c>
      <c r="H124" s="7" t="n">
        <f aca="false">ROUND((D124+0.45)/(1-ASM!$B$9),0)</f>
        <v>1042</v>
      </c>
      <c r="I124" s="7" t="n">
        <f aca="false">ROUND((D124+0.45)/(1-ASM!$B$9-ASM!$B$10),0)</f>
        <v>1252</v>
      </c>
      <c r="J124" s="7" t="str">
        <f aca="false">IF(G124&gt;=H124,"OK","FLOOR ALTI")</f>
        <v>OK</v>
      </c>
    </row>
    <row r="125" customFormat="false" ht="15" hidden="false" customHeight="false" outlineLevel="0" collapsed="false">
      <c r="A125" s="7" t="n">
        <v>11</v>
      </c>
      <c r="B125" s="7" t="n">
        <v>10</v>
      </c>
      <c r="C125" s="8" t="n">
        <v>11.04</v>
      </c>
      <c r="D125" s="9" t="n">
        <f aca="false">ROUND(C125*ASM!$B$8*ASM!$B$12*(1+ASM!$B$3)+ASM!$B$4+ASM!$B$5+ASM!$B$6,2)</f>
        <v>965.6</v>
      </c>
      <c r="E125" s="7" t="n">
        <f aca="false">ROUND((C125*ASM!$B$8*ASM!$B$12*(1+ASM!$B$3)+ASM!$B$4+ASM!$B$5+ASM!$B$6)*IF(A125&lt;=7,ASM!$B$7,ASM!$B$17),0)</f>
        <v>1931</v>
      </c>
      <c r="F125" s="10" t="n">
        <f aca="false">CEILING(E125/0.75,5)</f>
        <v>2575</v>
      </c>
      <c r="G125" s="9" t="n">
        <f aca="false">F125*0.75</f>
        <v>1931.25</v>
      </c>
      <c r="H125" s="7" t="n">
        <f aca="false">ROUND((D125+0.45)/(1-ASM!$B$9),0)</f>
        <v>1079</v>
      </c>
      <c r="I125" s="7" t="n">
        <f aca="false">ROUND((D125+0.45)/(1-ASM!$B$9-ASM!$B$10),0)</f>
        <v>1297</v>
      </c>
      <c r="J125" s="7" t="str">
        <f aca="false">IF(G125&gt;=H125,"OK","FLOOR ALTI")</f>
        <v>OK</v>
      </c>
    </row>
    <row r="126" customFormat="false" ht="15" hidden="false" customHeight="false" outlineLevel="0" collapsed="false">
      <c r="A126" s="7" t="n">
        <v>11</v>
      </c>
      <c r="B126" s="7" t="n">
        <v>11</v>
      </c>
      <c r="C126" s="8" t="n">
        <v>11.46</v>
      </c>
      <c r="D126" s="9" t="n">
        <f aca="false">ROUND(C126*ASM!$B$8*ASM!$B$12*(1+ASM!$B$3)+ASM!$B$4+ASM!$B$5+ASM!$B$6,2)</f>
        <v>1000.05</v>
      </c>
      <c r="E126" s="7" t="n">
        <f aca="false">ROUND((C126*ASM!$B$8*ASM!$B$12*(1+ASM!$B$3)+ASM!$B$4+ASM!$B$5+ASM!$B$6)*IF(A126&lt;=7,ASM!$B$7,ASM!$B$17),0)</f>
        <v>2000</v>
      </c>
      <c r="F126" s="10" t="n">
        <f aca="false">CEILING(E126/0.75,5)</f>
        <v>2670</v>
      </c>
      <c r="G126" s="9" t="n">
        <f aca="false">F126*0.75</f>
        <v>2002.5</v>
      </c>
      <c r="H126" s="7" t="n">
        <f aca="false">ROUND((D126+0.45)/(1-ASM!$B$9),0)</f>
        <v>1118</v>
      </c>
      <c r="I126" s="7" t="n">
        <f aca="false">ROUND((D126+0.45)/(1-ASM!$B$9-ASM!$B$10),0)</f>
        <v>1343</v>
      </c>
      <c r="J126" s="7" t="str">
        <f aca="false">IF(G126&gt;=H126,"OK","FLOOR ALTI")</f>
        <v>OK</v>
      </c>
    </row>
    <row r="127" customFormat="false" ht="15" hidden="false" customHeight="false" outlineLevel="0" collapsed="false">
      <c r="A127" s="7" t="n">
        <v>11</v>
      </c>
      <c r="B127" s="7" t="n">
        <v>12</v>
      </c>
      <c r="C127" s="8" t="n">
        <v>11.87</v>
      </c>
      <c r="D127" s="9" t="n">
        <f aca="false">ROUND(C127*ASM!$B$8*ASM!$B$12*(1+ASM!$B$3)+ASM!$B$4+ASM!$B$5+ASM!$B$6,2)</f>
        <v>1033.68</v>
      </c>
      <c r="E127" s="7" t="n">
        <f aca="false">ROUND((C127*ASM!$B$8*ASM!$B$12*(1+ASM!$B$3)+ASM!$B$4+ASM!$B$5+ASM!$B$6)*IF(A127&lt;=7,ASM!$B$7,ASM!$B$17),0)</f>
        <v>2067</v>
      </c>
      <c r="F127" s="10" t="n">
        <f aca="false">CEILING(E127/0.75,5)</f>
        <v>2760</v>
      </c>
      <c r="G127" s="9" t="n">
        <f aca="false">F127*0.75</f>
        <v>2070</v>
      </c>
      <c r="H127" s="7" t="n">
        <f aca="false">ROUND((D127+0.45)/(1-ASM!$B$9),0)</f>
        <v>1155</v>
      </c>
      <c r="I127" s="7" t="n">
        <f aca="false">ROUND((D127+0.45)/(1-ASM!$B$9-ASM!$B$10),0)</f>
        <v>1388</v>
      </c>
      <c r="J127" s="7" t="str">
        <f aca="false">IF(G127&gt;=H127,"OK","FLOOR ALTI")</f>
        <v>OK</v>
      </c>
    </row>
    <row r="128" customFormat="false" ht="15" hidden="false" customHeight="false" outlineLevel="0" collapsed="false">
      <c r="A128" s="7" t="n">
        <v>11</v>
      </c>
      <c r="B128" s="7" t="n">
        <v>13</v>
      </c>
      <c r="C128" s="8" t="n">
        <v>12.29</v>
      </c>
      <c r="D128" s="9" t="n">
        <f aca="false">ROUND(C128*ASM!$B$8*ASM!$B$12*(1+ASM!$B$3)+ASM!$B$4+ASM!$B$5+ASM!$B$6,2)</f>
        <v>1068.13</v>
      </c>
      <c r="E128" s="7" t="n">
        <f aca="false">ROUND((C128*ASM!$B$8*ASM!$B$12*(1+ASM!$B$3)+ASM!$B$4+ASM!$B$5+ASM!$B$6)*IF(A128&lt;=7,ASM!$B$7,ASM!$B$17),0)</f>
        <v>2136</v>
      </c>
      <c r="F128" s="10" t="n">
        <f aca="false">CEILING(E128/0.75,5)</f>
        <v>2850</v>
      </c>
      <c r="G128" s="9" t="n">
        <f aca="false">F128*0.75</f>
        <v>2137.5</v>
      </c>
      <c r="H128" s="7" t="n">
        <f aca="false">ROUND((D128+0.45)/(1-ASM!$B$9),0)</f>
        <v>1194</v>
      </c>
      <c r="I128" s="7" t="n">
        <f aca="false">ROUND((D128+0.45)/(1-ASM!$B$9-ASM!$B$10),0)</f>
        <v>1434</v>
      </c>
      <c r="J128" s="7" t="str">
        <f aca="false">IF(G128&gt;=H128,"OK","FLOOR ALTI")</f>
        <v>OK</v>
      </c>
    </row>
    <row r="129" customFormat="false" ht="15" hidden="false" customHeight="false" outlineLevel="0" collapsed="false">
      <c r="A129" s="7" t="n">
        <v>11</v>
      </c>
      <c r="B129" s="7" t="n">
        <v>14</v>
      </c>
      <c r="C129" s="8" t="n">
        <v>12.7</v>
      </c>
      <c r="D129" s="9" t="n">
        <f aca="false">ROUND(C129*ASM!$B$8*ASM!$B$12*(1+ASM!$B$3)+ASM!$B$4+ASM!$B$5+ASM!$B$6,2)</f>
        <v>1101.77</v>
      </c>
      <c r="E129" s="7" t="n">
        <f aca="false">ROUND((C129*ASM!$B$8*ASM!$B$12*(1+ASM!$B$3)+ASM!$B$4+ASM!$B$5+ASM!$B$6)*IF(A129&lt;=7,ASM!$B$7,ASM!$B$17),0)</f>
        <v>2204</v>
      </c>
      <c r="F129" s="10" t="n">
        <f aca="false">CEILING(E129/0.75,5)</f>
        <v>2940</v>
      </c>
      <c r="G129" s="9" t="n">
        <f aca="false">F129*0.75</f>
        <v>2205</v>
      </c>
      <c r="H129" s="7" t="n">
        <f aca="false">ROUND((D129+0.45)/(1-ASM!$B$9),0)</f>
        <v>1232</v>
      </c>
      <c r="I129" s="7" t="n">
        <f aca="false">ROUND((D129+0.45)/(1-ASM!$B$9-ASM!$B$10),0)</f>
        <v>1479</v>
      </c>
      <c r="J129" s="7" t="str">
        <f aca="false">IF(G129&gt;=H129,"OK","FLOOR ALTI")</f>
        <v>OK</v>
      </c>
    </row>
    <row r="130" customFormat="false" ht="15" hidden="false" customHeight="false" outlineLevel="0" collapsed="false">
      <c r="A130" s="7" t="n">
        <v>11</v>
      </c>
      <c r="B130" s="7" t="n">
        <v>15</v>
      </c>
      <c r="C130" s="8" t="n">
        <v>13.11</v>
      </c>
      <c r="D130" s="9" t="n">
        <f aca="false">ROUND(C130*ASM!$B$8*ASM!$B$12*(1+ASM!$B$3)+ASM!$B$4+ASM!$B$5+ASM!$B$6,2)</f>
        <v>1135.4</v>
      </c>
      <c r="E130" s="7" t="n">
        <f aca="false">ROUND((C130*ASM!$B$8*ASM!$B$12*(1+ASM!$B$3)+ASM!$B$4+ASM!$B$5+ASM!$B$6)*IF(A130&lt;=7,ASM!$B$7,ASM!$B$17),0)</f>
        <v>2271</v>
      </c>
      <c r="F130" s="10" t="n">
        <f aca="false">CEILING(E130/0.75,5)</f>
        <v>3030</v>
      </c>
      <c r="G130" s="9" t="n">
        <f aca="false">F130*0.75</f>
        <v>2272.5</v>
      </c>
      <c r="H130" s="7" t="n">
        <f aca="false">ROUND((D130+0.45)/(1-ASM!$B$9),0)</f>
        <v>1269</v>
      </c>
      <c r="I130" s="7" t="n">
        <f aca="false">ROUND((D130+0.45)/(1-ASM!$B$9-ASM!$B$10),0)</f>
        <v>1525</v>
      </c>
      <c r="J130" s="7" t="str">
        <f aca="false">IF(G130&gt;=H130,"OK","FLOOR ALTI")</f>
        <v>OK</v>
      </c>
    </row>
    <row r="131" customFormat="false" ht="15" hidden="false" customHeight="false" outlineLevel="0" collapsed="false">
      <c r="A131" s="7" t="n">
        <v>11</v>
      </c>
      <c r="B131" s="7" t="n">
        <v>16</v>
      </c>
      <c r="C131" s="8" t="n">
        <v>13.53</v>
      </c>
      <c r="D131" s="9" t="n">
        <f aca="false">ROUND(C131*ASM!$B$8*ASM!$B$12*(1+ASM!$B$3)+ASM!$B$4+ASM!$B$5+ASM!$B$6,2)</f>
        <v>1169.85</v>
      </c>
      <c r="E131" s="7" t="n">
        <f aca="false">ROUND((C131*ASM!$B$8*ASM!$B$12*(1+ASM!$B$3)+ASM!$B$4+ASM!$B$5+ASM!$B$6)*IF(A131&lt;=7,ASM!$B$7,ASM!$B$17),0)</f>
        <v>2340</v>
      </c>
      <c r="F131" s="10" t="n">
        <f aca="false">CEILING(E131/0.75,5)</f>
        <v>3120</v>
      </c>
      <c r="G131" s="9" t="n">
        <f aca="false">F131*0.75</f>
        <v>2340</v>
      </c>
      <c r="H131" s="7" t="n">
        <f aca="false">ROUND((D131+0.45)/(1-ASM!$B$9),0)</f>
        <v>1308</v>
      </c>
      <c r="I131" s="7" t="n">
        <f aca="false">ROUND((D131+0.45)/(1-ASM!$B$9-ASM!$B$10),0)</f>
        <v>1571</v>
      </c>
      <c r="J131" s="7" t="str">
        <f aca="false">IF(G131&gt;=H131,"OK","FLOOR ALTI")</f>
        <v>OK</v>
      </c>
    </row>
    <row r="132" customFormat="false" ht="15" hidden="false" customHeight="false" outlineLevel="0" collapsed="false">
      <c r="A132" s="7" t="n">
        <v>12</v>
      </c>
      <c r="B132" s="7" t="n">
        <v>4</v>
      </c>
      <c r="C132" s="8" t="n">
        <v>9.33</v>
      </c>
      <c r="D132" s="9" t="n">
        <f aca="false">ROUND(C132*ASM!$B$8*ASM!$B$12*(1+ASM!$B$3)+ASM!$B$4+ASM!$B$5+ASM!$B$6,2)</f>
        <v>825.33</v>
      </c>
      <c r="E132" s="7" t="n">
        <f aca="false">ROUND((C132*ASM!$B$8*ASM!$B$12*(1+ASM!$B$3)+ASM!$B$4+ASM!$B$5+ASM!$B$6)*IF(A132&lt;=7,ASM!$B$7,ASM!$B$17),0)</f>
        <v>1651</v>
      </c>
      <c r="F132" s="10" t="n">
        <f aca="false">CEILING(E132/0.75,5)</f>
        <v>2205</v>
      </c>
      <c r="G132" s="9" t="n">
        <f aca="false">F132*0.75</f>
        <v>1653.75</v>
      </c>
      <c r="H132" s="7" t="n">
        <f aca="false">ROUND((D132+0.45)/(1-ASM!$B$9),0)</f>
        <v>923</v>
      </c>
      <c r="I132" s="7" t="n">
        <f aca="false">ROUND((D132+0.45)/(1-ASM!$B$9-ASM!$B$10),0)</f>
        <v>1108</v>
      </c>
      <c r="J132" s="7" t="str">
        <f aca="false">IF(G132&gt;=H132,"OK","FLOOR ALTI")</f>
        <v>OK</v>
      </c>
    </row>
    <row r="133" customFormat="false" ht="15" hidden="false" customHeight="false" outlineLevel="0" collapsed="false">
      <c r="A133" s="7" t="n">
        <v>12</v>
      </c>
      <c r="B133" s="7" t="n">
        <v>5</v>
      </c>
      <c r="C133" s="8" t="n">
        <v>9.78</v>
      </c>
      <c r="D133" s="9" t="n">
        <f aca="false">ROUND(C133*ASM!$B$8*ASM!$B$12*(1+ASM!$B$3)+ASM!$B$4+ASM!$B$5+ASM!$B$6,2)</f>
        <v>862.24</v>
      </c>
      <c r="E133" s="7" t="n">
        <f aca="false">ROUND((C133*ASM!$B$8*ASM!$B$12*(1+ASM!$B$3)+ASM!$B$4+ASM!$B$5+ASM!$B$6)*IF(A133&lt;=7,ASM!$B$7,ASM!$B$17),0)</f>
        <v>1724</v>
      </c>
      <c r="F133" s="10" t="n">
        <f aca="false">CEILING(E133/0.75,5)</f>
        <v>2300</v>
      </c>
      <c r="G133" s="9" t="n">
        <f aca="false">F133*0.75</f>
        <v>1725</v>
      </c>
      <c r="H133" s="7" t="n">
        <f aca="false">ROUND((D133+0.45)/(1-ASM!$B$9),0)</f>
        <v>964</v>
      </c>
      <c r="I133" s="7" t="n">
        <f aca="false">ROUND((D133+0.45)/(1-ASM!$B$9-ASM!$B$10),0)</f>
        <v>1158</v>
      </c>
      <c r="J133" s="7" t="str">
        <f aca="false">IF(G133&gt;=H133,"OK","FLOOR ALTI")</f>
        <v>OK</v>
      </c>
    </row>
    <row r="134" customFormat="false" ht="15" hidden="false" customHeight="false" outlineLevel="0" collapsed="false">
      <c r="A134" s="7" t="n">
        <v>12</v>
      </c>
      <c r="B134" s="7" t="n">
        <v>6</v>
      </c>
      <c r="C134" s="8" t="n">
        <v>10.24</v>
      </c>
      <c r="D134" s="9" t="n">
        <f aca="false">ROUND(C134*ASM!$B$8*ASM!$B$12*(1+ASM!$B$3)+ASM!$B$4+ASM!$B$5+ASM!$B$6,2)</f>
        <v>899.97</v>
      </c>
      <c r="E134" s="7" t="n">
        <f aca="false">ROUND((C134*ASM!$B$8*ASM!$B$12*(1+ASM!$B$3)+ASM!$B$4+ASM!$B$5+ASM!$B$6)*IF(A134&lt;=7,ASM!$B$7,ASM!$B$17),0)</f>
        <v>1800</v>
      </c>
      <c r="F134" s="10" t="n">
        <f aca="false">CEILING(E134/0.75,5)</f>
        <v>2400</v>
      </c>
      <c r="G134" s="9" t="n">
        <f aca="false">F134*0.75</f>
        <v>1800</v>
      </c>
      <c r="H134" s="7" t="n">
        <f aca="false">ROUND((D134+0.45)/(1-ASM!$B$9),0)</f>
        <v>1006</v>
      </c>
      <c r="I134" s="7" t="n">
        <f aca="false">ROUND((D134+0.45)/(1-ASM!$B$9-ASM!$B$10),0)</f>
        <v>1209</v>
      </c>
      <c r="J134" s="7" t="str">
        <f aca="false">IF(G134&gt;=H134,"OK","FLOOR ALTI")</f>
        <v>OK</v>
      </c>
    </row>
    <row r="135" customFormat="false" ht="15" hidden="false" customHeight="false" outlineLevel="0" collapsed="false">
      <c r="A135" s="7" t="n">
        <v>12</v>
      </c>
      <c r="B135" s="7" t="n">
        <v>7</v>
      </c>
      <c r="C135" s="8" t="n">
        <v>10.69</v>
      </c>
      <c r="D135" s="9" t="n">
        <f aca="false">ROUND(C135*ASM!$B$8*ASM!$B$12*(1+ASM!$B$3)+ASM!$B$4+ASM!$B$5+ASM!$B$6,2)</f>
        <v>936.89</v>
      </c>
      <c r="E135" s="7" t="n">
        <f aca="false">ROUND((C135*ASM!$B$8*ASM!$B$12*(1+ASM!$B$3)+ASM!$B$4+ASM!$B$5+ASM!$B$6)*IF(A135&lt;=7,ASM!$B$7,ASM!$B$17),0)</f>
        <v>1874</v>
      </c>
      <c r="F135" s="10" t="n">
        <f aca="false">CEILING(E135/0.75,5)</f>
        <v>2500</v>
      </c>
      <c r="G135" s="9" t="n">
        <f aca="false">F135*0.75</f>
        <v>1875</v>
      </c>
      <c r="H135" s="7" t="n">
        <f aca="false">ROUND((D135+0.45)/(1-ASM!$B$9),0)</f>
        <v>1047</v>
      </c>
      <c r="I135" s="7" t="n">
        <f aca="false">ROUND((D135+0.45)/(1-ASM!$B$9-ASM!$B$10),0)</f>
        <v>1258</v>
      </c>
      <c r="J135" s="7" t="str">
        <f aca="false">IF(G135&gt;=H135,"OK","FLOOR ALTI")</f>
        <v>OK</v>
      </c>
    </row>
    <row r="136" customFormat="false" ht="15" hidden="false" customHeight="false" outlineLevel="0" collapsed="false">
      <c r="A136" s="7" t="n">
        <v>12</v>
      </c>
      <c r="B136" s="7" t="n">
        <v>8</v>
      </c>
      <c r="C136" s="8" t="n">
        <v>11.14</v>
      </c>
      <c r="D136" s="9" t="n">
        <f aca="false">ROUND(C136*ASM!$B$8*ASM!$B$12*(1+ASM!$B$3)+ASM!$B$4+ASM!$B$5+ASM!$B$6,2)</f>
        <v>973.8</v>
      </c>
      <c r="E136" s="7" t="n">
        <f aca="false">ROUND((C136*ASM!$B$8*ASM!$B$12*(1+ASM!$B$3)+ASM!$B$4+ASM!$B$5+ASM!$B$6)*IF(A136&lt;=7,ASM!$B$7,ASM!$B$17),0)</f>
        <v>1948</v>
      </c>
      <c r="F136" s="10" t="n">
        <f aca="false">CEILING(E136/0.75,5)</f>
        <v>2600</v>
      </c>
      <c r="G136" s="9" t="n">
        <f aca="false">F136*0.75</f>
        <v>1950</v>
      </c>
      <c r="H136" s="7" t="n">
        <f aca="false">ROUND((D136+0.45)/(1-ASM!$B$9),0)</f>
        <v>1089</v>
      </c>
      <c r="I136" s="7" t="n">
        <f aca="false">ROUND((D136+0.45)/(1-ASM!$B$9-ASM!$B$10),0)</f>
        <v>1308</v>
      </c>
      <c r="J136" s="7" t="str">
        <f aca="false">IF(G136&gt;=H136,"OK","FLOOR ALTI")</f>
        <v>OK</v>
      </c>
    </row>
    <row r="137" customFormat="false" ht="15" hidden="false" customHeight="false" outlineLevel="0" collapsed="false">
      <c r="A137" s="7" t="n">
        <v>12</v>
      </c>
      <c r="B137" s="7" t="n">
        <v>9</v>
      </c>
      <c r="C137" s="8" t="n">
        <v>11.59</v>
      </c>
      <c r="D137" s="9" t="n">
        <f aca="false">ROUND(C137*ASM!$B$8*ASM!$B$12*(1+ASM!$B$3)+ASM!$B$4+ASM!$B$5+ASM!$B$6,2)</f>
        <v>1010.71</v>
      </c>
      <c r="E137" s="7" t="n">
        <f aca="false">ROUND((C137*ASM!$B$8*ASM!$B$12*(1+ASM!$B$3)+ASM!$B$4+ASM!$B$5+ASM!$B$6)*IF(A137&lt;=7,ASM!$B$7,ASM!$B$17),0)</f>
        <v>2021</v>
      </c>
      <c r="F137" s="10" t="n">
        <f aca="false">CEILING(E137/0.75,5)</f>
        <v>2695</v>
      </c>
      <c r="G137" s="9" t="n">
        <f aca="false">F137*0.75</f>
        <v>2021.25</v>
      </c>
      <c r="H137" s="7" t="n">
        <f aca="false">ROUND((D137+0.45)/(1-ASM!$B$9),0)</f>
        <v>1130</v>
      </c>
      <c r="I137" s="7" t="n">
        <f aca="false">ROUND((D137+0.45)/(1-ASM!$B$9-ASM!$B$10),0)</f>
        <v>1357</v>
      </c>
      <c r="J137" s="7" t="str">
        <f aca="false">IF(G137&gt;=H137,"OK","FLOOR ALTI")</f>
        <v>OK</v>
      </c>
    </row>
    <row r="138" customFormat="false" ht="15" hidden="false" customHeight="false" outlineLevel="0" collapsed="false">
      <c r="A138" s="7" t="n">
        <v>12</v>
      </c>
      <c r="B138" s="7" t="n">
        <v>10</v>
      </c>
      <c r="C138" s="8" t="n">
        <v>12.04</v>
      </c>
      <c r="D138" s="9" t="n">
        <f aca="false">ROUND(C138*ASM!$B$8*ASM!$B$12*(1+ASM!$B$3)+ASM!$B$4+ASM!$B$5+ASM!$B$6,2)</f>
        <v>1047.63</v>
      </c>
      <c r="E138" s="7" t="n">
        <f aca="false">ROUND((C138*ASM!$B$8*ASM!$B$12*(1+ASM!$B$3)+ASM!$B$4+ASM!$B$5+ASM!$B$6)*IF(A138&lt;=7,ASM!$B$7,ASM!$B$17),0)</f>
        <v>2095</v>
      </c>
      <c r="F138" s="10" t="n">
        <f aca="false">CEILING(E138/0.75,5)</f>
        <v>2795</v>
      </c>
      <c r="G138" s="9" t="n">
        <f aca="false">F138*0.75</f>
        <v>2096.25</v>
      </c>
      <c r="H138" s="7" t="n">
        <f aca="false">ROUND((D138+0.45)/(1-ASM!$B$9),0)</f>
        <v>1171</v>
      </c>
      <c r="I138" s="7" t="n">
        <f aca="false">ROUND((D138+0.45)/(1-ASM!$B$9-ASM!$B$10),0)</f>
        <v>1407</v>
      </c>
      <c r="J138" s="7" t="str">
        <f aca="false">IF(G138&gt;=H138,"OK","FLOOR ALTI")</f>
        <v>OK</v>
      </c>
    </row>
    <row r="139" customFormat="false" ht="15" hidden="false" customHeight="false" outlineLevel="0" collapsed="false">
      <c r="A139" s="7" t="n">
        <v>12</v>
      </c>
      <c r="B139" s="7" t="n">
        <v>11</v>
      </c>
      <c r="C139" s="8" t="n">
        <v>12.5</v>
      </c>
      <c r="D139" s="9" t="n">
        <f aca="false">ROUND(C139*ASM!$B$8*ASM!$B$12*(1+ASM!$B$3)+ASM!$B$4+ASM!$B$5+ASM!$B$6,2)</f>
        <v>1085.36</v>
      </c>
      <c r="E139" s="7" t="n">
        <f aca="false">ROUND((C139*ASM!$B$8*ASM!$B$12*(1+ASM!$B$3)+ASM!$B$4+ASM!$B$5+ASM!$B$6)*IF(A139&lt;=7,ASM!$B$7,ASM!$B$17),0)</f>
        <v>2171</v>
      </c>
      <c r="F139" s="10" t="n">
        <f aca="false">CEILING(E139/0.75,5)</f>
        <v>2895</v>
      </c>
      <c r="G139" s="9" t="n">
        <f aca="false">F139*0.75</f>
        <v>2171.25</v>
      </c>
      <c r="H139" s="7" t="n">
        <f aca="false">ROUND((D139+0.45)/(1-ASM!$B$9),0)</f>
        <v>1213</v>
      </c>
      <c r="I139" s="7" t="n">
        <f aca="false">ROUND((D139+0.45)/(1-ASM!$B$9-ASM!$B$10),0)</f>
        <v>1457</v>
      </c>
      <c r="J139" s="7" t="str">
        <f aca="false">IF(G139&gt;=H139,"OK","FLOOR ALTI")</f>
        <v>OK</v>
      </c>
    </row>
    <row r="140" customFormat="false" ht="15" hidden="false" customHeight="false" outlineLevel="0" collapsed="false">
      <c r="A140" s="7" t="n">
        <v>12</v>
      </c>
      <c r="B140" s="7" t="n">
        <v>12</v>
      </c>
      <c r="C140" s="8" t="n">
        <v>12.95</v>
      </c>
      <c r="D140" s="9" t="n">
        <f aca="false">ROUND(C140*ASM!$B$8*ASM!$B$12*(1+ASM!$B$3)+ASM!$B$4+ASM!$B$5+ASM!$B$6,2)</f>
        <v>1122.27</v>
      </c>
      <c r="E140" s="7" t="n">
        <f aca="false">ROUND((C140*ASM!$B$8*ASM!$B$12*(1+ASM!$B$3)+ASM!$B$4+ASM!$B$5+ASM!$B$6)*IF(A140&lt;=7,ASM!$B$7,ASM!$B$17),0)</f>
        <v>2245</v>
      </c>
      <c r="F140" s="10" t="n">
        <f aca="false">CEILING(E140/0.75,5)</f>
        <v>2995</v>
      </c>
      <c r="G140" s="9" t="n">
        <f aca="false">F140*0.75</f>
        <v>2246.25</v>
      </c>
      <c r="H140" s="7" t="n">
        <f aca="false">ROUND((D140+0.45)/(1-ASM!$B$9),0)</f>
        <v>1254</v>
      </c>
      <c r="I140" s="7" t="n">
        <f aca="false">ROUND((D140+0.45)/(1-ASM!$B$9-ASM!$B$10),0)</f>
        <v>1507</v>
      </c>
      <c r="J140" s="7" t="str">
        <f aca="false">IF(G140&gt;=H140,"OK","FLOOR ALTI")</f>
        <v>OK</v>
      </c>
    </row>
    <row r="141" customFormat="false" ht="15" hidden="false" customHeight="false" outlineLevel="0" collapsed="false">
      <c r="A141" s="7" t="n">
        <v>12</v>
      </c>
      <c r="B141" s="7" t="n">
        <v>13</v>
      </c>
      <c r="C141" s="8" t="n">
        <v>13.4</v>
      </c>
      <c r="D141" s="9" t="n">
        <f aca="false">ROUND(C141*ASM!$B$8*ASM!$B$12*(1+ASM!$B$3)+ASM!$B$4+ASM!$B$5+ASM!$B$6,2)</f>
        <v>1159.19</v>
      </c>
      <c r="E141" s="7" t="n">
        <f aca="false">ROUND((C141*ASM!$B$8*ASM!$B$12*(1+ASM!$B$3)+ASM!$B$4+ASM!$B$5+ASM!$B$6)*IF(A141&lt;=7,ASM!$B$7,ASM!$B$17),0)</f>
        <v>2318</v>
      </c>
      <c r="F141" s="10" t="n">
        <f aca="false">CEILING(E141/0.75,5)</f>
        <v>3095</v>
      </c>
      <c r="G141" s="9" t="n">
        <f aca="false">F141*0.75</f>
        <v>2321.25</v>
      </c>
      <c r="H141" s="7" t="n">
        <f aca="false">ROUND((D141+0.45)/(1-ASM!$B$9),0)</f>
        <v>1296</v>
      </c>
      <c r="I141" s="7" t="n">
        <f aca="false">ROUND((D141+0.45)/(1-ASM!$B$9-ASM!$B$10),0)</f>
        <v>1557</v>
      </c>
      <c r="J141" s="7" t="str">
        <f aca="false">IF(G141&gt;=H141,"OK","FLOOR ALTI")</f>
        <v>OK</v>
      </c>
    </row>
    <row r="142" customFormat="false" ht="15" hidden="false" customHeight="false" outlineLevel="0" collapsed="false">
      <c r="A142" s="7" t="n">
        <v>12</v>
      </c>
      <c r="B142" s="7" t="n">
        <v>14</v>
      </c>
      <c r="C142" s="8" t="n">
        <v>13.85</v>
      </c>
      <c r="D142" s="9" t="n">
        <f aca="false">ROUND(C142*ASM!$B$8*ASM!$B$12*(1+ASM!$B$3)+ASM!$B$4+ASM!$B$5+ASM!$B$6,2)</f>
        <v>1196.1</v>
      </c>
      <c r="E142" s="7" t="n">
        <f aca="false">ROUND((C142*ASM!$B$8*ASM!$B$12*(1+ASM!$B$3)+ASM!$B$4+ASM!$B$5+ASM!$B$6)*IF(A142&lt;=7,ASM!$B$7,ASM!$B$17),0)</f>
        <v>2392</v>
      </c>
      <c r="F142" s="10" t="n">
        <f aca="false">CEILING(E142/0.75,5)</f>
        <v>3190</v>
      </c>
      <c r="G142" s="9" t="n">
        <f aca="false">F142*0.75</f>
        <v>2392.5</v>
      </c>
      <c r="H142" s="7" t="n">
        <f aca="false">ROUND((D142+0.45)/(1-ASM!$B$9),0)</f>
        <v>1337</v>
      </c>
      <c r="I142" s="7" t="n">
        <f aca="false">ROUND((D142+0.45)/(1-ASM!$B$9-ASM!$B$10),0)</f>
        <v>1606</v>
      </c>
      <c r="J142" s="7" t="str">
        <f aca="false">IF(G142&gt;=H142,"OK","FLOOR ALTI")</f>
        <v>OK</v>
      </c>
    </row>
    <row r="143" customFormat="false" ht="15" hidden="false" customHeight="false" outlineLevel="0" collapsed="false">
      <c r="A143" s="7" t="n">
        <v>12</v>
      </c>
      <c r="B143" s="7" t="n">
        <v>15</v>
      </c>
      <c r="C143" s="8" t="n">
        <v>14.31</v>
      </c>
      <c r="D143" s="9" t="n">
        <f aca="false">ROUND(C143*ASM!$B$8*ASM!$B$12*(1+ASM!$B$3)+ASM!$B$4+ASM!$B$5+ASM!$B$6,2)</f>
        <v>1233.83</v>
      </c>
      <c r="E143" s="7" t="n">
        <f aca="false">ROUND((C143*ASM!$B$8*ASM!$B$12*(1+ASM!$B$3)+ASM!$B$4+ASM!$B$5+ASM!$B$6)*IF(A143&lt;=7,ASM!$B$7,ASM!$B$17),0)</f>
        <v>2468</v>
      </c>
      <c r="F143" s="10" t="n">
        <f aca="false">CEILING(E143/0.75,5)</f>
        <v>3295</v>
      </c>
      <c r="G143" s="9" t="n">
        <f aca="false">F143*0.75</f>
        <v>2471.25</v>
      </c>
      <c r="H143" s="7" t="n">
        <f aca="false">ROUND((D143+0.45)/(1-ASM!$B$9),0)</f>
        <v>1379</v>
      </c>
      <c r="I143" s="7" t="n">
        <f aca="false">ROUND((D143+0.45)/(1-ASM!$B$9-ASM!$B$10),0)</f>
        <v>1657</v>
      </c>
      <c r="J143" s="7" t="str">
        <f aca="false">IF(G143&gt;=H143,"OK","FLOOR ALTI")</f>
        <v>OK</v>
      </c>
    </row>
    <row r="144" customFormat="false" ht="15" hidden="false" customHeight="false" outlineLevel="0" collapsed="false">
      <c r="A144" s="7" t="n">
        <v>12</v>
      </c>
      <c r="B144" s="7" t="n">
        <v>16</v>
      </c>
      <c r="C144" s="8" t="n">
        <v>14.76</v>
      </c>
      <c r="D144" s="9" t="n">
        <f aca="false">ROUND(C144*ASM!$B$8*ASM!$B$12*(1+ASM!$B$3)+ASM!$B$4+ASM!$B$5+ASM!$B$6,2)</f>
        <v>1270.75</v>
      </c>
      <c r="E144" s="7" t="n">
        <f aca="false">ROUND((C144*ASM!$B$8*ASM!$B$12*(1+ASM!$B$3)+ASM!$B$4+ASM!$B$5+ASM!$B$6)*IF(A144&lt;=7,ASM!$B$7,ASM!$B$17),0)</f>
        <v>2541</v>
      </c>
      <c r="F144" s="10" t="n">
        <f aca="false">CEILING(E144/0.75,5)</f>
        <v>3390</v>
      </c>
      <c r="G144" s="9" t="n">
        <f aca="false">F144*0.75</f>
        <v>2542.5</v>
      </c>
      <c r="H144" s="7" t="n">
        <f aca="false">ROUND((D144+0.45)/(1-ASM!$B$9),0)</f>
        <v>1420</v>
      </c>
      <c r="I144" s="7" t="n">
        <f aca="false">ROUND((D144+0.45)/(1-ASM!$B$9-ASM!$B$10),0)</f>
        <v>1706</v>
      </c>
      <c r="J144" s="7" t="str">
        <f aca="false">IF(G144&gt;=H144,"OK","FLOOR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</row>
    <row r="2" customFormat="false" ht="15" hidden="false" customHeight="false" outlineLevel="0" collapsed="false">
      <c r="A2" s="7" t="n">
        <v>2</v>
      </c>
      <c r="B2" s="7" t="n">
        <v>4</v>
      </c>
      <c r="C2" s="8" t="n">
        <v>2.04</v>
      </c>
      <c r="D2" s="9" t="n">
        <f aca="false">ROUND(C2*ASM!$B$8*ASM!$B$13*(1+ASM!$B$3)+ASM!$B$4+ASM!$B$5+ASM!$B$6,2)</f>
        <v>275.27</v>
      </c>
      <c r="E2" s="7" t="n">
        <f aca="false">ROUND((C2*ASM!$B$8*ASM!$B$13*(1+ASM!$B$3)+ASM!$B$4+ASM!$B$5+ASM!$B$6)*IF(A2&lt;=7,ASM!$B$7,ASM!$B$17),0)</f>
        <v>427</v>
      </c>
      <c r="F2" s="10" t="n">
        <f aca="false">CEILING(E2/0.75,5)</f>
        <v>570</v>
      </c>
      <c r="G2" s="9" t="n">
        <f aca="false">F2*0.75</f>
        <v>427.5</v>
      </c>
      <c r="H2" s="7" t="n">
        <f aca="false">ROUND((D2+0.45)/(1-ASM!$B$9),0)</f>
        <v>308</v>
      </c>
      <c r="I2" s="7" t="n">
        <f aca="false">ROUND((D2+0.45)/(1-ASM!$B$9-ASM!$B$10),0)</f>
        <v>370</v>
      </c>
      <c r="J2" s="7" t="str">
        <f aca="false">IF(G2&gt;=H2,"OK","FLOOR ALTI")</f>
        <v>OK</v>
      </c>
    </row>
    <row r="3" customFormat="false" ht="15" hidden="false" customHeight="false" outlineLevel="0" collapsed="false">
      <c r="A3" s="7" t="n">
        <v>2</v>
      </c>
      <c r="B3" s="7" t="n">
        <v>5</v>
      </c>
      <c r="C3" s="8" t="n">
        <v>2.15</v>
      </c>
      <c r="D3" s="9" t="n">
        <f aca="false">ROUND(C3*ASM!$B$8*ASM!$B$13*(1+ASM!$B$3)+ASM!$B$4+ASM!$B$5+ASM!$B$6,2)</f>
        <v>286.88</v>
      </c>
      <c r="E3" s="7" t="n">
        <f aca="false">ROUND((C3*ASM!$B$8*ASM!$B$13*(1+ASM!$B$3)+ASM!$B$4+ASM!$B$5+ASM!$B$6)*IF(A3&lt;=7,ASM!$B$7,ASM!$B$17),0)</f>
        <v>445</v>
      </c>
      <c r="F3" s="10" t="n">
        <f aca="false">CEILING(E3/0.75,5)</f>
        <v>595</v>
      </c>
      <c r="G3" s="9" t="n">
        <f aca="false">F3*0.75</f>
        <v>446.25</v>
      </c>
      <c r="H3" s="7" t="n">
        <f aca="false">ROUND((D3+0.45)/(1-ASM!$B$9),0)</f>
        <v>321</v>
      </c>
      <c r="I3" s="7" t="n">
        <f aca="false">ROUND((D3+0.45)/(1-ASM!$B$9-ASM!$B$10),0)</f>
        <v>386</v>
      </c>
      <c r="J3" s="7" t="str">
        <f aca="false">IF(G3&gt;=H3,"OK","FLOOR ALTI")</f>
        <v>OK</v>
      </c>
    </row>
    <row r="4" customFormat="false" ht="15" hidden="false" customHeight="false" outlineLevel="0" collapsed="false">
      <c r="A4" s="7" t="n">
        <v>2</v>
      </c>
      <c r="B4" s="7" t="n">
        <v>6</v>
      </c>
      <c r="C4" s="8" t="n">
        <v>2.26</v>
      </c>
      <c r="D4" s="9" t="n">
        <f aca="false">ROUND(C4*ASM!$B$8*ASM!$B$13*(1+ASM!$B$3)+ASM!$B$4+ASM!$B$5+ASM!$B$6,2)</f>
        <v>298.49</v>
      </c>
      <c r="E4" s="7" t="n">
        <f aca="false">ROUND((C4*ASM!$B$8*ASM!$B$13*(1+ASM!$B$3)+ASM!$B$4+ASM!$B$5+ASM!$B$6)*IF(A4&lt;=7,ASM!$B$7,ASM!$B$17),0)</f>
        <v>463</v>
      </c>
      <c r="F4" s="10" t="n">
        <f aca="false">CEILING(E4/0.75,5)</f>
        <v>620</v>
      </c>
      <c r="G4" s="9" t="n">
        <f aca="false">F4*0.75</f>
        <v>465</v>
      </c>
      <c r="H4" s="7" t="n">
        <f aca="false">ROUND((D4+0.45)/(1-ASM!$B$9),0)</f>
        <v>334</v>
      </c>
      <c r="I4" s="7" t="n">
        <f aca="false">ROUND((D4+0.45)/(1-ASM!$B$9-ASM!$B$10),0)</f>
        <v>401</v>
      </c>
      <c r="J4" s="7" t="str">
        <f aca="false">IF(G4&gt;=H4,"OK","FLOOR ALTI")</f>
        <v>OK</v>
      </c>
    </row>
    <row r="5" customFormat="false" ht="15" hidden="false" customHeight="false" outlineLevel="0" collapsed="false">
      <c r="A5" s="7" t="n">
        <v>2</v>
      </c>
      <c r="B5" s="7" t="n">
        <v>7</v>
      </c>
      <c r="C5" s="8" t="n">
        <v>2.36</v>
      </c>
      <c r="D5" s="9" t="n">
        <f aca="false">ROUND(C5*ASM!$B$8*ASM!$B$13*(1+ASM!$B$3)+ASM!$B$4+ASM!$B$5+ASM!$B$6,2)</f>
        <v>309.04</v>
      </c>
      <c r="E5" s="7" t="n">
        <f aca="false">ROUND((C5*ASM!$B$8*ASM!$B$13*(1+ASM!$B$3)+ASM!$B$4+ASM!$B$5+ASM!$B$6)*IF(A5&lt;=7,ASM!$B$7,ASM!$B$17),0)</f>
        <v>479</v>
      </c>
      <c r="F5" s="10" t="n">
        <f aca="false">CEILING(E5/0.75,5)</f>
        <v>640</v>
      </c>
      <c r="G5" s="9" t="n">
        <f aca="false">F5*0.75</f>
        <v>480</v>
      </c>
      <c r="H5" s="7" t="n">
        <f aca="false">ROUND((D5+0.45)/(1-ASM!$B$9),0)</f>
        <v>346</v>
      </c>
      <c r="I5" s="7" t="n">
        <f aca="false">ROUND((D5+0.45)/(1-ASM!$B$9-ASM!$B$10),0)</f>
        <v>415</v>
      </c>
      <c r="J5" s="7" t="str">
        <f aca="false">IF(G5&gt;=H5,"OK","FLOOR ALTI")</f>
        <v>OK</v>
      </c>
    </row>
    <row r="6" customFormat="false" ht="15" hidden="false" customHeight="false" outlineLevel="0" collapsed="false">
      <c r="A6" s="7" t="n">
        <v>2</v>
      </c>
      <c r="B6" s="7" t="n">
        <v>8</v>
      </c>
      <c r="C6" s="8" t="n">
        <v>2.47</v>
      </c>
      <c r="D6" s="9" t="n">
        <f aca="false">ROUND(C6*ASM!$B$8*ASM!$B$13*(1+ASM!$B$3)+ASM!$B$4+ASM!$B$5+ASM!$B$6,2)</f>
        <v>320.65</v>
      </c>
      <c r="E6" s="7" t="n">
        <f aca="false">ROUND((C6*ASM!$B$8*ASM!$B$13*(1+ASM!$B$3)+ASM!$B$4+ASM!$B$5+ASM!$B$6)*IF(A6&lt;=7,ASM!$B$7,ASM!$B$17),0)</f>
        <v>497</v>
      </c>
      <c r="F6" s="10" t="n">
        <f aca="false">CEILING(E6/0.75,5)</f>
        <v>665</v>
      </c>
      <c r="G6" s="9" t="n">
        <f aca="false">F6*0.75</f>
        <v>498.75</v>
      </c>
      <c r="H6" s="7" t="n">
        <f aca="false">ROUND((D6+0.45)/(1-ASM!$B$9),0)</f>
        <v>359</v>
      </c>
      <c r="I6" s="7" t="n">
        <f aca="false">ROUND((D6+0.45)/(1-ASM!$B$9-ASM!$B$10),0)</f>
        <v>431</v>
      </c>
      <c r="J6" s="7" t="str">
        <f aca="false">IF(G6&gt;=H6,"OK","FLOOR ALTI")</f>
        <v>OK</v>
      </c>
    </row>
    <row r="7" customFormat="false" ht="15" hidden="false" customHeight="false" outlineLevel="0" collapsed="false">
      <c r="A7" s="7" t="n">
        <v>2</v>
      </c>
      <c r="B7" s="7" t="n">
        <v>9</v>
      </c>
      <c r="C7" s="8" t="n">
        <v>2.57</v>
      </c>
      <c r="D7" s="9" t="n">
        <f aca="false">ROUND(C7*ASM!$B$8*ASM!$B$13*(1+ASM!$B$3)+ASM!$B$4+ASM!$B$5+ASM!$B$6,2)</f>
        <v>331.2</v>
      </c>
      <c r="E7" s="7" t="n">
        <f aca="false">ROUND((C7*ASM!$B$8*ASM!$B$13*(1+ASM!$B$3)+ASM!$B$4+ASM!$B$5+ASM!$B$6)*IF(A7&lt;=7,ASM!$B$7,ASM!$B$17),0)</f>
        <v>513</v>
      </c>
      <c r="F7" s="10" t="n">
        <f aca="false">CEILING(E7/0.75,5)</f>
        <v>685</v>
      </c>
      <c r="G7" s="9" t="n">
        <f aca="false">F7*0.75</f>
        <v>513.75</v>
      </c>
      <c r="H7" s="7" t="n">
        <f aca="false">ROUND((D7+0.45)/(1-ASM!$B$9),0)</f>
        <v>371</v>
      </c>
      <c r="I7" s="7" t="n">
        <f aca="false">ROUND((D7+0.45)/(1-ASM!$B$9-ASM!$B$10),0)</f>
        <v>445</v>
      </c>
      <c r="J7" s="7" t="str">
        <f aca="false">IF(G7&gt;=H7,"OK","FLOOR ALTI")</f>
        <v>OK</v>
      </c>
    </row>
    <row r="8" customFormat="false" ht="15" hidden="false" customHeight="false" outlineLevel="0" collapsed="false">
      <c r="A8" s="7" t="n">
        <v>2</v>
      </c>
      <c r="B8" s="7" t="n">
        <v>10</v>
      </c>
      <c r="C8" s="8" t="n">
        <v>2.68</v>
      </c>
      <c r="D8" s="9" t="n">
        <f aca="false">ROUND(C8*ASM!$B$8*ASM!$B$13*(1+ASM!$B$3)+ASM!$B$4+ASM!$B$5+ASM!$B$6,2)</f>
        <v>342.81</v>
      </c>
      <c r="E8" s="7" t="n">
        <f aca="false">ROUND((C8*ASM!$B$8*ASM!$B$13*(1+ASM!$B$3)+ASM!$B$4+ASM!$B$5+ASM!$B$6)*IF(A8&lt;=7,ASM!$B$7,ASM!$B$17),0)</f>
        <v>531</v>
      </c>
      <c r="F8" s="10" t="n">
        <f aca="false">CEILING(E8/0.75,5)</f>
        <v>710</v>
      </c>
      <c r="G8" s="9" t="n">
        <f aca="false">F8*0.75</f>
        <v>532.5</v>
      </c>
      <c r="H8" s="7" t="n">
        <f aca="false">ROUND((D8+0.45)/(1-ASM!$B$9),0)</f>
        <v>384</v>
      </c>
      <c r="I8" s="7" t="n">
        <f aca="false">ROUND((D8+0.45)/(1-ASM!$B$9-ASM!$B$10),0)</f>
        <v>461</v>
      </c>
      <c r="J8" s="7" t="str">
        <f aca="false">IF(G8&gt;=H8,"OK","FLOOR ALTI")</f>
        <v>OK</v>
      </c>
    </row>
    <row r="9" customFormat="false" ht="15" hidden="false" customHeight="false" outlineLevel="0" collapsed="false">
      <c r="A9" s="7" t="n">
        <v>2</v>
      </c>
      <c r="B9" s="7" t="n">
        <v>11</v>
      </c>
      <c r="C9" s="8" t="n">
        <v>2.78</v>
      </c>
      <c r="D9" s="9" t="n">
        <f aca="false">ROUND(C9*ASM!$B$8*ASM!$B$13*(1+ASM!$B$3)+ASM!$B$4+ASM!$B$5+ASM!$B$6,2)</f>
        <v>353.36</v>
      </c>
      <c r="E9" s="7" t="n">
        <f aca="false">ROUND((C9*ASM!$B$8*ASM!$B$13*(1+ASM!$B$3)+ASM!$B$4+ASM!$B$5+ASM!$B$6)*IF(A9&lt;=7,ASM!$B$7,ASM!$B$17),0)</f>
        <v>548</v>
      </c>
      <c r="F9" s="10" t="n">
        <f aca="false">CEILING(E9/0.75,5)</f>
        <v>735</v>
      </c>
      <c r="G9" s="9" t="n">
        <f aca="false">F9*0.75</f>
        <v>551.25</v>
      </c>
      <c r="H9" s="7" t="n">
        <f aca="false">ROUND((D9+0.45)/(1-ASM!$B$9),0)</f>
        <v>395</v>
      </c>
      <c r="I9" s="7" t="n">
        <f aca="false">ROUND((D9+0.45)/(1-ASM!$B$9-ASM!$B$10),0)</f>
        <v>475</v>
      </c>
      <c r="J9" s="7" t="str">
        <f aca="false">IF(G9&gt;=H9,"OK","FLOOR ALTI")</f>
        <v>OK</v>
      </c>
    </row>
    <row r="10" customFormat="false" ht="15" hidden="false" customHeight="false" outlineLevel="0" collapsed="false">
      <c r="A10" s="7" t="n">
        <v>2</v>
      </c>
      <c r="B10" s="7" t="n">
        <v>12</v>
      </c>
      <c r="C10" s="8" t="n">
        <v>2.89</v>
      </c>
      <c r="D10" s="9" t="n">
        <f aca="false">ROUND(C10*ASM!$B$8*ASM!$B$13*(1+ASM!$B$3)+ASM!$B$4+ASM!$B$5+ASM!$B$6,2)</f>
        <v>364.97</v>
      </c>
      <c r="E10" s="7" t="n">
        <f aca="false">ROUND((C10*ASM!$B$8*ASM!$B$13*(1+ASM!$B$3)+ASM!$B$4+ASM!$B$5+ASM!$B$6)*IF(A10&lt;=7,ASM!$B$7,ASM!$B$17),0)</f>
        <v>566</v>
      </c>
      <c r="F10" s="10" t="n">
        <f aca="false">CEILING(E10/0.75,5)</f>
        <v>755</v>
      </c>
      <c r="G10" s="9" t="n">
        <f aca="false">F10*0.75</f>
        <v>566.25</v>
      </c>
      <c r="H10" s="7" t="n">
        <f aca="false">ROUND((D10+0.45)/(1-ASM!$B$9),0)</f>
        <v>408</v>
      </c>
      <c r="I10" s="7" t="n">
        <f aca="false">ROUND((D10+0.45)/(1-ASM!$B$9-ASM!$B$10),0)</f>
        <v>490</v>
      </c>
      <c r="J10" s="7" t="str">
        <f aca="false">IF(G10&gt;=H10,"OK","FLOOR ALTI")</f>
        <v>OK</v>
      </c>
    </row>
    <row r="11" customFormat="false" ht="15" hidden="false" customHeight="false" outlineLevel="0" collapsed="false">
      <c r="A11" s="7" t="n">
        <v>2</v>
      </c>
      <c r="B11" s="7" t="n">
        <v>13</v>
      </c>
      <c r="C11" s="8" t="n">
        <v>3</v>
      </c>
      <c r="D11" s="9" t="n">
        <f aca="false">ROUND(C11*ASM!$B$8*ASM!$B$13*(1+ASM!$B$3)+ASM!$B$4+ASM!$B$5+ASM!$B$6,2)</f>
        <v>376.58</v>
      </c>
      <c r="E11" s="7" t="n">
        <f aca="false">ROUND((C11*ASM!$B$8*ASM!$B$13*(1+ASM!$B$3)+ASM!$B$4+ASM!$B$5+ASM!$B$6)*IF(A11&lt;=7,ASM!$B$7,ASM!$B$17),0)</f>
        <v>584</v>
      </c>
      <c r="F11" s="10" t="n">
        <f aca="false">CEILING(E11/0.75,5)</f>
        <v>780</v>
      </c>
      <c r="G11" s="9" t="n">
        <f aca="false">F11*0.75</f>
        <v>585</v>
      </c>
      <c r="H11" s="7" t="n">
        <f aca="false">ROUND((D11+0.45)/(1-ASM!$B$9),0)</f>
        <v>421</v>
      </c>
      <c r="I11" s="7" t="n">
        <f aca="false">ROUND((D11+0.45)/(1-ASM!$B$9-ASM!$B$10),0)</f>
        <v>506</v>
      </c>
      <c r="J11" s="7" t="str">
        <f aca="false">IF(G11&gt;=H11,"OK","FLOOR ALTI")</f>
        <v>OK</v>
      </c>
    </row>
    <row r="12" customFormat="false" ht="15" hidden="false" customHeight="false" outlineLevel="0" collapsed="false">
      <c r="A12" s="7" t="n">
        <v>2</v>
      </c>
      <c r="B12" s="7" t="n">
        <v>14</v>
      </c>
      <c r="C12" s="8" t="n">
        <v>3.13</v>
      </c>
      <c r="D12" s="9" t="n">
        <f aca="false">ROUND(C12*ASM!$B$8*ASM!$B$13*(1+ASM!$B$3)+ASM!$B$4+ASM!$B$5+ASM!$B$6,2)</f>
        <v>390.3</v>
      </c>
      <c r="E12" s="7" t="n">
        <f aca="false">ROUND((C12*ASM!$B$8*ASM!$B$13*(1+ASM!$B$3)+ASM!$B$4+ASM!$B$5+ASM!$B$6)*IF(A12&lt;=7,ASM!$B$7,ASM!$B$17),0)</f>
        <v>605</v>
      </c>
      <c r="F12" s="10" t="n">
        <f aca="false">CEILING(E12/0.75,5)</f>
        <v>810</v>
      </c>
      <c r="G12" s="9" t="n">
        <f aca="false">F12*0.75</f>
        <v>607.5</v>
      </c>
      <c r="H12" s="7" t="n">
        <f aca="false">ROUND((D12+0.45)/(1-ASM!$B$9),0)</f>
        <v>437</v>
      </c>
      <c r="I12" s="7" t="n">
        <f aca="false">ROUND((D12+0.45)/(1-ASM!$B$9-ASM!$B$10),0)</f>
        <v>524</v>
      </c>
      <c r="J12" s="7" t="str">
        <f aca="false">IF(G12&gt;=H12,"OK","FLOOR ALTI")</f>
        <v>OK</v>
      </c>
    </row>
    <row r="13" customFormat="false" ht="15" hidden="false" customHeight="false" outlineLevel="0" collapsed="false">
      <c r="A13" s="7" t="n">
        <v>2</v>
      </c>
      <c r="B13" s="7" t="n">
        <v>15</v>
      </c>
      <c r="C13" s="8" t="n">
        <v>3.26</v>
      </c>
      <c r="D13" s="9" t="n">
        <f aca="false">ROUND(C13*ASM!$B$8*ASM!$B$13*(1+ASM!$B$3)+ASM!$B$4+ASM!$B$5+ASM!$B$6,2)</f>
        <v>404.01</v>
      </c>
      <c r="E13" s="7" t="n">
        <f aca="false">ROUND((C13*ASM!$B$8*ASM!$B$13*(1+ASM!$B$3)+ASM!$B$4+ASM!$B$5+ASM!$B$6)*IF(A13&lt;=7,ASM!$B$7,ASM!$B$17),0)</f>
        <v>626</v>
      </c>
      <c r="F13" s="10" t="n">
        <f aca="false">CEILING(E13/0.75,5)</f>
        <v>835</v>
      </c>
      <c r="G13" s="9" t="n">
        <f aca="false">F13*0.75</f>
        <v>626.25</v>
      </c>
      <c r="H13" s="7" t="n">
        <f aca="false">ROUND((D13+0.45)/(1-ASM!$B$9),0)</f>
        <v>452</v>
      </c>
      <c r="I13" s="7" t="n">
        <f aca="false">ROUND((D13+0.45)/(1-ASM!$B$9-ASM!$B$10),0)</f>
        <v>543</v>
      </c>
      <c r="J13" s="7" t="str">
        <f aca="false">IF(G13&gt;=H13,"OK","FLOOR ALTI")</f>
        <v>OK</v>
      </c>
    </row>
    <row r="14" customFormat="false" ht="15" hidden="false" customHeight="false" outlineLevel="0" collapsed="false">
      <c r="A14" s="7" t="n">
        <v>2</v>
      </c>
      <c r="B14" s="7" t="n">
        <v>16</v>
      </c>
      <c r="C14" s="8" t="n">
        <v>3.35</v>
      </c>
      <c r="D14" s="9" t="n">
        <f aca="false">ROUND(C14*ASM!$B$8*ASM!$B$13*(1+ASM!$B$3)+ASM!$B$4+ASM!$B$5+ASM!$B$6,2)</f>
        <v>413.51</v>
      </c>
      <c r="E14" s="7" t="n">
        <f aca="false">ROUND((C14*ASM!$B$8*ASM!$B$13*(1+ASM!$B$3)+ASM!$B$4+ASM!$B$5+ASM!$B$6)*IF(A14&lt;=7,ASM!$B$7,ASM!$B$17),0)</f>
        <v>641</v>
      </c>
      <c r="F14" s="10" t="n">
        <f aca="false">CEILING(E14/0.75,5)</f>
        <v>855</v>
      </c>
      <c r="G14" s="9" t="n">
        <f aca="false">F14*0.75</f>
        <v>641.25</v>
      </c>
      <c r="H14" s="7" t="n">
        <f aca="false">ROUND((D14+0.45)/(1-ASM!$B$9),0)</f>
        <v>463</v>
      </c>
      <c r="I14" s="7" t="n">
        <f aca="false">ROUND((D14+0.45)/(1-ASM!$B$9-ASM!$B$10),0)</f>
        <v>556</v>
      </c>
      <c r="J14" s="7" t="str">
        <f aca="false">IF(G14&gt;=H14,"OK","FLOOR ALTI")</f>
        <v>OK</v>
      </c>
    </row>
    <row r="15" customFormat="false" ht="15" hidden="false" customHeight="false" outlineLevel="0" collapsed="false">
      <c r="A15" s="7" t="n">
        <v>3</v>
      </c>
      <c r="B15" s="7" t="n">
        <v>4</v>
      </c>
      <c r="C15" s="8" t="n">
        <v>2.64</v>
      </c>
      <c r="D15" s="9" t="n">
        <f aca="false">ROUND(C15*ASM!$B$8*ASM!$B$13*(1+ASM!$B$3)+ASM!$B$4+ASM!$B$5+ASM!$B$6,2)</f>
        <v>338.59</v>
      </c>
      <c r="E15" s="7" t="n">
        <f aca="false">ROUND((C15*ASM!$B$8*ASM!$B$13*(1+ASM!$B$3)+ASM!$B$4+ASM!$B$5+ASM!$B$6)*IF(A15&lt;=7,ASM!$B$7,ASM!$B$17),0)</f>
        <v>525</v>
      </c>
      <c r="F15" s="10" t="n">
        <f aca="false">CEILING(E15/0.75,5)</f>
        <v>700</v>
      </c>
      <c r="G15" s="9" t="n">
        <f aca="false">F15*0.75</f>
        <v>525</v>
      </c>
      <c r="H15" s="7" t="n">
        <f aca="false">ROUND((D15+0.45)/(1-ASM!$B$9),0)</f>
        <v>379</v>
      </c>
      <c r="I15" s="7" t="n">
        <f aca="false">ROUND((D15+0.45)/(1-ASM!$B$9-ASM!$B$10),0)</f>
        <v>455</v>
      </c>
      <c r="J15" s="7" t="str">
        <f aca="false">IF(G15&gt;=H15,"OK","FLOOR ALTI")</f>
        <v>OK</v>
      </c>
    </row>
    <row r="16" customFormat="false" ht="15" hidden="false" customHeight="false" outlineLevel="0" collapsed="false">
      <c r="A16" s="7" t="n">
        <v>3</v>
      </c>
      <c r="B16" s="7" t="n">
        <v>5</v>
      </c>
      <c r="C16" s="8" t="n">
        <v>2.76</v>
      </c>
      <c r="D16" s="9" t="n">
        <f aca="false">ROUND(C16*ASM!$B$8*ASM!$B$13*(1+ASM!$B$3)+ASM!$B$4+ASM!$B$5+ASM!$B$6,2)</f>
        <v>351.25</v>
      </c>
      <c r="E16" s="7" t="n">
        <f aca="false">ROUND((C16*ASM!$B$8*ASM!$B$13*(1+ASM!$B$3)+ASM!$B$4+ASM!$B$5+ASM!$B$6)*IF(A16&lt;=7,ASM!$B$7,ASM!$B$17),0)</f>
        <v>544</v>
      </c>
      <c r="F16" s="10" t="n">
        <f aca="false">CEILING(E16/0.75,5)</f>
        <v>730</v>
      </c>
      <c r="G16" s="9" t="n">
        <f aca="false">F16*0.75</f>
        <v>547.5</v>
      </c>
      <c r="H16" s="7" t="n">
        <f aca="false">ROUND((D16+0.45)/(1-ASM!$B$9),0)</f>
        <v>393</v>
      </c>
      <c r="I16" s="7" t="n">
        <f aca="false">ROUND((D16+0.45)/(1-ASM!$B$9-ASM!$B$10),0)</f>
        <v>472</v>
      </c>
      <c r="J16" s="7" t="str">
        <f aca="false">IF(G16&gt;=H16,"OK","FLOOR ALTI")</f>
        <v>OK</v>
      </c>
    </row>
    <row r="17" customFormat="false" ht="15" hidden="false" customHeight="false" outlineLevel="0" collapsed="false">
      <c r="A17" s="7" t="n">
        <v>3</v>
      </c>
      <c r="B17" s="7" t="n">
        <v>6</v>
      </c>
      <c r="C17" s="8" t="n">
        <v>2.88</v>
      </c>
      <c r="D17" s="9" t="n">
        <f aca="false">ROUND(C17*ASM!$B$8*ASM!$B$13*(1+ASM!$B$3)+ASM!$B$4+ASM!$B$5+ASM!$B$6,2)</f>
        <v>363.91</v>
      </c>
      <c r="E17" s="7" t="n">
        <f aca="false">ROUND((C17*ASM!$B$8*ASM!$B$13*(1+ASM!$B$3)+ASM!$B$4+ASM!$B$5+ASM!$B$6)*IF(A17&lt;=7,ASM!$B$7,ASM!$B$17),0)</f>
        <v>564</v>
      </c>
      <c r="F17" s="10" t="n">
        <f aca="false">CEILING(E17/0.75,5)</f>
        <v>755</v>
      </c>
      <c r="G17" s="9" t="n">
        <f aca="false">F17*0.75</f>
        <v>566.25</v>
      </c>
      <c r="H17" s="7" t="n">
        <f aca="false">ROUND((D17+0.45)/(1-ASM!$B$9),0)</f>
        <v>407</v>
      </c>
      <c r="I17" s="7" t="n">
        <f aca="false">ROUND((D17+0.45)/(1-ASM!$B$9-ASM!$B$10),0)</f>
        <v>489</v>
      </c>
      <c r="J17" s="7" t="str">
        <f aca="false">IF(G17&gt;=H17,"OK","FLOOR ALTI")</f>
        <v>OK</v>
      </c>
    </row>
    <row r="18" customFormat="false" ht="15" hidden="false" customHeight="false" outlineLevel="0" collapsed="false">
      <c r="A18" s="7" t="n">
        <v>3</v>
      </c>
      <c r="B18" s="7" t="n">
        <v>7</v>
      </c>
      <c r="C18" s="8" t="n">
        <v>3</v>
      </c>
      <c r="D18" s="9" t="n">
        <f aca="false">ROUND(C18*ASM!$B$8*ASM!$B$13*(1+ASM!$B$3)+ASM!$B$4+ASM!$B$5+ASM!$B$6,2)</f>
        <v>376.58</v>
      </c>
      <c r="E18" s="7" t="n">
        <f aca="false">ROUND((C18*ASM!$B$8*ASM!$B$13*(1+ASM!$B$3)+ASM!$B$4+ASM!$B$5+ASM!$B$6)*IF(A18&lt;=7,ASM!$B$7,ASM!$B$17),0)</f>
        <v>584</v>
      </c>
      <c r="F18" s="10" t="n">
        <f aca="false">CEILING(E18/0.75,5)</f>
        <v>780</v>
      </c>
      <c r="G18" s="9" t="n">
        <f aca="false">F18*0.75</f>
        <v>585</v>
      </c>
      <c r="H18" s="7" t="n">
        <f aca="false">ROUND((D18+0.45)/(1-ASM!$B$9),0)</f>
        <v>421</v>
      </c>
      <c r="I18" s="7" t="n">
        <f aca="false">ROUND((D18+0.45)/(1-ASM!$B$9-ASM!$B$10),0)</f>
        <v>506</v>
      </c>
      <c r="J18" s="7" t="str">
        <f aca="false">IF(G18&gt;=H18,"OK","FLOOR ALTI")</f>
        <v>OK</v>
      </c>
    </row>
    <row r="19" customFormat="false" ht="15" hidden="false" customHeight="false" outlineLevel="0" collapsed="false">
      <c r="A19" s="7" t="n">
        <v>3</v>
      </c>
      <c r="B19" s="7" t="n">
        <v>8</v>
      </c>
      <c r="C19" s="8" t="n">
        <v>3.12</v>
      </c>
      <c r="D19" s="9" t="n">
        <f aca="false">ROUND(C19*ASM!$B$8*ASM!$B$13*(1+ASM!$B$3)+ASM!$B$4+ASM!$B$5+ASM!$B$6,2)</f>
        <v>389.24</v>
      </c>
      <c r="E19" s="7" t="n">
        <f aca="false">ROUND((C19*ASM!$B$8*ASM!$B$13*(1+ASM!$B$3)+ASM!$B$4+ASM!$B$5+ASM!$B$6)*IF(A19&lt;=7,ASM!$B$7,ASM!$B$17),0)</f>
        <v>603</v>
      </c>
      <c r="F19" s="10" t="n">
        <f aca="false">CEILING(E19/0.75,5)</f>
        <v>805</v>
      </c>
      <c r="G19" s="9" t="n">
        <f aca="false">F19*0.75</f>
        <v>603.75</v>
      </c>
      <c r="H19" s="7" t="n">
        <f aca="false">ROUND((D19+0.45)/(1-ASM!$B$9),0)</f>
        <v>435</v>
      </c>
      <c r="I19" s="7" t="n">
        <f aca="false">ROUND((D19+0.45)/(1-ASM!$B$9-ASM!$B$10),0)</f>
        <v>523</v>
      </c>
      <c r="J19" s="7" t="str">
        <f aca="false">IF(G19&gt;=H19,"OK","FLOOR ALTI")</f>
        <v>OK</v>
      </c>
    </row>
    <row r="20" customFormat="false" ht="15" hidden="false" customHeight="false" outlineLevel="0" collapsed="false">
      <c r="A20" s="7" t="n">
        <v>3</v>
      </c>
      <c r="B20" s="7" t="n">
        <v>9</v>
      </c>
      <c r="C20" s="8" t="n">
        <v>3.24</v>
      </c>
      <c r="D20" s="9" t="n">
        <f aca="false">ROUND(C20*ASM!$B$8*ASM!$B$13*(1+ASM!$B$3)+ASM!$B$4+ASM!$B$5+ASM!$B$6,2)</f>
        <v>401.9</v>
      </c>
      <c r="E20" s="7" t="n">
        <f aca="false">ROUND((C20*ASM!$B$8*ASM!$B$13*(1+ASM!$B$3)+ASM!$B$4+ASM!$B$5+ASM!$B$6)*IF(A20&lt;=7,ASM!$B$7,ASM!$B$17),0)</f>
        <v>623</v>
      </c>
      <c r="F20" s="10" t="n">
        <f aca="false">CEILING(E20/0.75,5)</f>
        <v>835</v>
      </c>
      <c r="G20" s="9" t="n">
        <f aca="false">F20*0.75</f>
        <v>626.25</v>
      </c>
      <c r="H20" s="7" t="n">
        <f aca="false">ROUND((D20+0.45)/(1-ASM!$B$9),0)</f>
        <v>450</v>
      </c>
      <c r="I20" s="7" t="n">
        <f aca="false">ROUND((D20+0.45)/(1-ASM!$B$9-ASM!$B$10),0)</f>
        <v>540</v>
      </c>
      <c r="J20" s="7" t="str">
        <f aca="false">IF(G20&gt;=H20,"OK","FLOOR ALTI")</f>
        <v>OK</v>
      </c>
    </row>
    <row r="21" customFormat="false" ht="15" hidden="false" customHeight="false" outlineLevel="0" collapsed="false">
      <c r="A21" s="7" t="n">
        <v>3</v>
      </c>
      <c r="B21" s="7" t="n">
        <v>10</v>
      </c>
      <c r="C21" s="8" t="n">
        <v>3.36</v>
      </c>
      <c r="D21" s="9" t="n">
        <f aca="false">ROUND(C21*ASM!$B$8*ASM!$B$13*(1+ASM!$B$3)+ASM!$B$4+ASM!$B$5+ASM!$B$6,2)</f>
        <v>414.57</v>
      </c>
      <c r="E21" s="7" t="n">
        <f aca="false">ROUND((C21*ASM!$B$8*ASM!$B$13*(1+ASM!$B$3)+ASM!$B$4+ASM!$B$5+ASM!$B$6)*IF(A21&lt;=7,ASM!$B$7,ASM!$B$17),0)</f>
        <v>643</v>
      </c>
      <c r="F21" s="10" t="n">
        <f aca="false">CEILING(E21/0.75,5)</f>
        <v>860</v>
      </c>
      <c r="G21" s="9" t="n">
        <f aca="false">F21*0.75</f>
        <v>645</v>
      </c>
      <c r="H21" s="7" t="n">
        <f aca="false">ROUND((D21+0.45)/(1-ASM!$B$9),0)</f>
        <v>464</v>
      </c>
      <c r="I21" s="7" t="n">
        <f aca="false">ROUND((D21+0.45)/(1-ASM!$B$9-ASM!$B$10),0)</f>
        <v>557</v>
      </c>
      <c r="J21" s="7" t="str">
        <f aca="false">IF(G21&gt;=H21,"OK","FLOOR ALTI")</f>
        <v>OK</v>
      </c>
    </row>
    <row r="22" customFormat="false" ht="15" hidden="false" customHeight="false" outlineLevel="0" collapsed="false">
      <c r="A22" s="7" t="n">
        <v>3</v>
      </c>
      <c r="B22" s="7" t="n">
        <v>11</v>
      </c>
      <c r="C22" s="8" t="n">
        <v>3.48</v>
      </c>
      <c r="D22" s="9" t="n">
        <f aca="false">ROUND(C22*ASM!$B$8*ASM!$B$13*(1+ASM!$B$3)+ASM!$B$4+ASM!$B$5+ASM!$B$6,2)</f>
        <v>427.23</v>
      </c>
      <c r="E22" s="7" t="n">
        <f aca="false">ROUND((C22*ASM!$B$8*ASM!$B$13*(1+ASM!$B$3)+ASM!$B$4+ASM!$B$5+ASM!$B$6)*IF(A22&lt;=7,ASM!$B$7,ASM!$B$17),0)</f>
        <v>662</v>
      </c>
      <c r="F22" s="10" t="n">
        <f aca="false">CEILING(E22/0.75,5)</f>
        <v>885</v>
      </c>
      <c r="G22" s="9" t="n">
        <f aca="false">F22*0.75</f>
        <v>663.75</v>
      </c>
      <c r="H22" s="7" t="n">
        <f aca="false">ROUND((D22+0.45)/(1-ASM!$B$9),0)</f>
        <v>478</v>
      </c>
      <c r="I22" s="7" t="n">
        <f aca="false">ROUND((D22+0.45)/(1-ASM!$B$9-ASM!$B$10),0)</f>
        <v>574</v>
      </c>
      <c r="J22" s="7" t="str">
        <f aca="false">IF(G22&gt;=H22,"OK","FLOOR ALTI")</f>
        <v>OK</v>
      </c>
    </row>
    <row r="23" customFormat="false" ht="15" hidden="false" customHeight="false" outlineLevel="0" collapsed="false">
      <c r="A23" s="7" t="n">
        <v>3</v>
      </c>
      <c r="B23" s="7" t="n">
        <v>12</v>
      </c>
      <c r="C23" s="8" t="n">
        <v>3.6</v>
      </c>
      <c r="D23" s="9" t="n">
        <f aca="false">ROUND(C23*ASM!$B$8*ASM!$B$13*(1+ASM!$B$3)+ASM!$B$4+ASM!$B$5+ASM!$B$6,2)</f>
        <v>439.89</v>
      </c>
      <c r="E23" s="7" t="n">
        <f aca="false">ROUND((C23*ASM!$B$8*ASM!$B$13*(1+ASM!$B$3)+ASM!$B$4+ASM!$B$5+ASM!$B$6)*IF(A23&lt;=7,ASM!$B$7,ASM!$B$17),0)</f>
        <v>682</v>
      </c>
      <c r="F23" s="10" t="n">
        <f aca="false">CEILING(E23/0.75,5)</f>
        <v>910</v>
      </c>
      <c r="G23" s="9" t="n">
        <f aca="false">F23*0.75</f>
        <v>682.5</v>
      </c>
      <c r="H23" s="7" t="n">
        <f aca="false">ROUND((D23+0.45)/(1-ASM!$B$9),0)</f>
        <v>492</v>
      </c>
      <c r="I23" s="7" t="n">
        <f aca="false">ROUND((D23+0.45)/(1-ASM!$B$9-ASM!$B$10),0)</f>
        <v>591</v>
      </c>
      <c r="J23" s="7" t="str">
        <f aca="false">IF(G23&gt;=H23,"OK","FLOOR ALTI")</f>
        <v>OK</v>
      </c>
    </row>
    <row r="24" customFormat="false" ht="15" hidden="false" customHeight="false" outlineLevel="0" collapsed="false">
      <c r="A24" s="7" t="n">
        <v>3</v>
      </c>
      <c r="B24" s="7" t="n">
        <v>13</v>
      </c>
      <c r="C24" s="8" t="n">
        <v>3.72</v>
      </c>
      <c r="D24" s="9" t="n">
        <f aca="false">ROUND(C24*ASM!$B$8*ASM!$B$13*(1+ASM!$B$3)+ASM!$B$4+ASM!$B$5+ASM!$B$6,2)</f>
        <v>452.56</v>
      </c>
      <c r="E24" s="7" t="n">
        <f aca="false">ROUND((C24*ASM!$B$8*ASM!$B$13*(1+ASM!$B$3)+ASM!$B$4+ASM!$B$5+ASM!$B$6)*IF(A24&lt;=7,ASM!$B$7,ASM!$B$17),0)</f>
        <v>701</v>
      </c>
      <c r="F24" s="10" t="n">
        <f aca="false">CEILING(E24/0.75,5)</f>
        <v>935</v>
      </c>
      <c r="G24" s="9" t="n">
        <f aca="false">F24*0.75</f>
        <v>701.25</v>
      </c>
      <c r="H24" s="7" t="n">
        <f aca="false">ROUND((D24+0.45)/(1-ASM!$B$9),0)</f>
        <v>506</v>
      </c>
      <c r="I24" s="7" t="n">
        <f aca="false">ROUND((D24+0.45)/(1-ASM!$B$9-ASM!$B$10),0)</f>
        <v>608</v>
      </c>
      <c r="J24" s="7" t="str">
        <f aca="false">IF(G24&gt;=H24,"OK","FLOOR ALTI")</f>
        <v>OK</v>
      </c>
    </row>
    <row r="25" customFormat="false" ht="15" hidden="false" customHeight="false" outlineLevel="0" collapsed="false">
      <c r="A25" s="7" t="n">
        <v>3</v>
      </c>
      <c r="B25" s="7" t="n">
        <v>14</v>
      </c>
      <c r="C25" s="8" t="n">
        <v>3.85</v>
      </c>
      <c r="D25" s="9" t="n">
        <f aca="false">ROUND(C25*ASM!$B$8*ASM!$B$13*(1+ASM!$B$3)+ASM!$B$4+ASM!$B$5+ASM!$B$6,2)</f>
        <v>466.27</v>
      </c>
      <c r="E25" s="7" t="n">
        <f aca="false">ROUND((C25*ASM!$B$8*ASM!$B$13*(1+ASM!$B$3)+ASM!$B$4+ASM!$B$5+ASM!$B$6)*IF(A25&lt;=7,ASM!$B$7,ASM!$B$17),0)</f>
        <v>723</v>
      </c>
      <c r="F25" s="10" t="n">
        <f aca="false">CEILING(E25/0.75,5)</f>
        <v>965</v>
      </c>
      <c r="G25" s="9" t="n">
        <f aca="false">F25*0.75</f>
        <v>723.75</v>
      </c>
      <c r="H25" s="7" t="n">
        <f aca="false">ROUND((D25+0.45)/(1-ASM!$B$9),0)</f>
        <v>521</v>
      </c>
      <c r="I25" s="7" t="n">
        <f aca="false">ROUND((D25+0.45)/(1-ASM!$B$9-ASM!$B$10),0)</f>
        <v>626</v>
      </c>
      <c r="J25" s="7" t="str">
        <f aca="false">IF(G25&gt;=H25,"OK","FLOOR ALTI")</f>
        <v>OK</v>
      </c>
    </row>
    <row r="26" customFormat="false" ht="15" hidden="false" customHeight="false" outlineLevel="0" collapsed="false">
      <c r="A26" s="7" t="n">
        <v>3</v>
      </c>
      <c r="B26" s="7" t="n">
        <v>15</v>
      </c>
      <c r="C26" s="8" t="n">
        <v>4.01</v>
      </c>
      <c r="D26" s="9" t="n">
        <f aca="false">ROUND(C26*ASM!$B$8*ASM!$B$13*(1+ASM!$B$3)+ASM!$B$4+ASM!$B$5+ASM!$B$6,2)</f>
        <v>483.16</v>
      </c>
      <c r="E26" s="7" t="n">
        <f aca="false">ROUND((C26*ASM!$B$8*ASM!$B$13*(1+ASM!$B$3)+ASM!$B$4+ASM!$B$5+ASM!$B$6)*IF(A26&lt;=7,ASM!$B$7,ASM!$B$17),0)</f>
        <v>749</v>
      </c>
      <c r="F26" s="10" t="n">
        <f aca="false">CEILING(E26/0.75,5)</f>
        <v>1000</v>
      </c>
      <c r="G26" s="9" t="n">
        <f aca="false">F26*0.75</f>
        <v>750</v>
      </c>
      <c r="H26" s="7" t="n">
        <f aca="false">ROUND((D26+0.45)/(1-ASM!$B$9),0)</f>
        <v>540</v>
      </c>
      <c r="I26" s="7" t="n">
        <f aca="false">ROUND((D26+0.45)/(1-ASM!$B$9-ASM!$B$10),0)</f>
        <v>649</v>
      </c>
      <c r="J26" s="7" t="str">
        <f aca="false">IF(G26&gt;=H26,"OK","FLOOR ALTI")</f>
        <v>OK</v>
      </c>
    </row>
    <row r="27" customFormat="false" ht="15" hidden="false" customHeight="false" outlineLevel="0" collapsed="false">
      <c r="A27" s="7" t="n">
        <v>3</v>
      </c>
      <c r="B27" s="7" t="n">
        <v>16</v>
      </c>
      <c r="C27" s="8" t="n">
        <v>4.08</v>
      </c>
      <c r="D27" s="9" t="n">
        <f aca="false">ROUND(C27*ASM!$B$8*ASM!$B$13*(1+ASM!$B$3)+ASM!$B$4+ASM!$B$5+ASM!$B$6,2)</f>
        <v>490.55</v>
      </c>
      <c r="E27" s="7" t="n">
        <f aca="false">ROUND((C27*ASM!$B$8*ASM!$B$13*(1+ASM!$B$3)+ASM!$B$4+ASM!$B$5+ASM!$B$6)*IF(A27&lt;=7,ASM!$B$7,ASM!$B$17),0)</f>
        <v>760</v>
      </c>
      <c r="F27" s="10" t="n">
        <f aca="false">CEILING(E27/0.75,5)</f>
        <v>1015</v>
      </c>
      <c r="G27" s="9" t="n">
        <f aca="false">F27*0.75</f>
        <v>761.25</v>
      </c>
      <c r="H27" s="7" t="n">
        <f aca="false">ROUND((D27+0.45)/(1-ASM!$B$9),0)</f>
        <v>549</v>
      </c>
      <c r="I27" s="7" t="n">
        <f aca="false">ROUND((D27+0.45)/(1-ASM!$B$9-ASM!$B$10),0)</f>
        <v>659</v>
      </c>
      <c r="J27" s="7" t="str">
        <f aca="false">IF(G27&gt;=H27,"OK","FLOOR ALTI")</f>
        <v>OK</v>
      </c>
    </row>
    <row r="28" customFormat="false" ht="15" hidden="false" customHeight="false" outlineLevel="0" collapsed="false">
      <c r="A28" s="7" t="n">
        <v>4</v>
      </c>
      <c r="B28" s="7" t="n">
        <v>4</v>
      </c>
      <c r="C28" s="8" t="n">
        <v>3.6</v>
      </c>
      <c r="D28" s="9" t="n">
        <f aca="false">ROUND(C28*ASM!$B$8*ASM!$B$13*(1+ASM!$B$3)+ASM!$B$4+ASM!$B$5+ASM!$B$6,2)</f>
        <v>439.89</v>
      </c>
      <c r="E28" s="7" t="n">
        <f aca="false">ROUND((C28*ASM!$B$8*ASM!$B$13*(1+ASM!$B$3)+ASM!$B$4+ASM!$B$5+ASM!$B$6)*IF(A28&lt;=7,ASM!$B$7,ASM!$B$17),0)</f>
        <v>682</v>
      </c>
      <c r="F28" s="10" t="n">
        <f aca="false">CEILING(E28/0.75,5)</f>
        <v>910</v>
      </c>
      <c r="G28" s="9" t="n">
        <f aca="false">F28*0.75</f>
        <v>682.5</v>
      </c>
      <c r="H28" s="7" t="n">
        <f aca="false">ROUND((D28+0.45)/(1-ASM!$B$9),0)</f>
        <v>492</v>
      </c>
      <c r="I28" s="7" t="n">
        <f aca="false">ROUND((D28+0.45)/(1-ASM!$B$9-ASM!$B$10),0)</f>
        <v>591</v>
      </c>
      <c r="J28" s="7" t="str">
        <f aca="false">IF(G28&gt;=H28,"OK","FLOOR ALTI")</f>
        <v>OK</v>
      </c>
    </row>
    <row r="29" customFormat="false" ht="15" hidden="false" customHeight="false" outlineLevel="0" collapsed="false">
      <c r="A29" s="7" t="n">
        <v>4</v>
      </c>
      <c r="B29" s="7" t="n">
        <v>5</v>
      </c>
      <c r="C29" s="8" t="n">
        <v>3.74</v>
      </c>
      <c r="D29" s="9" t="n">
        <f aca="false">ROUND(C29*ASM!$B$8*ASM!$B$13*(1+ASM!$B$3)+ASM!$B$4+ASM!$B$5+ASM!$B$6,2)</f>
        <v>454.67</v>
      </c>
      <c r="E29" s="7" t="n">
        <f aca="false">ROUND((C29*ASM!$B$8*ASM!$B$13*(1+ASM!$B$3)+ASM!$B$4+ASM!$B$5+ASM!$B$6)*IF(A29&lt;=7,ASM!$B$7,ASM!$B$17),0)</f>
        <v>705</v>
      </c>
      <c r="F29" s="10" t="n">
        <f aca="false">CEILING(E29/0.75,5)</f>
        <v>940</v>
      </c>
      <c r="G29" s="9" t="n">
        <f aca="false">F29*0.75</f>
        <v>705</v>
      </c>
      <c r="H29" s="7" t="n">
        <f aca="false">ROUND((D29+0.45)/(1-ASM!$B$9),0)</f>
        <v>509</v>
      </c>
      <c r="I29" s="7" t="n">
        <f aca="false">ROUND((D29+0.45)/(1-ASM!$B$9-ASM!$B$10),0)</f>
        <v>611</v>
      </c>
      <c r="J29" s="7" t="str">
        <f aca="false">IF(G29&gt;=H29,"OK","FLOOR ALTI")</f>
        <v>OK</v>
      </c>
    </row>
    <row r="30" customFormat="false" ht="15" hidden="false" customHeight="false" outlineLevel="0" collapsed="false">
      <c r="A30" s="7" t="n">
        <v>4</v>
      </c>
      <c r="B30" s="7" t="n">
        <v>6</v>
      </c>
      <c r="C30" s="8" t="n">
        <v>3.89</v>
      </c>
      <c r="D30" s="9" t="n">
        <f aca="false">ROUND(C30*ASM!$B$8*ASM!$B$13*(1+ASM!$B$3)+ASM!$B$4+ASM!$B$5+ASM!$B$6,2)</f>
        <v>470.5</v>
      </c>
      <c r="E30" s="7" t="n">
        <f aca="false">ROUND((C30*ASM!$B$8*ASM!$B$13*(1+ASM!$B$3)+ASM!$B$4+ASM!$B$5+ASM!$B$6)*IF(A30&lt;=7,ASM!$B$7,ASM!$B$17),0)</f>
        <v>729</v>
      </c>
      <c r="F30" s="10" t="n">
        <f aca="false">CEILING(E30/0.75,5)</f>
        <v>975</v>
      </c>
      <c r="G30" s="9" t="n">
        <f aca="false">F30*0.75</f>
        <v>731.25</v>
      </c>
      <c r="H30" s="7" t="n">
        <f aca="false">ROUND((D30+0.45)/(1-ASM!$B$9),0)</f>
        <v>526</v>
      </c>
      <c r="I30" s="7" t="n">
        <f aca="false">ROUND((D30+0.45)/(1-ASM!$B$9-ASM!$B$10),0)</f>
        <v>632</v>
      </c>
      <c r="J30" s="7" t="str">
        <f aca="false">IF(G30&gt;=H30,"OK","FLOOR ALTI")</f>
        <v>OK</v>
      </c>
    </row>
    <row r="31" customFormat="false" ht="15" hidden="false" customHeight="false" outlineLevel="0" collapsed="false">
      <c r="A31" s="7" t="n">
        <v>4</v>
      </c>
      <c r="B31" s="7" t="n">
        <v>7</v>
      </c>
      <c r="C31" s="8" t="n">
        <v>4.04</v>
      </c>
      <c r="D31" s="9" t="n">
        <f aca="false">ROUND(C31*ASM!$B$8*ASM!$B$13*(1+ASM!$B$3)+ASM!$B$4+ASM!$B$5+ASM!$B$6,2)</f>
        <v>486.32</v>
      </c>
      <c r="E31" s="7" t="n">
        <f aca="false">ROUND((C31*ASM!$B$8*ASM!$B$13*(1+ASM!$B$3)+ASM!$B$4+ASM!$B$5+ASM!$B$6)*IF(A31&lt;=7,ASM!$B$7,ASM!$B$17),0)</f>
        <v>754</v>
      </c>
      <c r="F31" s="10" t="n">
        <f aca="false">CEILING(E31/0.75,5)</f>
        <v>1010</v>
      </c>
      <c r="G31" s="9" t="n">
        <f aca="false">F31*0.75</f>
        <v>757.5</v>
      </c>
      <c r="H31" s="7" t="n">
        <f aca="false">ROUND((D31+0.45)/(1-ASM!$B$9),0)</f>
        <v>544</v>
      </c>
      <c r="I31" s="7" t="n">
        <f aca="false">ROUND((D31+0.45)/(1-ASM!$B$9-ASM!$B$10),0)</f>
        <v>653</v>
      </c>
      <c r="J31" s="7" t="str">
        <f aca="false">IF(G31&gt;=H31,"OK","FLOOR ALTI")</f>
        <v>OK</v>
      </c>
    </row>
    <row r="32" customFormat="false" ht="15" hidden="false" customHeight="false" outlineLevel="0" collapsed="false">
      <c r="A32" s="7" t="n">
        <v>4</v>
      </c>
      <c r="B32" s="7" t="n">
        <v>8</v>
      </c>
      <c r="C32" s="8" t="n">
        <v>4.19</v>
      </c>
      <c r="D32" s="9" t="n">
        <f aca="false">ROUND(C32*ASM!$B$8*ASM!$B$13*(1+ASM!$B$3)+ASM!$B$4+ASM!$B$5+ASM!$B$6,2)</f>
        <v>502.15</v>
      </c>
      <c r="E32" s="7" t="n">
        <f aca="false">ROUND((C32*ASM!$B$8*ASM!$B$13*(1+ASM!$B$3)+ASM!$B$4+ASM!$B$5+ASM!$B$6)*IF(A32&lt;=7,ASM!$B$7,ASM!$B$17),0)</f>
        <v>778</v>
      </c>
      <c r="F32" s="10" t="n">
        <f aca="false">CEILING(E32/0.75,5)</f>
        <v>1040</v>
      </c>
      <c r="G32" s="9" t="n">
        <f aca="false">F32*0.75</f>
        <v>780</v>
      </c>
      <c r="H32" s="7" t="n">
        <f aca="false">ROUND((D32+0.45)/(1-ASM!$B$9),0)</f>
        <v>562</v>
      </c>
      <c r="I32" s="7" t="n">
        <f aca="false">ROUND((D32+0.45)/(1-ASM!$B$9-ASM!$B$10),0)</f>
        <v>675</v>
      </c>
      <c r="J32" s="7" t="str">
        <f aca="false">IF(G32&gt;=H32,"OK","FLOOR ALTI")</f>
        <v>OK</v>
      </c>
    </row>
    <row r="33" customFormat="false" ht="15" hidden="false" customHeight="false" outlineLevel="0" collapsed="false">
      <c r="A33" s="7" t="n">
        <v>4</v>
      </c>
      <c r="B33" s="7" t="n">
        <v>9</v>
      </c>
      <c r="C33" s="8" t="n">
        <v>4.33</v>
      </c>
      <c r="D33" s="9" t="n">
        <f aca="false">ROUND(C33*ASM!$B$8*ASM!$B$13*(1+ASM!$B$3)+ASM!$B$4+ASM!$B$5+ASM!$B$6,2)</f>
        <v>516.93</v>
      </c>
      <c r="E33" s="7" t="n">
        <f aca="false">ROUND((C33*ASM!$B$8*ASM!$B$13*(1+ASM!$B$3)+ASM!$B$4+ASM!$B$5+ASM!$B$6)*IF(A33&lt;=7,ASM!$B$7,ASM!$B$17),0)</f>
        <v>801</v>
      </c>
      <c r="F33" s="10" t="n">
        <f aca="false">CEILING(E33/0.75,5)</f>
        <v>1070</v>
      </c>
      <c r="G33" s="9" t="n">
        <f aca="false">F33*0.75</f>
        <v>802.5</v>
      </c>
      <c r="H33" s="7" t="n">
        <f aca="false">ROUND((D33+0.45)/(1-ASM!$B$9),0)</f>
        <v>578</v>
      </c>
      <c r="I33" s="7" t="n">
        <f aca="false">ROUND((D33+0.45)/(1-ASM!$B$9-ASM!$B$10),0)</f>
        <v>694</v>
      </c>
      <c r="J33" s="7" t="str">
        <f aca="false">IF(G33&gt;=H33,"OK","FLOOR ALTI")</f>
        <v>OK</v>
      </c>
    </row>
    <row r="34" customFormat="false" ht="15" hidden="false" customHeight="false" outlineLevel="0" collapsed="false">
      <c r="A34" s="7" t="n">
        <v>4</v>
      </c>
      <c r="B34" s="7" t="n">
        <v>10</v>
      </c>
      <c r="C34" s="8" t="n">
        <v>4.48</v>
      </c>
      <c r="D34" s="9" t="n">
        <f aca="false">ROUND(C34*ASM!$B$8*ASM!$B$13*(1+ASM!$B$3)+ASM!$B$4+ASM!$B$5+ASM!$B$6,2)</f>
        <v>532.76</v>
      </c>
      <c r="E34" s="7" t="n">
        <f aca="false">ROUND((C34*ASM!$B$8*ASM!$B$13*(1+ASM!$B$3)+ASM!$B$4+ASM!$B$5+ASM!$B$6)*IF(A34&lt;=7,ASM!$B$7,ASM!$B$17),0)</f>
        <v>826</v>
      </c>
      <c r="F34" s="10" t="n">
        <f aca="false">CEILING(E34/0.75,5)</f>
        <v>1105</v>
      </c>
      <c r="G34" s="9" t="n">
        <f aca="false">F34*0.75</f>
        <v>828.75</v>
      </c>
      <c r="H34" s="7" t="n">
        <f aca="false">ROUND((D34+0.45)/(1-ASM!$B$9),0)</f>
        <v>596</v>
      </c>
      <c r="I34" s="7" t="n">
        <f aca="false">ROUND((D34+0.45)/(1-ASM!$B$9-ASM!$B$10),0)</f>
        <v>716</v>
      </c>
      <c r="J34" s="7" t="str">
        <f aca="false">IF(G34&gt;=H34,"OK","FLOOR ALTI")</f>
        <v>OK</v>
      </c>
    </row>
    <row r="35" customFormat="false" ht="15" hidden="false" customHeight="false" outlineLevel="0" collapsed="false">
      <c r="A35" s="7" t="n">
        <v>4</v>
      </c>
      <c r="B35" s="7" t="n">
        <v>11</v>
      </c>
      <c r="C35" s="8" t="n">
        <v>4.63</v>
      </c>
      <c r="D35" s="9" t="n">
        <f aca="false">ROUND(C35*ASM!$B$8*ASM!$B$13*(1+ASM!$B$3)+ASM!$B$4+ASM!$B$5+ASM!$B$6,2)</f>
        <v>548.58</v>
      </c>
      <c r="E35" s="7" t="n">
        <f aca="false">ROUND((C35*ASM!$B$8*ASM!$B$13*(1+ASM!$B$3)+ASM!$B$4+ASM!$B$5+ASM!$B$6)*IF(A35&lt;=7,ASM!$B$7,ASM!$B$17),0)</f>
        <v>850</v>
      </c>
      <c r="F35" s="10" t="n">
        <f aca="false">CEILING(E35/0.75,5)</f>
        <v>1135</v>
      </c>
      <c r="G35" s="9" t="n">
        <f aca="false">F35*0.75</f>
        <v>851.25</v>
      </c>
      <c r="H35" s="7" t="n">
        <f aca="false">ROUND((D35+0.45)/(1-ASM!$B$9),0)</f>
        <v>613</v>
      </c>
      <c r="I35" s="7" t="n">
        <f aca="false">ROUND((D35+0.45)/(1-ASM!$B$9-ASM!$B$10),0)</f>
        <v>737</v>
      </c>
      <c r="J35" s="7" t="str">
        <f aca="false">IF(G35&gt;=H35,"OK","FLOOR ALTI")</f>
        <v>OK</v>
      </c>
    </row>
    <row r="36" customFormat="false" ht="15" hidden="false" customHeight="false" outlineLevel="0" collapsed="false">
      <c r="A36" s="7" t="n">
        <v>4</v>
      </c>
      <c r="B36" s="7" t="n">
        <v>12</v>
      </c>
      <c r="C36" s="8" t="n">
        <v>4.78</v>
      </c>
      <c r="D36" s="9" t="n">
        <f aca="false">ROUND(C36*ASM!$B$8*ASM!$B$13*(1+ASM!$B$3)+ASM!$B$4+ASM!$B$5+ASM!$B$6,2)</f>
        <v>564.41</v>
      </c>
      <c r="E36" s="7" t="n">
        <f aca="false">ROUND((C36*ASM!$B$8*ASM!$B$13*(1+ASM!$B$3)+ASM!$B$4+ASM!$B$5+ASM!$B$6)*IF(A36&lt;=7,ASM!$B$7,ASM!$B$17),0)</f>
        <v>875</v>
      </c>
      <c r="F36" s="10" t="n">
        <f aca="false">CEILING(E36/0.75,5)</f>
        <v>1170</v>
      </c>
      <c r="G36" s="9" t="n">
        <f aca="false">F36*0.75</f>
        <v>877.5</v>
      </c>
      <c r="H36" s="7" t="n">
        <f aca="false">ROUND((D36+0.45)/(1-ASM!$B$9),0)</f>
        <v>631</v>
      </c>
      <c r="I36" s="7" t="n">
        <f aca="false">ROUND((D36+0.45)/(1-ASM!$B$9-ASM!$B$10),0)</f>
        <v>758</v>
      </c>
      <c r="J36" s="7" t="str">
        <f aca="false">IF(G36&gt;=H36,"OK","FLOOR ALTI")</f>
        <v>OK</v>
      </c>
    </row>
    <row r="37" customFormat="false" ht="15" hidden="false" customHeight="false" outlineLevel="0" collapsed="false">
      <c r="A37" s="7" t="n">
        <v>4</v>
      </c>
      <c r="B37" s="7" t="n">
        <v>13</v>
      </c>
      <c r="C37" s="8" t="n">
        <v>4.92</v>
      </c>
      <c r="D37" s="9" t="n">
        <f aca="false">ROUND(C37*ASM!$B$8*ASM!$B$13*(1+ASM!$B$3)+ASM!$B$4+ASM!$B$5+ASM!$B$6,2)</f>
        <v>579.19</v>
      </c>
      <c r="E37" s="7" t="n">
        <f aca="false">ROUND((C37*ASM!$B$8*ASM!$B$13*(1+ASM!$B$3)+ASM!$B$4+ASM!$B$5+ASM!$B$6)*IF(A37&lt;=7,ASM!$B$7,ASM!$B$17),0)</f>
        <v>898</v>
      </c>
      <c r="F37" s="10" t="n">
        <f aca="false">CEILING(E37/0.75,5)</f>
        <v>1200</v>
      </c>
      <c r="G37" s="9" t="n">
        <f aca="false">F37*0.75</f>
        <v>900</v>
      </c>
      <c r="H37" s="7" t="n">
        <f aca="false">ROUND((D37+0.45)/(1-ASM!$B$9),0)</f>
        <v>648</v>
      </c>
      <c r="I37" s="7" t="n">
        <f aca="false">ROUND((D37+0.45)/(1-ASM!$B$9-ASM!$B$10),0)</f>
        <v>778</v>
      </c>
      <c r="J37" s="7" t="str">
        <f aca="false">IF(G37&gt;=H37,"OK","FLOOR ALTI")</f>
        <v>OK</v>
      </c>
    </row>
    <row r="38" customFormat="false" ht="15" hidden="false" customHeight="false" outlineLevel="0" collapsed="false">
      <c r="A38" s="7" t="n">
        <v>4</v>
      </c>
      <c r="B38" s="7" t="n">
        <v>14</v>
      </c>
      <c r="C38" s="8" t="n">
        <v>5.04</v>
      </c>
      <c r="D38" s="9" t="n">
        <f aca="false">ROUND(C38*ASM!$B$8*ASM!$B$13*(1+ASM!$B$3)+ASM!$B$4+ASM!$B$5+ASM!$B$6,2)</f>
        <v>591.85</v>
      </c>
      <c r="E38" s="7" t="n">
        <f aca="false">ROUND((C38*ASM!$B$8*ASM!$B$13*(1+ASM!$B$3)+ASM!$B$4+ASM!$B$5+ASM!$B$6)*IF(A38&lt;=7,ASM!$B$7,ASM!$B$17),0)</f>
        <v>917</v>
      </c>
      <c r="F38" s="10" t="n">
        <f aca="false">CEILING(E38/0.75,5)</f>
        <v>1225</v>
      </c>
      <c r="G38" s="9" t="n">
        <f aca="false">F38*0.75</f>
        <v>918.75</v>
      </c>
      <c r="H38" s="7" t="n">
        <f aca="false">ROUND((D38+0.45)/(1-ASM!$B$9),0)</f>
        <v>662</v>
      </c>
      <c r="I38" s="7" t="n">
        <f aca="false">ROUND((D38+0.45)/(1-ASM!$B$9-ASM!$B$10),0)</f>
        <v>795</v>
      </c>
      <c r="J38" s="7" t="str">
        <f aca="false">IF(G38&gt;=H38,"OK","FLOOR ALTI")</f>
        <v>OK</v>
      </c>
    </row>
    <row r="39" customFormat="false" ht="15" hidden="false" customHeight="false" outlineLevel="0" collapsed="false">
      <c r="A39" s="7" t="n">
        <v>4</v>
      </c>
      <c r="B39" s="7" t="n">
        <v>15</v>
      </c>
      <c r="C39" s="8" t="n">
        <v>5.17</v>
      </c>
      <c r="D39" s="9" t="n">
        <f aca="false">ROUND(C39*ASM!$B$8*ASM!$B$13*(1+ASM!$B$3)+ASM!$B$4+ASM!$B$5+ASM!$B$6,2)</f>
        <v>605.57</v>
      </c>
      <c r="E39" s="7" t="n">
        <f aca="false">ROUND((C39*ASM!$B$8*ASM!$B$13*(1+ASM!$B$3)+ASM!$B$4+ASM!$B$5+ASM!$B$6)*IF(A39&lt;=7,ASM!$B$7,ASM!$B$17),0)</f>
        <v>939</v>
      </c>
      <c r="F39" s="10" t="n">
        <f aca="false">CEILING(E39/0.75,5)</f>
        <v>1255</v>
      </c>
      <c r="G39" s="9" t="n">
        <f aca="false">F39*0.75</f>
        <v>941.25</v>
      </c>
      <c r="H39" s="7" t="n">
        <f aca="false">ROUND((D39+0.45)/(1-ASM!$B$9),0)</f>
        <v>677</v>
      </c>
      <c r="I39" s="7" t="n">
        <f aca="false">ROUND((D39+0.45)/(1-ASM!$B$9-ASM!$B$10),0)</f>
        <v>813</v>
      </c>
      <c r="J39" s="7" t="str">
        <f aca="false">IF(G39&gt;=H39,"OK","FLOOR ALTI")</f>
        <v>OK</v>
      </c>
    </row>
    <row r="40" customFormat="false" ht="15" hidden="false" customHeight="false" outlineLevel="0" collapsed="false">
      <c r="A40" s="7" t="n">
        <v>4</v>
      </c>
      <c r="B40" s="7" t="n">
        <v>16</v>
      </c>
      <c r="C40" s="8" t="n">
        <v>5.38</v>
      </c>
      <c r="D40" s="9" t="n">
        <f aca="false">ROUND(C40*ASM!$B$8*ASM!$B$13*(1+ASM!$B$3)+ASM!$B$4+ASM!$B$5+ASM!$B$6,2)</f>
        <v>627.73</v>
      </c>
      <c r="E40" s="7" t="n">
        <f aca="false">ROUND((C40*ASM!$B$8*ASM!$B$13*(1+ASM!$B$3)+ASM!$B$4+ASM!$B$5+ASM!$B$6)*IF(A40&lt;=7,ASM!$B$7,ASM!$B$17),0)</f>
        <v>973</v>
      </c>
      <c r="F40" s="10" t="n">
        <f aca="false">CEILING(E40/0.75,5)</f>
        <v>1300</v>
      </c>
      <c r="G40" s="9" t="n">
        <f aca="false">F40*0.75</f>
        <v>975</v>
      </c>
      <c r="H40" s="7" t="n">
        <f aca="false">ROUND((D40+0.45)/(1-ASM!$B$9),0)</f>
        <v>702</v>
      </c>
      <c r="I40" s="7" t="n">
        <f aca="false">ROUND((D40+0.45)/(1-ASM!$B$9-ASM!$B$10),0)</f>
        <v>843</v>
      </c>
      <c r="J40" s="7" t="str">
        <f aca="false">IF(G40&gt;=H40,"OK","FLOOR ALTI")</f>
        <v>OK</v>
      </c>
    </row>
    <row r="41" customFormat="false" ht="15" hidden="false" customHeight="false" outlineLevel="0" collapsed="false">
      <c r="A41" s="7" t="n">
        <v>5</v>
      </c>
      <c r="B41" s="7" t="n">
        <v>4</v>
      </c>
      <c r="C41" s="8" t="n">
        <v>4.56</v>
      </c>
      <c r="D41" s="9" t="n">
        <f aca="false">ROUND(C41*ASM!$B$8*ASM!$B$13*(1+ASM!$B$3)+ASM!$B$4+ASM!$B$5+ASM!$B$6,2)</f>
        <v>541.2</v>
      </c>
      <c r="E41" s="7" t="n">
        <f aca="false">ROUND((C41*ASM!$B$8*ASM!$B$13*(1+ASM!$B$3)+ASM!$B$4+ASM!$B$5+ASM!$B$6)*IF(A41&lt;=7,ASM!$B$7,ASM!$B$17),0)</f>
        <v>839</v>
      </c>
      <c r="F41" s="10" t="n">
        <f aca="false">CEILING(E41/0.75,5)</f>
        <v>1120</v>
      </c>
      <c r="G41" s="9" t="n">
        <f aca="false">F41*0.75</f>
        <v>840</v>
      </c>
      <c r="H41" s="7" t="n">
        <f aca="false">ROUND((D41+0.45)/(1-ASM!$B$9),0)</f>
        <v>605</v>
      </c>
      <c r="I41" s="7" t="n">
        <f aca="false">ROUND((D41+0.45)/(1-ASM!$B$9-ASM!$B$10),0)</f>
        <v>727</v>
      </c>
      <c r="J41" s="7" t="str">
        <f aca="false">IF(G41&gt;=H41,"OK","FLOOR ALTI")</f>
        <v>OK</v>
      </c>
    </row>
    <row r="42" customFormat="false" ht="15" hidden="false" customHeight="false" outlineLevel="0" collapsed="false">
      <c r="A42" s="7" t="n">
        <v>5</v>
      </c>
      <c r="B42" s="7" t="n">
        <v>5</v>
      </c>
      <c r="C42" s="8" t="n">
        <v>4.75</v>
      </c>
      <c r="D42" s="9" t="n">
        <f aca="false">ROUND(C42*ASM!$B$8*ASM!$B$13*(1+ASM!$B$3)+ASM!$B$4+ASM!$B$5+ASM!$B$6,2)</f>
        <v>561.25</v>
      </c>
      <c r="E42" s="7" t="n">
        <f aca="false">ROUND((C42*ASM!$B$8*ASM!$B$13*(1+ASM!$B$3)+ASM!$B$4+ASM!$B$5+ASM!$B$6)*IF(A42&lt;=7,ASM!$B$7,ASM!$B$17),0)</f>
        <v>870</v>
      </c>
      <c r="F42" s="10" t="n">
        <f aca="false">CEILING(E42/0.75,5)</f>
        <v>1160</v>
      </c>
      <c r="G42" s="9" t="n">
        <f aca="false">F42*0.75</f>
        <v>870</v>
      </c>
      <c r="H42" s="7" t="n">
        <f aca="false">ROUND((D42+0.45)/(1-ASM!$B$9),0)</f>
        <v>628</v>
      </c>
      <c r="I42" s="7" t="n">
        <f aca="false">ROUND((D42+0.45)/(1-ASM!$B$9-ASM!$B$10),0)</f>
        <v>754</v>
      </c>
      <c r="J42" s="7" t="str">
        <f aca="false">IF(G42&gt;=H42,"OK","FLOOR ALTI")</f>
        <v>OK</v>
      </c>
    </row>
    <row r="43" customFormat="false" ht="15" hidden="false" customHeight="false" outlineLevel="0" collapsed="false">
      <c r="A43" s="7" t="n">
        <v>5</v>
      </c>
      <c r="B43" s="7" t="n">
        <v>6</v>
      </c>
      <c r="C43" s="8" t="n">
        <v>4.93</v>
      </c>
      <c r="D43" s="9" t="n">
        <f aca="false">ROUND(C43*ASM!$B$8*ASM!$B$13*(1+ASM!$B$3)+ASM!$B$4+ASM!$B$5+ASM!$B$6,2)</f>
        <v>580.24</v>
      </c>
      <c r="E43" s="7" t="n">
        <f aca="false">ROUND((C43*ASM!$B$8*ASM!$B$13*(1+ASM!$B$3)+ASM!$B$4+ASM!$B$5+ASM!$B$6)*IF(A43&lt;=7,ASM!$B$7,ASM!$B$17),0)</f>
        <v>899</v>
      </c>
      <c r="F43" s="10" t="n">
        <f aca="false">CEILING(E43/0.75,5)</f>
        <v>1200</v>
      </c>
      <c r="G43" s="9" t="n">
        <f aca="false">F43*0.75</f>
        <v>900</v>
      </c>
      <c r="H43" s="7" t="n">
        <f aca="false">ROUND((D43+0.45)/(1-ASM!$B$9),0)</f>
        <v>649</v>
      </c>
      <c r="I43" s="7" t="n">
        <f aca="false">ROUND((D43+0.45)/(1-ASM!$B$9-ASM!$B$10),0)</f>
        <v>779</v>
      </c>
      <c r="J43" s="7" t="str">
        <f aca="false">IF(G43&gt;=H43,"OK","FLOOR ALTI")</f>
        <v>OK</v>
      </c>
    </row>
    <row r="44" customFormat="false" ht="15" hidden="false" customHeight="false" outlineLevel="0" collapsed="false">
      <c r="A44" s="7" t="n">
        <v>5</v>
      </c>
      <c r="B44" s="7" t="n">
        <v>7</v>
      </c>
      <c r="C44" s="8" t="n">
        <v>5.12</v>
      </c>
      <c r="D44" s="9" t="n">
        <f aca="false">ROUND(C44*ASM!$B$8*ASM!$B$13*(1+ASM!$B$3)+ASM!$B$4+ASM!$B$5+ASM!$B$6,2)</f>
        <v>600.29</v>
      </c>
      <c r="E44" s="7" t="n">
        <f aca="false">ROUND((C44*ASM!$B$8*ASM!$B$13*(1+ASM!$B$3)+ASM!$B$4+ASM!$B$5+ASM!$B$6)*IF(A44&lt;=7,ASM!$B$7,ASM!$B$17),0)</f>
        <v>930</v>
      </c>
      <c r="F44" s="10" t="n">
        <f aca="false">CEILING(E44/0.75,5)</f>
        <v>1240</v>
      </c>
      <c r="G44" s="9" t="n">
        <f aca="false">F44*0.75</f>
        <v>930</v>
      </c>
      <c r="H44" s="7" t="n">
        <f aca="false">ROUND((D44+0.45)/(1-ASM!$B$9),0)</f>
        <v>671</v>
      </c>
      <c r="I44" s="7" t="n">
        <f aca="false">ROUND((D44+0.45)/(1-ASM!$B$9-ASM!$B$10),0)</f>
        <v>806</v>
      </c>
      <c r="J44" s="7" t="str">
        <f aca="false">IF(G44&gt;=H44,"OK","FLOOR ALTI")</f>
        <v>OK</v>
      </c>
    </row>
    <row r="45" customFormat="false" ht="15" hidden="false" customHeight="false" outlineLevel="0" collapsed="false">
      <c r="A45" s="7" t="n">
        <v>5</v>
      </c>
      <c r="B45" s="7" t="n">
        <v>8</v>
      </c>
      <c r="C45" s="8" t="n">
        <v>5.3</v>
      </c>
      <c r="D45" s="9" t="n">
        <f aca="false">ROUND(C45*ASM!$B$8*ASM!$B$13*(1+ASM!$B$3)+ASM!$B$4+ASM!$B$5+ASM!$B$6,2)</f>
        <v>619.29</v>
      </c>
      <c r="E45" s="7" t="n">
        <f aca="false">ROUND((C45*ASM!$B$8*ASM!$B$13*(1+ASM!$B$3)+ASM!$B$4+ASM!$B$5+ASM!$B$6)*IF(A45&lt;=7,ASM!$B$7,ASM!$B$17),0)</f>
        <v>960</v>
      </c>
      <c r="F45" s="10" t="n">
        <f aca="false">CEILING(E45/0.75,5)</f>
        <v>1280</v>
      </c>
      <c r="G45" s="9" t="n">
        <f aca="false">F45*0.75</f>
        <v>960</v>
      </c>
      <c r="H45" s="7" t="n">
        <f aca="false">ROUND((D45+0.45)/(1-ASM!$B$9),0)</f>
        <v>692</v>
      </c>
      <c r="I45" s="7" t="n">
        <f aca="false">ROUND((D45+0.45)/(1-ASM!$B$9-ASM!$B$10),0)</f>
        <v>832</v>
      </c>
      <c r="J45" s="7" t="str">
        <f aca="false">IF(G45&gt;=H45,"OK","FLOOR ALTI")</f>
        <v>OK</v>
      </c>
    </row>
    <row r="46" customFormat="false" ht="15" hidden="false" customHeight="false" outlineLevel="0" collapsed="false">
      <c r="A46" s="7" t="n">
        <v>5</v>
      </c>
      <c r="B46" s="7" t="n">
        <v>9</v>
      </c>
      <c r="C46" s="8" t="n">
        <v>5.5</v>
      </c>
      <c r="D46" s="9" t="n">
        <f aca="false">ROUND(C46*ASM!$B$8*ASM!$B$13*(1+ASM!$B$3)+ASM!$B$4+ASM!$B$5+ASM!$B$6,2)</f>
        <v>640.39</v>
      </c>
      <c r="E46" s="7" t="n">
        <f aca="false">ROUND((C46*ASM!$B$8*ASM!$B$13*(1+ASM!$B$3)+ASM!$B$4+ASM!$B$5+ASM!$B$6)*IF(A46&lt;=7,ASM!$B$7,ASM!$B$17),0)</f>
        <v>993</v>
      </c>
      <c r="F46" s="10" t="n">
        <f aca="false">CEILING(E46/0.75,5)</f>
        <v>1325</v>
      </c>
      <c r="G46" s="9" t="n">
        <f aca="false">F46*0.75</f>
        <v>993.75</v>
      </c>
      <c r="H46" s="7" t="n">
        <f aca="false">ROUND((D46+0.45)/(1-ASM!$B$9),0)</f>
        <v>716</v>
      </c>
      <c r="I46" s="7" t="n">
        <f aca="false">ROUND((D46+0.45)/(1-ASM!$B$9-ASM!$B$10),0)</f>
        <v>860</v>
      </c>
      <c r="J46" s="7" t="str">
        <f aca="false">IF(G46&gt;=H46,"OK","FLOOR ALTI")</f>
        <v>OK</v>
      </c>
    </row>
    <row r="47" customFormat="false" ht="15" hidden="false" customHeight="false" outlineLevel="0" collapsed="false">
      <c r="A47" s="7" t="n">
        <v>5</v>
      </c>
      <c r="B47" s="7" t="n">
        <v>10</v>
      </c>
      <c r="C47" s="8" t="n">
        <v>5.68</v>
      </c>
      <c r="D47" s="9" t="n">
        <f aca="false">ROUND(C47*ASM!$B$8*ASM!$B$13*(1+ASM!$B$3)+ASM!$B$4+ASM!$B$5+ASM!$B$6,2)</f>
        <v>659.39</v>
      </c>
      <c r="E47" s="7" t="n">
        <f aca="false">ROUND((C47*ASM!$B$8*ASM!$B$13*(1+ASM!$B$3)+ASM!$B$4+ASM!$B$5+ASM!$B$6)*IF(A47&lt;=7,ASM!$B$7,ASM!$B$17),0)</f>
        <v>1022</v>
      </c>
      <c r="F47" s="10" t="n">
        <f aca="false">CEILING(E47/0.75,5)</f>
        <v>1365</v>
      </c>
      <c r="G47" s="9" t="n">
        <f aca="false">F47*0.75</f>
        <v>1023.75</v>
      </c>
      <c r="H47" s="7" t="n">
        <f aca="false">ROUND((D47+0.45)/(1-ASM!$B$9),0)</f>
        <v>737</v>
      </c>
      <c r="I47" s="7" t="n">
        <f aca="false">ROUND((D47+0.45)/(1-ASM!$B$9-ASM!$B$10),0)</f>
        <v>886</v>
      </c>
      <c r="J47" s="7" t="str">
        <f aca="false">IF(G47&gt;=H47,"OK","FLOOR ALTI")</f>
        <v>OK</v>
      </c>
    </row>
    <row r="48" customFormat="false" ht="15" hidden="false" customHeight="false" outlineLevel="0" collapsed="false">
      <c r="A48" s="7" t="n">
        <v>5</v>
      </c>
      <c r="B48" s="7" t="n">
        <v>11</v>
      </c>
      <c r="C48" s="8" t="n">
        <v>5.87</v>
      </c>
      <c r="D48" s="9" t="n">
        <f aca="false">ROUND(C48*ASM!$B$8*ASM!$B$13*(1+ASM!$B$3)+ASM!$B$4+ASM!$B$5+ASM!$B$6,2)</f>
        <v>679.44</v>
      </c>
      <c r="E48" s="7" t="n">
        <f aca="false">ROUND((C48*ASM!$B$8*ASM!$B$13*(1+ASM!$B$3)+ASM!$B$4+ASM!$B$5+ASM!$B$6)*IF(A48&lt;=7,ASM!$B$7,ASM!$B$17),0)</f>
        <v>1053</v>
      </c>
      <c r="F48" s="10" t="n">
        <f aca="false">CEILING(E48/0.75,5)</f>
        <v>1405</v>
      </c>
      <c r="G48" s="9" t="n">
        <f aca="false">F48*0.75</f>
        <v>1053.75</v>
      </c>
      <c r="H48" s="7" t="n">
        <f aca="false">ROUND((D48+0.45)/(1-ASM!$B$9),0)</f>
        <v>760</v>
      </c>
      <c r="I48" s="7" t="n">
        <f aca="false">ROUND((D48+0.45)/(1-ASM!$B$9-ASM!$B$10),0)</f>
        <v>913</v>
      </c>
      <c r="J48" s="7" t="str">
        <f aca="false">IF(G48&gt;=H48,"OK","FLOOR ALTI")</f>
        <v>OK</v>
      </c>
    </row>
    <row r="49" customFormat="false" ht="15" hidden="false" customHeight="false" outlineLevel="0" collapsed="false">
      <c r="A49" s="7" t="n">
        <v>5</v>
      </c>
      <c r="B49" s="7" t="n">
        <v>12</v>
      </c>
      <c r="C49" s="8" t="n">
        <v>6.05</v>
      </c>
      <c r="D49" s="9" t="n">
        <f aca="false">ROUND(C49*ASM!$B$8*ASM!$B$13*(1+ASM!$B$3)+ASM!$B$4+ASM!$B$5+ASM!$B$6,2)</f>
        <v>698.43</v>
      </c>
      <c r="E49" s="7" t="n">
        <f aca="false">ROUND((C49*ASM!$B$8*ASM!$B$13*(1+ASM!$B$3)+ASM!$B$4+ASM!$B$5+ASM!$B$6)*IF(A49&lt;=7,ASM!$B$7,ASM!$B$17),0)</f>
        <v>1083</v>
      </c>
      <c r="F49" s="10" t="n">
        <f aca="false">CEILING(E49/0.75,5)</f>
        <v>1445</v>
      </c>
      <c r="G49" s="9" t="n">
        <f aca="false">F49*0.75</f>
        <v>1083.75</v>
      </c>
      <c r="H49" s="7" t="n">
        <f aca="false">ROUND((D49+0.45)/(1-ASM!$B$9),0)</f>
        <v>781</v>
      </c>
      <c r="I49" s="7" t="n">
        <f aca="false">ROUND((D49+0.45)/(1-ASM!$B$9-ASM!$B$10),0)</f>
        <v>938</v>
      </c>
      <c r="J49" s="7" t="str">
        <f aca="false">IF(G49&gt;=H49,"OK","FLOOR ALTI")</f>
        <v>OK</v>
      </c>
    </row>
    <row r="50" customFormat="false" ht="15" hidden="false" customHeight="false" outlineLevel="0" collapsed="false">
      <c r="A50" s="7" t="n">
        <v>5</v>
      </c>
      <c r="B50" s="7" t="n">
        <v>13</v>
      </c>
      <c r="C50" s="8" t="n">
        <v>6.24</v>
      </c>
      <c r="D50" s="9" t="n">
        <f aca="false">ROUND(C50*ASM!$B$8*ASM!$B$13*(1+ASM!$B$3)+ASM!$B$4+ASM!$B$5+ASM!$B$6,2)</f>
        <v>718.48</v>
      </c>
      <c r="E50" s="7" t="n">
        <f aca="false">ROUND((C50*ASM!$B$8*ASM!$B$13*(1+ASM!$B$3)+ASM!$B$4+ASM!$B$5+ASM!$B$6)*IF(A50&lt;=7,ASM!$B$7,ASM!$B$17),0)</f>
        <v>1114</v>
      </c>
      <c r="F50" s="10" t="n">
        <f aca="false">CEILING(E50/0.75,5)</f>
        <v>1490</v>
      </c>
      <c r="G50" s="9" t="n">
        <f aca="false">F50*0.75</f>
        <v>1117.5</v>
      </c>
      <c r="H50" s="7" t="n">
        <f aca="false">ROUND((D50+0.45)/(1-ASM!$B$9),0)</f>
        <v>803</v>
      </c>
      <c r="I50" s="7" t="n">
        <f aca="false">ROUND((D50+0.45)/(1-ASM!$B$9-ASM!$B$10),0)</f>
        <v>965</v>
      </c>
      <c r="J50" s="7" t="str">
        <f aca="false">IF(G50&gt;=H50,"OK","FLOOR ALTI")</f>
        <v>OK</v>
      </c>
    </row>
    <row r="51" customFormat="false" ht="15" hidden="false" customHeight="false" outlineLevel="0" collapsed="false">
      <c r="A51" s="7" t="n">
        <v>5</v>
      </c>
      <c r="B51" s="7" t="n">
        <v>14</v>
      </c>
      <c r="C51" s="8" t="n">
        <v>6.37</v>
      </c>
      <c r="D51" s="9" t="n">
        <f aca="false">ROUND(C51*ASM!$B$8*ASM!$B$13*(1+ASM!$B$3)+ASM!$B$4+ASM!$B$5+ASM!$B$6,2)</f>
        <v>732.2</v>
      </c>
      <c r="E51" s="7" t="n">
        <f aca="false">ROUND((C51*ASM!$B$8*ASM!$B$13*(1+ASM!$B$3)+ASM!$B$4+ASM!$B$5+ASM!$B$6)*IF(A51&lt;=7,ASM!$B$7,ASM!$B$17),0)</f>
        <v>1135</v>
      </c>
      <c r="F51" s="10" t="n">
        <f aca="false">CEILING(E51/0.75,5)</f>
        <v>1515</v>
      </c>
      <c r="G51" s="9" t="n">
        <f aca="false">F51*0.75</f>
        <v>1136.25</v>
      </c>
      <c r="H51" s="7" t="n">
        <f aca="false">ROUND((D51+0.45)/(1-ASM!$B$9),0)</f>
        <v>819</v>
      </c>
      <c r="I51" s="7" t="n">
        <f aca="false">ROUND((D51+0.45)/(1-ASM!$B$9-ASM!$B$10),0)</f>
        <v>983</v>
      </c>
      <c r="J51" s="7" t="str">
        <f aca="false">IF(G51&gt;=H51,"OK","FLOOR ALTI")</f>
        <v>OK</v>
      </c>
    </row>
    <row r="52" customFormat="false" ht="15" hidden="false" customHeight="false" outlineLevel="0" collapsed="false">
      <c r="A52" s="7" t="n">
        <v>5</v>
      </c>
      <c r="B52" s="7" t="n">
        <v>15</v>
      </c>
      <c r="C52" s="8" t="n">
        <v>6.5</v>
      </c>
      <c r="D52" s="9" t="n">
        <f aca="false">ROUND(C52*ASM!$B$8*ASM!$B$13*(1+ASM!$B$3)+ASM!$B$4+ASM!$B$5+ASM!$B$6,2)</f>
        <v>745.92</v>
      </c>
      <c r="E52" s="7" t="n">
        <f aca="false">ROUND((C52*ASM!$B$8*ASM!$B$13*(1+ASM!$B$3)+ASM!$B$4+ASM!$B$5+ASM!$B$6)*IF(A52&lt;=7,ASM!$B$7,ASM!$B$17),0)</f>
        <v>1156</v>
      </c>
      <c r="F52" s="10" t="n">
        <f aca="false">CEILING(E52/0.75,5)</f>
        <v>1545</v>
      </c>
      <c r="G52" s="9" t="n">
        <f aca="false">F52*0.75</f>
        <v>1158.75</v>
      </c>
      <c r="H52" s="7" t="n">
        <f aca="false">ROUND((D52+0.45)/(1-ASM!$B$9),0)</f>
        <v>834</v>
      </c>
      <c r="I52" s="7" t="n">
        <f aca="false">ROUND((D52+0.45)/(1-ASM!$B$9-ASM!$B$10),0)</f>
        <v>1002</v>
      </c>
      <c r="J52" s="7" t="str">
        <f aca="false">IF(G52&gt;=H52,"OK","FLOOR ALTI")</f>
        <v>OK</v>
      </c>
    </row>
    <row r="53" customFormat="false" ht="15" hidden="false" customHeight="false" outlineLevel="0" collapsed="false">
      <c r="A53" s="7" t="n">
        <v>5</v>
      </c>
      <c r="B53" s="7" t="n">
        <v>16</v>
      </c>
      <c r="C53" s="8" t="n">
        <v>6.79</v>
      </c>
      <c r="D53" s="9" t="n">
        <f aca="false">ROUND(C53*ASM!$B$8*ASM!$B$13*(1+ASM!$B$3)+ASM!$B$4+ASM!$B$5+ASM!$B$6,2)</f>
        <v>776.52</v>
      </c>
      <c r="E53" s="7" t="n">
        <f aca="false">ROUND((C53*ASM!$B$8*ASM!$B$13*(1+ASM!$B$3)+ASM!$B$4+ASM!$B$5+ASM!$B$6)*IF(A53&lt;=7,ASM!$B$7,ASM!$B$17),0)</f>
        <v>1204</v>
      </c>
      <c r="F53" s="10" t="n">
        <f aca="false">CEILING(E53/0.75,5)</f>
        <v>1610</v>
      </c>
      <c r="G53" s="9" t="n">
        <f aca="false">F53*0.75</f>
        <v>1207.5</v>
      </c>
      <c r="H53" s="7" t="n">
        <f aca="false">ROUND((D53+0.45)/(1-ASM!$B$9),0)</f>
        <v>868</v>
      </c>
      <c r="I53" s="7" t="n">
        <f aca="false">ROUND((D53+0.45)/(1-ASM!$B$9-ASM!$B$10),0)</f>
        <v>1043</v>
      </c>
      <c r="J53" s="7" t="str">
        <f aca="false">IF(G53&gt;=H53,"OK","FLOOR ALTI")</f>
        <v>OK</v>
      </c>
    </row>
    <row r="54" customFormat="false" ht="15" hidden="false" customHeight="false" outlineLevel="0" collapsed="false">
      <c r="A54" s="7" t="n">
        <v>6</v>
      </c>
      <c r="B54" s="7" t="n">
        <v>4</v>
      </c>
      <c r="C54" s="8" t="n">
        <v>5.4</v>
      </c>
      <c r="D54" s="9" t="n">
        <f aca="false">ROUND(C54*ASM!$B$8*ASM!$B$13*(1+ASM!$B$3)+ASM!$B$4+ASM!$B$5+ASM!$B$6,2)</f>
        <v>629.84</v>
      </c>
      <c r="E54" s="7" t="n">
        <f aca="false">ROUND((C54*ASM!$B$8*ASM!$B$13*(1+ASM!$B$3)+ASM!$B$4+ASM!$B$5+ASM!$B$6)*IF(A54&lt;=7,ASM!$B$7,ASM!$B$17),0)</f>
        <v>976</v>
      </c>
      <c r="F54" s="10" t="n">
        <f aca="false">CEILING(E54/0.75,5)</f>
        <v>1305</v>
      </c>
      <c r="G54" s="9" t="n">
        <f aca="false">F54*0.75</f>
        <v>978.75</v>
      </c>
      <c r="H54" s="7" t="n">
        <f aca="false">ROUND((D54+0.45)/(1-ASM!$B$9),0)</f>
        <v>704</v>
      </c>
      <c r="I54" s="7" t="n">
        <f aca="false">ROUND((D54+0.45)/(1-ASM!$B$9-ASM!$B$10),0)</f>
        <v>846</v>
      </c>
      <c r="J54" s="7" t="str">
        <f aca="false">IF(G54&gt;=H54,"OK","FLOOR ALTI")</f>
        <v>OK</v>
      </c>
    </row>
    <row r="55" customFormat="false" ht="15" hidden="false" customHeight="false" outlineLevel="0" collapsed="false">
      <c r="A55" s="7" t="n">
        <v>6</v>
      </c>
      <c r="B55" s="7" t="n">
        <v>5</v>
      </c>
      <c r="C55" s="8" t="n">
        <v>5.63</v>
      </c>
      <c r="D55" s="9" t="n">
        <f aca="false">ROUND(C55*ASM!$B$8*ASM!$B$13*(1+ASM!$B$3)+ASM!$B$4+ASM!$B$5+ASM!$B$6,2)</f>
        <v>654.11</v>
      </c>
      <c r="E55" s="7" t="n">
        <f aca="false">ROUND((C55*ASM!$B$8*ASM!$B$13*(1+ASM!$B$3)+ASM!$B$4+ASM!$B$5+ASM!$B$6)*IF(A55&lt;=7,ASM!$B$7,ASM!$B$17),0)</f>
        <v>1014</v>
      </c>
      <c r="F55" s="10" t="n">
        <f aca="false">CEILING(E55/0.75,5)</f>
        <v>1355</v>
      </c>
      <c r="G55" s="9" t="n">
        <f aca="false">F55*0.75</f>
        <v>1016.25</v>
      </c>
      <c r="H55" s="7" t="n">
        <f aca="false">ROUND((D55+0.45)/(1-ASM!$B$9),0)</f>
        <v>731</v>
      </c>
      <c r="I55" s="7" t="n">
        <f aca="false">ROUND((D55+0.45)/(1-ASM!$B$9-ASM!$B$10),0)</f>
        <v>879</v>
      </c>
      <c r="J55" s="7" t="str">
        <f aca="false">IF(G55&gt;=H55,"OK","FLOOR ALTI")</f>
        <v>OK</v>
      </c>
    </row>
    <row r="56" customFormat="false" ht="15" hidden="false" customHeight="false" outlineLevel="0" collapsed="false">
      <c r="A56" s="7" t="n">
        <v>6</v>
      </c>
      <c r="B56" s="7" t="n">
        <v>6</v>
      </c>
      <c r="C56" s="8" t="n">
        <v>5.86</v>
      </c>
      <c r="D56" s="9" t="n">
        <f aca="false">ROUND(C56*ASM!$B$8*ASM!$B$13*(1+ASM!$B$3)+ASM!$B$4+ASM!$B$5+ASM!$B$6,2)</f>
        <v>678.38</v>
      </c>
      <c r="E56" s="7" t="n">
        <f aca="false">ROUND((C56*ASM!$B$8*ASM!$B$13*(1+ASM!$B$3)+ASM!$B$4+ASM!$B$5+ASM!$B$6)*IF(A56&lt;=7,ASM!$B$7,ASM!$B$17),0)</f>
        <v>1051</v>
      </c>
      <c r="F56" s="10" t="n">
        <f aca="false">CEILING(E56/0.75,5)</f>
        <v>1405</v>
      </c>
      <c r="G56" s="9" t="n">
        <f aca="false">F56*0.75</f>
        <v>1053.75</v>
      </c>
      <c r="H56" s="7" t="n">
        <f aca="false">ROUND((D56+0.45)/(1-ASM!$B$9),0)</f>
        <v>758</v>
      </c>
      <c r="I56" s="7" t="n">
        <f aca="false">ROUND((D56+0.45)/(1-ASM!$B$9-ASM!$B$10),0)</f>
        <v>911</v>
      </c>
      <c r="J56" s="7" t="str">
        <f aca="false">IF(G56&gt;=H56,"OK","FLOOR ALTI")</f>
        <v>OK</v>
      </c>
    </row>
    <row r="57" customFormat="false" ht="15" hidden="false" customHeight="false" outlineLevel="0" collapsed="false">
      <c r="A57" s="7" t="n">
        <v>6</v>
      </c>
      <c r="B57" s="7" t="n">
        <v>7</v>
      </c>
      <c r="C57" s="8" t="n">
        <v>6.08</v>
      </c>
      <c r="D57" s="9" t="n">
        <f aca="false">ROUND(C57*ASM!$B$8*ASM!$B$13*(1+ASM!$B$3)+ASM!$B$4+ASM!$B$5+ASM!$B$6,2)</f>
        <v>701.6</v>
      </c>
      <c r="E57" s="7" t="n">
        <f aca="false">ROUND((C57*ASM!$B$8*ASM!$B$13*(1+ASM!$B$3)+ASM!$B$4+ASM!$B$5+ASM!$B$6)*IF(A57&lt;=7,ASM!$B$7,ASM!$B$17),0)</f>
        <v>1087</v>
      </c>
      <c r="F57" s="10" t="n">
        <f aca="false">CEILING(E57/0.75,5)</f>
        <v>1450</v>
      </c>
      <c r="G57" s="9" t="n">
        <f aca="false">F57*0.75</f>
        <v>1087.5</v>
      </c>
      <c r="H57" s="7" t="n">
        <f aca="false">ROUND((D57+0.45)/(1-ASM!$B$9),0)</f>
        <v>784</v>
      </c>
      <c r="I57" s="7" t="n">
        <f aca="false">ROUND((D57+0.45)/(1-ASM!$B$9-ASM!$B$10),0)</f>
        <v>942</v>
      </c>
      <c r="J57" s="7" t="str">
        <f aca="false">IF(G57&gt;=H57,"OK","FLOOR ALTI")</f>
        <v>OK</v>
      </c>
    </row>
    <row r="58" customFormat="false" ht="15" hidden="false" customHeight="false" outlineLevel="0" collapsed="false">
      <c r="A58" s="7" t="n">
        <v>6</v>
      </c>
      <c r="B58" s="7" t="n">
        <v>8</v>
      </c>
      <c r="C58" s="8" t="n">
        <v>6.31</v>
      </c>
      <c r="D58" s="9" t="n">
        <f aca="false">ROUND(C58*ASM!$B$8*ASM!$B$13*(1+ASM!$B$3)+ASM!$B$4+ASM!$B$5+ASM!$B$6,2)</f>
        <v>725.87</v>
      </c>
      <c r="E58" s="7" t="n">
        <f aca="false">ROUND((C58*ASM!$B$8*ASM!$B$13*(1+ASM!$B$3)+ASM!$B$4+ASM!$B$5+ASM!$B$6)*IF(A58&lt;=7,ASM!$B$7,ASM!$B$17),0)</f>
        <v>1125</v>
      </c>
      <c r="F58" s="10" t="n">
        <f aca="false">CEILING(E58/0.75,5)</f>
        <v>1500</v>
      </c>
      <c r="G58" s="9" t="n">
        <f aca="false">F58*0.75</f>
        <v>1125</v>
      </c>
      <c r="H58" s="7" t="n">
        <f aca="false">ROUND((D58+0.45)/(1-ASM!$B$9),0)</f>
        <v>812</v>
      </c>
      <c r="I58" s="7" t="n">
        <f aca="false">ROUND((D58+0.45)/(1-ASM!$B$9-ASM!$B$10),0)</f>
        <v>975</v>
      </c>
      <c r="J58" s="7" t="str">
        <f aca="false">IF(G58&gt;=H58,"OK","FLOOR ALTI")</f>
        <v>OK</v>
      </c>
    </row>
    <row r="59" customFormat="false" ht="15" hidden="false" customHeight="false" outlineLevel="0" collapsed="false">
      <c r="A59" s="7" t="n">
        <v>6</v>
      </c>
      <c r="B59" s="7" t="n">
        <v>9</v>
      </c>
      <c r="C59" s="8" t="n">
        <v>6.53</v>
      </c>
      <c r="D59" s="9" t="n">
        <f aca="false">ROUND(C59*ASM!$B$8*ASM!$B$13*(1+ASM!$B$3)+ASM!$B$4+ASM!$B$5+ASM!$B$6,2)</f>
        <v>749.08</v>
      </c>
      <c r="E59" s="7" t="n">
        <f aca="false">ROUND((C59*ASM!$B$8*ASM!$B$13*(1+ASM!$B$3)+ASM!$B$4+ASM!$B$5+ASM!$B$6)*IF(A59&lt;=7,ASM!$B$7,ASM!$B$17),0)</f>
        <v>1161</v>
      </c>
      <c r="F59" s="10" t="n">
        <f aca="false">CEILING(E59/0.75,5)</f>
        <v>1550</v>
      </c>
      <c r="G59" s="9" t="n">
        <f aca="false">F59*0.75</f>
        <v>1162.5</v>
      </c>
      <c r="H59" s="7" t="n">
        <f aca="false">ROUND((D59+0.45)/(1-ASM!$B$9),0)</f>
        <v>837</v>
      </c>
      <c r="I59" s="7" t="n">
        <f aca="false">ROUND((D59+0.45)/(1-ASM!$B$9-ASM!$B$10),0)</f>
        <v>1006</v>
      </c>
      <c r="J59" s="7" t="str">
        <f aca="false">IF(G59&gt;=H59,"OK","FLOOR ALTI")</f>
        <v>OK</v>
      </c>
    </row>
    <row r="60" customFormat="false" ht="15" hidden="false" customHeight="false" outlineLevel="0" collapsed="false">
      <c r="A60" s="7" t="n">
        <v>6</v>
      </c>
      <c r="B60" s="7" t="n">
        <v>10</v>
      </c>
      <c r="C60" s="8" t="n">
        <v>6.76</v>
      </c>
      <c r="D60" s="9" t="n">
        <f aca="false">ROUND(C60*ASM!$B$8*ASM!$B$13*(1+ASM!$B$3)+ASM!$B$4+ASM!$B$5+ASM!$B$6,2)</f>
        <v>773.36</v>
      </c>
      <c r="E60" s="7" t="n">
        <f aca="false">ROUND((C60*ASM!$B$8*ASM!$B$13*(1+ASM!$B$3)+ASM!$B$4+ASM!$B$5+ASM!$B$6)*IF(A60&lt;=7,ASM!$B$7,ASM!$B$17),0)</f>
        <v>1199</v>
      </c>
      <c r="F60" s="10" t="n">
        <f aca="false">CEILING(E60/0.75,5)</f>
        <v>1600</v>
      </c>
      <c r="G60" s="9" t="n">
        <f aca="false">F60*0.75</f>
        <v>1200</v>
      </c>
      <c r="H60" s="7" t="n">
        <f aca="false">ROUND((D60+0.45)/(1-ASM!$B$9),0)</f>
        <v>865</v>
      </c>
      <c r="I60" s="7" t="n">
        <f aca="false">ROUND((D60+0.45)/(1-ASM!$B$9-ASM!$B$10),0)</f>
        <v>1039</v>
      </c>
      <c r="J60" s="7" t="str">
        <f aca="false">IF(G60&gt;=H60,"OK","FLOOR ALTI")</f>
        <v>OK</v>
      </c>
    </row>
    <row r="61" customFormat="false" ht="15" hidden="false" customHeight="false" outlineLevel="0" collapsed="false">
      <c r="A61" s="7" t="n">
        <v>6</v>
      </c>
      <c r="B61" s="7" t="n">
        <v>11</v>
      </c>
      <c r="C61" s="8" t="n">
        <v>6.98</v>
      </c>
      <c r="D61" s="9" t="n">
        <f aca="false">ROUND(C61*ASM!$B$8*ASM!$B$13*(1+ASM!$B$3)+ASM!$B$4+ASM!$B$5+ASM!$B$6,2)</f>
        <v>796.57</v>
      </c>
      <c r="E61" s="7" t="n">
        <f aca="false">ROUND((C61*ASM!$B$8*ASM!$B$13*(1+ASM!$B$3)+ASM!$B$4+ASM!$B$5+ASM!$B$6)*IF(A61&lt;=7,ASM!$B$7,ASM!$B$17),0)</f>
        <v>1235</v>
      </c>
      <c r="F61" s="10" t="n">
        <f aca="false">CEILING(E61/0.75,5)</f>
        <v>1650</v>
      </c>
      <c r="G61" s="9" t="n">
        <f aca="false">F61*0.75</f>
        <v>1237.5</v>
      </c>
      <c r="H61" s="7" t="n">
        <f aca="false">ROUND((D61+0.45)/(1-ASM!$B$9),0)</f>
        <v>891</v>
      </c>
      <c r="I61" s="7" t="n">
        <f aca="false">ROUND((D61+0.45)/(1-ASM!$B$9-ASM!$B$10),0)</f>
        <v>1070</v>
      </c>
      <c r="J61" s="7" t="str">
        <f aca="false">IF(G61&gt;=H61,"OK","FLOOR ALTI")</f>
        <v>OK</v>
      </c>
    </row>
    <row r="62" customFormat="false" ht="15" hidden="false" customHeight="false" outlineLevel="0" collapsed="false">
      <c r="A62" s="7" t="n">
        <v>6</v>
      </c>
      <c r="B62" s="7" t="n">
        <v>12</v>
      </c>
      <c r="C62" s="8" t="n">
        <v>7.21</v>
      </c>
      <c r="D62" s="9" t="n">
        <f aca="false">ROUND(C62*ASM!$B$8*ASM!$B$13*(1+ASM!$B$3)+ASM!$B$4+ASM!$B$5+ASM!$B$6,2)</f>
        <v>820.84</v>
      </c>
      <c r="E62" s="7" t="n">
        <f aca="false">ROUND((C62*ASM!$B$8*ASM!$B$13*(1+ASM!$B$3)+ASM!$B$4+ASM!$B$5+ASM!$B$6)*IF(A62&lt;=7,ASM!$B$7,ASM!$B$17),0)</f>
        <v>1272</v>
      </c>
      <c r="F62" s="10" t="n">
        <f aca="false">CEILING(E62/0.75,5)</f>
        <v>1700</v>
      </c>
      <c r="G62" s="9" t="n">
        <f aca="false">F62*0.75</f>
        <v>1275</v>
      </c>
      <c r="H62" s="7" t="n">
        <f aca="false">ROUND((D62+0.45)/(1-ASM!$B$9),0)</f>
        <v>918</v>
      </c>
      <c r="I62" s="7" t="n">
        <f aca="false">ROUND((D62+0.45)/(1-ASM!$B$9-ASM!$B$10),0)</f>
        <v>1102</v>
      </c>
      <c r="J62" s="7" t="str">
        <f aca="false">IF(G62&gt;=H62,"OK","FLOOR ALTI")</f>
        <v>OK</v>
      </c>
    </row>
    <row r="63" customFormat="false" ht="15" hidden="false" customHeight="false" outlineLevel="0" collapsed="false">
      <c r="A63" s="7" t="n">
        <v>6</v>
      </c>
      <c r="B63" s="7" t="n">
        <v>13</v>
      </c>
      <c r="C63" s="8" t="n">
        <v>7.44</v>
      </c>
      <c r="D63" s="9" t="n">
        <f aca="false">ROUND(C63*ASM!$B$8*ASM!$B$13*(1+ASM!$B$3)+ASM!$B$4+ASM!$B$5+ASM!$B$6,2)</f>
        <v>845.11</v>
      </c>
      <c r="E63" s="7" t="n">
        <f aca="false">ROUND((C63*ASM!$B$8*ASM!$B$13*(1+ASM!$B$3)+ASM!$B$4+ASM!$B$5+ASM!$B$6)*IF(A63&lt;=7,ASM!$B$7,ASM!$B$17),0)</f>
        <v>1310</v>
      </c>
      <c r="F63" s="10" t="n">
        <f aca="false">CEILING(E63/0.75,5)</f>
        <v>1750</v>
      </c>
      <c r="G63" s="9" t="n">
        <f aca="false">F63*0.75</f>
        <v>1312.5</v>
      </c>
      <c r="H63" s="7" t="n">
        <f aca="false">ROUND((D63+0.45)/(1-ASM!$B$9),0)</f>
        <v>945</v>
      </c>
      <c r="I63" s="7" t="n">
        <f aca="false">ROUND((D63+0.45)/(1-ASM!$B$9-ASM!$B$10),0)</f>
        <v>1135</v>
      </c>
      <c r="J63" s="7" t="str">
        <f aca="false">IF(G63&gt;=H63,"OK","FLOOR ALTI")</f>
        <v>OK</v>
      </c>
    </row>
    <row r="64" customFormat="false" ht="15" hidden="false" customHeight="false" outlineLevel="0" collapsed="false">
      <c r="A64" s="7" t="n">
        <v>6</v>
      </c>
      <c r="B64" s="7" t="n">
        <v>14</v>
      </c>
      <c r="C64" s="8" t="n">
        <v>7.57</v>
      </c>
      <c r="D64" s="9" t="n">
        <f aca="false">ROUND(C64*ASM!$B$8*ASM!$B$13*(1+ASM!$B$3)+ASM!$B$4+ASM!$B$5+ASM!$B$6,2)</f>
        <v>858.83</v>
      </c>
      <c r="E64" s="7" t="n">
        <f aca="false">ROUND((C64*ASM!$B$8*ASM!$B$13*(1+ASM!$B$3)+ASM!$B$4+ASM!$B$5+ASM!$B$6)*IF(A64&lt;=7,ASM!$B$7,ASM!$B$17),0)</f>
        <v>1331</v>
      </c>
      <c r="F64" s="10" t="n">
        <f aca="false">CEILING(E64/0.75,5)</f>
        <v>1775</v>
      </c>
      <c r="G64" s="9" t="n">
        <f aca="false">F64*0.75</f>
        <v>1331.25</v>
      </c>
      <c r="H64" s="7" t="n">
        <f aca="false">ROUND((D64+0.45)/(1-ASM!$B$9),0)</f>
        <v>960</v>
      </c>
      <c r="I64" s="7" t="n">
        <f aca="false">ROUND((D64+0.45)/(1-ASM!$B$9-ASM!$B$10),0)</f>
        <v>1153</v>
      </c>
      <c r="J64" s="7" t="str">
        <f aca="false">IF(G64&gt;=H64,"OK","FLOOR ALTI")</f>
        <v>OK</v>
      </c>
    </row>
    <row r="65" customFormat="false" ht="15" hidden="false" customHeight="false" outlineLevel="0" collapsed="false">
      <c r="A65" s="7" t="n">
        <v>6</v>
      </c>
      <c r="B65" s="7" t="n">
        <v>15</v>
      </c>
      <c r="C65" s="8" t="n">
        <v>7.91</v>
      </c>
      <c r="D65" s="9" t="n">
        <f aca="false">ROUND(C65*ASM!$B$8*ASM!$B$13*(1+ASM!$B$3)+ASM!$B$4+ASM!$B$5+ASM!$B$6,2)</f>
        <v>894.71</v>
      </c>
      <c r="E65" s="7" t="n">
        <f aca="false">ROUND((C65*ASM!$B$8*ASM!$B$13*(1+ASM!$B$3)+ASM!$B$4+ASM!$B$5+ASM!$B$6)*IF(A65&lt;=7,ASM!$B$7,ASM!$B$17),0)</f>
        <v>1387</v>
      </c>
      <c r="F65" s="10" t="n">
        <f aca="false">CEILING(E65/0.75,5)</f>
        <v>1850</v>
      </c>
      <c r="G65" s="9" t="n">
        <f aca="false">F65*0.75</f>
        <v>1387.5</v>
      </c>
      <c r="H65" s="7" t="n">
        <f aca="false">ROUND((D65+0.45)/(1-ASM!$B$9),0)</f>
        <v>1000</v>
      </c>
      <c r="I65" s="7" t="n">
        <f aca="false">ROUND((D65+0.45)/(1-ASM!$B$9-ASM!$B$10),0)</f>
        <v>1202</v>
      </c>
      <c r="J65" s="7" t="str">
        <f aca="false">IF(G65&gt;=H65,"OK","FLOOR ALTI")</f>
        <v>OK</v>
      </c>
    </row>
    <row r="66" customFormat="false" ht="15" hidden="false" customHeight="false" outlineLevel="0" collapsed="false">
      <c r="A66" s="7" t="n">
        <v>6</v>
      </c>
      <c r="B66" s="7" t="n">
        <v>16</v>
      </c>
      <c r="C66" s="8" t="n">
        <v>8.14</v>
      </c>
      <c r="D66" s="9" t="n">
        <f aca="false">ROUND(C66*ASM!$B$8*ASM!$B$13*(1+ASM!$B$3)+ASM!$B$4+ASM!$B$5+ASM!$B$6,2)</f>
        <v>918.98</v>
      </c>
      <c r="E66" s="7" t="n">
        <f aca="false">ROUND((C66*ASM!$B$8*ASM!$B$13*(1+ASM!$B$3)+ASM!$B$4+ASM!$B$5+ASM!$B$6)*IF(A66&lt;=7,ASM!$B$7,ASM!$B$17),0)</f>
        <v>1424</v>
      </c>
      <c r="F66" s="10" t="n">
        <f aca="false">CEILING(E66/0.75,5)</f>
        <v>1900</v>
      </c>
      <c r="G66" s="9" t="n">
        <f aca="false">F66*0.75</f>
        <v>1425</v>
      </c>
      <c r="H66" s="7" t="n">
        <f aca="false">ROUND((D66+0.45)/(1-ASM!$B$9),0)</f>
        <v>1027</v>
      </c>
      <c r="I66" s="7" t="n">
        <f aca="false">ROUND((D66+0.45)/(1-ASM!$B$9-ASM!$B$10),0)</f>
        <v>1234</v>
      </c>
      <c r="J66" s="7" t="str">
        <f aca="false">IF(G66&gt;=H66,"OK","FLOOR ALTI")</f>
        <v>OK</v>
      </c>
    </row>
    <row r="67" customFormat="false" ht="15" hidden="false" customHeight="false" outlineLevel="0" collapsed="false">
      <c r="A67" s="7" t="n">
        <v>7</v>
      </c>
      <c r="B67" s="7" t="n">
        <v>4</v>
      </c>
      <c r="C67" s="8" t="n">
        <v>5.88</v>
      </c>
      <c r="D67" s="9" t="n">
        <f aca="false">ROUND(C67*ASM!$B$8*ASM!$B$13*(1+ASM!$B$3)+ASM!$B$4+ASM!$B$5+ASM!$B$6,2)</f>
        <v>680.49</v>
      </c>
      <c r="E67" s="7" t="n">
        <f aca="false">ROUND((C67*ASM!$B$8*ASM!$B$13*(1+ASM!$B$3)+ASM!$B$4+ASM!$B$5+ASM!$B$6)*IF(A67&lt;=7,ASM!$B$7,ASM!$B$17),0)</f>
        <v>1055</v>
      </c>
      <c r="F67" s="10" t="n">
        <f aca="false">CEILING(E67/0.75,5)</f>
        <v>1410</v>
      </c>
      <c r="G67" s="9" t="n">
        <f aca="false">F67*0.75</f>
        <v>1057.5</v>
      </c>
      <c r="H67" s="7" t="n">
        <f aca="false">ROUND((D67+0.45)/(1-ASM!$B$9),0)</f>
        <v>761</v>
      </c>
      <c r="I67" s="7" t="n">
        <f aca="false">ROUND((D67+0.45)/(1-ASM!$B$9-ASM!$B$10),0)</f>
        <v>914</v>
      </c>
      <c r="J67" s="7" t="str">
        <f aca="false">IF(G67&gt;=H67,"OK","FLOOR ALTI")</f>
        <v>OK</v>
      </c>
    </row>
    <row r="68" customFormat="false" ht="15" hidden="false" customHeight="false" outlineLevel="0" collapsed="false">
      <c r="A68" s="7" t="n">
        <v>7</v>
      </c>
      <c r="B68" s="7" t="n">
        <v>5</v>
      </c>
      <c r="C68" s="8" t="n">
        <v>6.14</v>
      </c>
      <c r="D68" s="9" t="n">
        <f aca="false">ROUND(C68*ASM!$B$8*ASM!$B$13*(1+ASM!$B$3)+ASM!$B$4+ASM!$B$5+ASM!$B$6,2)</f>
        <v>707.93</v>
      </c>
      <c r="E68" s="7" t="n">
        <f aca="false">ROUND((C68*ASM!$B$8*ASM!$B$13*(1+ASM!$B$3)+ASM!$B$4+ASM!$B$5+ASM!$B$6)*IF(A68&lt;=7,ASM!$B$7,ASM!$B$17),0)</f>
        <v>1097</v>
      </c>
      <c r="F68" s="10" t="n">
        <f aca="false">CEILING(E68/0.75,5)</f>
        <v>1465</v>
      </c>
      <c r="G68" s="9" t="n">
        <f aca="false">F68*0.75</f>
        <v>1098.75</v>
      </c>
      <c r="H68" s="7" t="n">
        <f aca="false">ROUND((D68+0.45)/(1-ASM!$B$9),0)</f>
        <v>791</v>
      </c>
      <c r="I68" s="7" t="n">
        <f aca="false">ROUND((D68+0.45)/(1-ASM!$B$9-ASM!$B$10),0)</f>
        <v>951</v>
      </c>
      <c r="J68" s="7" t="str">
        <f aca="false">IF(G68&gt;=H68,"OK","FLOOR ALTI")</f>
        <v>OK</v>
      </c>
    </row>
    <row r="69" customFormat="false" ht="15" hidden="false" customHeight="false" outlineLevel="0" collapsed="false">
      <c r="A69" s="7" t="n">
        <v>7</v>
      </c>
      <c r="B69" s="7" t="n">
        <v>6</v>
      </c>
      <c r="C69" s="8" t="n">
        <v>6.41</v>
      </c>
      <c r="D69" s="9" t="n">
        <f aca="false">ROUND(C69*ASM!$B$8*ASM!$B$13*(1+ASM!$B$3)+ASM!$B$4+ASM!$B$5+ASM!$B$6,2)</f>
        <v>736.42</v>
      </c>
      <c r="E69" s="7" t="n">
        <f aca="false">ROUND((C69*ASM!$B$8*ASM!$B$13*(1+ASM!$B$3)+ASM!$B$4+ASM!$B$5+ASM!$B$6)*IF(A69&lt;=7,ASM!$B$7,ASM!$B$17),0)</f>
        <v>1141</v>
      </c>
      <c r="F69" s="10" t="n">
        <f aca="false">CEILING(E69/0.75,5)</f>
        <v>1525</v>
      </c>
      <c r="G69" s="9" t="n">
        <f aca="false">F69*0.75</f>
        <v>1143.75</v>
      </c>
      <c r="H69" s="7" t="n">
        <f aca="false">ROUND((D69+0.45)/(1-ASM!$B$9),0)</f>
        <v>823</v>
      </c>
      <c r="I69" s="7" t="n">
        <f aca="false">ROUND((D69+0.45)/(1-ASM!$B$9-ASM!$B$10),0)</f>
        <v>989</v>
      </c>
      <c r="J69" s="7" t="str">
        <f aca="false">IF(G69&gt;=H69,"OK","FLOOR ALTI")</f>
        <v>OK</v>
      </c>
    </row>
    <row r="70" customFormat="false" ht="15" hidden="false" customHeight="false" outlineLevel="0" collapsed="false">
      <c r="A70" s="7" t="n">
        <v>7</v>
      </c>
      <c r="B70" s="7" t="n">
        <v>7</v>
      </c>
      <c r="C70" s="8" t="n">
        <v>6.68</v>
      </c>
      <c r="D70" s="9" t="n">
        <f aca="false">ROUND(C70*ASM!$B$8*ASM!$B$13*(1+ASM!$B$3)+ASM!$B$4+ASM!$B$5+ASM!$B$6,2)</f>
        <v>764.91</v>
      </c>
      <c r="E70" s="7" t="n">
        <f aca="false">ROUND((C70*ASM!$B$8*ASM!$B$13*(1+ASM!$B$3)+ASM!$B$4+ASM!$B$5+ASM!$B$6)*IF(A70&lt;=7,ASM!$B$7,ASM!$B$17),0)</f>
        <v>1186</v>
      </c>
      <c r="F70" s="10" t="n">
        <f aca="false">CEILING(E70/0.75,5)</f>
        <v>1585</v>
      </c>
      <c r="G70" s="9" t="n">
        <f aca="false">F70*0.75</f>
        <v>1188.75</v>
      </c>
      <c r="H70" s="7" t="n">
        <f aca="false">ROUND((D70+0.45)/(1-ASM!$B$9),0)</f>
        <v>855</v>
      </c>
      <c r="I70" s="7" t="n">
        <f aca="false">ROUND((D70+0.45)/(1-ASM!$B$9-ASM!$B$10),0)</f>
        <v>1027</v>
      </c>
      <c r="J70" s="7" t="str">
        <f aca="false">IF(G70&gt;=H70,"OK","FLOOR ALTI")</f>
        <v>OK</v>
      </c>
    </row>
    <row r="71" customFormat="false" ht="15" hidden="false" customHeight="false" outlineLevel="0" collapsed="false">
      <c r="A71" s="7" t="n">
        <v>7</v>
      </c>
      <c r="B71" s="7" t="n">
        <v>8</v>
      </c>
      <c r="C71" s="8" t="n">
        <v>6.95</v>
      </c>
      <c r="D71" s="9" t="n">
        <f aca="false">ROUND(C71*ASM!$B$8*ASM!$B$13*(1+ASM!$B$3)+ASM!$B$4+ASM!$B$5+ASM!$B$6,2)</f>
        <v>793.41</v>
      </c>
      <c r="E71" s="7" t="n">
        <f aca="false">ROUND((C71*ASM!$B$8*ASM!$B$13*(1+ASM!$B$3)+ASM!$B$4+ASM!$B$5+ASM!$B$6)*IF(A71&lt;=7,ASM!$B$7,ASM!$B$17),0)</f>
        <v>1230</v>
      </c>
      <c r="F71" s="10" t="n">
        <f aca="false">CEILING(E71/0.75,5)</f>
        <v>1640</v>
      </c>
      <c r="G71" s="9" t="n">
        <f aca="false">F71*0.75</f>
        <v>1230</v>
      </c>
      <c r="H71" s="7" t="n">
        <f aca="false">ROUND((D71+0.45)/(1-ASM!$B$9),0)</f>
        <v>887</v>
      </c>
      <c r="I71" s="7" t="n">
        <f aca="false">ROUND((D71+0.45)/(1-ASM!$B$9-ASM!$B$10),0)</f>
        <v>1066</v>
      </c>
      <c r="J71" s="7" t="str">
        <f aca="false">IF(G71&gt;=H71,"OK","FLOOR ALTI")</f>
        <v>OK</v>
      </c>
    </row>
    <row r="72" customFormat="false" ht="15" hidden="false" customHeight="false" outlineLevel="0" collapsed="false">
      <c r="A72" s="7" t="n">
        <v>7</v>
      </c>
      <c r="B72" s="7" t="n">
        <v>9</v>
      </c>
      <c r="C72" s="8" t="n">
        <v>7.21</v>
      </c>
      <c r="D72" s="9" t="n">
        <f aca="false">ROUND(C72*ASM!$B$8*ASM!$B$13*(1+ASM!$B$3)+ASM!$B$4+ASM!$B$5+ASM!$B$6,2)</f>
        <v>820.84</v>
      </c>
      <c r="E72" s="7" t="n">
        <f aca="false">ROUND((C72*ASM!$B$8*ASM!$B$13*(1+ASM!$B$3)+ASM!$B$4+ASM!$B$5+ASM!$B$6)*IF(A72&lt;=7,ASM!$B$7,ASM!$B$17),0)</f>
        <v>1272</v>
      </c>
      <c r="F72" s="10" t="n">
        <f aca="false">CEILING(E72/0.75,5)</f>
        <v>1700</v>
      </c>
      <c r="G72" s="9" t="n">
        <f aca="false">F72*0.75</f>
        <v>1275</v>
      </c>
      <c r="H72" s="7" t="n">
        <f aca="false">ROUND((D72+0.45)/(1-ASM!$B$9),0)</f>
        <v>918</v>
      </c>
      <c r="I72" s="7" t="n">
        <f aca="false">ROUND((D72+0.45)/(1-ASM!$B$9-ASM!$B$10),0)</f>
        <v>1102</v>
      </c>
      <c r="J72" s="7" t="str">
        <f aca="false">IF(G72&gt;=H72,"OK","FLOOR ALTI")</f>
        <v>OK</v>
      </c>
    </row>
    <row r="73" customFormat="false" ht="15" hidden="false" customHeight="false" outlineLevel="0" collapsed="false">
      <c r="A73" s="7" t="n">
        <v>7</v>
      </c>
      <c r="B73" s="7" t="n">
        <v>10</v>
      </c>
      <c r="C73" s="8" t="n">
        <v>7.48</v>
      </c>
      <c r="D73" s="9" t="n">
        <f aca="false">ROUND(C73*ASM!$B$8*ASM!$B$13*(1+ASM!$B$3)+ASM!$B$4+ASM!$B$5+ASM!$B$6,2)</f>
        <v>849.33</v>
      </c>
      <c r="E73" s="7" t="n">
        <f aca="false">ROUND((C73*ASM!$B$8*ASM!$B$13*(1+ASM!$B$3)+ASM!$B$4+ASM!$B$5+ASM!$B$6)*IF(A73&lt;=7,ASM!$B$7,ASM!$B$17),0)</f>
        <v>1316</v>
      </c>
      <c r="F73" s="10" t="n">
        <f aca="false">CEILING(E73/0.75,5)</f>
        <v>1755</v>
      </c>
      <c r="G73" s="9" t="n">
        <f aca="false">F73*0.75</f>
        <v>1316.25</v>
      </c>
      <c r="H73" s="7" t="n">
        <f aca="false">ROUND((D73+0.45)/(1-ASM!$B$9),0)</f>
        <v>949</v>
      </c>
      <c r="I73" s="7" t="n">
        <f aca="false">ROUND((D73+0.45)/(1-ASM!$B$9-ASM!$B$10),0)</f>
        <v>1141</v>
      </c>
      <c r="J73" s="7" t="str">
        <f aca="false">IF(G73&gt;=H73,"OK","FLOOR ALTI")</f>
        <v>OK</v>
      </c>
    </row>
    <row r="74" customFormat="false" ht="15" hidden="false" customHeight="false" outlineLevel="0" collapsed="false">
      <c r="A74" s="7" t="n">
        <v>7</v>
      </c>
      <c r="B74" s="7" t="n">
        <v>11</v>
      </c>
      <c r="C74" s="8" t="n">
        <v>7.75</v>
      </c>
      <c r="D74" s="9" t="n">
        <f aca="false">ROUND(C74*ASM!$B$8*ASM!$B$13*(1+ASM!$B$3)+ASM!$B$4+ASM!$B$5+ASM!$B$6,2)</f>
        <v>877.83</v>
      </c>
      <c r="E74" s="7" t="n">
        <f aca="false">ROUND((C74*ASM!$B$8*ASM!$B$13*(1+ASM!$B$3)+ASM!$B$4+ASM!$B$5+ASM!$B$6)*IF(A74&lt;=7,ASM!$B$7,ASM!$B$17),0)</f>
        <v>1361</v>
      </c>
      <c r="F74" s="10" t="n">
        <f aca="false">CEILING(E74/0.75,5)</f>
        <v>1815</v>
      </c>
      <c r="G74" s="9" t="n">
        <f aca="false">F74*0.75</f>
        <v>1361.25</v>
      </c>
      <c r="H74" s="7" t="n">
        <f aca="false">ROUND((D74+0.45)/(1-ASM!$B$9),0)</f>
        <v>981</v>
      </c>
      <c r="I74" s="7" t="n">
        <f aca="false">ROUND((D74+0.45)/(1-ASM!$B$9-ASM!$B$10),0)</f>
        <v>1179</v>
      </c>
      <c r="J74" s="7" t="str">
        <f aca="false">IF(G74&gt;=H74,"OK","FLOOR ALTI")</f>
        <v>OK</v>
      </c>
    </row>
    <row r="75" customFormat="false" ht="15" hidden="false" customHeight="false" outlineLevel="0" collapsed="false">
      <c r="A75" s="7" t="n">
        <v>7</v>
      </c>
      <c r="B75" s="7" t="n">
        <v>12</v>
      </c>
      <c r="C75" s="8" t="n">
        <v>8.02</v>
      </c>
      <c r="D75" s="9" t="n">
        <f aca="false">ROUND(C75*ASM!$B$8*ASM!$B$13*(1+ASM!$B$3)+ASM!$B$4+ASM!$B$5+ASM!$B$6,2)</f>
        <v>906.32</v>
      </c>
      <c r="E75" s="7" t="n">
        <f aca="false">ROUND((C75*ASM!$B$8*ASM!$B$13*(1+ASM!$B$3)+ASM!$B$4+ASM!$B$5+ASM!$B$6)*IF(A75&lt;=7,ASM!$B$7,ASM!$B$17),0)</f>
        <v>1405</v>
      </c>
      <c r="F75" s="10" t="n">
        <f aca="false">CEILING(E75/0.75,5)</f>
        <v>1875</v>
      </c>
      <c r="G75" s="9" t="n">
        <f aca="false">F75*0.75</f>
        <v>1406.25</v>
      </c>
      <c r="H75" s="7" t="n">
        <f aca="false">ROUND((D75+0.45)/(1-ASM!$B$9),0)</f>
        <v>1013</v>
      </c>
      <c r="I75" s="7" t="n">
        <f aca="false">ROUND((D75+0.45)/(1-ASM!$B$9-ASM!$B$10),0)</f>
        <v>1217</v>
      </c>
      <c r="J75" s="7" t="str">
        <f aca="false">IF(G75&gt;=H75,"OK","FLOOR ALTI")</f>
        <v>OK</v>
      </c>
    </row>
    <row r="76" customFormat="false" ht="15" hidden="false" customHeight="false" outlineLevel="0" collapsed="false">
      <c r="A76" s="7" t="n">
        <v>7</v>
      </c>
      <c r="B76" s="7" t="n">
        <v>13</v>
      </c>
      <c r="C76" s="8" t="n">
        <v>8.28</v>
      </c>
      <c r="D76" s="9" t="n">
        <f aca="false">ROUND(C76*ASM!$B$8*ASM!$B$13*(1+ASM!$B$3)+ASM!$B$4+ASM!$B$5+ASM!$B$6,2)</f>
        <v>933.75</v>
      </c>
      <c r="E76" s="7" t="n">
        <f aca="false">ROUND((C76*ASM!$B$8*ASM!$B$13*(1+ASM!$B$3)+ASM!$B$4+ASM!$B$5+ASM!$B$6)*IF(A76&lt;=7,ASM!$B$7,ASM!$B$17),0)</f>
        <v>1447</v>
      </c>
      <c r="F76" s="10" t="n">
        <f aca="false">CEILING(E76/0.75,5)</f>
        <v>1930</v>
      </c>
      <c r="G76" s="9" t="n">
        <f aca="false">F76*0.75</f>
        <v>1447.5</v>
      </c>
      <c r="H76" s="7" t="n">
        <f aca="false">ROUND((D76+0.45)/(1-ASM!$B$9),0)</f>
        <v>1044</v>
      </c>
      <c r="I76" s="7" t="n">
        <f aca="false">ROUND((D76+0.45)/(1-ASM!$B$9-ASM!$B$10),0)</f>
        <v>1254</v>
      </c>
      <c r="J76" s="7" t="str">
        <f aca="false">IF(G76&gt;=H76,"OK","FLOOR ALTI")</f>
        <v>OK</v>
      </c>
    </row>
    <row r="77" customFormat="false" ht="15" hidden="false" customHeight="false" outlineLevel="0" collapsed="false">
      <c r="A77" s="7" t="n">
        <v>7</v>
      </c>
      <c r="B77" s="7" t="n">
        <v>14</v>
      </c>
      <c r="C77" s="8" t="n">
        <v>8.56</v>
      </c>
      <c r="D77" s="9" t="n">
        <f aca="false">ROUND(C77*ASM!$B$8*ASM!$B$13*(1+ASM!$B$3)+ASM!$B$4+ASM!$B$5+ASM!$B$6,2)</f>
        <v>963.3</v>
      </c>
      <c r="E77" s="7" t="n">
        <f aca="false">ROUND((C77*ASM!$B$8*ASM!$B$13*(1+ASM!$B$3)+ASM!$B$4+ASM!$B$5+ASM!$B$6)*IF(A77&lt;=7,ASM!$B$7,ASM!$B$17),0)</f>
        <v>1493</v>
      </c>
      <c r="F77" s="10" t="n">
        <f aca="false">CEILING(E77/0.75,5)</f>
        <v>1995</v>
      </c>
      <c r="G77" s="9" t="n">
        <f aca="false">F77*0.75</f>
        <v>1496.25</v>
      </c>
      <c r="H77" s="7" t="n">
        <f aca="false">ROUND((D77+0.45)/(1-ASM!$B$9),0)</f>
        <v>1077</v>
      </c>
      <c r="I77" s="7" t="n">
        <f aca="false">ROUND((D77+0.45)/(1-ASM!$B$9-ASM!$B$10),0)</f>
        <v>1294</v>
      </c>
      <c r="J77" s="7" t="str">
        <f aca="false">IF(G77&gt;=H77,"OK","FLOOR ALTI")</f>
        <v>OK</v>
      </c>
    </row>
    <row r="78" customFormat="false" ht="15" hidden="false" customHeight="false" outlineLevel="0" collapsed="false">
      <c r="A78" s="7" t="n">
        <v>7</v>
      </c>
      <c r="B78" s="7" t="n">
        <v>15</v>
      </c>
      <c r="C78" s="8" t="n">
        <v>8.83</v>
      </c>
      <c r="D78" s="9" t="n">
        <f aca="false">ROUND(C78*ASM!$B$8*ASM!$B$13*(1+ASM!$B$3)+ASM!$B$4+ASM!$B$5+ASM!$B$6,2)</f>
        <v>991.79</v>
      </c>
      <c r="E78" s="7" t="n">
        <f aca="false">ROUND((C78*ASM!$B$8*ASM!$B$13*(1+ASM!$B$3)+ASM!$B$4+ASM!$B$5+ASM!$B$6)*IF(A78&lt;=7,ASM!$B$7,ASM!$B$17),0)</f>
        <v>1537</v>
      </c>
      <c r="F78" s="10" t="n">
        <f aca="false">CEILING(E78/0.75,5)</f>
        <v>2050</v>
      </c>
      <c r="G78" s="9" t="n">
        <f aca="false">F78*0.75</f>
        <v>1537.5</v>
      </c>
      <c r="H78" s="7" t="n">
        <f aca="false">ROUND((D78+0.45)/(1-ASM!$B$9),0)</f>
        <v>1109</v>
      </c>
      <c r="I78" s="7" t="n">
        <f aca="false">ROUND((D78+0.45)/(1-ASM!$B$9-ASM!$B$10),0)</f>
        <v>1332</v>
      </c>
      <c r="J78" s="7" t="str">
        <f aca="false">IF(G78&gt;=H78,"OK","FLOOR ALTI")</f>
        <v>OK</v>
      </c>
    </row>
    <row r="79" customFormat="false" ht="15" hidden="false" customHeight="false" outlineLevel="0" collapsed="false">
      <c r="A79" s="7" t="n">
        <v>7</v>
      </c>
      <c r="B79" s="7" t="n">
        <v>16</v>
      </c>
      <c r="C79" s="8" t="n">
        <v>9.1</v>
      </c>
      <c r="D79" s="9" t="n">
        <f aca="false">ROUND(C79*ASM!$B$8*ASM!$B$13*(1+ASM!$B$3)+ASM!$B$4+ASM!$B$5+ASM!$B$6,2)</f>
        <v>1020.29</v>
      </c>
      <c r="E79" s="7" t="n">
        <f aca="false">ROUND((C79*ASM!$B$8*ASM!$B$13*(1+ASM!$B$3)+ASM!$B$4+ASM!$B$5+ASM!$B$6)*IF(A79&lt;=7,ASM!$B$7,ASM!$B$17),0)</f>
        <v>1581</v>
      </c>
      <c r="F79" s="10" t="n">
        <f aca="false">CEILING(E79/0.75,5)</f>
        <v>2110</v>
      </c>
      <c r="G79" s="9" t="n">
        <f aca="false">F79*0.75</f>
        <v>1582.5</v>
      </c>
      <c r="H79" s="7" t="n">
        <f aca="false">ROUND((D79+0.45)/(1-ASM!$B$9),0)</f>
        <v>1140</v>
      </c>
      <c r="I79" s="7" t="n">
        <f aca="false">ROUND((D79+0.45)/(1-ASM!$B$9-ASM!$B$10),0)</f>
        <v>1370</v>
      </c>
      <c r="J79" s="7" t="str">
        <f aca="false">IF(G79&gt;=H79,"OK","FLOOR ALTI")</f>
        <v>OK</v>
      </c>
    </row>
    <row r="80" customFormat="false" ht="15" hidden="false" customHeight="false" outlineLevel="0" collapsed="false">
      <c r="A80" s="7" t="n">
        <v>8</v>
      </c>
      <c r="B80" s="7" t="n">
        <v>4</v>
      </c>
      <c r="C80" s="8" t="n">
        <v>6.48</v>
      </c>
      <c r="D80" s="9" t="n">
        <f aca="false">ROUND(C80*ASM!$B$8*ASM!$B$13*(1+ASM!$B$3)+ASM!$B$4+ASM!$B$5+ASM!$B$6,2)</f>
        <v>743.81</v>
      </c>
      <c r="E80" s="7" t="n">
        <f aca="false">ROUND((C80*ASM!$B$8*ASM!$B$13*(1+ASM!$B$3)+ASM!$B$4+ASM!$B$5+ASM!$B$6)*IF(A80&lt;=7,ASM!$B$7,ASM!$B$17),0)</f>
        <v>1488</v>
      </c>
      <c r="F80" s="10" t="n">
        <f aca="false">CEILING(E80/0.75,5)</f>
        <v>1985</v>
      </c>
      <c r="G80" s="9" t="n">
        <f aca="false">F80*0.75</f>
        <v>1488.75</v>
      </c>
      <c r="H80" s="7" t="n">
        <f aca="false">ROUND((D80+0.45)/(1-ASM!$B$9),0)</f>
        <v>832</v>
      </c>
      <c r="I80" s="7" t="n">
        <f aca="false">ROUND((D80+0.45)/(1-ASM!$B$9-ASM!$B$10),0)</f>
        <v>999</v>
      </c>
      <c r="J80" s="7" t="str">
        <f aca="false">IF(G80&gt;=H80,"OK","FLOOR ALTI")</f>
        <v>OK</v>
      </c>
    </row>
    <row r="81" customFormat="false" ht="15" hidden="false" customHeight="false" outlineLevel="0" collapsed="false">
      <c r="A81" s="7" t="n">
        <v>8</v>
      </c>
      <c r="B81" s="7" t="n">
        <v>5</v>
      </c>
      <c r="C81" s="8" t="n">
        <v>6.77</v>
      </c>
      <c r="D81" s="9" t="n">
        <f aca="false">ROUND(C81*ASM!$B$8*ASM!$B$13*(1+ASM!$B$3)+ASM!$B$4+ASM!$B$5+ASM!$B$6,2)</f>
        <v>774.41</v>
      </c>
      <c r="E81" s="7" t="n">
        <f aca="false">ROUND((C81*ASM!$B$8*ASM!$B$13*(1+ASM!$B$3)+ASM!$B$4+ASM!$B$5+ASM!$B$6)*IF(A81&lt;=7,ASM!$B$7,ASM!$B$17),0)</f>
        <v>1549</v>
      </c>
      <c r="F81" s="10" t="n">
        <f aca="false">CEILING(E81/0.75,5)</f>
        <v>2070</v>
      </c>
      <c r="G81" s="9" t="n">
        <f aca="false">F81*0.75</f>
        <v>1552.5</v>
      </c>
      <c r="H81" s="7" t="n">
        <f aca="false">ROUND((D81+0.45)/(1-ASM!$B$9),0)</f>
        <v>866</v>
      </c>
      <c r="I81" s="7" t="n">
        <f aca="false">ROUND((D81+0.45)/(1-ASM!$B$9-ASM!$B$10),0)</f>
        <v>1040</v>
      </c>
      <c r="J81" s="7" t="str">
        <f aca="false">IF(G81&gt;=H81,"OK","FLOOR ALTI")</f>
        <v>OK</v>
      </c>
    </row>
    <row r="82" customFormat="false" ht="15" hidden="false" customHeight="false" outlineLevel="0" collapsed="false">
      <c r="A82" s="7" t="n">
        <v>8</v>
      </c>
      <c r="B82" s="7" t="n">
        <v>6</v>
      </c>
      <c r="C82" s="8" t="n">
        <v>7.07</v>
      </c>
      <c r="D82" s="9" t="n">
        <f aca="false">ROUND(C82*ASM!$B$8*ASM!$B$13*(1+ASM!$B$3)+ASM!$B$4+ASM!$B$5+ASM!$B$6,2)</f>
        <v>806.07</v>
      </c>
      <c r="E82" s="7" t="n">
        <f aca="false">ROUND((C82*ASM!$B$8*ASM!$B$13*(1+ASM!$B$3)+ASM!$B$4+ASM!$B$5+ASM!$B$6)*IF(A82&lt;=7,ASM!$B$7,ASM!$B$17),0)</f>
        <v>1612</v>
      </c>
      <c r="F82" s="10" t="n">
        <f aca="false">CEILING(E82/0.75,5)</f>
        <v>2150</v>
      </c>
      <c r="G82" s="9" t="n">
        <f aca="false">F82*0.75</f>
        <v>1612.5</v>
      </c>
      <c r="H82" s="7" t="n">
        <f aca="false">ROUND((D82+0.45)/(1-ASM!$B$9),0)</f>
        <v>901</v>
      </c>
      <c r="I82" s="7" t="n">
        <f aca="false">ROUND((D82+0.45)/(1-ASM!$B$9-ASM!$B$10),0)</f>
        <v>1083</v>
      </c>
      <c r="J82" s="7" t="str">
        <f aca="false">IF(G82&gt;=H82,"OK","FLOOR ALTI")</f>
        <v>OK</v>
      </c>
    </row>
    <row r="83" customFormat="false" ht="15" hidden="false" customHeight="false" outlineLevel="0" collapsed="false">
      <c r="A83" s="7" t="n">
        <v>8</v>
      </c>
      <c r="B83" s="7" t="n">
        <v>7</v>
      </c>
      <c r="C83" s="8" t="n">
        <v>7.36</v>
      </c>
      <c r="D83" s="9" t="n">
        <f aca="false">ROUND(C83*ASM!$B$8*ASM!$B$13*(1+ASM!$B$3)+ASM!$B$4+ASM!$B$5+ASM!$B$6,2)</f>
        <v>836.67</v>
      </c>
      <c r="E83" s="7" t="n">
        <f aca="false">ROUND((C83*ASM!$B$8*ASM!$B$13*(1+ASM!$B$3)+ASM!$B$4+ASM!$B$5+ASM!$B$6)*IF(A83&lt;=7,ASM!$B$7,ASM!$B$17),0)</f>
        <v>1673</v>
      </c>
      <c r="F83" s="10" t="n">
        <f aca="false">CEILING(E83/0.75,5)</f>
        <v>2235</v>
      </c>
      <c r="G83" s="9" t="n">
        <f aca="false">F83*0.75</f>
        <v>1676.25</v>
      </c>
      <c r="H83" s="7" t="n">
        <f aca="false">ROUND((D83+0.45)/(1-ASM!$B$9),0)</f>
        <v>935</v>
      </c>
      <c r="I83" s="7" t="n">
        <f aca="false">ROUND((D83+0.45)/(1-ASM!$B$9-ASM!$B$10),0)</f>
        <v>1124</v>
      </c>
      <c r="J83" s="7" t="str">
        <f aca="false">IF(G83&gt;=H83,"OK","FLOOR ALTI")</f>
        <v>OK</v>
      </c>
    </row>
    <row r="84" customFormat="false" ht="15" hidden="false" customHeight="false" outlineLevel="0" collapsed="false">
      <c r="A84" s="7" t="n">
        <v>8</v>
      </c>
      <c r="B84" s="7" t="n">
        <v>8</v>
      </c>
      <c r="C84" s="8" t="n">
        <v>7.66</v>
      </c>
      <c r="D84" s="9" t="n">
        <f aca="false">ROUND(C84*ASM!$B$8*ASM!$B$13*(1+ASM!$B$3)+ASM!$B$4+ASM!$B$5+ASM!$B$6,2)</f>
        <v>868.33</v>
      </c>
      <c r="E84" s="7" t="n">
        <f aca="false">ROUND((C84*ASM!$B$8*ASM!$B$13*(1+ASM!$B$3)+ASM!$B$4+ASM!$B$5+ASM!$B$6)*IF(A84&lt;=7,ASM!$B$7,ASM!$B$17),0)</f>
        <v>1737</v>
      </c>
      <c r="F84" s="10" t="n">
        <f aca="false">CEILING(E84/0.75,5)</f>
        <v>2320</v>
      </c>
      <c r="G84" s="9" t="n">
        <f aca="false">F84*0.75</f>
        <v>1740</v>
      </c>
      <c r="H84" s="7" t="n">
        <f aca="false">ROUND((D84+0.45)/(1-ASM!$B$9),0)</f>
        <v>971</v>
      </c>
      <c r="I84" s="7" t="n">
        <f aca="false">ROUND((D84+0.45)/(1-ASM!$B$9-ASM!$B$10),0)</f>
        <v>1166</v>
      </c>
      <c r="J84" s="7" t="str">
        <f aca="false">IF(G84&gt;=H84,"OK","FLOOR ALTI")</f>
        <v>OK</v>
      </c>
    </row>
    <row r="85" customFormat="false" ht="15" hidden="false" customHeight="false" outlineLevel="0" collapsed="false">
      <c r="A85" s="7" t="n">
        <v>8</v>
      </c>
      <c r="B85" s="7" t="n">
        <v>9</v>
      </c>
      <c r="C85" s="8" t="n">
        <v>7.94</v>
      </c>
      <c r="D85" s="9" t="n">
        <f aca="false">ROUND(C85*ASM!$B$8*ASM!$B$13*(1+ASM!$B$3)+ASM!$B$4+ASM!$B$5+ASM!$B$6,2)</f>
        <v>897.88</v>
      </c>
      <c r="E85" s="7" t="n">
        <f aca="false">ROUND((C85*ASM!$B$8*ASM!$B$13*(1+ASM!$B$3)+ASM!$B$4+ASM!$B$5+ASM!$B$6)*IF(A85&lt;=7,ASM!$B$7,ASM!$B$17),0)</f>
        <v>1796</v>
      </c>
      <c r="F85" s="10" t="n">
        <f aca="false">CEILING(E85/0.75,5)</f>
        <v>2395</v>
      </c>
      <c r="G85" s="9" t="n">
        <f aca="false">F85*0.75</f>
        <v>1796.25</v>
      </c>
      <c r="H85" s="7" t="n">
        <f aca="false">ROUND((D85+0.45)/(1-ASM!$B$9),0)</f>
        <v>1004</v>
      </c>
      <c r="I85" s="7" t="n">
        <f aca="false">ROUND((D85+0.45)/(1-ASM!$B$9-ASM!$B$10),0)</f>
        <v>1206</v>
      </c>
      <c r="J85" s="7" t="str">
        <f aca="false">IF(G85&gt;=H85,"OK","FLOOR ALTI")</f>
        <v>OK</v>
      </c>
    </row>
    <row r="86" customFormat="false" ht="15" hidden="false" customHeight="false" outlineLevel="0" collapsed="false">
      <c r="A86" s="7" t="n">
        <v>8</v>
      </c>
      <c r="B86" s="7" t="n">
        <v>10</v>
      </c>
      <c r="C86" s="8" t="n">
        <v>8.24</v>
      </c>
      <c r="D86" s="9" t="n">
        <f aca="false">ROUND(C86*ASM!$B$8*ASM!$B$13*(1+ASM!$B$3)+ASM!$B$4+ASM!$B$5+ASM!$B$6,2)</f>
        <v>929.53</v>
      </c>
      <c r="E86" s="7" t="n">
        <f aca="false">ROUND((C86*ASM!$B$8*ASM!$B$13*(1+ASM!$B$3)+ASM!$B$4+ASM!$B$5+ASM!$B$6)*IF(A86&lt;=7,ASM!$B$7,ASM!$B$17),0)</f>
        <v>1859</v>
      </c>
      <c r="F86" s="10" t="n">
        <f aca="false">CEILING(E86/0.75,5)</f>
        <v>2480</v>
      </c>
      <c r="G86" s="9" t="n">
        <f aca="false">F86*0.75</f>
        <v>1860</v>
      </c>
      <c r="H86" s="7" t="n">
        <f aca="false">ROUND((D86+0.45)/(1-ASM!$B$9),0)</f>
        <v>1039</v>
      </c>
      <c r="I86" s="7" t="n">
        <f aca="false">ROUND((D86+0.45)/(1-ASM!$B$9-ASM!$B$10),0)</f>
        <v>1248</v>
      </c>
      <c r="J86" s="7" t="str">
        <f aca="false">IF(G86&gt;=H86,"OK","FLOOR ALTI")</f>
        <v>OK</v>
      </c>
    </row>
    <row r="87" customFormat="false" ht="15" hidden="false" customHeight="false" outlineLevel="0" collapsed="false">
      <c r="A87" s="7" t="n">
        <v>8</v>
      </c>
      <c r="B87" s="7" t="n">
        <v>11</v>
      </c>
      <c r="C87" s="8" t="n">
        <v>8.53</v>
      </c>
      <c r="D87" s="9" t="n">
        <f aca="false">ROUND(C87*ASM!$B$8*ASM!$B$13*(1+ASM!$B$3)+ASM!$B$4+ASM!$B$5+ASM!$B$6,2)</f>
        <v>960.14</v>
      </c>
      <c r="E87" s="7" t="n">
        <f aca="false">ROUND((C87*ASM!$B$8*ASM!$B$13*(1+ASM!$B$3)+ASM!$B$4+ASM!$B$5+ASM!$B$6)*IF(A87&lt;=7,ASM!$B$7,ASM!$B$17),0)</f>
        <v>1920</v>
      </c>
      <c r="F87" s="10" t="n">
        <f aca="false">CEILING(E87/0.75,5)</f>
        <v>2560</v>
      </c>
      <c r="G87" s="9" t="n">
        <f aca="false">F87*0.75</f>
        <v>1920</v>
      </c>
      <c r="H87" s="7" t="n">
        <f aca="false">ROUND((D87+0.45)/(1-ASM!$B$9),0)</f>
        <v>1073</v>
      </c>
      <c r="I87" s="7" t="n">
        <f aca="false">ROUND((D87+0.45)/(1-ASM!$B$9-ASM!$B$10),0)</f>
        <v>1289</v>
      </c>
      <c r="J87" s="7" t="str">
        <f aca="false">IF(G87&gt;=H87,"OK","FLOOR ALTI")</f>
        <v>OK</v>
      </c>
    </row>
    <row r="88" customFormat="false" ht="15" hidden="false" customHeight="false" outlineLevel="0" collapsed="false">
      <c r="A88" s="7" t="n">
        <v>8</v>
      </c>
      <c r="B88" s="7" t="n">
        <v>12</v>
      </c>
      <c r="C88" s="8" t="n">
        <v>8.83</v>
      </c>
      <c r="D88" s="9" t="n">
        <f aca="false">ROUND(C88*ASM!$B$8*ASM!$B$13*(1+ASM!$B$3)+ASM!$B$4+ASM!$B$5+ASM!$B$6,2)</f>
        <v>991.79</v>
      </c>
      <c r="E88" s="7" t="n">
        <f aca="false">ROUND((C88*ASM!$B$8*ASM!$B$13*(1+ASM!$B$3)+ASM!$B$4+ASM!$B$5+ASM!$B$6)*IF(A88&lt;=7,ASM!$B$7,ASM!$B$17),0)</f>
        <v>1984</v>
      </c>
      <c r="F88" s="10" t="n">
        <f aca="false">CEILING(E88/0.75,5)</f>
        <v>2650</v>
      </c>
      <c r="G88" s="9" t="n">
        <f aca="false">F88*0.75</f>
        <v>1987.5</v>
      </c>
      <c r="H88" s="7" t="n">
        <f aca="false">ROUND((D88+0.45)/(1-ASM!$B$9),0)</f>
        <v>1109</v>
      </c>
      <c r="I88" s="7" t="n">
        <f aca="false">ROUND((D88+0.45)/(1-ASM!$B$9-ASM!$B$10),0)</f>
        <v>1332</v>
      </c>
      <c r="J88" s="7" t="str">
        <f aca="false">IF(G88&gt;=H88,"OK","FLOOR ALTI")</f>
        <v>OK</v>
      </c>
    </row>
    <row r="89" customFormat="false" ht="15" hidden="false" customHeight="false" outlineLevel="0" collapsed="false">
      <c r="A89" s="7" t="n">
        <v>8</v>
      </c>
      <c r="B89" s="7" t="n">
        <v>13</v>
      </c>
      <c r="C89" s="8" t="n">
        <v>9.12</v>
      </c>
      <c r="D89" s="9" t="n">
        <f aca="false">ROUND(C89*ASM!$B$8*ASM!$B$13*(1+ASM!$B$3)+ASM!$B$4+ASM!$B$5+ASM!$B$6,2)</f>
        <v>1022.4</v>
      </c>
      <c r="E89" s="7" t="n">
        <f aca="false">ROUND((C89*ASM!$B$8*ASM!$B$13*(1+ASM!$B$3)+ASM!$B$4+ASM!$B$5+ASM!$B$6)*IF(A89&lt;=7,ASM!$B$7,ASM!$B$17),0)</f>
        <v>2045</v>
      </c>
      <c r="F89" s="10" t="n">
        <f aca="false">CEILING(E89/0.75,5)</f>
        <v>2730</v>
      </c>
      <c r="G89" s="9" t="n">
        <f aca="false">F89*0.75</f>
        <v>2047.5</v>
      </c>
      <c r="H89" s="7" t="n">
        <f aca="false">ROUND((D89+0.45)/(1-ASM!$B$9),0)</f>
        <v>1143</v>
      </c>
      <c r="I89" s="7" t="n">
        <f aca="false">ROUND((D89+0.45)/(1-ASM!$B$9-ASM!$B$10),0)</f>
        <v>1373</v>
      </c>
      <c r="J89" s="7" t="str">
        <f aca="false">IF(G89&gt;=H89,"OK","FLOOR ALTI")</f>
        <v>OK</v>
      </c>
    </row>
    <row r="90" customFormat="false" ht="15" hidden="false" customHeight="false" outlineLevel="0" collapsed="false">
      <c r="A90" s="7" t="n">
        <v>8</v>
      </c>
      <c r="B90" s="7" t="n">
        <v>14</v>
      </c>
      <c r="C90" s="8" t="n">
        <v>9.36</v>
      </c>
      <c r="D90" s="9" t="n">
        <f aca="false">ROUND(C90*ASM!$B$8*ASM!$B$13*(1+ASM!$B$3)+ASM!$B$4+ASM!$B$5+ASM!$B$6,2)</f>
        <v>1047.72</v>
      </c>
      <c r="E90" s="7" t="n">
        <f aca="false">ROUND((C90*ASM!$B$8*ASM!$B$13*(1+ASM!$B$3)+ASM!$B$4+ASM!$B$5+ASM!$B$6)*IF(A90&lt;=7,ASM!$B$7,ASM!$B$17),0)</f>
        <v>2095</v>
      </c>
      <c r="F90" s="10" t="n">
        <f aca="false">CEILING(E90/0.75,5)</f>
        <v>2795</v>
      </c>
      <c r="G90" s="9" t="n">
        <f aca="false">F90*0.75</f>
        <v>2096.25</v>
      </c>
      <c r="H90" s="7" t="n">
        <f aca="false">ROUND((D90+0.45)/(1-ASM!$B$9),0)</f>
        <v>1171</v>
      </c>
      <c r="I90" s="7" t="n">
        <f aca="false">ROUND((D90+0.45)/(1-ASM!$B$9-ASM!$B$10),0)</f>
        <v>1407</v>
      </c>
      <c r="J90" s="7" t="str">
        <f aca="false">IF(G90&gt;=H90,"OK","FLOOR ALTI")</f>
        <v>OK</v>
      </c>
    </row>
    <row r="91" customFormat="false" ht="15" hidden="false" customHeight="false" outlineLevel="0" collapsed="false">
      <c r="A91" s="7" t="n">
        <v>8</v>
      </c>
      <c r="B91" s="7" t="n">
        <v>15</v>
      </c>
      <c r="C91" s="8" t="n">
        <v>9.6</v>
      </c>
      <c r="D91" s="9" t="n">
        <f aca="false">ROUND(C91*ASM!$B$8*ASM!$B$13*(1+ASM!$B$3)+ASM!$B$4+ASM!$B$5+ASM!$B$6,2)</f>
        <v>1073.05</v>
      </c>
      <c r="E91" s="7" t="n">
        <f aca="false">ROUND((C91*ASM!$B$8*ASM!$B$13*(1+ASM!$B$3)+ASM!$B$4+ASM!$B$5+ASM!$B$6)*IF(A91&lt;=7,ASM!$B$7,ASM!$B$17),0)</f>
        <v>2146</v>
      </c>
      <c r="F91" s="10" t="n">
        <f aca="false">CEILING(E91/0.75,5)</f>
        <v>2865</v>
      </c>
      <c r="G91" s="9" t="n">
        <f aca="false">F91*0.75</f>
        <v>2148.75</v>
      </c>
      <c r="H91" s="7" t="n">
        <f aca="false">ROUND((D91+0.45)/(1-ASM!$B$9),0)</f>
        <v>1199</v>
      </c>
      <c r="I91" s="7" t="n">
        <f aca="false">ROUND((D91+0.45)/(1-ASM!$B$9-ASM!$B$10),0)</f>
        <v>1441</v>
      </c>
      <c r="J91" s="7" t="str">
        <f aca="false">IF(G91&gt;=H91,"OK","FLOOR ALTI")</f>
        <v>OK</v>
      </c>
    </row>
    <row r="92" customFormat="false" ht="15" hidden="false" customHeight="false" outlineLevel="0" collapsed="false">
      <c r="A92" s="7" t="n">
        <v>8</v>
      </c>
      <c r="B92" s="7" t="n">
        <v>16</v>
      </c>
      <c r="C92" s="8" t="n">
        <v>9.97</v>
      </c>
      <c r="D92" s="9" t="n">
        <f aca="false">ROUND(C92*ASM!$B$8*ASM!$B$13*(1+ASM!$B$3)+ASM!$B$4+ASM!$B$5+ASM!$B$6,2)</f>
        <v>1112.09</v>
      </c>
      <c r="E92" s="7" t="n">
        <f aca="false">ROUND((C92*ASM!$B$8*ASM!$B$13*(1+ASM!$B$3)+ASM!$B$4+ASM!$B$5+ASM!$B$6)*IF(A92&lt;=7,ASM!$B$7,ASM!$B$17),0)</f>
        <v>2224</v>
      </c>
      <c r="F92" s="10" t="n">
        <f aca="false">CEILING(E92/0.75,5)</f>
        <v>2970</v>
      </c>
      <c r="G92" s="9" t="n">
        <f aca="false">F92*0.75</f>
        <v>2227.5</v>
      </c>
      <c r="H92" s="7" t="n">
        <f aca="false">ROUND((D92+0.45)/(1-ASM!$B$9),0)</f>
        <v>1243</v>
      </c>
      <c r="I92" s="7" t="n">
        <f aca="false">ROUND((D92+0.45)/(1-ASM!$B$9-ASM!$B$10),0)</f>
        <v>1493</v>
      </c>
      <c r="J92" s="7" t="str">
        <f aca="false">IF(G92&gt;=H92,"OK","FLOOR ALTI")</f>
        <v>OK</v>
      </c>
    </row>
    <row r="93" customFormat="false" ht="15" hidden="false" customHeight="false" outlineLevel="0" collapsed="false">
      <c r="A93" s="7" t="n">
        <v>9</v>
      </c>
      <c r="B93" s="7" t="n">
        <v>4</v>
      </c>
      <c r="C93" s="8" t="n">
        <v>7.98</v>
      </c>
      <c r="D93" s="9" t="n">
        <f aca="false">ROUND(C93*ASM!$B$8*ASM!$B$13*(1+ASM!$B$3)+ASM!$B$4+ASM!$B$5+ASM!$B$6,2)</f>
        <v>902.1</v>
      </c>
      <c r="E93" s="7" t="n">
        <f aca="false">ROUND((C93*ASM!$B$8*ASM!$B$13*(1+ASM!$B$3)+ASM!$B$4+ASM!$B$5+ASM!$B$6)*IF(A93&lt;=7,ASM!$B$7,ASM!$B$17),0)</f>
        <v>1804</v>
      </c>
      <c r="F93" s="10" t="n">
        <f aca="false">CEILING(E93/0.75,5)</f>
        <v>2410</v>
      </c>
      <c r="G93" s="9" t="n">
        <f aca="false">F93*0.75</f>
        <v>1807.5</v>
      </c>
      <c r="H93" s="7" t="n">
        <f aca="false">ROUND((D93+0.45)/(1-ASM!$B$9),0)</f>
        <v>1008</v>
      </c>
      <c r="I93" s="7" t="n">
        <f aca="false">ROUND((D93+0.45)/(1-ASM!$B$9-ASM!$B$10),0)</f>
        <v>1211</v>
      </c>
      <c r="J93" s="7" t="str">
        <f aca="false">IF(G93&gt;=H93,"OK","FLOOR ALTI")</f>
        <v>OK</v>
      </c>
    </row>
    <row r="94" customFormat="false" ht="15" hidden="false" customHeight="false" outlineLevel="0" collapsed="false">
      <c r="A94" s="7" t="n">
        <v>9</v>
      </c>
      <c r="B94" s="7" t="n">
        <v>5</v>
      </c>
      <c r="C94" s="8" t="n">
        <v>8.36</v>
      </c>
      <c r="D94" s="9" t="n">
        <f aca="false">ROUND(C94*ASM!$B$8*ASM!$B$13*(1+ASM!$B$3)+ASM!$B$4+ASM!$B$5+ASM!$B$6,2)</f>
        <v>942.2</v>
      </c>
      <c r="E94" s="7" t="n">
        <f aca="false">ROUND((C94*ASM!$B$8*ASM!$B$13*(1+ASM!$B$3)+ASM!$B$4+ASM!$B$5+ASM!$B$6)*IF(A94&lt;=7,ASM!$B$7,ASM!$B$17),0)</f>
        <v>1884</v>
      </c>
      <c r="F94" s="10" t="n">
        <f aca="false">CEILING(E94/0.75,5)</f>
        <v>2515</v>
      </c>
      <c r="G94" s="9" t="n">
        <f aca="false">F94*0.75</f>
        <v>1886.25</v>
      </c>
      <c r="H94" s="7" t="n">
        <f aca="false">ROUND((D94+0.45)/(1-ASM!$B$9),0)</f>
        <v>1053</v>
      </c>
      <c r="I94" s="7" t="n">
        <f aca="false">ROUND((D94+0.45)/(1-ASM!$B$9-ASM!$B$10),0)</f>
        <v>1265</v>
      </c>
      <c r="J94" s="7" t="str">
        <f aca="false">IF(G94&gt;=H94,"OK","FLOOR ALTI")</f>
        <v>OK</v>
      </c>
    </row>
    <row r="95" customFormat="false" ht="15" hidden="false" customHeight="false" outlineLevel="0" collapsed="false">
      <c r="A95" s="7" t="n">
        <v>9</v>
      </c>
      <c r="B95" s="7" t="n">
        <v>6</v>
      </c>
      <c r="C95" s="8" t="n">
        <v>8.75</v>
      </c>
      <c r="D95" s="9" t="n">
        <f aca="false">ROUND(C95*ASM!$B$8*ASM!$B$13*(1+ASM!$B$3)+ASM!$B$4+ASM!$B$5+ASM!$B$6,2)</f>
        <v>983.35</v>
      </c>
      <c r="E95" s="7" t="n">
        <f aca="false">ROUND((C95*ASM!$B$8*ASM!$B$13*(1+ASM!$B$3)+ASM!$B$4+ASM!$B$5+ASM!$B$6)*IF(A95&lt;=7,ASM!$B$7,ASM!$B$17),0)</f>
        <v>1967</v>
      </c>
      <c r="F95" s="10" t="n">
        <f aca="false">CEILING(E95/0.75,5)</f>
        <v>2625</v>
      </c>
      <c r="G95" s="9" t="n">
        <f aca="false">F95*0.75</f>
        <v>1968.75</v>
      </c>
      <c r="H95" s="7" t="n">
        <f aca="false">ROUND((D95+0.45)/(1-ASM!$B$9),0)</f>
        <v>1099</v>
      </c>
      <c r="I95" s="7" t="n">
        <f aca="false">ROUND((D95+0.45)/(1-ASM!$B$9-ASM!$B$10),0)</f>
        <v>1321</v>
      </c>
      <c r="J95" s="7" t="str">
        <f aca="false">IF(G95&gt;=H95,"OK","FLOOR ALTI")</f>
        <v>OK</v>
      </c>
    </row>
    <row r="96" customFormat="false" ht="15" hidden="false" customHeight="false" outlineLevel="0" collapsed="false">
      <c r="A96" s="7" t="n">
        <v>9</v>
      </c>
      <c r="B96" s="7" t="n">
        <v>7</v>
      </c>
      <c r="C96" s="8" t="n">
        <v>9.14</v>
      </c>
      <c r="D96" s="9" t="n">
        <f aca="false">ROUND(C96*ASM!$B$8*ASM!$B$13*(1+ASM!$B$3)+ASM!$B$4+ASM!$B$5+ASM!$B$6,2)</f>
        <v>1024.51</v>
      </c>
      <c r="E96" s="7" t="n">
        <f aca="false">ROUND((C96*ASM!$B$8*ASM!$B$13*(1+ASM!$B$3)+ASM!$B$4+ASM!$B$5+ASM!$B$6)*IF(A96&lt;=7,ASM!$B$7,ASM!$B$17),0)</f>
        <v>2049</v>
      </c>
      <c r="F96" s="10" t="n">
        <f aca="false">CEILING(E96/0.75,5)</f>
        <v>2735</v>
      </c>
      <c r="G96" s="9" t="n">
        <f aca="false">F96*0.75</f>
        <v>2051.25</v>
      </c>
      <c r="H96" s="7" t="n">
        <f aca="false">ROUND((D96+0.45)/(1-ASM!$B$9),0)</f>
        <v>1145</v>
      </c>
      <c r="I96" s="7" t="n">
        <f aca="false">ROUND((D96+0.45)/(1-ASM!$B$9-ASM!$B$10),0)</f>
        <v>1376</v>
      </c>
      <c r="J96" s="7" t="str">
        <f aca="false">IF(G96&gt;=H96,"OK","FLOOR ALTI")</f>
        <v>OK</v>
      </c>
    </row>
    <row r="97" customFormat="false" ht="15" hidden="false" customHeight="false" outlineLevel="0" collapsed="false">
      <c r="A97" s="7" t="n">
        <v>9</v>
      </c>
      <c r="B97" s="7" t="n">
        <v>8</v>
      </c>
      <c r="C97" s="8" t="n">
        <v>9.52</v>
      </c>
      <c r="D97" s="9" t="n">
        <f aca="false">ROUND(C97*ASM!$B$8*ASM!$B$13*(1+ASM!$B$3)+ASM!$B$4+ASM!$B$5+ASM!$B$6,2)</f>
        <v>1064.61</v>
      </c>
      <c r="E97" s="7" t="n">
        <f aca="false">ROUND((C97*ASM!$B$8*ASM!$B$13*(1+ASM!$B$3)+ASM!$B$4+ASM!$B$5+ASM!$B$6)*IF(A97&lt;=7,ASM!$B$7,ASM!$B$17),0)</f>
        <v>2129</v>
      </c>
      <c r="F97" s="10" t="n">
        <f aca="false">CEILING(E97/0.75,5)</f>
        <v>2840</v>
      </c>
      <c r="G97" s="9" t="n">
        <f aca="false">F97*0.75</f>
        <v>2130</v>
      </c>
      <c r="H97" s="7" t="n">
        <f aca="false">ROUND((D97+0.45)/(1-ASM!$B$9),0)</f>
        <v>1190</v>
      </c>
      <c r="I97" s="7" t="n">
        <f aca="false">ROUND((D97+0.45)/(1-ASM!$B$9-ASM!$B$10),0)</f>
        <v>1430</v>
      </c>
      <c r="J97" s="7" t="str">
        <f aca="false">IF(G97&gt;=H97,"OK","FLOOR ALTI")</f>
        <v>OK</v>
      </c>
    </row>
    <row r="98" customFormat="false" ht="15" hidden="false" customHeight="false" outlineLevel="0" collapsed="false">
      <c r="A98" s="7" t="n">
        <v>9</v>
      </c>
      <c r="B98" s="7" t="n">
        <v>9</v>
      </c>
      <c r="C98" s="8" t="n">
        <v>9.91</v>
      </c>
      <c r="D98" s="9" t="n">
        <f aca="false">ROUND(C98*ASM!$B$8*ASM!$B$13*(1+ASM!$B$3)+ASM!$B$4+ASM!$B$5+ASM!$B$6,2)</f>
        <v>1105.76</v>
      </c>
      <c r="E98" s="7" t="n">
        <f aca="false">ROUND((C98*ASM!$B$8*ASM!$B$13*(1+ASM!$B$3)+ASM!$B$4+ASM!$B$5+ASM!$B$6)*IF(A98&lt;=7,ASM!$B$7,ASM!$B$17),0)</f>
        <v>2212</v>
      </c>
      <c r="F98" s="10" t="n">
        <f aca="false">CEILING(E98/0.75,5)</f>
        <v>2950</v>
      </c>
      <c r="G98" s="9" t="n">
        <f aca="false">F98*0.75</f>
        <v>2212.5</v>
      </c>
      <c r="H98" s="7" t="n">
        <f aca="false">ROUND((D98+0.45)/(1-ASM!$B$9),0)</f>
        <v>1236</v>
      </c>
      <c r="I98" s="7" t="n">
        <f aca="false">ROUND((D98+0.45)/(1-ASM!$B$9-ASM!$B$10),0)</f>
        <v>1485</v>
      </c>
      <c r="J98" s="7" t="str">
        <f aca="false">IF(G98&gt;=H98,"OK","FLOOR ALTI")</f>
        <v>OK</v>
      </c>
    </row>
    <row r="99" customFormat="false" ht="15" hidden="false" customHeight="false" outlineLevel="0" collapsed="false">
      <c r="A99" s="7" t="n">
        <v>9</v>
      </c>
      <c r="B99" s="7" t="n">
        <v>10</v>
      </c>
      <c r="C99" s="8" t="n">
        <v>10.3</v>
      </c>
      <c r="D99" s="9" t="n">
        <f aca="false">ROUND(C99*ASM!$B$8*ASM!$B$13*(1+ASM!$B$3)+ASM!$B$4+ASM!$B$5+ASM!$B$6,2)</f>
        <v>1146.92</v>
      </c>
      <c r="E99" s="7" t="n">
        <f aca="false">ROUND((C99*ASM!$B$8*ASM!$B$13*(1+ASM!$B$3)+ASM!$B$4+ASM!$B$5+ASM!$B$6)*IF(A99&lt;=7,ASM!$B$7,ASM!$B$17),0)</f>
        <v>2294</v>
      </c>
      <c r="F99" s="10" t="n">
        <f aca="false">CEILING(E99/0.75,5)</f>
        <v>3060</v>
      </c>
      <c r="G99" s="9" t="n">
        <f aca="false">F99*0.75</f>
        <v>2295</v>
      </c>
      <c r="H99" s="7" t="n">
        <f aca="false">ROUND((D99+0.45)/(1-ASM!$B$9),0)</f>
        <v>1282</v>
      </c>
      <c r="I99" s="7" t="n">
        <f aca="false">ROUND((D99+0.45)/(1-ASM!$B$9-ASM!$B$10),0)</f>
        <v>1540</v>
      </c>
      <c r="J99" s="7" t="str">
        <f aca="false">IF(G99&gt;=H99,"OK","FLOOR ALTI")</f>
        <v>OK</v>
      </c>
    </row>
    <row r="100" customFormat="false" ht="15" hidden="false" customHeight="false" outlineLevel="0" collapsed="false">
      <c r="A100" s="7" t="n">
        <v>9</v>
      </c>
      <c r="B100" s="7" t="n">
        <v>11</v>
      </c>
      <c r="C100" s="8" t="n">
        <v>10.69</v>
      </c>
      <c r="D100" s="9" t="n">
        <f aca="false">ROUND(C100*ASM!$B$8*ASM!$B$13*(1+ASM!$B$3)+ASM!$B$4+ASM!$B$5+ASM!$B$6,2)</f>
        <v>1188.07</v>
      </c>
      <c r="E100" s="7" t="n">
        <f aca="false">ROUND((C100*ASM!$B$8*ASM!$B$13*(1+ASM!$B$3)+ASM!$B$4+ASM!$B$5+ASM!$B$6)*IF(A100&lt;=7,ASM!$B$7,ASM!$B$17),0)</f>
        <v>2376</v>
      </c>
      <c r="F100" s="10" t="n">
        <f aca="false">CEILING(E100/0.75,5)</f>
        <v>3170</v>
      </c>
      <c r="G100" s="9" t="n">
        <f aca="false">F100*0.75</f>
        <v>2377.5</v>
      </c>
      <c r="H100" s="7" t="n">
        <f aca="false">ROUND((D100+0.45)/(1-ASM!$B$9),0)</f>
        <v>1328</v>
      </c>
      <c r="I100" s="7" t="n">
        <f aca="false">ROUND((D100+0.45)/(1-ASM!$B$9-ASM!$B$10),0)</f>
        <v>1595</v>
      </c>
      <c r="J100" s="7" t="str">
        <f aca="false">IF(G100&gt;=H100,"OK","FLOOR ALTI")</f>
        <v>OK</v>
      </c>
    </row>
    <row r="101" customFormat="false" ht="15" hidden="false" customHeight="false" outlineLevel="0" collapsed="false">
      <c r="A101" s="7" t="n">
        <v>9</v>
      </c>
      <c r="B101" s="7" t="n">
        <v>12</v>
      </c>
      <c r="C101" s="8" t="n">
        <v>11.07</v>
      </c>
      <c r="D101" s="9" t="n">
        <f aca="false">ROUND(C101*ASM!$B$8*ASM!$B$13*(1+ASM!$B$3)+ASM!$B$4+ASM!$B$5+ASM!$B$6,2)</f>
        <v>1228.17</v>
      </c>
      <c r="E101" s="7" t="n">
        <f aca="false">ROUND((C101*ASM!$B$8*ASM!$B$13*(1+ASM!$B$3)+ASM!$B$4+ASM!$B$5+ASM!$B$6)*IF(A101&lt;=7,ASM!$B$7,ASM!$B$17),0)</f>
        <v>2456</v>
      </c>
      <c r="F101" s="10" t="n">
        <f aca="false">CEILING(E101/0.75,5)</f>
        <v>3275</v>
      </c>
      <c r="G101" s="9" t="n">
        <f aca="false">F101*0.75</f>
        <v>2456.25</v>
      </c>
      <c r="H101" s="7" t="n">
        <f aca="false">ROUND((D101+0.45)/(1-ASM!$B$9),0)</f>
        <v>1373</v>
      </c>
      <c r="I101" s="7" t="n">
        <f aca="false">ROUND((D101+0.45)/(1-ASM!$B$9-ASM!$B$10),0)</f>
        <v>1649</v>
      </c>
      <c r="J101" s="7" t="str">
        <f aca="false">IF(G101&gt;=H101,"OK","FLOOR ALTI")</f>
        <v>OK</v>
      </c>
    </row>
    <row r="102" customFormat="false" ht="15" hidden="false" customHeight="false" outlineLevel="0" collapsed="false">
      <c r="A102" s="7" t="n">
        <v>9</v>
      </c>
      <c r="B102" s="7" t="n">
        <v>13</v>
      </c>
      <c r="C102" s="8" t="n">
        <v>11.46</v>
      </c>
      <c r="D102" s="9" t="n">
        <f aca="false">ROUND(C102*ASM!$B$8*ASM!$B$13*(1+ASM!$B$3)+ASM!$B$4+ASM!$B$5+ASM!$B$6,2)</f>
        <v>1269.33</v>
      </c>
      <c r="E102" s="7" t="n">
        <f aca="false">ROUND((C102*ASM!$B$8*ASM!$B$13*(1+ASM!$B$3)+ASM!$B$4+ASM!$B$5+ASM!$B$6)*IF(A102&lt;=7,ASM!$B$7,ASM!$B$17),0)</f>
        <v>2539</v>
      </c>
      <c r="F102" s="10" t="n">
        <f aca="false">CEILING(E102/0.75,5)</f>
        <v>3390</v>
      </c>
      <c r="G102" s="9" t="n">
        <f aca="false">F102*0.75</f>
        <v>2542.5</v>
      </c>
      <c r="H102" s="7" t="n">
        <f aca="false">ROUND((D102+0.45)/(1-ASM!$B$9),0)</f>
        <v>1419</v>
      </c>
      <c r="I102" s="7" t="n">
        <f aca="false">ROUND((D102+0.45)/(1-ASM!$B$9-ASM!$B$10),0)</f>
        <v>1704</v>
      </c>
      <c r="J102" s="7" t="str">
        <f aca="false">IF(G102&gt;=H102,"OK","FLOOR ALTI")</f>
        <v>OK</v>
      </c>
    </row>
    <row r="103" customFormat="false" ht="15" hidden="false" customHeight="false" outlineLevel="0" collapsed="false">
      <c r="A103" s="7" t="n">
        <v>9</v>
      </c>
      <c r="B103" s="7" t="n">
        <v>14</v>
      </c>
      <c r="C103" s="8" t="n">
        <v>11.85</v>
      </c>
      <c r="D103" s="9" t="n">
        <f aca="false">ROUND(C103*ASM!$B$8*ASM!$B$13*(1+ASM!$B$3)+ASM!$B$4+ASM!$B$5+ASM!$B$6,2)</f>
        <v>1310.48</v>
      </c>
      <c r="E103" s="7" t="n">
        <f aca="false">ROUND((C103*ASM!$B$8*ASM!$B$13*(1+ASM!$B$3)+ASM!$B$4+ASM!$B$5+ASM!$B$6)*IF(A103&lt;=7,ASM!$B$7,ASM!$B$17),0)</f>
        <v>2621</v>
      </c>
      <c r="F103" s="10" t="n">
        <f aca="false">CEILING(E103/0.75,5)</f>
        <v>3495</v>
      </c>
      <c r="G103" s="9" t="n">
        <f aca="false">F103*0.75</f>
        <v>2621.25</v>
      </c>
      <c r="H103" s="7" t="n">
        <f aca="false">ROUND((D103+0.45)/(1-ASM!$B$9),0)</f>
        <v>1465</v>
      </c>
      <c r="I103" s="7" t="n">
        <f aca="false">ROUND((D103+0.45)/(1-ASM!$B$9-ASM!$B$10),0)</f>
        <v>1760</v>
      </c>
      <c r="J103" s="7" t="str">
        <f aca="false">IF(G103&gt;=H103,"OK","FLOOR ALTI")</f>
        <v>OK</v>
      </c>
    </row>
    <row r="104" customFormat="false" ht="15" hidden="false" customHeight="false" outlineLevel="0" collapsed="false">
      <c r="A104" s="7" t="n">
        <v>9</v>
      </c>
      <c r="B104" s="7" t="n">
        <v>15</v>
      </c>
      <c r="C104" s="8" t="n">
        <v>12.23</v>
      </c>
      <c r="D104" s="9" t="n">
        <f aca="false">ROUND(C104*ASM!$B$8*ASM!$B$13*(1+ASM!$B$3)+ASM!$B$4+ASM!$B$5+ASM!$B$6,2)</f>
        <v>1350.58</v>
      </c>
      <c r="E104" s="7" t="n">
        <f aca="false">ROUND((C104*ASM!$B$8*ASM!$B$13*(1+ASM!$B$3)+ASM!$B$4+ASM!$B$5+ASM!$B$6)*IF(A104&lt;=7,ASM!$B$7,ASM!$B$17),0)</f>
        <v>2701</v>
      </c>
      <c r="F104" s="10" t="n">
        <f aca="false">CEILING(E104/0.75,5)</f>
        <v>3605</v>
      </c>
      <c r="G104" s="9" t="n">
        <f aca="false">F104*0.75</f>
        <v>2703.75</v>
      </c>
      <c r="H104" s="7" t="n">
        <f aca="false">ROUND((D104+0.45)/(1-ASM!$B$9),0)</f>
        <v>1510</v>
      </c>
      <c r="I104" s="7" t="n">
        <f aca="false">ROUND((D104+0.45)/(1-ASM!$B$9-ASM!$B$10),0)</f>
        <v>1813</v>
      </c>
      <c r="J104" s="7" t="str">
        <f aca="false">IF(G104&gt;=H104,"OK","FLOOR ALTI")</f>
        <v>OK</v>
      </c>
    </row>
    <row r="105" customFormat="false" ht="15" hidden="false" customHeight="false" outlineLevel="0" collapsed="false">
      <c r="A105" s="7" t="n">
        <v>9</v>
      </c>
      <c r="B105" s="7" t="n">
        <v>16</v>
      </c>
      <c r="C105" s="8" t="n">
        <v>12.62</v>
      </c>
      <c r="D105" s="9" t="n">
        <f aca="false">ROUND(C105*ASM!$B$8*ASM!$B$13*(1+ASM!$B$3)+ASM!$B$4+ASM!$B$5+ASM!$B$6,2)</f>
        <v>1391.74</v>
      </c>
      <c r="E105" s="7" t="n">
        <f aca="false">ROUND((C105*ASM!$B$8*ASM!$B$13*(1+ASM!$B$3)+ASM!$B$4+ASM!$B$5+ASM!$B$6)*IF(A105&lt;=7,ASM!$B$7,ASM!$B$17),0)</f>
        <v>2783</v>
      </c>
      <c r="F105" s="10" t="n">
        <f aca="false">CEILING(E105/0.75,5)</f>
        <v>3715</v>
      </c>
      <c r="G105" s="9" t="n">
        <f aca="false">F105*0.75</f>
        <v>2786.25</v>
      </c>
      <c r="H105" s="7" t="n">
        <f aca="false">ROUND((D105+0.45)/(1-ASM!$B$9),0)</f>
        <v>1556</v>
      </c>
      <c r="I105" s="7" t="n">
        <f aca="false">ROUND((D105+0.45)/(1-ASM!$B$9-ASM!$B$10),0)</f>
        <v>1869</v>
      </c>
      <c r="J105" s="7" t="str">
        <f aca="false">IF(G105&gt;=H105,"OK","FLOOR ALTI")</f>
        <v>OK</v>
      </c>
    </row>
    <row r="106" customFormat="false" ht="15" hidden="false" customHeight="false" outlineLevel="0" collapsed="false">
      <c r="A106" s="7" t="n">
        <v>10</v>
      </c>
      <c r="B106" s="7" t="n">
        <v>4</v>
      </c>
      <c r="C106" s="8" t="n">
        <v>8.86</v>
      </c>
      <c r="D106" s="9" t="n">
        <f aca="false">ROUND(C106*ASM!$B$8*ASM!$B$13*(1+ASM!$B$3)+ASM!$B$4+ASM!$B$5+ASM!$B$6,2)</f>
        <v>994.96</v>
      </c>
      <c r="E106" s="7" t="n">
        <f aca="false">ROUND((C106*ASM!$B$8*ASM!$B$13*(1+ASM!$B$3)+ASM!$B$4+ASM!$B$5+ASM!$B$6)*IF(A106&lt;=7,ASM!$B$7,ASM!$B$17),0)</f>
        <v>1990</v>
      </c>
      <c r="F106" s="10" t="n">
        <f aca="false">CEILING(E106/0.75,5)</f>
        <v>2655</v>
      </c>
      <c r="G106" s="9" t="n">
        <f aca="false">F106*0.75</f>
        <v>1991.25</v>
      </c>
      <c r="H106" s="7" t="n">
        <f aca="false">ROUND((D106+0.45)/(1-ASM!$B$9),0)</f>
        <v>1112</v>
      </c>
      <c r="I106" s="7" t="n">
        <f aca="false">ROUND((D106+0.45)/(1-ASM!$B$9-ASM!$B$10),0)</f>
        <v>1336</v>
      </c>
      <c r="J106" s="7" t="str">
        <f aca="false">IF(G106&gt;=H106,"OK","FLOOR ALTI")</f>
        <v>OK</v>
      </c>
    </row>
    <row r="107" customFormat="false" ht="15" hidden="false" customHeight="false" outlineLevel="0" collapsed="false">
      <c r="A107" s="7" t="n">
        <v>10</v>
      </c>
      <c r="B107" s="7" t="n">
        <v>5</v>
      </c>
      <c r="C107" s="8" t="n">
        <v>9.29</v>
      </c>
      <c r="D107" s="9" t="n">
        <f aca="false">ROUND(C107*ASM!$B$8*ASM!$B$13*(1+ASM!$B$3)+ASM!$B$4+ASM!$B$5+ASM!$B$6,2)</f>
        <v>1040.34</v>
      </c>
      <c r="E107" s="7" t="n">
        <f aca="false">ROUND((C107*ASM!$B$8*ASM!$B$13*(1+ASM!$B$3)+ASM!$B$4+ASM!$B$5+ASM!$B$6)*IF(A107&lt;=7,ASM!$B$7,ASM!$B$17),0)</f>
        <v>2081</v>
      </c>
      <c r="F107" s="10" t="n">
        <f aca="false">CEILING(E107/0.75,5)</f>
        <v>2775</v>
      </c>
      <c r="G107" s="9" t="n">
        <f aca="false">F107*0.75</f>
        <v>2081.25</v>
      </c>
      <c r="H107" s="7" t="n">
        <f aca="false">ROUND((D107+0.45)/(1-ASM!$B$9),0)</f>
        <v>1163</v>
      </c>
      <c r="I107" s="7" t="n">
        <f aca="false">ROUND((D107+0.45)/(1-ASM!$B$9-ASM!$B$10),0)</f>
        <v>1397</v>
      </c>
      <c r="J107" s="7" t="str">
        <f aca="false">IF(G107&gt;=H107,"OK","FLOOR ALTI")</f>
        <v>OK</v>
      </c>
    </row>
    <row r="108" customFormat="false" ht="15" hidden="false" customHeight="false" outlineLevel="0" collapsed="false">
      <c r="A108" s="7" t="n">
        <v>10</v>
      </c>
      <c r="B108" s="7" t="n">
        <v>6</v>
      </c>
      <c r="C108" s="8" t="n">
        <v>9.72</v>
      </c>
      <c r="D108" s="9" t="n">
        <f aca="false">ROUND(C108*ASM!$B$8*ASM!$B$13*(1+ASM!$B$3)+ASM!$B$4+ASM!$B$5+ASM!$B$6,2)</f>
        <v>1085.71</v>
      </c>
      <c r="E108" s="7" t="n">
        <f aca="false">ROUND((C108*ASM!$B$8*ASM!$B$13*(1+ASM!$B$3)+ASM!$B$4+ASM!$B$5+ASM!$B$6)*IF(A108&lt;=7,ASM!$B$7,ASM!$B$17),0)</f>
        <v>2171</v>
      </c>
      <c r="F108" s="10" t="n">
        <f aca="false">CEILING(E108/0.75,5)</f>
        <v>2895</v>
      </c>
      <c r="G108" s="9" t="n">
        <f aca="false">F108*0.75</f>
        <v>2171.25</v>
      </c>
      <c r="H108" s="7" t="n">
        <f aca="false">ROUND((D108+0.45)/(1-ASM!$B$9),0)</f>
        <v>1214</v>
      </c>
      <c r="I108" s="7" t="n">
        <f aca="false">ROUND((D108+0.45)/(1-ASM!$B$9-ASM!$B$10),0)</f>
        <v>1458</v>
      </c>
      <c r="J108" s="7" t="str">
        <f aca="false">IF(G108&gt;=H108,"OK","FLOOR ALTI")</f>
        <v>OK</v>
      </c>
    </row>
    <row r="109" customFormat="false" ht="15" hidden="false" customHeight="false" outlineLevel="0" collapsed="false">
      <c r="A109" s="7" t="n">
        <v>10</v>
      </c>
      <c r="B109" s="7" t="n">
        <v>7</v>
      </c>
      <c r="C109" s="8" t="n">
        <v>10.15</v>
      </c>
      <c r="D109" s="9" t="n">
        <f aca="false">ROUND(C109*ASM!$B$8*ASM!$B$13*(1+ASM!$B$3)+ASM!$B$4+ASM!$B$5+ASM!$B$6,2)</f>
        <v>1131.09</v>
      </c>
      <c r="E109" s="7" t="n">
        <f aca="false">ROUND((C109*ASM!$B$8*ASM!$B$13*(1+ASM!$B$3)+ASM!$B$4+ASM!$B$5+ASM!$B$6)*IF(A109&lt;=7,ASM!$B$7,ASM!$B$17),0)</f>
        <v>2262</v>
      </c>
      <c r="F109" s="10" t="n">
        <f aca="false">CEILING(E109/0.75,5)</f>
        <v>3020</v>
      </c>
      <c r="G109" s="9" t="n">
        <f aca="false">F109*0.75</f>
        <v>2265</v>
      </c>
      <c r="H109" s="7" t="n">
        <f aca="false">ROUND((D109+0.45)/(1-ASM!$B$9),0)</f>
        <v>1264</v>
      </c>
      <c r="I109" s="7" t="n">
        <f aca="false">ROUND((D109+0.45)/(1-ASM!$B$9-ASM!$B$10),0)</f>
        <v>1519</v>
      </c>
      <c r="J109" s="7" t="str">
        <f aca="false">IF(G109&gt;=H109,"OK","FLOOR ALTI")</f>
        <v>OK</v>
      </c>
    </row>
    <row r="110" customFormat="false" ht="15" hidden="false" customHeight="false" outlineLevel="0" collapsed="false">
      <c r="A110" s="7" t="n">
        <v>10</v>
      </c>
      <c r="B110" s="7" t="n">
        <v>8</v>
      </c>
      <c r="C110" s="8" t="n">
        <v>10.58</v>
      </c>
      <c r="D110" s="9" t="n">
        <f aca="false">ROUND(C110*ASM!$B$8*ASM!$B$13*(1+ASM!$B$3)+ASM!$B$4+ASM!$B$5+ASM!$B$6,2)</f>
        <v>1176.46</v>
      </c>
      <c r="E110" s="7" t="n">
        <f aca="false">ROUND((C110*ASM!$B$8*ASM!$B$13*(1+ASM!$B$3)+ASM!$B$4+ASM!$B$5+ASM!$B$6)*IF(A110&lt;=7,ASM!$B$7,ASM!$B$17),0)</f>
        <v>2353</v>
      </c>
      <c r="F110" s="10" t="n">
        <f aca="false">CEILING(E110/0.75,5)</f>
        <v>3140</v>
      </c>
      <c r="G110" s="9" t="n">
        <f aca="false">F110*0.75</f>
        <v>2355</v>
      </c>
      <c r="H110" s="7" t="n">
        <f aca="false">ROUND((D110+0.45)/(1-ASM!$B$9),0)</f>
        <v>1315</v>
      </c>
      <c r="I110" s="7" t="n">
        <f aca="false">ROUND((D110+0.45)/(1-ASM!$B$9-ASM!$B$10),0)</f>
        <v>1580</v>
      </c>
      <c r="J110" s="7" t="str">
        <f aca="false">IF(G110&gt;=H110,"OK","FLOOR ALTI")</f>
        <v>OK</v>
      </c>
    </row>
    <row r="111" customFormat="false" ht="15" hidden="false" customHeight="false" outlineLevel="0" collapsed="false">
      <c r="A111" s="7" t="n">
        <v>10</v>
      </c>
      <c r="B111" s="7" t="n">
        <v>9</v>
      </c>
      <c r="C111" s="8" t="n">
        <v>11.01</v>
      </c>
      <c r="D111" s="9" t="n">
        <f aca="false">ROUND(C111*ASM!$B$8*ASM!$B$13*(1+ASM!$B$3)+ASM!$B$4+ASM!$B$5+ASM!$B$6,2)</f>
        <v>1221.84</v>
      </c>
      <c r="E111" s="7" t="n">
        <f aca="false">ROUND((C111*ASM!$B$8*ASM!$B$13*(1+ASM!$B$3)+ASM!$B$4+ASM!$B$5+ASM!$B$6)*IF(A111&lt;=7,ASM!$B$7,ASM!$B$17),0)</f>
        <v>2444</v>
      </c>
      <c r="F111" s="10" t="n">
        <f aca="false">CEILING(E111/0.75,5)</f>
        <v>3260</v>
      </c>
      <c r="G111" s="9" t="n">
        <f aca="false">F111*0.75</f>
        <v>2445</v>
      </c>
      <c r="H111" s="7" t="n">
        <f aca="false">ROUND((D111+0.45)/(1-ASM!$B$9),0)</f>
        <v>1366</v>
      </c>
      <c r="I111" s="7" t="n">
        <f aca="false">ROUND((D111+0.45)/(1-ASM!$B$9-ASM!$B$10),0)</f>
        <v>1641</v>
      </c>
      <c r="J111" s="7" t="str">
        <f aca="false">IF(G111&gt;=H111,"OK","FLOOR ALTI")</f>
        <v>OK</v>
      </c>
    </row>
    <row r="112" customFormat="false" ht="15" hidden="false" customHeight="false" outlineLevel="0" collapsed="false">
      <c r="A112" s="7" t="n">
        <v>10</v>
      </c>
      <c r="B112" s="7" t="n">
        <v>10</v>
      </c>
      <c r="C112" s="8" t="n">
        <v>11.44</v>
      </c>
      <c r="D112" s="9" t="n">
        <f aca="false">ROUND(C112*ASM!$B$8*ASM!$B$13*(1+ASM!$B$3)+ASM!$B$4+ASM!$B$5+ASM!$B$6,2)</f>
        <v>1267.22</v>
      </c>
      <c r="E112" s="7" t="n">
        <f aca="false">ROUND((C112*ASM!$B$8*ASM!$B$13*(1+ASM!$B$3)+ASM!$B$4+ASM!$B$5+ASM!$B$6)*IF(A112&lt;=7,ASM!$B$7,ASM!$B$17),0)</f>
        <v>2534</v>
      </c>
      <c r="F112" s="10" t="n">
        <f aca="false">CEILING(E112/0.75,5)</f>
        <v>3380</v>
      </c>
      <c r="G112" s="9" t="n">
        <f aca="false">F112*0.75</f>
        <v>2535</v>
      </c>
      <c r="H112" s="7" t="n">
        <f aca="false">ROUND((D112+0.45)/(1-ASM!$B$9),0)</f>
        <v>1416</v>
      </c>
      <c r="I112" s="7" t="n">
        <f aca="false">ROUND((D112+0.45)/(1-ASM!$B$9-ASM!$B$10),0)</f>
        <v>1702</v>
      </c>
      <c r="J112" s="7" t="str">
        <f aca="false">IF(G112&gt;=H112,"OK","FLOOR ALTI")</f>
        <v>OK</v>
      </c>
    </row>
    <row r="113" customFormat="false" ht="15" hidden="false" customHeight="false" outlineLevel="0" collapsed="false">
      <c r="A113" s="7" t="n">
        <v>10</v>
      </c>
      <c r="B113" s="7" t="n">
        <v>11</v>
      </c>
      <c r="C113" s="8" t="n">
        <v>11.87</v>
      </c>
      <c r="D113" s="9" t="n">
        <f aca="false">ROUND(C113*ASM!$B$8*ASM!$B$13*(1+ASM!$B$3)+ASM!$B$4+ASM!$B$5+ASM!$B$6,2)</f>
        <v>1312.59</v>
      </c>
      <c r="E113" s="7" t="n">
        <f aca="false">ROUND((C113*ASM!$B$8*ASM!$B$13*(1+ASM!$B$3)+ASM!$B$4+ASM!$B$5+ASM!$B$6)*IF(A113&lt;=7,ASM!$B$7,ASM!$B$17),0)</f>
        <v>2625</v>
      </c>
      <c r="F113" s="10" t="n">
        <f aca="false">CEILING(E113/0.75,5)</f>
        <v>3500</v>
      </c>
      <c r="G113" s="9" t="n">
        <f aca="false">F113*0.75</f>
        <v>2625</v>
      </c>
      <c r="H113" s="7" t="n">
        <f aca="false">ROUND((D113+0.45)/(1-ASM!$B$9),0)</f>
        <v>1467</v>
      </c>
      <c r="I113" s="7" t="n">
        <f aca="false">ROUND((D113+0.45)/(1-ASM!$B$9-ASM!$B$10),0)</f>
        <v>1762</v>
      </c>
      <c r="J113" s="7" t="str">
        <f aca="false">IF(G113&gt;=H113,"OK","FLOOR ALTI")</f>
        <v>OK</v>
      </c>
    </row>
    <row r="114" customFormat="false" ht="15" hidden="false" customHeight="false" outlineLevel="0" collapsed="false">
      <c r="A114" s="7" t="n">
        <v>10</v>
      </c>
      <c r="B114" s="7" t="n">
        <v>12</v>
      </c>
      <c r="C114" s="8" t="n">
        <v>12.3</v>
      </c>
      <c r="D114" s="9" t="n">
        <f aca="false">ROUND(C114*ASM!$B$8*ASM!$B$13*(1+ASM!$B$3)+ASM!$B$4+ASM!$B$5+ASM!$B$6,2)</f>
        <v>1357.97</v>
      </c>
      <c r="E114" s="7" t="n">
        <f aca="false">ROUND((C114*ASM!$B$8*ASM!$B$13*(1+ASM!$B$3)+ASM!$B$4+ASM!$B$5+ASM!$B$6)*IF(A114&lt;=7,ASM!$B$7,ASM!$B$17),0)</f>
        <v>2716</v>
      </c>
      <c r="F114" s="10" t="n">
        <f aca="false">CEILING(E114/0.75,5)</f>
        <v>3625</v>
      </c>
      <c r="G114" s="9" t="n">
        <f aca="false">F114*0.75</f>
        <v>2718.75</v>
      </c>
      <c r="H114" s="7" t="n">
        <f aca="false">ROUND((D114+0.45)/(1-ASM!$B$9),0)</f>
        <v>1518</v>
      </c>
      <c r="I114" s="7" t="n">
        <f aca="false">ROUND((D114+0.45)/(1-ASM!$B$9-ASM!$B$10),0)</f>
        <v>1823</v>
      </c>
      <c r="J114" s="7" t="str">
        <f aca="false">IF(G114&gt;=H114,"OK","FLOOR ALTI")</f>
        <v>OK</v>
      </c>
    </row>
    <row r="115" customFormat="false" ht="15" hidden="false" customHeight="false" outlineLevel="0" collapsed="false">
      <c r="A115" s="7" t="n">
        <v>10</v>
      </c>
      <c r="B115" s="7" t="n">
        <v>13</v>
      </c>
      <c r="C115" s="8" t="n">
        <v>12.73</v>
      </c>
      <c r="D115" s="9" t="n">
        <f aca="false">ROUND(C115*ASM!$B$8*ASM!$B$13*(1+ASM!$B$3)+ASM!$B$4+ASM!$B$5+ASM!$B$6,2)</f>
        <v>1403.34</v>
      </c>
      <c r="E115" s="7" t="n">
        <f aca="false">ROUND((C115*ASM!$B$8*ASM!$B$13*(1+ASM!$B$3)+ASM!$B$4+ASM!$B$5+ASM!$B$6)*IF(A115&lt;=7,ASM!$B$7,ASM!$B$17),0)</f>
        <v>2807</v>
      </c>
      <c r="F115" s="10" t="n">
        <f aca="false">CEILING(E115/0.75,5)</f>
        <v>3745</v>
      </c>
      <c r="G115" s="9" t="n">
        <f aca="false">F115*0.75</f>
        <v>2808.75</v>
      </c>
      <c r="H115" s="7" t="n">
        <f aca="false">ROUND((D115+0.45)/(1-ASM!$B$9),0)</f>
        <v>1568</v>
      </c>
      <c r="I115" s="7" t="n">
        <f aca="false">ROUND((D115+0.45)/(1-ASM!$B$9-ASM!$B$10),0)</f>
        <v>1884</v>
      </c>
      <c r="J115" s="7" t="str">
        <f aca="false">IF(G115&gt;=H115,"OK","FLOOR ALTI")</f>
        <v>OK</v>
      </c>
    </row>
    <row r="116" customFormat="false" ht="15" hidden="false" customHeight="false" outlineLevel="0" collapsed="false">
      <c r="A116" s="7" t="n">
        <v>10</v>
      </c>
      <c r="B116" s="7" t="n">
        <v>14</v>
      </c>
      <c r="C116" s="8" t="n">
        <v>13.16</v>
      </c>
      <c r="D116" s="9" t="n">
        <f aca="false">ROUND(C116*ASM!$B$8*ASM!$B$13*(1+ASM!$B$3)+ASM!$B$4+ASM!$B$5+ASM!$B$6,2)</f>
        <v>1448.72</v>
      </c>
      <c r="E116" s="7" t="n">
        <f aca="false">ROUND((C116*ASM!$B$8*ASM!$B$13*(1+ASM!$B$3)+ASM!$B$4+ASM!$B$5+ASM!$B$6)*IF(A116&lt;=7,ASM!$B$7,ASM!$B$17),0)</f>
        <v>2897</v>
      </c>
      <c r="F116" s="10" t="n">
        <f aca="false">CEILING(E116/0.75,5)</f>
        <v>3865</v>
      </c>
      <c r="G116" s="9" t="n">
        <f aca="false">F116*0.75</f>
        <v>2898.75</v>
      </c>
      <c r="H116" s="7" t="n">
        <f aca="false">ROUND((D116+0.45)/(1-ASM!$B$9),0)</f>
        <v>1619</v>
      </c>
      <c r="I116" s="7" t="n">
        <f aca="false">ROUND((D116+0.45)/(1-ASM!$B$9-ASM!$B$10),0)</f>
        <v>1945</v>
      </c>
      <c r="J116" s="7" t="str">
        <f aca="false">IF(G116&gt;=H116,"OK","FLOOR ALTI")</f>
        <v>OK</v>
      </c>
    </row>
    <row r="117" customFormat="false" ht="15" hidden="false" customHeight="false" outlineLevel="0" collapsed="false">
      <c r="A117" s="7" t="n">
        <v>10</v>
      </c>
      <c r="B117" s="7" t="n">
        <v>15</v>
      </c>
      <c r="C117" s="8" t="n">
        <v>13.59</v>
      </c>
      <c r="D117" s="9" t="n">
        <f aca="false">ROUND(C117*ASM!$B$8*ASM!$B$13*(1+ASM!$B$3)+ASM!$B$4+ASM!$B$5+ASM!$B$6,2)</f>
        <v>1494.1</v>
      </c>
      <c r="E117" s="7" t="n">
        <f aca="false">ROUND((C117*ASM!$B$8*ASM!$B$13*(1+ASM!$B$3)+ASM!$B$4+ASM!$B$5+ASM!$B$6)*IF(A117&lt;=7,ASM!$B$7,ASM!$B$17),0)</f>
        <v>2988</v>
      </c>
      <c r="F117" s="10" t="n">
        <f aca="false">CEILING(E117/0.75,5)</f>
        <v>3985</v>
      </c>
      <c r="G117" s="9" t="n">
        <f aca="false">F117*0.75</f>
        <v>2988.75</v>
      </c>
      <c r="H117" s="7" t="n">
        <f aca="false">ROUND((D117+0.45)/(1-ASM!$B$9),0)</f>
        <v>1670</v>
      </c>
      <c r="I117" s="7" t="n">
        <f aca="false">ROUND((D117+0.45)/(1-ASM!$B$9-ASM!$B$10),0)</f>
        <v>2006</v>
      </c>
      <c r="J117" s="7" t="str">
        <f aca="false">IF(G117&gt;=H117,"OK","FLOOR ALTI")</f>
        <v>OK</v>
      </c>
    </row>
    <row r="118" customFormat="false" ht="15" hidden="false" customHeight="false" outlineLevel="0" collapsed="false">
      <c r="A118" s="7" t="n">
        <v>10</v>
      </c>
      <c r="B118" s="7" t="n">
        <v>16</v>
      </c>
      <c r="C118" s="8" t="n">
        <v>14.02</v>
      </c>
      <c r="D118" s="9" t="n">
        <f aca="false">ROUND(C118*ASM!$B$8*ASM!$B$13*(1+ASM!$B$3)+ASM!$B$4+ASM!$B$5+ASM!$B$6,2)</f>
        <v>1539.47</v>
      </c>
      <c r="E118" s="7" t="n">
        <f aca="false">ROUND((C118*ASM!$B$8*ASM!$B$13*(1+ASM!$B$3)+ASM!$B$4+ASM!$B$5+ASM!$B$6)*IF(A118&lt;=7,ASM!$B$7,ASM!$B$17),0)</f>
        <v>3079</v>
      </c>
      <c r="F118" s="10" t="n">
        <f aca="false">CEILING(E118/0.75,5)</f>
        <v>4110</v>
      </c>
      <c r="G118" s="9" t="n">
        <f aca="false">F118*0.75</f>
        <v>3082.5</v>
      </c>
      <c r="H118" s="7" t="n">
        <f aca="false">ROUND((D118+0.45)/(1-ASM!$B$9),0)</f>
        <v>1721</v>
      </c>
      <c r="I118" s="7" t="n">
        <f aca="false">ROUND((D118+0.45)/(1-ASM!$B$9-ASM!$B$10),0)</f>
        <v>2067</v>
      </c>
      <c r="J118" s="7" t="str">
        <f aca="false">IF(G118&gt;=H118,"OK","FLOOR ALTI")</f>
        <v>OK</v>
      </c>
    </row>
    <row r="119" customFormat="false" ht="15" hidden="false" customHeight="false" outlineLevel="0" collapsed="false">
      <c r="A119" s="7" t="n">
        <v>11</v>
      </c>
      <c r="B119" s="7" t="n">
        <v>4</v>
      </c>
      <c r="C119" s="8" t="n">
        <v>9.75</v>
      </c>
      <c r="D119" s="9" t="n">
        <f aca="false">ROUND(C119*ASM!$B$8*ASM!$B$13*(1+ASM!$B$3)+ASM!$B$4+ASM!$B$5+ASM!$B$6,2)</f>
        <v>1088.88</v>
      </c>
      <c r="E119" s="7" t="n">
        <f aca="false">ROUND((C119*ASM!$B$8*ASM!$B$13*(1+ASM!$B$3)+ASM!$B$4+ASM!$B$5+ASM!$B$6)*IF(A119&lt;=7,ASM!$B$7,ASM!$B$17),0)</f>
        <v>2178</v>
      </c>
      <c r="F119" s="10" t="n">
        <f aca="false">CEILING(E119/0.75,5)</f>
        <v>2905</v>
      </c>
      <c r="G119" s="9" t="n">
        <f aca="false">F119*0.75</f>
        <v>2178.75</v>
      </c>
      <c r="H119" s="7" t="n">
        <f aca="false">ROUND((D119+0.45)/(1-ASM!$B$9),0)</f>
        <v>1217</v>
      </c>
      <c r="I119" s="7" t="n">
        <f aca="false">ROUND((D119+0.45)/(1-ASM!$B$9-ASM!$B$10),0)</f>
        <v>1462</v>
      </c>
      <c r="J119" s="7" t="str">
        <f aca="false">IF(G119&gt;=H119,"OK","FLOOR ALTI")</f>
        <v>OK</v>
      </c>
    </row>
    <row r="120" customFormat="false" ht="15" hidden="false" customHeight="false" outlineLevel="0" collapsed="false">
      <c r="A120" s="7" t="n">
        <v>11</v>
      </c>
      <c r="B120" s="7" t="n">
        <v>5</v>
      </c>
      <c r="C120" s="8" t="n">
        <v>10.22</v>
      </c>
      <c r="D120" s="9" t="n">
        <f aca="false">ROUND(C120*ASM!$B$8*ASM!$B$13*(1+ASM!$B$3)+ASM!$B$4+ASM!$B$5+ASM!$B$6,2)</f>
        <v>1138.47</v>
      </c>
      <c r="E120" s="7" t="n">
        <f aca="false">ROUND((C120*ASM!$B$8*ASM!$B$13*(1+ASM!$B$3)+ASM!$B$4+ASM!$B$5+ASM!$B$6)*IF(A120&lt;=7,ASM!$B$7,ASM!$B$17),0)</f>
        <v>2277</v>
      </c>
      <c r="F120" s="10" t="n">
        <f aca="false">CEILING(E120/0.75,5)</f>
        <v>3040</v>
      </c>
      <c r="G120" s="9" t="n">
        <f aca="false">F120*0.75</f>
        <v>2280</v>
      </c>
      <c r="H120" s="7" t="n">
        <f aca="false">ROUND((D120+0.45)/(1-ASM!$B$9),0)</f>
        <v>1273</v>
      </c>
      <c r="I120" s="7" t="n">
        <f aca="false">ROUND((D120+0.45)/(1-ASM!$B$9-ASM!$B$10),0)</f>
        <v>1529</v>
      </c>
      <c r="J120" s="7" t="str">
        <f aca="false">IF(G120&gt;=H120,"OK","FLOOR ALTI")</f>
        <v>OK</v>
      </c>
    </row>
    <row r="121" customFormat="false" ht="15" hidden="false" customHeight="false" outlineLevel="0" collapsed="false">
      <c r="A121" s="7" t="n">
        <v>11</v>
      </c>
      <c r="B121" s="7" t="n">
        <v>6</v>
      </c>
      <c r="C121" s="8" t="n">
        <v>10.7</v>
      </c>
      <c r="D121" s="9" t="n">
        <f aca="false">ROUND(C121*ASM!$B$8*ASM!$B$13*(1+ASM!$B$3)+ASM!$B$4+ASM!$B$5+ASM!$B$6,2)</f>
        <v>1189.13</v>
      </c>
      <c r="E121" s="7" t="n">
        <f aca="false">ROUND((C121*ASM!$B$8*ASM!$B$13*(1+ASM!$B$3)+ASM!$B$4+ASM!$B$5+ASM!$B$6)*IF(A121&lt;=7,ASM!$B$7,ASM!$B$17),0)</f>
        <v>2378</v>
      </c>
      <c r="F121" s="10" t="n">
        <f aca="false">CEILING(E121/0.75,5)</f>
        <v>3175</v>
      </c>
      <c r="G121" s="9" t="n">
        <f aca="false">F121*0.75</f>
        <v>2381.25</v>
      </c>
      <c r="H121" s="7" t="n">
        <f aca="false">ROUND((D121+0.45)/(1-ASM!$B$9),0)</f>
        <v>1329</v>
      </c>
      <c r="I121" s="7" t="n">
        <f aca="false">ROUND((D121+0.45)/(1-ASM!$B$9-ASM!$B$10),0)</f>
        <v>1597</v>
      </c>
      <c r="J121" s="7" t="str">
        <f aca="false">IF(G121&gt;=H121,"OK","FLOOR ALTI")</f>
        <v>OK</v>
      </c>
    </row>
    <row r="122" customFormat="false" ht="15" hidden="false" customHeight="false" outlineLevel="0" collapsed="false">
      <c r="A122" s="7" t="n">
        <v>11</v>
      </c>
      <c r="B122" s="7" t="n">
        <v>7</v>
      </c>
      <c r="C122" s="8" t="n">
        <v>11.17</v>
      </c>
      <c r="D122" s="9" t="n">
        <f aca="false">ROUND(C122*ASM!$B$8*ASM!$B$13*(1+ASM!$B$3)+ASM!$B$4+ASM!$B$5+ASM!$B$6,2)</f>
        <v>1238.72</v>
      </c>
      <c r="E122" s="7" t="n">
        <f aca="false">ROUND((C122*ASM!$B$8*ASM!$B$13*(1+ASM!$B$3)+ASM!$B$4+ASM!$B$5+ASM!$B$6)*IF(A122&lt;=7,ASM!$B$7,ASM!$B$17),0)</f>
        <v>2477</v>
      </c>
      <c r="F122" s="10" t="n">
        <f aca="false">CEILING(E122/0.75,5)</f>
        <v>3305</v>
      </c>
      <c r="G122" s="9" t="n">
        <f aca="false">F122*0.75</f>
        <v>2478.75</v>
      </c>
      <c r="H122" s="7" t="n">
        <f aca="false">ROUND((D122+0.45)/(1-ASM!$B$9),0)</f>
        <v>1385</v>
      </c>
      <c r="I122" s="7" t="n">
        <f aca="false">ROUND((D122+0.45)/(1-ASM!$B$9-ASM!$B$10),0)</f>
        <v>1663</v>
      </c>
      <c r="J122" s="7" t="str">
        <f aca="false">IF(G122&gt;=H122,"OK","FLOOR ALTI")</f>
        <v>OK</v>
      </c>
    </row>
    <row r="123" customFormat="false" ht="15" hidden="false" customHeight="false" outlineLevel="0" collapsed="false">
      <c r="A123" s="7" t="n">
        <v>11</v>
      </c>
      <c r="B123" s="7" t="n">
        <v>8</v>
      </c>
      <c r="C123" s="8" t="n">
        <v>11.64</v>
      </c>
      <c r="D123" s="9" t="n">
        <f aca="false">ROUND(C123*ASM!$B$8*ASM!$B$13*(1+ASM!$B$3)+ASM!$B$4+ASM!$B$5+ASM!$B$6,2)</f>
        <v>1288.32</v>
      </c>
      <c r="E123" s="7" t="n">
        <f aca="false">ROUND((C123*ASM!$B$8*ASM!$B$13*(1+ASM!$B$3)+ASM!$B$4+ASM!$B$5+ASM!$B$6)*IF(A123&lt;=7,ASM!$B$7,ASM!$B$17),0)</f>
        <v>2577</v>
      </c>
      <c r="F123" s="10" t="n">
        <f aca="false">CEILING(E123/0.75,5)</f>
        <v>3440</v>
      </c>
      <c r="G123" s="9" t="n">
        <f aca="false">F123*0.75</f>
        <v>2580</v>
      </c>
      <c r="H123" s="7" t="n">
        <f aca="false">ROUND((D123+0.45)/(1-ASM!$B$9),0)</f>
        <v>1440</v>
      </c>
      <c r="I123" s="7" t="n">
        <f aca="false">ROUND((D123+0.45)/(1-ASM!$B$9-ASM!$B$10),0)</f>
        <v>1730</v>
      </c>
      <c r="J123" s="7" t="str">
        <f aca="false">IF(G123&gt;=H123,"OK","FLOOR ALTI")</f>
        <v>OK</v>
      </c>
    </row>
    <row r="124" customFormat="false" ht="15" hidden="false" customHeight="false" outlineLevel="0" collapsed="false">
      <c r="A124" s="7" t="n">
        <v>11</v>
      </c>
      <c r="B124" s="7" t="n">
        <v>9</v>
      </c>
      <c r="C124" s="8" t="n">
        <v>12.11</v>
      </c>
      <c r="D124" s="9" t="n">
        <f aca="false">ROUND(C124*ASM!$B$8*ASM!$B$13*(1+ASM!$B$3)+ASM!$B$4+ASM!$B$5+ASM!$B$6,2)</f>
        <v>1337.92</v>
      </c>
      <c r="E124" s="7" t="n">
        <f aca="false">ROUND((C124*ASM!$B$8*ASM!$B$13*(1+ASM!$B$3)+ASM!$B$4+ASM!$B$5+ASM!$B$6)*IF(A124&lt;=7,ASM!$B$7,ASM!$B$17),0)</f>
        <v>2676</v>
      </c>
      <c r="F124" s="10" t="n">
        <f aca="false">CEILING(E124/0.75,5)</f>
        <v>3570</v>
      </c>
      <c r="G124" s="9" t="n">
        <f aca="false">F124*0.75</f>
        <v>2677.5</v>
      </c>
      <c r="H124" s="7" t="n">
        <f aca="false">ROUND((D124+0.45)/(1-ASM!$B$9),0)</f>
        <v>1495</v>
      </c>
      <c r="I124" s="7" t="n">
        <f aca="false">ROUND((D124+0.45)/(1-ASM!$B$9-ASM!$B$10),0)</f>
        <v>1796</v>
      </c>
      <c r="J124" s="7" t="str">
        <f aca="false">IF(G124&gt;=H124,"OK","FLOOR ALTI")</f>
        <v>OK</v>
      </c>
    </row>
    <row r="125" customFormat="false" ht="15" hidden="false" customHeight="false" outlineLevel="0" collapsed="false">
      <c r="A125" s="7" t="n">
        <v>11</v>
      </c>
      <c r="B125" s="7" t="n">
        <v>10</v>
      </c>
      <c r="C125" s="8" t="n">
        <v>12.59</v>
      </c>
      <c r="D125" s="9" t="n">
        <f aca="false">ROUND(C125*ASM!$B$8*ASM!$B$13*(1+ASM!$B$3)+ASM!$B$4+ASM!$B$5+ASM!$B$6,2)</f>
        <v>1388.57</v>
      </c>
      <c r="E125" s="7" t="n">
        <f aca="false">ROUND((C125*ASM!$B$8*ASM!$B$13*(1+ASM!$B$3)+ASM!$B$4+ASM!$B$5+ASM!$B$6)*IF(A125&lt;=7,ASM!$B$7,ASM!$B$17),0)</f>
        <v>2777</v>
      </c>
      <c r="F125" s="10" t="n">
        <f aca="false">CEILING(E125/0.75,5)</f>
        <v>3705</v>
      </c>
      <c r="G125" s="9" t="n">
        <f aca="false">F125*0.75</f>
        <v>2778.75</v>
      </c>
      <c r="H125" s="7" t="n">
        <f aca="false">ROUND((D125+0.45)/(1-ASM!$B$9),0)</f>
        <v>1552</v>
      </c>
      <c r="I125" s="7" t="n">
        <f aca="false">ROUND((D125+0.45)/(1-ASM!$B$9-ASM!$B$10),0)</f>
        <v>1864</v>
      </c>
      <c r="J125" s="7" t="str">
        <f aca="false">IF(G125&gt;=H125,"OK","FLOOR ALTI")</f>
        <v>OK</v>
      </c>
    </row>
    <row r="126" customFormat="false" ht="15" hidden="false" customHeight="false" outlineLevel="0" collapsed="false">
      <c r="A126" s="7" t="n">
        <v>11</v>
      </c>
      <c r="B126" s="7" t="n">
        <v>11</v>
      </c>
      <c r="C126" s="8" t="n">
        <v>13.06</v>
      </c>
      <c r="D126" s="9" t="n">
        <f aca="false">ROUND(C126*ASM!$B$8*ASM!$B$13*(1+ASM!$B$3)+ASM!$B$4+ASM!$B$5+ASM!$B$6,2)</f>
        <v>1438.17</v>
      </c>
      <c r="E126" s="7" t="n">
        <f aca="false">ROUND((C126*ASM!$B$8*ASM!$B$13*(1+ASM!$B$3)+ASM!$B$4+ASM!$B$5+ASM!$B$6)*IF(A126&lt;=7,ASM!$B$7,ASM!$B$17),0)</f>
        <v>2876</v>
      </c>
      <c r="F126" s="10" t="n">
        <f aca="false">CEILING(E126/0.75,5)</f>
        <v>3835</v>
      </c>
      <c r="G126" s="9" t="n">
        <f aca="false">F126*0.75</f>
        <v>2876.25</v>
      </c>
      <c r="H126" s="7" t="n">
        <f aca="false">ROUND((D126+0.45)/(1-ASM!$B$9),0)</f>
        <v>1607</v>
      </c>
      <c r="I126" s="7" t="n">
        <f aca="false">ROUND((D126+0.45)/(1-ASM!$B$9-ASM!$B$10),0)</f>
        <v>1931</v>
      </c>
      <c r="J126" s="7" t="str">
        <f aca="false">IF(G126&gt;=H126,"OK","FLOOR ALTI")</f>
        <v>OK</v>
      </c>
    </row>
    <row r="127" customFormat="false" ht="15" hidden="false" customHeight="false" outlineLevel="0" collapsed="false">
      <c r="A127" s="7" t="n">
        <v>11</v>
      </c>
      <c r="B127" s="7" t="n">
        <v>12</v>
      </c>
      <c r="C127" s="8" t="n">
        <v>13.53</v>
      </c>
      <c r="D127" s="9" t="n">
        <f aca="false">ROUND(C127*ASM!$B$8*ASM!$B$13*(1+ASM!$B$3)+ASM!$B$4+ASM!$B$5+ASM!$B$6,2)</f>
        <v>1487.77</v>
      </c>
      <c r="E127" s="7" t="n">
        <f aca="false">ROUND((C127*ASM!$B$8*ASM!$B$13*(1+ASM!$B$3)+ASM!$B$4+ASM!$B$5+ASM!$B$6)*IF(A127&lt;=7,ASM!$B$7,ASM!$B$17),0)</f>
        <v>2976</v>
      </c>
      <c r="F127" s="10" t="n">
        <f aca="false">CEILING(E127/0.75,5)</f>
        <v>3970</v>
      </c>
      <c r="G127" s="9" t="n">
        <f aca="false">F127*0.75</f>
        <v>2977.5</v>
      </c>
      <c r="H127" s="7" t="n">
        <f aca="false">ROUND((D127+0.45)/(1-ASM!$B$9),0)</f>
        <v>1663</v>
      </c>
      <c r="I127" s="7" t="n">
        <f aca="false">ROUND((D127+0.45)/(1-ASM!$B$9-ASM!$B$10),0)</f>
        <v>1998</v>
      </c>
      <c r="J127" s="7" t="str">
        <f aca="false">IF(G127&gt;=H127,"OK","FLOOR ALTI")</f>
        <v>OK</v>
      </c>
    </row>
    <row r="128" customFormat="false" ht="15" hidden="false" customHeight="false" outlineLevel="0" collapsed="false">
      <c r="A128" s="7" t="n">
        <v>11</v>
      </c>
      <c r="B128" s="7" t="n">
        <v>13</v>
      </c>
      <c r="C128" s="8" t="n">
        <v>14.01</v>
      </c>
      <c r="D128" s="9" t="n">
        <f aca="false">ROUND(C128*ASM!$B$8*ASM!$B$13*(1+ASM!$B$3)+ASM!$B$4+ASM!$B$5+ASM!$B$6,2)</f>
        <v>1538.42</v>
      </c>
      <c r="E128" s="7" t="n">
        <f aca="false">ROUND((C128*ASM!$B$8*ASM!$B$13*(1+ASM!$B$3)+ASM!$B$4+ASM!$B$5+ASM!$B$6)*IF(A128&lt;=7,ASM!$B$7,ASM!$B$17),0)</f>
        <v>3077</v>
      </c>
      <c r="F128" s="10" t="n">
        <f aca="false">CEILING(E128/0.75,5)</f>
        <v>4105</v>
      </c>
      <c r="G128" s="9" t="n">
        <f aca="false">F128*0.75</f>
        <v>3078.75</v>
      </c>
      <c r="H128" s="7" t="n">
        <f aca="false">ROUND((D128+0.45)/(1-ASM!$B$9),0)</f>
        <v>1719</v>
      </c>
      <c r="I128" s="7" t="n">
        <f aca="false">ROUND((D128+0.45)/(1-ASM!$B$9-ASM!$B$10),0)</f>
        <v>2066</v>
      </c>
      <c r="J128" s="7" t="str">
        <f aca="false">IF(G128&gt;=H128,"OK","FLOOR ALTI")</f>
        <v>OK</v>
      </c>
    </row>
    <row r="129" customFormat="false" ht="15" hidden="false" customHeight="false" outlineLevel="0" collapsed="false">
      <c r="A129" s="7" t="n">
        <v>11</v>
      </c>
      <c r="B129" s="7" t="n">
        <v>14</v>
      </c>
      <c r="C129" s="8" t="n">
        <v>14.48</v>
      </c>
      <c r="D129" s="9" t="n">
        <f aca="false">ROUND(C129*ASM!$B$8*ASM!$B$13*(1+ASM!$B$3)+ASM!$B$4+ASM!$B$5+ASM!$B$6,2)</f>
        <v>1588.02</v>
      </c>
      <c r="E129" s="7" t="n">
        <f aca="false">ROUND((C129*ASM!$B$8*ASM!$B$13*(1+ASM!$B$3)+ASM!$B$4+ASM!$B$5+ASM!$B$6)*IF(A129&lt;=7,ASM!$B$7,ASM!$B$17),0)</f>
        <v>3176</v>
      </c>
      <c r="F129" s="10" t="n">
        <f aca="false">CEILING(E129/0.75,5)</f>
        <v>4235</v>
      </c>
      <c r="G129" s="9" t="n">
        <f aca="false">F129*0.75</f>
        <v>3176.25</v>
      </c>
      <c r="H129" s="7" t="n">
        <f aca="false">ROUND((D129+0.45)/(1-ASM!$B$9),0)</f>
        <v>1775</v>
      </c>
      <c r="I129" s="7" t="n">
        <f aca="false">ROUND((D129+0.45)/(1-ASM!$B$9-ASM!$B$10),0)</f>
        <v>2132</v>
      </c>
      <c r="J129" s="7" t="str">
        <f aca="false">IF(G129&gt;=H129,"OK","FLOOR ALTI")</f>
        <v>OK</v>
      </c>
    </row>
    <row r="130" customFormat="false" ht="15" hidden="false" customHeight="false" outlineLevel="0" collapsed="false">
      <c r="A130" s="7" t="n">
        <v>11</v>
      </c>
      <c r="B130" s="7" t="n">
        <v>15</v>
      </c>
      <c r="C130" s="8" t="n">
        <v>14.95</v>
      </c>
      <c r="D130" s="9" t="n">
        <f aca="false">ROUND(C130*ASM!$B$8*ASM!$B$13*(1+ASM!$B$3)+ASM!$B$4+ASM!$B$5+ASM!$B$6,2)</f>
        <v>1637.61</v>
      </c>
      <c r="E130" s="7" t="n">
        <f aca="false">ROUND((C130*ASM!$B$8*ASM!$B$13*(1+ASM!$B$3)+ASM!$B$4+ASM!$B$5+ASM!$B$6)*IF(A130&lt;=7,ASM!$B$7,ASM!$B$17),0)</f>
        <v>3275</v>
      </c>
      <c r="F130" s="10" t="n">
        <f aca="false">CEILING(E130/0.75,5)</f>
        <v>4370</v>
      </c>
      <c r="G130" s="9" t="n">
        <f aca="false">F130*0.75</f>
        <v>3277.5</v>
      </c>
      <c r="H130" s="7" t="n">
        <f aca="false">ROUND((D130+0.45)/(1-ASM!$B$9),0)</f>
        <v>1830</v>
      </c>
      <c r="I130" s="7" t="n">
        <f aca="false">ROUND((D130+0.45)/(1-ASM!$B$9-ASM!$B$10),0)</f>
        <v>2199</v>
      </c>
      <c r="J130" s="7" t="str">
        <f aca="false">IF(G130&gt;=H130,"OK","FLOOR ALTI")</f>
        <v>OK</v>
      </c>
    </row>
    <row r="131" customFormat="false" ht="15" hidden="false" customHeight="false" outlineLevel="0" collapsed="false">
      <c r="A131" s="7" t="n">
        <v>11</v>
      </c>
      <c r="B131" s="7" t="n">
        <v>16</v>
      </c>
      <c r="C131" s="8" t="n">
        <v>15.42</v>
      </c>
      <c r="D131" s="9" t="n">
        <f aca="false">ROUND(C131*ASM!$B$8*ASM!$B$13*(1+ASM!$B$3)+ASM!$B$4+ASM!$B$5+ASM!$B$6,2)</f>
        <v>1687.21</v>
      </c>
      <c r="E131" s="7" t="n">
        <f aca="false">ROUND((C131*ASM!$B$8*ASM!$B$13*(1+ASM!$B$3)+ASM!$B$4+ASM!$B$5+ASM!$B$6)*IF(A131&lt;=7,ASM!$B$7,ASM!$B$17),0)</f>
        <v>3374</v>
      </c>
      <c r="F131" s="10" t="n">
        <f aca="false">CEILING(E131/0.75,5)</f>
        <v>4500</v>
      </c>
      <c r="G131" s="9" t="n">
        <f aca="false">F131*0.75</f>
        <v>3375</v>
      </c>
      <c r="H131" s="7" t="n">
        <f aca="false">ROUND((D131+0.45)/(1-ASM!$B$9),0)</f>
        <v>1886</v>
      </c>
      <c r="I131" s="7" t="n">
        <f aca="false">ROUND((D131+0.45)/(1-ASM!$B$9-ASM!$B$10),0)</f>
        <v>2265</v>
      </c>
      <c r="J131" s="7" t="str">
        <f aca="false">IF(G131&gt;=H131,"OK","FLOOR ALTI")</f>
        <v>OK</v>
      </c>
    </row>
    <row r="132" customFormat="false" ht="15" hidden="false" customHeight="false" outlineLevel="0" collapsed="false">
      <c r="A132" s="7" t="n">
        <v>12</v>
      </c>
      <c r="B132" s="7" t="n">
        <v>4</v>
      </c>
      <c r="C132" s="8" t="n">
        <v>10.64</v>
      </c>
      <c r="D132" s="9" t="n">
        <f aca="false">ROUND(C132*ASM!$B$8*ASM!$B$13*(1+ASM!$B$3)+ASM!$B$4+ASM!$B$5+ASM!$B$6,2)</f>
        <v>1182.8</v>
      </c>
      <c r="E132" s="7" t="n">
        <f aca="false">ROUND((C132*ASM!$B$8*ASM!$B$13*(1+ASM!$B$3)+ASM!$B$4+ASM!$B$5+ASM!$B$6)*IF(A132&lt;=7,ASM!$B$7,ASM!$B$17),0)</f>
        <v>2366</v>
      </c>
      <c r="F132" s="10" t="n">
        <f aca="false">CEILING(E132/0.75,5)</f>
        <v>3155</v>
      </c>
      <c r="G132" s="9" t="n">
        <f aca="false">F132*0.75</f>
        <v>2366.25</v>
      </c>
      <c r="H132" s="7" t="n">
        <f aca="false">ROUND((D132+0.45)/(1-ASM!$B$9),0)</f>
        <v>1322</v>
      </c>
      <c r="I132" s="7" t="n">
        <f aca="false">ROUND((D132+0.45)/(1-ASM!$B$9-ASM!$B$10),0)</f>
        <v>1588</v>
      </c>
      <c r="J132" s="7" t="str">
        <f aca="false">IF(G132&gt;=H132,"OK","FLOOR ALTI")</f>
        <v>OK</v>
      </c>
    </row>
    <row r="133" customFormat="false" ht="15" hidden="false" customHeight="false" outlineLevel="0" collapsed="false">
      <c r="A133" s="7" t="n">
        <v>12</v>
      </c>
      <c r="B133" s="7" t="n">
        <v>5</v>
      </c>
      <c r="C133" s="8" t="n">
        <v>11.15</v>
      </c>
      <c r="D133" s="9" t="n">
        <f aca="false">ROUND(C133*ASM!$B$8*ASM!$B$13*(1+ASM!$B$3)+ASM!$B$4+ASM!$B$5+ASM!$B$6,2)</f>
        <v>1236.61</v>
      </c>
      <c r="E133" s="7" t="n">
        <f aca="false">ROUND((C133*ASM!$B$8*ASM!$B$13*(1+ASM!$B$3)+ASM!$B$4+ASM!$B$5+ASM!$B$6)*IF(A133&lt;=7,ASM!$B$7,ASM!$B$17),0)</f>
        <v>2473</v>
      </c>
      <c r="F133" s="10" t="n">
        <f aca="false">CEILING(E133/0.75,5)</f>
        <v>3300</v>
      </c>
      <c r="G133" s="9" t="n">
        <f aca="false">F133*0.75</f>
        <v>2475</v>
      </c>
      <c r="H133" s="7" t="n">
        <f aca="false">ROUND((D133+0.45)/(1-ASM!$B$9),0)</f>
        <v>1382</v>
      </c>
      <c r="I133" s="7" t="n">
        <f aca="false">ROUND((D133+0.45)/(1-ASM!$B$9-ASM!$B$10),0)</f>
        <v>1660</v>
      </c>
      <c r="J133" s="7" t="str">
        <f aca="false">IF(G133&gt;=H133,"OK","FLOOR ALTI")</f>
        <v>OK</v>
      </c>
    </row>
    <row r="134" customFormat="false" ht="15" hidden="false" customHeight="false" outlineLevel="0" collapsed="false">
      <c r="A134" s="7" t="n">
        <v>12</v>
      </c>
      <c r="B134" s="7" t="n">
        <v>6</v>
      </c>
      <c r="C134" s="8" t="n">
        <v>11.67</v>
      </c>
      <c r="D134" s="9" t="n">
        <f aca="false">ROUND(C134*ASM!$B$8*ASM!$B$13*(1+ASM!$B$3)+ASM!$B$4+ASM!$B$5+ASM!$B$6,2)</f>
        <v>1291.49</v>
      </c>
      <c r="E134" s="7" t="n">
        <f aca="false">ROUND((C134*ASM!$B$8*ASM!$B$13*(1+ASM!$B$3)+ASM!$B$4+ASM!$B$5+ASM!$B$6)*IF(A134&lt;=7,ASM!$B$7,ASM!$B$17),0)</f>
        <v>2583</v>
      </c>
      <c r="F134" s="10" t="n">
        <f aca="false">CEILING(E134/0.75,5)</f>
        <v>3445</v>
      </c>
      <c r="G134" s="9" t="n">
        <f aca="false">F134*0.75</f>
        <v>2583.75</v>
      </c>
      <c r="H134" s="7" t="n">
        <f aca="false">ROUND((D134+0.45)/(1-ASM!$B$9),0)</f>
        <v>1444</v>
      </c>
      <c r="I134" s="7" t="n">
        <f aca="false">ROUND((D134+0.45)/(1-ASM!$B$9-ASM!$B$10),0)</f>
        <v>1734</v>
      </c>
      <c r="J134" s="7" t="str">
        <f aca="false">IF(G134&gt;=H134,"OK","FLOOR ALTI")</f>
        <v>OK</v>
      </c>
    </row>
    <row r="135" customFormat="false" ht="15" hidden="false" customHeight="false" outlineLevel="0" collapsed="false">
      <c r="A135" s="7" t="n">
        <v>12</v>
      </c>
      <c r="B135" s="7" t="n">
        <v>7</v>
      </c>
      <c r="C135" s="8" t="n">
        <v>12.18</v>
      </c>
      <c r="D135" s="9" t="n">
        <f aca="false">ROUND(C135*ASM!$B$8*ASM!$B$13*(1+ASM!$B$3)+ASM!$B$4+ASM!$B$5+ASM!$B$6,2)</f>
        <v>1345.31</v>
      </c>
      <c r="E135" s="7" t="n">
        <f aca="false">ROUND((C135*ASM!$B$8*ASM!$B$13*(1+ASM!$B$3)+ASM!$B$4+ASM!$B$5+ASM!$B$6)*IF(A135&lt;=7,ASM!$B$7,ASM!$B$17),0)</f>
        <v>2691</v>
      </c>
      <c r="F135" s="10" t="n">
        <f aca="false">CEILING(E135/0.75,5)</f>
        <v>3590</v>
      </c>
      <c r="G135" s="9" t="n">
        <f aca="false">F135*0.75</f>
        <v>2692.5</v>
      </c>
      <c r="H135" s="7" t="n">
        <f aca="false">ROUND((D135+0.45)/(1-ASM!$B$9),0)</f>
        <v>1504</v>
      </c>
      <c r="I135" s="7" t="n">
        <f aca="false">ROUND((D135+0.45)/(1-ASM!$B$9-ASM!$B$10),0)</f>
        <v>1806</v>
      </c>
      <c r="J135" s="7" t="str">
        <f aca="false">IF(G135&gt;=H135,"OK","FLOOR ALTI")</f>
        <v>OK</v>
      </c>
    </row>
    <row r="136" customFormat="false" ht="15" hidden="false" customHeight="false" outlineLevel="0" collapsed="false">
      <c r="A136" s="7" t="n">
        <v>12</v>
      </c>
      <c r="B136" s="7" t="n">
        <v>8</v>
      </c>
      <c r="C136" s="8" t="n">
        <v>12.7</v>
      </c>
      <c r="D136" s="9" t="n">
        <f aca="false">ROUND(C136*ASM!$B$8*ASM!$B$13*(1+ASM!$B$3)+ASM!$B$4+ASM!$B$5+ASM!$B$6,2)</f>
        <v>1400.18</v>
      </c>
      <c r="E136" s="7" t="n">
        <f aca="false">ROUND((C136*ASM!$B$8*ASM!$B$13*(1+ASM!$B$3)+ASM!$B$4+ASM!$B$5+ASM!$B$6)*IF(A136&lt;=7,ASM!$B$7,ASM!$B$17),0)</f>
        <v>2800</v>
      </c>
      <c r="F136" s="10" t="n">
        <f aca="false">CEILING(E136/0.75,5)</f>
        <v>3735</v>
      </c>
      <c r="G136" s="9" t="n">
        <f aca="false">F136*0.75</f>
        <v>2801.25</v>
      </c>
      <c r="H136" s="7" t="n">
        <f aca="false">ROUND((D136+0.45)/(1-ASM!$B$9),0)</f>
        <v>1565</v>
      </c>
      <c r="I136" s="7" t="n">
        <f aca="false">ROUND((D136+0.45)/(1-ASM!$B$9-ASM!$B$10),0)</f>
        <v>1880</v>
      </c>
      <c r="J136" s="7" t="str">
        <f aca="false">IF(G136&gt;=H136,"OK","FLOOR ALTI")</f>
        <v>OK</v>
      </c>
    </row>
    <row r="137" customFormat="false" ht="15" hidden="false" customHeight="false" outlineLevel="0" collapsed="false">
      <c r="A137" s="7" t="n">
        <v>12</v>
      </c>
      <c r="B137" s="7" t="n">
        <v>9</v>
      </c>
      <c r="C137" s="8" t="n">
        <v>13.22</v>
      </c>
      <c r="D137" s="9" t="n">
        <f aca="false">ROUND(C137*ASM!$B$8*ASM!$B$13*(1+ASM!$B$3)+ASM!$B$4+ASM!$B$5+ASM!$B$6,2)</f>
        <v>1455.05</v>
      </c>
      <c r="E137" s="7" t="n">
        <f aca="false">ROUND((C137*ASM!$B$8*ASM!$B$13*(1+ASM!$B$3)+ASM!$B$4+ASM!$B$5+ASM!$B$6)*IF(A137&lt;=7,ASM!$B$7,ASM!$B$17),0)</f>
        <v>2910</v>
      </c>
      <c r="F137" s="10" t="n">
        <f aca="false">CEILING(E137/0.75,5)</f>
        <v>3880</v>
      </c>
      <c r="G137" s="9" t="n">
        <f aca="false">F137*0.75</f>
        <v>2910</v>
      </c>
      <c r="H137" s="7" t="n">
        <f aca="false">ROUND((D137+0.45)/(1-ASM!$B$9),0)</f>
        <v>1626</v>
      </c>
      <c r="I137" s="7" t="n">
        <f aca="false">ROUND((D137+0.45)/(1-ASM!$B$9-ASM!$B$10),0)</f>
        <v>1954</v>
      </c>
      <c r="J137" s="7" t="str">
        <f aca="false">IF(G137&gt;=H137,"OK","FLOOR ALTI")</f>
        <v>OK</v>
      </c>
    </row>
    <row r="138" customFormat="false" ht="15" hidden="false" customHeight="false" outlineLevel="0" collapsed="false">
      <c r="A138" s="7" t="n">
        <v>12</v>
      </c>
      <c r="B138" s="7" t="n">
        <v>10</v>
      </c>
      <c r="C138" s="8" t="n">
        <v>13.73</v>
      </c>
      <c r="D138" s="9" t="n">
        <f aca="false">ROUND(C138*ASM!$B$8*ASM!$B$13*(1+ASM!$B$3)+ASM!$B$4+ASM!$B$5+ASM!$B$6,2)</f>
        <v>1508.87</v>
      </c>
      <c r="E138" s="7" t="n">
        <f aca="false">ROUND((C138*ASM!$B$8*ASM!$B$13*(1+ASM!$B$3)+ASM!$B$4+ASM!$B$5+ASM!$B$6)*IF(A138&lt;=7,ASM!$B$7,ASM!$B$17),0)</f>
        <v>3018</v>
      </c>
      <c r="F138" s="10" t="n">
        <f aca="false">CEILING(E138/0.75,5)</f>
        <v>4025</v>
      </c>
      <c r="G138" s="9" t="n">
        <f aca="false">F138*0.75</f>
        <v>3018.75</v>
      </c>
      <c r="H138" s="7" t="n">
        <f aca="false">ROUND((D138+0.45)/(1-ASM!$B$9),0)</f>
        <v>1686</v>
      </c>
      <c r="I138" s="7" t="n">
        <f aca="false">ROUND((D138+0.45)/(1-ASM!$B$9-ASM!$B$10),0)</f>
        <v>2026</v>
      </c>
      <c r="J138" s="7" t="str">
        <f aca="false">IF(G138&gt;=H138,"OK","FLOOR ALTI")</f>
        <v>OK</v>
      </c>
    </row>
    <row r="139" customFormat="false" ht="15" hidden="false" customHeight="false" outlineLevel="0" collapsed="false">
      <c r="A139" s="7" t="n">
        <v>12</v>
      </c>
      <c r="B139" s="7" t="n">
        <v>11</v>
      </c>
      <c r="C139" s="8" t="n">
        <v>14.24</v>
      </c>
      <c r="D139" s="9" t="n">
        <f aca="false">ROUND(C139*ASM!$B$8*ASM!$B$13*(1+ASM!$B$3)+ASM!$B$4+ASM!$B$5+ASM!$B$6,2)</f>
        <v>1562.69</v>
      </c>
      <c r="E139" s="7" t="n">
        <f aca="false">ROUND((C139*ASM!$B$8*ASM!$B$13*(1+ASM!$B$3)+ASM!$B$4+ASM!$B$5+ASM!$B$6)*IF(A139&lt;=7,ASM!$B$7,ASM!$B$17),0)</f>
        <v>3125</v>
      </c>
      <c r="F139" s="10" t="n">
        <f aca="false">CEILING(E139/0.75,5)</f>
        <v>4170</v>
      </c>
      <c r="G139" s="9" t="n">
        <f aca="false">F139*0.75</f>
        <v>3127.5</v>
      </c>
      <c r="H139" s="7" t="n">
        <f aca="false">ROUND((D139+0.45)/(1-ASM!$B$9),0)</f>
        <v>1747</v>
      </c>
      <c r="I139" s="7" t="n">
        <f aca="false">ROUND((D139+0.45)/(1-ASM!$B$9-ASM!$B$10),0)</f>
        <v>2098</v>
      </c>
      <c r="J139" s="7" t="str">
        <f aca="false">IF(G139&gt;=H139,"OK","FLOOR ALTI")</f>
        <v>OK</v>
      </c>
    </row>
    <row r="140" customFormat="false" ht="15" hidden="false" customHeight="false" outlineLevel="0" collapsed="false">
      <c r="A140" s="7" t="n">
        <v>12</v>
      </c>
      <c r="B140" s="7" t="n">
        <v>12</v>
      </c>
      <c r="C140" s="8" t="n">
        <v>14.76</v>
      </c>
      <c r="D140" s="9" t="n">
        <f aca="false">ROUND(C140*ASM!$B$8*ASM!$B$13*(1+ASM!$B$3)+ASM!$B$4+ASM!$B$5+ASM!$B$6,2)</f>
        <v>1617.56</v>
      </c>
      <c r="E140" s="7" t="n">
        <f aca="false">ROUND((C140*ASM!$B$8*ASM!$B$13*(1+ASM!$B$3)+ASM!$B$4+ASM!$B$5+ASM!$B$6)*IF(A140&lt;=7,ASM!$B$7,ASM!$B$17),0)</f>
        <v>3235</v>
      </c>
      <c r="F140" s="10" t="n">
        <f aca="false">CEILING(E140/0.75,5)</f>
        <v>4315</v>
      </c>
      <c r="G140" s="9" t="n">
        <f aca="false">F140*0.75</f>
        <v>3236.25</v>
      </c>
      <c r="H140" s="7" t="n">
        <f aca="false">ROUND((D140+0.45)/(1-ASM!$B$9),0)</f>
        <v>1808</v>
      </c>
      <c r="I140" s="7" t="n">
        <f aca="false">ROUND((D140+0.45)/(1-ASM!$B$9-ASM!$B$10),0)</f>
        <v>2172</v>
      </c>
      <c r="J140" s="7" t="str">
        <f aca="false">IF(G140&gt;=H140,"OK","FLOOR ALTI")</f>
        <v>OK</v>
      </c>
    </row>
    <row r="141" customFormat="false" ht="15" hidden="false" customHeight="false" outlineLevel="0" collapsed="false">
      <c r="A141" s="7" t="n">
        <v>12</v>
      </c>
      <c r="B141" s="7" t="n">
        <v>13</v>
      </c>
      <c r="C141" s="8" t="n">
        <v>15.28</v>
      </c>
      <c r="D141" s="9" t="n">
        <f aca="false">ROUND(C141*ASM!$B$8*ASM!$B$13*(1+ASM!$B$3)+ASM!$B$4+ASM!$B$5+ASM!$B$6,2)</f>
        <v>1672.44</v>
      </c>
      <c r="E141" s="7" t="n">
        <f aca="false">ROUND((C141*ASM!$B$8*ASM!$B$13*(1+ASM!$B$3)+ASM!$B$4+ASM!$B$5+ASM!$B$6)*IF(A141&lt;=7,ASM!$B$7,ASM!$B$17),0)</f>
        <v>3345</v>
      </c>
      <c r="F141" s="10" t="n">
        <f aca="false">CEILING(E141/0.75,5)</f>
        <v>4460</v>
      </c>
      <c r="G141" s="9" t="n">
        <f aca="false">F141*0.75</f>
        <v>3345</v>
      </c>
      <c r="H141" s="7" t="n">
        <f aca="false">ROUND((D141+0.45)/(1-ASM!$B$9),0)</f>
        <v>1869</v>
      </c>
      <c r="I141" s="7" t="n">
        <f aca="false">ROUND((D141+0.45)/(1-ASM!$B$9-ASM!$B$10),0)</f>
        <v>2245</v>
      </c>
      <c r="J141" s="7" t="str">
        <f aca="false">IF(G141&gt;=H141,"OK","FLOOR ALTI")</f>
        <v>OK</v>
      </c>
    </row>
    <row r="142" customFormat="false" ht="15" hidden="false" customHeight="false" outlineLevel="0" collapsed="false">
      <c r="A142" s="7" t="n">
        <v>12</v>
      </c>
      <c r="B142" s="7" t="n">
        <v>14</v>
      </c>
      <c r="C142" s="8" t="n">
        <v>15.79</v>
      </c>
      <c r="D142" s="9" t="n">
        <f aca="false">ROUND(C142*ASM!$B$8*ASM!$B$13*(1+ASM!$B$3)+ASM!$B$4+ASM!$B$5+ASM!$B$6,2)</f>
        <v>1726.25</v>
      </c>
      <c r="E142" s="7" t="n">
        <f aca="false">ROUND((C142*ASM!$B$8*ASM!$B$13*(1+ASM!$B$3)+ASM!$B$4+ASM!$B$5+ASM!$B$6)*IF(A142&lt;=7,ASM!$B$7,ASM!$B$17),0)</f>
        <v>3453</v>
      </c>
      <c r="F142" s="10" t="n">
        <f aca="false">CEILING(E142/0.75,5)</f>
        <v>4605</v>
      </c>
      <c r="G142" s="9" t="n">
        <f aca="false">F142*0.75</f>
        <v>3453.75</v>
      </c>
      <c r="H142" s="7" t="n">
        <f aca="false">ROUND((D142+0.45)/(1-ASM!$B$9),0)</f>
        <v>1929</v>
      </c>
      <c r="I142" s="7" t="n">
        <f aca="false">ROUND((D142+0.45)/(1-ASM!$B$9-ASM!$B$10),0)</f>
        <v>2318</v>
      </c>
      <c r="J142" s="7" t="str">
        <f aca="false">IF(G142&gt;=H142,"OK","FLOOR ALTI")</f>
        <v>OK</v>
      </c>
    </row>
    <row r="143" customFormat="false" ht="15" hidden="false" customHeight="false" outlineLevel="0" collapsed="false">
      <c r="A143" s="7" t="n">
        <v>12</v>
      </c>
      <c r="B143" s="7" t="n">
        <v>15</v>
      </c>
      <c r="C143" s="8" t="n">
        <v>16.31</v>
      </c>
      <c r="D143" s="9" t="n">
        <f aca="false">ROUND(C143*ASM!$B$8*ASM!$B$13*(1+ASM!$B$3)+ASM!$B$4+ASM!$B$5+ASM!$B$6,2)</f>
        <v>1781.13</v>
      </c>
      <c r="E143" s="7" t="n">
        <f aca="false">ROUND((C143*ASM!$B$8*ASM!$B$13*(1+ASM!$B$3)+ASM!$B$4+ASM!$B$5+ASM!$B$6)*IF(A143&lt;=7,ASM!$B$7,ASM!$B$17),0)</f>
        <v>3562</v>
      </c>
      <c r="F143" s="10" t="n">
        <f aca="false">CEILING(E143/0.75,5)</f>
        <v>4750</v>
      </c>
      <c r="G143" s="9" t="n">
        <f aca="false">F143*0.75</f>
        <v>3562.5</v>
      </c>
      <c r="H143" s="7" t="n">
        <f aca="false">ROUND((D143+0.45)/(1-ASM!$B$9),0)</f>
        <v>1991</v>
      </c>
      <c r="I143" s="7" t="n">
        <f aca="false">ROUND((D143+0.45)/(1-ASM!$B$9-ASM!$B$10),0)</f>
        <v>2391</v>
      </c>
      <c r="J143" s="7" t="str">
        <f aca="false">IF(G143&gt;=H143,"OK","FLOOR ALTI")</f>
        <v>OK</v>
      </c>
    </row>
    <row r="144" customFormat="false" ht="15" hidden="false" customHeight="false" outlineLevel="0" collapsed="false">
      <c r="A144" s="7" t="n">
        <v>12</v>
      </c>
      <c r="B144" s="7" t="n">
        <v>16</v>
      </c>
      <c r="C144" s="8" t="n">
        <v>16.83</v>
      </c>
      <c r="D144" s="9" t="n">
        <f aca="false">ROUND(C144*ASM!$B$8*ASM!$B$13*(1+ASM!$B$3)+ASM!$B$4+ASM!$B$5+ASM!$B$6,2)</f>
        <v>1836</v>
      </c>
      <c r="E144" s="7" t="n">
        <f aca="false">ROUND((C144*ASM!$B$8*ASM!$B$13*(1+ASM!$B$3)+ASM!$B$4+ASM!$B$5+ASM!$B$6)*IF(A144&lt;=7,ASM!$B$7,ASM!$B$17),0)</f>
        <v>3672</v>
      </c>
      <c r="F144" s="10" t="n">
        <f aca="false">CEILING(E144/0.75,5)</f>
        <v>4900</v>
      </c>
      <c r="G144" s="9" t="n">
        <f aca="false">F144*0.75</f>
        <v>3675</v>
      </c>
      <c r="H144" s="7" t="n">
        <f aca="false">ROUND((D144+0.45)/(1-ASM!$B$9),0)</f>
        <v>2052</v>
      </c>
      <c r="I144" s="7" t="n">
        <f aca="false">ROUND((D144+0.45)/(1-ASM!$B$9-ASM!$B$10),0)</f>
        <v>2465</v>
      </c>
      <c r="J144" s="7" t="str">
        <f aca="false">IF(G144&gt;=H144,"OK","FLOOR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23.85" hidden="false" customHeight="false" outlineLevel="0" collapsed="false">
      <c r="A1" s="6" t="s">
        <v>47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</row>
    <row r="2" customFormat="false" ht="15" hidden="false" customHeight="false" outlineLevel="0" collapsed="false">
      <c r="A2" s="7" t="s">
        <v>48</v>
      </c>
      <c r="B2" s="7" t="n">
        <v>2</v>
      </c>
      <c r="C2" s="7" t="n">
        <v>4</v>
      </c>
      <c r="D2" s="8" t="n">
        <v>1.37</v>
      </c>
      <c r="E2" s="9" t="n">
        <f aca="false">ROUND(D2*ASM!$B$8*IF(A2="10K",ASM!$B$11,IF(A2="14K",ASM!$B$12,ASM!$B$13))*(1+ASM!$B$3)+ASM!$B$16+ASM!$B$5+ASM!$B$6,2)</f>
        <v>150.38</v>
      </c>
      <c r="F2" s="7" t="n">
        <f aca="false">ROUND((D2*ASM!$B$8*IF(A2="10K",ASM!$B$11,IF(A2="14K",ASM!$B$12,ASM!$B$13))*(1+ASM!$B$3)+ASM!$B$16+ASM!$B$5+ASM!$B$6)*IF(B2&lt;=7,ASM!$B$7,ASM!$B$17),0)</f>
        <v>233</v>
      </c>
      <c r="G2" s="10" t="n">
        <f aca="false">CEILING(F2/0.75,5)</f>
        <v>315</v>
      </c>
      <c r="H2" s="9" t="n">
        <f aca="false">G2*0.75</f>
        <v>236.25</v>
      </c>
      <c r="I2" s="7" t="n">
        <f aca="false">ROUND((E2+0.45)/(1-ASM!$B$9),0)</f>
        <v>169</v>
      </c>
      <c r="J2" s="7" t="n">
        <f aca="false">ROUND((E2+0.45)/(1-ASM!$B$9-ASM!$B$10),0)</f>
        <v>202</v>
      </c>
      <c r="K2" s="7" t="str">
        <f aca="false">IF(H2&gt;=I2,"OK","FLOOR ALTI")</f>
        <v>OK</v>
      </c>
    </row>
    <row r="3" customFormat="false" ht="15" hidden="false" customHeight="false" outlineLevel="0" collapsed="false">
      <c r="A3" s="7" t="s">
        <v>48</v>
      </c>
      <c r="B3" s="7" t="n">
        <v>2</v>
      </c>
      <c r="C3" s="7" t="n">
        <v>5</v>
      </c>
      <c r="D3" s="8" t="n">
        <v>1.43</v>
      </c>
      <c r="E3" s="9" t="n">
        <f aca="false">ROUND(D3*ASM!$B$8*IF(A3="10K",ASM!$B$11,IF(A3="14K",ASM!$B$12,ASM!$B$13))*(1+ASM!$B$3)+ASM!$B$16+ASM!$B$5+ASM!$B$6,2)</f>
        <v>153.9</v>
      </c>
      <c r="F3" s="7" t="n">
        <f aca="false">ROUND((D3*ASM!$B$8*IF(A3="10K",ASM!$B$11,IF(A3="14K",ASM!$B$12,ASM!$B$13))*(1+ASM!$B$3)+ASM!$B$16+ASM!$B$5+ASM!$B$6)*IF(B3&lt;=7,ASM!$B$7,ASM!$B$17),0)</f>
        <v>239</v>
      </c>
      <c r="G3" s="10" t="n">
        <f aca="false">CEILING(F3/0.75,5)</f>
        <v>320</v>
      </c>
      <c r="H3" s="9" t="n">
        <f aca="false">G3*0.75</f>
        <v>240</v>
      </c>
      <c r="I3" s="7" t="n">
        <f aca="false">ROUND((E3+0.45)/(1-ASM!$B$9),0)</f>
        <v>172</v>
      </c>
      <c r="J3" s="7" t="n">
        <f aca="false">ROUND((E3+0.45)/(1-ASM!$B$9-ASM!$B$10),0)</f>
        <v>207</v>
      </c>
      <c r="K3" s="7" t="str">
        <f aca="false">IF(H3&gt;=I3,"OK","FLOOR ALTI")</f>
        <v>OK</v>
      </c>
    </row>
    <row r="4" customFormat="false" ht="15" hidden="false" customHeight="false" outlineLevel="0" collapsed="false">
      <c r="A4" s="7" t="s">
        <v>48</v>
      </c>
      <c r="B4" s="7" t="n">
        <v>2</v>
      </c>
      <c r="C4" s="7" t="n">
        <v>6</v>
      </c>
      <c r="D4" s="8" t="n">
        <v>1.5</v>
      </c>
      <c r="E4" s="9" t="n">
        <f aca="false">ROUND(D4*ASM!$B$8*IF(A4="10K",ASM!$B$11,IF(A4="14K",ASM!$B$12,ASM!$B$13))*(1+ASM!$B$3)+ASM!$B$16+ASM!$B$5+ASM!$B$6,2)</f>
        <v>158.01</v>
      </c>
      <c r="F4" s="7" t="n">
        <f aca="false">ROUND((D4*ASM!$B$8*IF(A4="10K",ASM!$B$11,IF(A4="14K",ASM!$B$12,ASM!$B$13))*(1+ASM!$B$3)+ASM!$B$16+ASM!$B$5+ASM!$B$6)*IF(B4&lt;=7,ASM!$B$7,ASM!$B$17),0)</f>
        <v>245</v>
      </c>
      <c r="G4" s="10" t="n">
        <f aca="false">CEILING(F4/0.75,5)</f>
        <v>330</v>
      </c>
      <c r="H4" s="9" t="n">
        <f aca="false">G4*0.75</f>
        <v>247.5</v>
      </c>
      <c r="I4" s="7" t="n">
        <f aca="false">ROUND((E4+0.45)/(1-ASM!$B$9),0)</f>
        <v>177</v>
      </c>
      <c r="J4" s="7" t="n">
        <f aca="false">ROUND((E4+0.45)/(1-ASM!$B$9-ASM!$B$10),0)</f>
        <v>213</v>
      </c>
      <c r="K4" s="7" t="str">
        <f aca="false">IF(H4&gt;=I4,"OK","FLOOR ALTI")</f>
        <v>OK</v>
      </c>
    </row>
    <row r="5" customFormat="false" ht="15" hidden="false" customHeight="false" outlineLevel="0" collapsed="false">
      <c r="A5" s="7" t="s">
        <v>48</v>
      </c>
      <c r="B5" s="7" t="n">
        <v>2</v>
      </c>
      <c r="C5" s="7" t="n">
        <v>7</v>
      </c>
      <c r="D5" s="8" t="n">
        <v>1.57</v>
      </c>
      <c r="E5" s="9" t="n">
        <f aca="false">ROUND(D5*ASM!$B$8*IF(A5="10K",ASM!$B$11,IF(A5="14K",ASM!$B$12,ASM!$B$13))*(1+ASM!$B$3)+ASM!$B$16+ASM!$B$5+ASM!$B$6,2)</f>
        <v>162.12</v>
      </c>
      <c r="F5" s="7" t="n">
        <f aca="false">ROUND((D5*ASM!$B$8*IF(A5="10K",ASM!$B$11,IF(A5="14K",ASM!$B$12,ASM!$B$13))*(1+ASM!$B$3)+ASM!$B$16+ASM!$B$5+ASM!$B$6)*IF(B5&lt;=7,ASM!$B$7,ASM!$B$17),0)</f>
        <v>251</v>
      </c>
      <c r="G5" s="10" t="n">
        <f aca="false">CEILING(F5/0.75,5)</f>
        <v>335</v>
      </c>
      <c r="H5" s="9" t="n">
        <f aca="false">G5*0.75</f>
        <v>251.25</v>
      </c>
      <c r="I5" s="7" t="n">
        <f aca="false">ROUND((E5+0.45)/(1-ASM!$B$9),0)</f>
        <v>182</v>
      </c>
      <c r="J5" s="7" t="n">
        <f aca="false">ROUND((E5+0.45)/(1-ASM!$B$9-ASM!$B$10),0)</f>
        <v>218</v>
      </c>
      <c r="K5" s="7" t="str">
        <f aca="false">IF(H5&gt;=I5,"OK","FLOOR ALTI")</f>
        <v>OK</v>
      </c>
    </row>
    <row r="6" customFormat="false" ht="15" hidden="false" customHeight="false" outlineLevel="0" collapsed="false">
      <c r="A6" s="7" t="s">
        <v>48</v>
      </c>
      <c r="B6" s="7" t="n">
        <v>2</v>
      </c>
      <c r="C6" s="7" t="n">
        <v>8</v>
      </c>
      <c r="D6" s="8" t="n">
        <v>1.63</v>
      </c>
      <c r="E6" s="9" t="n">
        <f aca="false">ROUND(D6*ASM!$B$8*IF(A6="10K",ASM!$B$11,IF(A6="14K",ASM!$B$12,ASM!$B$13))*(1+ASM!$B$3)+ASM!$B$16+ASM!$B$5+ASM!$B$6,2)</f>
        <v>165.64</v>
      </c>
      <c r="F6" s="7" t="n">
        <f aca="false">ROUND((D6*ASM!$B$8*IF(A6="10K",ASM!$B$11,IF(A6="14K",ASM!$B$12,ASM!$B$13))*(1+ASM!$B$3)+ASM!$B$16+ASM!$B$5+ASM!$B$6)*IF(B6&lt;=7,ASM!$B$7,ASM!$B$17),0)</f>
        <v>257</v>
      </c>
      <c r="G6" s="10" t="n">
        <f aca="false">CEILING(F6/0.75,5)</f>
        <v>345</v>
      </c>
      <c r="H6" s="9" t="n">
        <f aca="false">G6*0.75</f>
        <v>258.75</v>
      </c>
      <c r="I6" s="7" t="n">
        <f aca="false">ROUND((E6+0.45)/(1-ASM!$B$9),0)</f>
        <v>186</v>
      </c>
      <c r="J6" s="7" t="n">
        <f aca="false">ROUND((E6+0.45)/(1-ASM!$B$9-ASM!$B$10),0)</f>
        <v>223</v>
      </c>
      <c r="K6" s="7" t="str">
        <f aca="false">IF(H6&gt;=I6,"OK","FLOOR ALTI")</f>
        <v>OK</v>
      </c>
    </row>
    <row r="7" customFormat="false" ht="15" hidden="false" customHeight="false" outlineLevel="0" collapsed="false">
      <c r="A7" s="7" t="s">
        <v>48</v>
      </c>
      <c r="B7" s="7" t="n">
        <v>2</v>
      </c>
      <c r="C7" s="7" t="n">
        <v>9</v>
      </c>
      <c r="D7" s="8" t="n">
        <v>1.7</v>
      </c>
      <c r="E7" s="9" t="n">
        <f aca="false">ROUND(D7*ASM!$B$8*IF(A7="10K",ASM!$B$11,IF(A7="14K",ASM!$B$12,ASM!$B$13))*(1+ASM!$B$3)+ASM!$B$16+ASM!$B$5+ASM!$B$6,2)</f>
        <v>169.74</v>
      </c>
      <c r="F7" s="7" t="n">
        <f aca="false">ROUND((D7*ASM!$B$8*IF(A7="10K",ASM!$B$11,IF(A7="14K",ASM!$B$12,ASM!$B$13))*(1+ASM!$B$3)+ASM!$B$16+ASM!$B$5+ASM!$B$6)*IF(B7&lt;=7,ASM!$B$7,ASM!$B$17),0)</f>
        <v>263</v>
      </c>
      <c r="G7" s="10" t="n">
        <f aca="false">CEILING(F7/0.75,5)</f>
        <v>355</v>
      </c>
      <c r="H7" s="9" t="n">
        <f aca="false">G7*0.75</f>
        <v>266.25</v>
      </c>
      <c r="I7" s="7" t="n">
        <f aca="false">ROUND((E7+0.45)/(1-ASM!$B$9),0)</f>
        <v>190</v>
      </c>
      <c r="J7" s="7" t="n">
        <f aca="false">ROUND((E7+0.45)/(1-ASM!$B$9-ASM!$B$10),0)</f>
        <v>228</v>
      </c>
      <c r="K7" s="7" t="str">
        <f aca="false">IF(H7&gt;=I7,"OK","FLOOR ALTI")</f>
        <v>OK</v>
      </c>
    </row>
    <row r="8" customFormat="false" ht="15" hidden="false" customHeight="false" outlineLevel="0" collapsed="false">
      <c r="A8" s="7" t="s">
        <v>48</v>
      </c>
      <c r="B8" s="7" t="n">
        <v>2</v>
      </c>
      <c r="C8" s="7" t="n">
        <v>10</v>
      </c>
      <c r="D8" s="8" t="n">
        <v>1.77</v>
      </c>
      <c r="E8" s="9" t="n">
        <f aca="false">ROUND(D8*ASM!$B$8*IF(A8="10K",ASM!$B$11,IF(A8="14K",ASM!$B$12,ASM!$B$13))*(1+ASM!$B$3)+ASM!$B$16+ASM!$B$5+ASM!$B$6,2)</f>
        <v>173.85</v>
      </c>
      <c r="F8" s="7" t="n">
        <f aca="false">ROUND((D8*ASM!$B$8*IF(A8="10K",ASM!$B$11,IF(A8="14K",ASM!$B$12,ASM!$B$13))*(1+ASM!$B$3)+ASM!$B$16+ASM!$B$5+ASM!$B$6)*IF(B8&lt;=7,ASM!$B$7,ASM!$B$17),0)</f>
        <v>269</v>
      </c>
      <c r="G8" s="10" t="n">
        <f aca="false">CEILING(F8/0.75,5)</f>
        <v>360</v>
      </c>
      <c r="H8" s="9" t="n">
        <f aca="false">G8*0.75</f>
        <v>270</v>
      </c>
      <c r="I8" s="7" t="n">
        <f aca="false">ROUND((E8+0.45)/(1-ASM!$B$9),0)</f>
        <v>195</v>
      </c>
      <c r="J8" s="7" t="n">
        <f aca="false">ROUND((E8+0.45)/(1-ASM!$B$9-ASM!$B$10),0)</f>
        <v>234</v>
      </c>
      <c r="K8" s="7" t="str">
        <f aca="false">IF(H8&gt;=I8,"OK","FLOOR ALTI")</f>
        <v>OK</v>
      </c>
    </row>
    <row r="9" customFormat="false" ht="15" hidden="false" customHeight="false" outlineLevel="0" collapsed="false">
      <c r="A9" s="7" t="s">
        <v>48</v>
      </c>
      <c r="B9" s="7" t="n">
        <v>2</v>
      </c>
      <c r="C9" s="7" t="n">
        <v>11</v>
      </c>
      <c r="D9" s="8" t="n">
        <v>1.83</v>
      </c>
      <c r="E9" s="9" t="n">
        <f aca="false">ROUND(D9*ASM!$B$8*IF(A9="10K",ASM!$B$11,IF(A9="14K",ASM!$B$12,ASM!$B$13))*(1+ASM!$B$3)+ASM!$B$16+ASM!$B$5+ASM!$B$6,2)</f>
        <v>177.37</v>
      </c>
      <c r="F9" s="7" t="n">
        <f aca="false">ROUND((D9*ASM!$B$8*IF(A9="10K",ASM!$B$11,IF(A9="14K",ASM!$B$12,ASM!$B$13))*(1+ASM!$B$3)+ASM!$B$16+ASM!$B$5+ASM!$B$6)*IF(B9&lt;=7,ASM!$B$7,ASM!$B$17),0)</f>
        <v>275</v>
      </c>
      <c r="G9" s="10" t="n">
        <f aca="false">CEILING(F9/0.75,5)</f>
        <v>370</v>
      </c>
      <c r="H9" s="9" t="n">
        <f aca="false">G9*0.75</f>
        <v>277.5</v>
      </c>
      <c r="I9" s="7" t="n">
        <f aca="false">ROUND((E9+0.45)/(1-ASM!$B$9),0)</f>
        <v>199</v>
      </c>
      <c r="J9" s="7" t="n">
        <f aca="false">ROUND((E9+0.45)/(1-ASM!$B$9-ASM!$B$10),0)</f>
        <v>239</v>
      </c>
      <c r="K9" s="7" t="str">
        <f aca="false">IF(H9&gt;=I9,"OK","FLOOR ALTI")</f>
        <v>OK</v>
      </c>
    </row>
    <row r="10" customFormat="false" ht="15" hidden="false" customHeight="false" outlineLevel="0" collapsed="false">
      <c r="A10" s="7" t="s">
        <v>48</v>
      </c>
      <c r="B10" s="7" t="n">
        <v>2</v>
      </c>
      <c r="C10" s="7" t="n">
        <v>12</v>
      </c>
      <c r="D10" s="8" t="n">
        <v>1.9</v>
      </c>
      <c r="E10" s="9" t="n">
        <f aca="false">ROUND(D10*ASM!$B$8*IF(A10="10K",ASM!$B$11,IF(A10="14K",ASM!$B$12,ASM!$B$13))*(1+ASM!$B$3)+ASM!$B$16+ASM!$B$5+ASM!$B$6,2)</f>
        <v>181.48</v>
      </c>
      <c r="F10" s="7" t="n">
        <f aca="false">ROUND((D10*ASM!$B$8*IF(A10="10K",ASM!$B$11,IF(A10="14K",ASM!$B$12,ASM!$B$13))*(1+ASM!$B$3)+ASM!$B$16+ASM!$B$5+ASM!$B$6)*IF(B10&lt;=7,ASM!$B$7,ASM!$B$17),0)</f>
        <v>281</v>
      </c>
      <c r="G10" s="10" t="n">
        <f aca="false">CEILING(F10/0.75,5)</f>
        <v>375</v>
      </c>
      <c r="H10" s="9" t="n">
        <f aca="false">G10*0.75</f>
        <v>281.25</v>
      </c>
      <c r="I10" s="7" t="n">
        <f aca="false">ROUND((E10+0.45)/(1-ASM!$B$9),0)</f>
        <v>203</v>
      </c>
      <c r="J10" s="7" t="n">
        <f aca="false">ROUND((E10+0.45)/(1-ASM!$B$9-ASM!$B$10),0)</f>
        <v>244</v>
      </c>
      <c r="K10" s="7" t="str">
        <f aca="false">IF(H10&gt;=I10,"OK","FLOOR ALTI")</f>
        <v>OK</v>
      </c>
    </row>
    <row r="11" customFormat="false" ht="15" hidden="false" customHeight="false" outlineLevel="0" collapsed="false">
      <c r="A11" s="7" t="s">
        <v>48</v>
      </c>
      <c r="B11" s="7" t="n">
        <v>2</v>
      </c>
      <c r="C11" s="7" t="n">
        <v>13</v>
      </c>
      <c r="D11" s="8" t="n">
        <v>1.97</v>
      </c>
      <c r="E11" s="9" t="n">
        <f aca="false">ROUND(D11*ASM!$B$8*IF(A11="10K",ASM!$B$11,IF(A11="14K",ASM!$B$12,ASM!$B$13))*(1+ASM!$B$3)+ASM!$B$16+ASM!$B$5+ASM!$B$6,2)</f>
        <v>185.58</v>
      </c>
      <c r="F11" s="7" t="n">
        <f aca="false">ROUND((D11*ASM!$B$8*IF(A11="10K",ASM!$B$11,IF(A11="14K",ASM!$B$12,ASM!$B$13))*(1+ASM!$B$3)+ASM!$B$16+ASM!$B$5+ASM!$B$6)*IF(B11&lt;=7,ASM!$B$7,ASM!$B$17),0)</f>
        <v>288</v>
      </c>
      <c r="G11" s="10" t="n">
        <f aca="false">CEILING(F11/0.75,5)</f>
        <v>385</v>
      </c>
      <c r="H11" s="9" t="n">
        <f aca="false">G11*0.75</f>
        <v>288.75</v>
      </c>
      <c r="I11" s="7" t="n">
        <f aca="false">ROUND((E11+0.45)/(1-ASM!$B$9),0)</f>
        <v>208</v>
      </c>
      <c r="J11" s="7" t="n">
        <f aca="false">ROUND((E11+0.45)/(1-ASM!$B$9-ASM!$B$10),0)</f>
        <v>250</v>
      </c>
      <c r="K11" s="7" t="str">
        <f aca="false">IF(H11&gt;=I11,"OK","FLOOR ALTI")</f>
        <v>OK</v>
      </c>
    </row>
    <row r="12" customFormat="false" ht="15" hidden="false" customHeight="false" outlineLevel="0" collapsed="false">
      <c r="A12" s="7" t="s">
        <v>48</v>
      </c>
      <c r="B12" s="7" t="n">
        <v>2</v>
      </c>
      <c r="C12" s="7" t="n">
        <v>14</v>
      </c>
      <c r="D12" s="8" t="n">
        <v>2.03</v>
      </c>
      <c r="E12" s="9" t="n">
        <f aca="false">ROUND(D12*ASM!$B$8*IF(A12="10K",ASM!$B$11,IF(A12="14K",ASM!$B$12,ASM!$B$13))*(1+ASM!$B$3)+ASM!$B$16+ASM!$B$5+ASM!$B$6,2)</f>
        <v>189.1</v>
      </c>
      <c r="F12" s="7" t="n">
        <f aca="false">ROUND((D12*ASM!$B$8*IF(A12="10K",ASM!$B$11,IF(A12="14K",ASM!$B$12,ASM!$B$13))*(1+ASM!$B$3)+ASM!$B$16+ASM!$B$5+ASM!$B$6)*IF(B12&lt;=7,ASM!$B$7,ASM!$B$17),0)</f>
        <v>293</v>
      </c>
      <c r="G12" s="10" t="n">
        <f aca="false">CEILING(F12/0.75,5)</f>
        <v>395</v>
      </c>
      <c r="H12" s="9" t="n">
        <f aca="false">G12*0.75</f>
        <v>296.25</v>
      </c>
      <c r="I12" s="7" t="n">
        <f aca="false">ROUND((E12+0.45)/(1-ASM!$B$9),0)</f>
        <v>212</v>
      </c>
      <c r="J12" s="7" t="n">
        <f aca="false">ROUND((E12+0.45)/(1-ASM!$B$9-ASM!$B$10),0)</f>
        <v>254</v>
      </c>
      <c r="K12" s="7" t="str">
        <f aca="false">IF(H12&gt;=I12,"OK","FLOOR ALTI")</f>
        <v>OK</v>
      </c>
    </row>
    <row r="13" customFormat="false" ht="15" hidden="false" customHeight="false" outlineLevel="0" collapsed="false">
      <c r="A13" s="7" t="s">
        <v>48</v>
      </c>
      <c r="B13" s="7" t="n">
        <v>2</v>
      </c>
      <c r="C13" s="7" t="n">
        <v>15</v>
      </c>
      <c r="D13" s="8" t="n">
        <v>2.1</v>
      </c>
      <c r="E13" s="9" t="n">
        <f aca="false">ROUND(D13*ASM!$B$8*IF(A13="10K",ASM!$B$11,IF(A13="14K",ASM!$B$12,ASM!$B$13))*(1+ASM!$B$3)+ASM!$B$16+ASM!$B$5+ASM!$B$6,2)</f>
        <v>193.21</v>
      </c>
      <c r="F13" s="7" t="n">
        <f aca="false">ROUND((D13*ASM!$B$8*IF(A13="10K",ASM!$B$11,IF(A13="14K",ASM!$B$12,ASM!$B$13))*(1+ASM!$B$3)+ASM!$B$16+ASM!$B$5+ASM!$B$6)*IF(B13&lt;=7,ASM!$B$7,ASM!$B$17),0)</f>
        <v>299</v>
      </c>
      <c r="G13" s="10" t="n">
        <f aca="false">CEILING(F13/0.75,5)</f>
        <v>400</v>
      </c>
      <c r="H13" s="9" t="n">
        <f aca="false">G13*0.75</f>
        <v>300</v>
      </c>
      <c r="I13" s="7" t="n">
        <f aca="false">ROUND((E13+0.45)/(1-ASM!$B$9),0)</f>
        <v>216</v>
      </c>
      <c r="J13" s="7" t="n">
        <f aca="false">ROUND((E13+0.45)/(1-ASM!$B$9-ASM!$B$10),0)</f>
        <v>260</v>
      </c>
      <c r="K13" s="7" t="str">
        <f aca="false">IF(H13&gt;=I13,"OK","FLOOR ALTI")</f>
        <v>OK</v>
      </c>
    </row>
    <row r="14" customFormat="false" ht="15" hidden="false" customHeight="false" outlineLevel="0" collapsed="false">
      <c r="A14" s="7" t="s">
        <v>48</v>
      </c>
      <c r="B14" s="7" t="n">
        <v>2</v>
      </c>
      <c r="C14" s="7" t="n">
        <v>16</v>
      </c>
      <c r="D14" s="8" t="n">
        <v>2.16</v>
      </c>
      <c r="E14" s="9" t="n">
        <f aca="false">ROUND(D14*ASM!$B$8*IF(A14="10K",ASM!$B$11,IF(A14="14K",ASM!$B$12,ASM!$B$13))*(1+ASM!$B$3)+ASM!$B$16+ASM!$B$5+ASM!$B$6,2)</f>
        <v>196.73</v>
      </c>
      <c r="F14" s="7" t="n">
        <f aca="false">ROUND((D14*ASM!$B$8*IF(A14="10K",ASM!$B$11,IF(A14="14K",ASM!$B$12,ASM!$B$13))*(1+ASM!$B$3)+ASM!$B$16+ASM!$B$5+ASM!$B$6)*IF(B14&lt;=7,ASM!$B$7,ASM!$B$17),0)</f>
        <v>305</v>
      </c>
      <c r="G14" s="10" t="n">
        <f aca="false">CEILING(F14/0.75,5)</f>
        <v>410</v>
      </c>
      <c r="H14" s="9" t="n">
        <f aca="false">G14*0.75</f>
        <v>307.5</v>
      </c>
      <c r="I14" s="7" t="n">
        <f aca="false">ROUND((E14+0.45)/(1-ASM!$B$9),0)</f>
        <v>220</v>
      </c>
      <c r="J14" s="7" t="n">
        <f aca="false">ROUND((E14+0.45)/(1-ASM!$B$9-ASM!$B$10),0)</f>
        <v>265</v>
      </c>
      <c r="K14" s="7" t="str">
        <f aca="false">IF(H14&gt;=I14,"OK","FLOOR ALTI")</f>
        <v>OK</v>
      </c>
    </row>
    <row r="15" customFormat="false" ht="15" hidden="false" customHeight="false" outlineLevel="0" collapsed="false">
      <c r="A15" s="7" t="s">
        <v>48</v>
      </c>
      <c r="B15" s="7" t="n">
        <v>3</v>
      </c>
      <c r="C15" s="7" t="n">
        <v>4</v>
      </c>
      <c r="D15" s="8" t="n">
        <v>2.05</v>
      </c>
      <c r="E15" s="9" t="n">
        <f aca="false">ROUND(D15*ASM!$B$8*IF(A15="10K",ASM!$B$11,IF(A15="14K",ASM!$B$12,ASM!$B$13))*(1+ASM!$B$3)+ASM!$B$16+ASM!$B$5+ASM!$B$6,2)</f>
        <v>190.28</v>
      </c>
      <c r="F15" s="7" t="n">
        <f aca="false">ROUND((D15*ASM!$B$8*IF(A15="10K",ASM!$B$11,IF(A15="14K",ASM!$B$12,ASM!$B$13))*(1+ASM!$B$3)+ASM!$B$16+ASM!$B$5+ASM!$B$6)*IF(B15&lt;=7,ASM!$B$7,ASM!$B$17),0)</f>
        <v>295</v>
      </c>
      <c r="G15" s="10" t="n">
        <f aca="false">CEILING(F15/0.75,5)</f>
        <v>395</v>
      </c>
      <c r="H15" s="9" t="n">
        <f aca="false">G15*0.75</f>
        <v>296.25</v>
      </c>
      <c r="I15" s="7" t="n">
        <f aca="false">ROUND((E15+0.45)/(1-ASM!$B$9),0)</f>
        <v>213</v>
      </c>
      <c r="J15" s="7" t="n">
        <f aca="false">ROUND((E15+0.45)/(1-ASM!$B$9-ASM!$B$10),0)</f>
        <v>256</v>
      </c>
      <c r="K15" s="7" t="str">
        <f aca="false">IF(H15&gt;=I15,"OK","FLOOR ALTI")</f>
        <v>OK</v>
      </c>
    </row>
    <row r="16" customFormat="false" ht="15" hidden="false" customHeight="false" outlineLevel="0" collapsed="false">
      <c r="A16" s="7" t="s">
        <v>48</v>
      </c>
      <c r="B16" s="7" t="n">
        <v>3</v>
      </c>
      <c r="C16" s="7" t="n">
        <v>5</v>
      </c>
      <c r="D16" s="8" t="n">
        <v>2.15</v>
      </c>
      <c r="E16" s="9" t="n">
        <f aca="false">ROUND(D16*ASM!$B$8*IF(A16="10K",ASM!$B$11,IF(A16="14K",ASM!$B$12,ASM!$B$13))*(1+ASM!$B$3)+ASM!$B$16+ASM!$B$5+ASM!$B$6,2)</f>
        <v>196.15</v>
      </c>
      <c r="F16" s="7" t="n">
        <f aca="false">ROUND((D16*ASM!$B$8*IF(A16="10K",ASM!$B$11,IF(A16="14K",ASM!$B$12,ASM!$B$13))*(1+ASM!$B$3)+ASM!$B$16+ASM!$B$5+ASM!$B$6)*IF(B16&lt;=7,ASM!$B$7,ASM!$B$17),0)</f>
        <v>304</v>
      </c>
      <c r="G16" s="10" t="n">
        <f aca="false">CEILING(F16/0.75,5)</f>
        <v>410</v>
      </c>
      <c r="H16" s="9" t="n">
        <f aca="false">G16*0.75</f>
        <v>307.5</v>
      </c>
      <c r="I16" s="7" t="n">
        <f aca="false">ROUND((E16+0.45)/(1-ASM!$B$9),0)</f>
        <v>220</v>
      </c>
      <c r="J16" s="7" t="n">
        <f aca="false">ROUND((E16+0.45)/(1-ASM!$B$9-ASM!$B$10),0)</f>
        <v>264</v>
      </c>
      <c r="K16" s="7" t="str">
        <f aca="false">IF(H16&gt;=I16,"OK","FLOOR ALTI")</f>
        <v>OK</v>
      </c>
    </row>
    <row r="17" customFormat="false" ht="15" hidden="false" customHeight="false" outlineLevel="0" collapsed="false">
      <c r="A17" s="7" t="s">
        <v>48</v>
      </c>
      <c r="B17" s="7" t="n">
        <v>3</v>
      </c>
      <c r="C17" s="7" t="n">
        <v>6</v>
      </c>
      <c r="D17" s="8" t="n">
        <v>2.25</v>
      </c>
      <c r="E17" s="9" t="n">
        <f aca="false">ROUND(D17*ASM!$B$8*IF(A17="10K",ASM!$B$11,IF(A17="14K",ASM!$B$12,ASM!$B$13))*(1+ASM!$B$3)+ASM!$B$16+ASM!$B$5+ASM!$B$6,2)</f>
        <v>202.01</v>
      </c>
      <c r="F17" s="7" t="n">
        <f aca="false">ROUND((D17*ASM!$B$8*IF(A17="10K",ASM!$B$11,IF(A17="14K",ASM!$B$12,ASM!$B$13))*(1+ASM!$B$3)+ASM!$B$16+ASM!$B$5+ASM!$B$6)*IF(B17&lt;=7,ASM!$B$7,ASM!$B$17),0)</f>
        <v>313</v>
      </c>
      <c r="G17" s="10" t="n">
        <f aca="false">CEILING(F17/0.75,5)</f>
        <v>420</v>
      </c>
      <c r="H17" s="9" t="n">
        <f aca="false">G17*0.75</f>
        <v>315</v>
      </c>
      <c r="I17" s="7" t="n">
        <f aca="false">ROUND((E17+0.45)/(1-ASM!$B$9),0)</f>
        <v>226</v>
      </c>
      <c r="J17" s="7" t="n">
        <f aca="false">ROUND((E17+0.45)/(1-ASM!$B$9-ASM!$B$10),0)</f>
        <v>272</v>
      </c>
      <c r="K17" s="7" t="str">
        <f aca="false">IF(H17&gt;=I17,"OK","FLOOR ALTI")</f>
        <v>OK</v>
      </c>
    </row>
    <row r="18" customFormat="false" ht="15" hidden="false" customHeight="false" outlineLevel="0" collapsed="false">
      <c r="A18" s="7" t="s">
        <v>48</v>
      </c>
      <c r="B18" s="7" t="n">
        <v>3</v>
      </c>
      <c r="C18" s="7" t="n">
        <v>7</v>
      </c>
      <c r="D18" s="8" t="n">
        <v>2.35</v>
      </c>
      <c r="E18" s="9" t="n">
        <f aca="false">ROUND(D18*ASM!$B$8*IF(A18="10K",ASM!$B$11,IF(A18="14K",ASM!$B$12,ASM!$B$13))*(1+ASM!$B$3)+ASM!$B$16+ASM!$B$5+ASM!$B$6,2)</f>
        <v>207.88</v>
      </c>
      <c r="F18" s="7" t="n">
        <f aca="false">ROUND((D18*ASM!$B$8*IF(A18="10K",ASM!$B$11,IF(A18="14K",ASM!$B$12,ASM!$B$13))*(1+ASM!$B$3)+ASM!$B$16+ASM!$B$5+ASM!$B$6)*IF(B18&lt;=7,ASM!$B$7,ASM!$B$17),0)</f>
        <v>322</v>
      </c>
      <c r="G18" s="10" t="n">
        <f aca="false">CEILING(F18/0.75,5)</f>
        <v>430</v>
      </c>
      <c r="H18" s="9" t="n">
        <f aca="false">G18*0.75</f>
        <v>322.5</v>
      </c>
      <c r="I18" s="7" t="n">
        <f aca="false">ROUND((E18+0.45)/(1-ASM!$B$9),0)</f>
        <v>233</v>
      </c>
      <c r="J18" s="7" t="n">
        <f aca="false">ROUND((E18+0.45)/(1-ASM!$B$9-ASM!$B$10),0)</f>
        <v>280</v>
      </c>
      <c r="K18" s="7" t="str">
        <f aca="false">IF(H18&gt;=I18,"OK","FLOOR ALTI")</f>
        <v>OK</v>
      </c>
    </row>
    <row r="19" customFormat="false" ht="15" hidden="false" customHeight="false" outlineLevel="0" collapsed="false">
      <c r="A19" s="7" t="s">
        <v>48</v>
      </c>
      <c r="B19" s="7" t="n">
        <v>3</v>
      </c>
      <c r="C19" s="7" t="n">
        <v>8</v>
      </c>
      <c r="D19" s="8" t="n">
        <v>2.45</v>
      </c>
      <c r="E19" s="9" t="n">
        <f aca="false">ROUND(D19*ASM!$B$8*IF(A19="10K",ASM!$B$11,IF(A19="14K",ASM!$B$12,ASM!$B$13))*(1+ASM!$B$3)+ASM!$B$16+ASM!$B$5+ASM!$B$6,2)</f>
        <v>213.75</v>
      </c>
      <c r="F19" s="7" t="n">
        <f aca="false">ROUND((D19*ASM!$B$8*IF(A19="10K",ASM!$B$11,IF(A19="14K",ASM!$B$12,ASM!$B$13))*(1+ASM!$B$3)+ASM!$B$16+ASM!$B$5+ASM!$B$6)*IF(B19&lt;=7,ASM!$B$7,ASM!$B$17),0)</f>
        <v>331</v>
      </c>
      <c r="G19" s="10" t="n">
        <f aca="false">CEILING(F19/0.75,5)</f>
        <v>445</v>
      </c>
      <c r="H19" s="9" t="n">
        <f aca="false">G19*0.75</f>
        <v>333.75</v>
      </c>
      <c r="I19" s="7" t="n">
        <f aca="false">ROUND((E19+0.45)/(1-ASM!$B$9),0)</f>
        <v>239</v>
      </c>
      <c r="J19" s="7" t="n">
        <f aca="false">ROUND((E19+0.45)/(1-ASM!$B$9-ASM!$B$10),0)</f>
        <v>288</v>
      </c>
      <c r="K19" s="7" t="str">
        <f aca="false">IF(H19&gt;=I19,"OK","FLOOR ALTI")</f>
        <v>OK</v>
      </c>
    </row>
    <row r="20" customFormat="false" ht="15" hidden="false" customHeight="false" outlineLevel="0" collapsed="false">
      <c r="A20" s="7" t="s">
        <v>48</v>
      </c>
      <c r="B20" s="7" t="n">
        <v>3</v>
      </c>
      <c r="C20" s="7" t="n">
        <v>9</v>
      </c>
      <c r="D20" s="8" t="n">
        <v>2.55</v>
      </c>
      <c r="E20" s="9" t="n">
        <f aca="false">ROUND(D20*ASM!$B$8*IF(A20="10K",ASM!$B$11,IF(A20="14K",ASM!$B$12,ASM!$B$13))*(1+ASM!$B$3)+ASM!$B$16+ASM!$B$5+ASM!$B$6,2)</f>
        <v>219.61</v>
      </c>
      <c r="F20" s="7" t="n">
        <f aca="false">ROUND((D20*ASM!$B$8*IF(A20="10K",ASM!$B$11,IF(A20="14K",ASM!$B$12,ASM!$B$13))*(1+ASM!$B$3)+ASM!$B$16+ASM!$B$5+ASM!$B$6)*IF(B20&lt;=7,ASM!$B$7,ASM!$B$17),0)</f>
        <v>340</v>
      </c>
      <c r="G20" s="10" t="n">
        <f aca="false">CEILING(F20/0.75,5)</f>
        <v>455</v>
      </c>
      <c r="H20" s="9" t="n">
        <f aca="false">G20*0.75</f>
        <v>341.25</v>
      </c>
      <c r="I20" s="7" t="n">
        <f aca="false">ROUND((E20+0.45)/(1-ASM!$B$9),0)</f>
        <v>246</v>
      </c>
      <c r="J20" s="7" t="n">
        <f aca="false">ROUND((E20+0.45)/(1-ASM!$B$9-ASM!$B$10),0)</f>
        <v>295</v>
      </c>
      <c r="K20" s="7" t="str">
        <f aca="false">IF(H20&gt;=I20,"OK","FLOOR ALTI")</f>
        <v>OK</v>
      </c>
    </row>
    <row r="21" customFormat="false" ht="15" hidden="false" customHeight="false" outlineLevel="0" collapsed="false">
      <c r="A21" s="7" t="s">
        <v>48</v>
      </c>
      <c r="B21" s="7" t="n">
        <v>3</v>
      </c>
      <c r="C21" s="7" t="n">
        <v>10</v>
      </c>
      <c r="D21" s="8" t="n">
        <v>2.65</v>
      </c>
      <c r="E21" s="9" t="n">
        <f aca="false">ROUND(D21*ASM!$B$8*IF(A21="10K",ASM!$B$11,IF(A21="14K",ASM!$B$12,ASM!$B$13))*(1+ASM!$B$3)+ASM!$B$16+ASM!$B$5+ASM!$B$6,2)</f>
        <v>225.48</v>
      </c>
      <c r="F21" s="7" t="n">
        <f aca="false">ROUND((D21*ASM!$B$8*IF(A21="10K",ASM!$B$11,IF(A21="14K",ASM!$B$12,ASM!$B$13))*(1+ASM!$B$3)+ASM!$B$16+ASM!$B$5+ASM!$B$6)*IF(B21&lt;=7,ASM!$B$7,ASM!$B$17),0)</f>
        <v>349</v>
      </c>
      <c r="G21" s="10" t="n">
        <f aca="false">CEILING(F21/0.75,5)</f>
        <v>470</v>
      </c>
      <c r="H21" s="9" t="n">
        <f aca="false">G21*0.75</f>
        <v>352.5</v>
      </c>
      <c r="I21" s="7" t="n">
        <f aca="false">ROUND((E21+0.45)/(1-ASM!$B$9),0)</f>
        <v>252</v>
      </c>
      <c r="J21" s="7" t="n">
        <f aca="false">ROUND((E21+0.45)/(1-ASM!$B$9-ASM!$B$10),0)</f>
        <v>303</v>
      </c>
      <c r="K21" s="7" t="str">
        <f aca="false">IF(H21&gt;=I21,"OK","FLOOR ALTI")</f>
        <v>OK</v>
      </c>
    </row>
    <row r="22" customFormat="false" ht="15" hidden="false" customHeight="false" outlineLevel="0" collapsed="false">
      <c r="A22" s="7" t="s">
        <v>48</v>
      </c>
      <c r="B22" s="7" t="n">
        <v>3</v>
      </c>
      <c r="C22" s="7" t="n">
        <v>11</v>
      </c>
      <c r="D22" s="8" t="n">
        <v>2.75</v>
      </c>
      <c r="E22" s="9" t="n">
        <f aca="false">ROUND(D22*ASM!$B$8*IF(A22="10K",ASM!$B$11,IF(A22="14K",ASM!$B$12,ASM!$B$13))*(1+ASM!$B$3)+ASM!$B$16+ASM!$B$5+ASM!$B$6,2)</f>
        <v>231.35</v>
      </c>
      <c r="F22" s="7" t="n">
        <f aca="false">ROUND((D22*ASM!$B$8*IF(A22="10K",ASM!$B$11,IF(A22="14K",ASM!$B$12,ASM!$B$13))*(1+ASM!$B$3)+ASM!$B$16+ASM!$B$5+ASM!$B$6)*IF(B22&lt;=7,ASM!$B$7,ASM!$B$17),0)</f>
        <v>359</v>
      </c>
      <c r="G22" s="10" t="n">
        <f aca="false">CEILING(F22/0.75,5)</f>
        <v>480</v>
      </c>
      <c r="H22" s="9" t="n">
        <f aca="false">G22*0.75</f>
        <v>360</v>
      </c>
      <c r="I22" s="7" t="n">
        <f aca="false">ROUND((E22+0.45)/(1-ASM!$B$9),0)</f>
        <v>259</v>
      </c>
      <c r="J22" s="7" t="n">
        <f aca="false">ROUND((E22+0.45)/(1-ASM!$B$9-ASM!$B$10),0)</f>
        <v>311</v>
      </c>
      <c r="K22" s="7" t="str">
        <f aca="false">IF(H22&gt;=I22,"OK","FLOOR ALTI")</f>
        <v>OK</v>
      </c>
    </row>
    <row r="23" customFormat="false" ht="15" hidden="false" customHeight="false" outlineLevel="0" collapsed="false">
      <c r="A23" s="7" t="s">
        <v>48</v>
      </c>
      <c r="B23" s="7" t="n">
        <v>3</v>
      </c>
      <c r="C23" s="7" t="n">
        <v>12</v>
      </c>
      <c r="D23" s="8" t="n">
        <v>2.85</v>
      </c>
      <c r="E23" s="9" t="n">
        <f aca="false">ROUND(D23*ASM!$B$8*IF(A23="10K",ASM!$B$11,IF(A23="14K",ASM!$B$12,ASM!$B$13))*(1+ASM!$B$3)+ASM!$B$16+ASM!$B$5+ASM!$B$6,2)</f>
        <v>237.22</v>
      </c>
      <c r="F23" s="7" t="n">
        <f aca="false">ROUND((D23*ASM!$B$8*IF(A23="10K",ASM!$B$11,IF(A23="14K",ASM!$B$12,ASM!$B$13))*(1+ASM!$B$3)+ASM!$B$16+ASM!$B$5+ASM!$B$6)*IF(B23&lt;=7,ASM!$B$7,ASM!$B$17),0)</f>
        <v>368</v>
      </c>
      <c r="G23" s="10" t="n">
        <f aca="false">CEILING(F23/0.75,5)</f>
        <v>495</v>
      </c>
      <c r="H23" s="9" t="n">
        <f aca="false">G23*0.75</f>
        <v>371.25</v>
      </c>
      <c r="I23" s="7" t="n">
        <f aca="false">ROUND((E23+0.45)/(1-ASM!$B$9),0)</f>
        <v>266</v>
      </c>
      <c r="J23" s="7" t="n">
        <f aca="false">ROUND((E23+0.45)/(1-ASM!$B$9-ASM!$B$10),0)</f>
        <v>319</v>
      </c>
      <c r="K23" s="7" t="str">
        <f aca="false">IF(H23&gt;=I23,"OK","FLOOR ALTI")</f>
        <v>OK</v>
      </c>
    </row>
    <row r="24" customFormat="false" ht="15" hidden="false" customHeight="false" outlineLevel="0" collapsed="false">
      <c r="A24" s="7" t="s">
        <v>48</v>
      </c>
      <c r="B24" s="7" t="n">
        <v>3</v>
      </c>
      <c r="C24" s="7" t="n">
        <v>13</v>
      </c>
      <c r="D24" s="8" t="n">
        <v>2.95</v>
      </c>
      <c r="E24" s="9" t="n">
        <f aca="false">ROUND(D24*ASM!$B$8*IF(A24="10K",ASM!$B$11,IF(A24="14K",ASM!$B$12,ASM!$B$13))*(1+ASM!$B$3)+ASM!$B$16+ASM!$B$5+ASM!$B$6,2)</f>
        <v>243.08</v>
      </c>
      <c r="F24" s="7" t="n">
        <f aca="false">ROUND((D24*ASM!$B$8*IF(A24="10K",ASM!$B$11,IF(A24="14K",ASM!$B$12,ASM!$B$13))*(1+ASM!$B$3)+ASM!$B$16+ASM!$B$5+ASM!$B$6)*IF(B24&lt;=7,ASM!$B$7,ASM!$B$17),0)</f>
        <v>377</v>
      </c>
      <c r="G24" s="10" t="n">
        <f aca="false">CEILING(F24/0.75,5)</f>
        <v>505</v>
      </c>
      <c r="H24" s="9" t="n">
        <f aca="false">G24*0.75</f>
        <v>378.75</v>
      </c>
      <c r="I24" s="7" t="n">
        <f aca="false">ROUND((E24+0.45)/(1-ASM!$B$9),0)</f>
        <v>272</v>
      </c>
      <c r="J24" s="7" t="n">
        <f aca="false">ROUND((E24+0.45)/(1-ASM!$B$9-ASM!$B$10),0)</f>
        <v>327</v>
      </c>
      <c r="K24" s="7" t="str">
        <f aca="false">IF(H24&gt;=I24,"OK","FLOOR ALTI")</f>
        <v>OK</v>
      </c>
    </row>
    <row r="25" customFormat="false" ht="15" hidden="false" customHeight="false" outlineLevel="0" collapsed="false">
      <c r="A25" s="7" t="s">
        <v>48</v>
      </c>
      <c r="B25" s="7" t="n">
        <v>3</v>
      </c>
      <c r="C25" s="7" t="n">
        <v>14</v>
      </c>
      <c r="D25" s="8" t="n">
        <v>3.05</v>
      </c>
      <c r="E25" s="9" t="n">
        <f aca="false">ROUND(D25*ASM!$B$8*IF(A25="10K",ASM!$B$11,IF(A25="14K",ASM!$B$12,ASM!$B$13))*(1+ASM!$B$3)+ASM!$B$16+ASM!$B$5+ASM!$B$6,2)</f>
        <v>248.95</v>
      </c>
      <c r="F25" s="7" t="n">
        <f aca="false">ROUND((D25*ASM!$B$8*IF(A25="10K",ASM!$B$11,IF(A25="14K",ASM!$B$12,ASM!$B$13))*(1+ASM!$B$3)+ASM!$B$16+ASM!$B$5+ASM!$B$6)*IF(B25&lt;=7,ASM!$B$7,ASM!$B$17),0)</f>
        <v>386</v>
      </c>
      <c r="G25" s="10" t="n">
        <f aca="false">CEILING(F25/0.75,5)</f>
        <v>515</v>
      </c>
      <c r="H25" s="9" t="n">
        <f aca="false">G25*0.75</f>
        <v>386.25</v>
      </c>
      <c r="I25" s="7" t="n">
        <f aca="false">ROUND((E25+0.45)/(1-ASM!$B$9),0)</f>
        <v>279</v>
      </c>
      <c r="J25" s="7" t="n">
        <f aca="false">ROUND((E25+0.45)/(1-ASM!$B$9-ASM!$B$10),0)</f>
        <v>335</v>
      </c>
      <c r="K25" s="7" t="str">
        <f aca="false">IF(H25&gt;=I25,"OK","FLOOR ALTI")</f>
        <v>OK</v>
      </c>
    </row>
    <row r="26" customFormat="false" ht="15" hidden="false" customHeight="false" outlineLevel="0" collapsed="false">
      <c r="A26" s="7" t="s">
        <v>48</v>
      </c>
      <c r="B26" s="7" t="n">
        <v>3</v>
      </c>
      <c r="C26" s="7" t="n">
        <v>15</v>
      </c>
      <c r="D26" s="8" t="n">
        <v>3.15</v>
      </c>
      <c r="E26" s="9" t="n">
        <f aca="false">ROUND(D26*ASM!$B$8*IF(A26="10K",ASM!$B$11,IF(A26="14K",ASM!$B$12,ASM!$B$13))*(1+ASM!$B$3)+ASM!$B$16+ASM!$B$5+ASM!$B$6,2)</f>
        <v>254.82</v>
      </c>
      <c r="F26" s="7" t="n">
        <f aca="false">ROUND((D26*ASM!$B$8*IF(A26="10K",ASM!$B$11,IF(A26="14K",ASM!$B$12,ASM!$B$13))*(1+ASM!$B$3)+ASM!$B$16+ASM!$B$5+ASM!$B$6)*IF(B26&lt;=7,ASM!$B$7,ASM!$B$17),0)</f>
        <v>395</v>
      </c>
      <c r="G26" s="10" t="n">
        <f aca="false">CEILING(F26/0.75,5)</f>
        <v>530</v>
      </c>
      <c r="H26" s="9" t="n">
        <f aca="false">G26*0.75</f>
        <v>397.5</v>
      </c>
      <c r="I26" s="7" t="n">
        <f aca="false">ROUND((E26+0.45)/(1-ASM!$B$9),0)</f>
        <v>285</v>
      </c>
      <c r="J26" s="7" t="n">
        <f aca="false">ROUND((E26+0.45)/(1-ASM!$B$9-ASM!$B$10),0)</f>
        <v>343</v>
      </c>
      <c r="K26" s="7" t="str">
        <f aca="false">IF(H26&gt;=I26,"OK","FLOOR ALTI")</f>
        <v>OK</v>
      </c>
    </row>
    <row r="27" customFormat="false" ht="15" hidden="false" customHeight="false" outlineLevel="0" collapsed="false">
      <c r="A27" s="7" t="s">
        <v>48</v>
      </c>
      <c r="B27" s="7" t="n">
        <v>3</v>
      </c>
      <c r="C27" s="7" t="n">
        <v>16</v>
      </c>
      <c r="D27" s="8" t="n">
        <v>3.25</v>
      </c>
      <c r="E27" s="9" t="n">
        <f aca="false">ROUND(D27*ASM!$B$8*IF(A27="10K",ASM!$B$11,IF(A27="14K",ASM!$B$12,ASM!$B$13))*(1+ASM!$B$3)+ASM!$B$16+ASM!$B$5+ASM!$B$6,2)</f>
        <v>260.69</v>
      </c>
      <c r="F27" s="7" t="n">
        <f aca="false">ROUND((D27*ASM!$B$8*IF(A27="10K",ASM!$B$11,IF(A27="14K",ASM!$B$12,ASM!$B$13))*(1+ASM!$B$3)+ASM!$B$16+ASM!$B$5+ASM!$B$6)*IF(B27&lt;=7,ASM!$B$7,ASM!$B$17),0)</f>
        <v>404</v>
      </c>
      <c r="G27" s="10" t="n">
        <f aca="false">CEILING(F27/0.75,5)</f>
        <v>540</v>
      </c>
      <c r="H27" s="9" t="n">
        <f aca="false">G27*0.75</f>
        <v>405</v>
      </c>
      <c r="I27" s="7" t="n">
        <f aca="false">ROUND((E27+0.45)/(1-ASM!$B$9),0)</f>
        <v>292</v>
      </c>
      <c r="J27" s="7" t="n">
        <f aca="false">ROUND((E27+0.45)/(1-ASM!$B$9-ASM!$B$10),0)</f>
        <v>351</v>
      </c>
      <c r="K27" s="7" t="str">
        <f aca="false">IF(H27&gt;=I27,"OK","FLOOR ALTI")</f>
        <v>OK</v>
      </c>
    </row>
    <row r="28" customFormat="false" ht="15" hidden="false" customHeight="false" outlineLevel="0" collapsed="false">
      <c r="A28" s="7" t="s">
        <v>48</v>
      </c>
      <c r="B28" s="7" t="n">
        <v>4</v>
      </c>
      <c r="C28" s="7" t="n">
        <v>4</v>
      </c>
      <c r="D28" s="8" t="n">
        <v>2.74</v>
      </c>
      <c r="E28" s="9" t="n">
        <f aca="false">ROUND(D28*ASM!$B$8*IF(A28="10K",ASM!$B$11,IF(A28="14K",ASM!$B$12,ASM!$B$13))*(1+ASM!$B$3)+ASM!$B$16+ASM!$B$5+ASM!$B$6,2)</f>
        <v>230.76</v>
      </c>
      <c r="F28" s="7" t="n">
        <f aca="false">ROUND((D28*ASM!$B$8*IF(A28="10K",ASM!$B$11,IF(A28="14K",ASM!$B$12,ASM!$B$13))*(1+ASM!$B$3)+ASM!$B$16+ASM!$B$5+ASM!$B$6)*IF(B28&lt;=7,ASM!$B$7,ASM!$B$17),0)</f>
        <v>358</v>
      </c>
      <c r="G28" s="10" t="n">
        <f aca="false">CEILING(F28/0.75,5)</f>
        <v>480</v>
      </c>
      <c r="H28" s="9" t="n">
        <f aca="false">G28*0.75</f>
        <v>360</v>
      </c>
      <c r="I28" s="7" t="n">
        <f aca="false">ROUND((E28+0.45)/(1-ASM!$B$9),0)</f>
        <v>258</v>
      </c>
      <c r="J28" s="7" t="n">
        <f aca="false">ROUND((E28+0.45)/(1-ASM!$B$9-ASM!$B$10),0)</f>
        <v>310</v>
      </c>
      <c r="K28" s="7" t="str">
        <f aca="false">IF(H28&gt;=I28,"OK","FLOOR ALTI")</f>
        <v>OK</v>
      </c>
    </row>
    <row r="29" customFormat="false" ht="15" hidden="false" customHeight="false" outlineLevel="0" collapsed="false">
      <c r="A29" s="7" t="s">
        <v>48</v>
      </c>
      <c r="B29" s="7" t="n">
        <v>4</v>
      </c>
      <c r="C29" s="7" t="n">
        <v>5</v>
      </c>
      <c r="D29" s="8" t="n">
        <v>2.87</v>
      </c>
      <c r="E29" s="9" t="n">
        <f aca="false">ROUND(D29*ASM!$B$8*IF(A29="10K",ASM!$B$11,IF(A29="14K",ASM!$B$12,ASM!$B$13))*(1+ASM!$B$3)+ASM!$B$16+ASM!$B$5+ASM!$B$6,2)</f>
        <v>238.39</v>
      </c>
      <c r="F29" s="7" t="n">
        <f aca="false">ROUND((D29*ASM!$B$8*IF(A29="10K",ASM!$B$11,IF(A29="14K",ASM!$B$12,ASM!$B$13))*(1+ASM!$B$3)+ASM!$B$16+ASM!$B$5+ASM!$B$6)*IF(B29&lt;=7,ASM!$B$7,ASM!$B$17),0)</f>
        <v>370</v>
      </c>
      <c r="G29" s="10" t="n">
        <f aca="false">CEILING(F29/0.75,5)</f>
        <v>495</v>
      </c>
      <c r="H29" s="9" t="n">
        <f aca="false">G29*0.75</f>
        <v>371.25</v>
      </c>
      <c r="I29" s="7" t="n">
        <f aca="false">ROUND((E29+0.45)/(1-ASM!$B$9),0)</f>
        <v>267</v>
      </c>
      <c r="J29" s="7" t="n">
        <f aca="false">ROUND((E29+0.45)/(1-ASM!$B$9-ASM!$B$10),0)</f>
        <v>321</v>
      </c>
      <c r="K29" s="7" t="str">
        <f aca="false">IF(H29&gt;=I29,"OK","FLOOR ALTI")</f>
        <v>OK</v>
      </c>
    </row>
    <row r="30" customFormat="false" ht="15" hidden="false" customHeight="false" outlineLevel="0" collapsed="false">
      <c r="A30" s="7" t="s">
        <v>48</v>
      </c>
      <c r="B30" s="7" t="n">
        <v>4</v>
      </c>
      <c r="C30" s="7" t="n">
        <v>6</v>
      </c>
      <c r="D30" s="8" t="n">
        <v>3</v>
      </c>
      <c r="E30" s="9" t="n">
        <f aca="false">ROUND(D30*ASM!$B$8*IF(A30="10K",ASM!$B$11,IF(A30="14K",ASM!$B$12,ASM!$B$13))*(1+ASM!$B$3)+ASM!$B$16+ASM!$B$5+ASM!$B$6,2)</f>
        <v>246.02</v>
      </c>
      <c r="F30" s="7" t="n">
        <f aca="false">ROUND((D30*ASM!$B$8*IF(A30="10K",ASM!$B$11,IF(A30="14K",ASM!$B$12,ASM!$B$13))*(1+ASM!$B$3)+ASM!$B$16+ASM!$B$5+ASM!$B$6)*IF(B30&lt;=7,ASM!$B$7,ASM!$B$17),0)</f>
        <v>381</v>
      </c>
      <c r="G30" s="10" t="n">
        <f aca="false">CEILING(F30/0.75,5)</f>
        <v>510</v>
      </c>
      <c r="H30" s="9" t="n">
        <f aca="false">G30*0.75</f>
        <v>382.5</v>
      </c>
      <c r="I30" s="7" t="n">
        <f aca="false">ROUND((E30+0.45)/(1-ASM!$B$9),0)</f>
        <v>275</v>
      </c>
      <c r="J30" s="7" t="n">
        <f aca="false">ROUND((E30+0.45)/(1-ASM!$B$9-ASM!$B$10),0)</f>
        <v>331</v>
      </c>
      <c r="K30" s="7" t="str">
        <f aca="false">IF(H30&gt;=I30,"OK","FLOOR ALTI")</f>
        <v>OK</v>
      </c>
    </row>
    <row r="31" customFormat="false" ht="15" hidden="false" customHeight="false" outlineLevel="0" collapsed="false">
      <c r="A31" s="7" t="s">
        <v>48</v>
      </c>
      <c r="B31" s="7" t="n">
        <v>4</v>
      </c>
      <c r="C31" s="7" t="n">
        <v>7</v>
      </c>
      <c r="D31" s="8" t="n">
        <v>3.14</v>
      </c>
      <c r="E31" s="9" t="n">
        <f aca="false">ROUND(D31*ASM!$B$8*IF(A31="10K",ASM!$B$11,IF(A31="14K",ASM!$B$12,ASM!$B$13))*(1+ASM!$B$3)+ASM!$B$16+ASM!$B$5+ASM!$B$6,2)</f>
        <v>254.23</v>
      </c>
      <c r="F31" s="7" t="n">
        <f aca="false">ROUND((D31*ASM!$B$8*IF(A31="10K",ASM!$B$11,IF(A31="14K",ASM!$B$12,ASM!$B$13))*(1+ASM!$B$3)+ASM!$B$16+ASM!$B$5+ASM!$B$6)*IF(B31&lt;=7,ASM!$B$7,ASM!$B$17),0)</f>
        <v>394</v>
      </c>
      <c r="G31" s="10" t="n">
        <f aca="false">CEILING(F31/0.75,5)</f>
        <v>530</v>
      </c>
      <c r="H31" s="9" t="n">
        <f aca="false">G31*0.75</f>
        <v>397.5</v>
      </c>
      <c r="I31" s="7" t="n">
        <f aca="false">ROUND((E31+0.45)/(1-ASM!$B$9),0)</f>
        <v>285</v>
      </c>
      <c r="J31" s="7" t="n">
        <f aca="false">ROUND((E31+0.45)/(1-ASM!$B$9-ASM!$B$10),0)</f>
        <v>342</v>
      </c>
      <c r="K31" s="7" t="str">
        <f aca="false">IF(H31&gt;=I31,"OK","FLOOR ALTI")</f>
        <v>OK</v>
      </c>
    </row>
    <row r="32" customFormat="false" ht="15" hidden="false" customHeight="false" outlineLevel="0" collapsed="false">
      <c r="A32" s="7" t="s">
        <v>48</v>
      </c>
      <c r="B32" s="7" t="n">
        <v>4</v>
      </c>
      <c r="C32" s="7" t="n">
        <v>8</v>
      </c>
      <c r="D32" s="8" t="n">
        <v>3.27</v>
      </c>
      <c r="E32" s="9" t="n">
        <f aca="false">ROUND(D32*ASM!$B$8*IF(A32="10K",ASM!$B$11,IF(A32="14K",ASM!$B$12,ASM!$B$13))*(1+ASM!$B$3)+ASM!$B$16+ASM!$B$5+ASM!$B$6,2)</f>
        <v>261.86</v>
      </c>
      <c r="F32" s="7" t="n">
        <f aca="false">ROUND((D32*ASM!$B$8*IF(A32="10K",ASM!$B$11,IF(A32="14K",ASM!$B$12,ASM!$B$13))*(1+ASM!$B$3)+ASM!$B$16+ASM!$B$5+ASM!$B$6)*IF(B32&lt;=7,ASM!$B$7,ASM!$B$17),0)</f>
        <v>406</v>
      </c>
      <c r="G32" s="10" t="n">
        <f aca="false">CEILING(F32/0.75,5)</f>
        <v>545</v>
      </c>
      <c r="H32" s="9" t="n">
        <f aca="false">G32*0.75</f>
        <v>408.75</v>
      </c>
      <c r="I32" s="7" t="n">
        <f aca="false">ROUND((E32+0.45)/(1-ASM!$B$9),0)</f>
        <v>293</v>
      </c>
      <c r="J32" s="7" t="n">
        <f aca="false">ROUND((E32+0.45)/(1-ASM!$B$9-ASM!$B$10),0)</f>
        <v>352</v>
      </c>
      <c r="K32" s="7" t="str">
        <f aca="false">IF(H32&gt;=I32,"OK","FLOOR ALTI")</f>
        <v>OK</v>
      </c>
    </row>
    <row r="33" customFormat="false" ht="15" hidden="false" customHeight="false" outlineLevel="0" collapsed="false">
      <c r="A33" s="7" t="s">
        <v>48</v>
      </c>
      <c r="B33" s="7" t="n">
        <v>4</v>
      </c>
      <c r="C33" s="7" t="n">
        <v>9</v>
      </c>
      <c r="D33" s="8" t="n">
        <v>3.4</v>
      </c>
      <c r="E33" s="9" t="n">
        <f aca="false">ROUND(D33*ASM!$B$8*IF(A33="10K",ASM!$B$11,IF(A33="14K",ASM!$B$12,ASM!$B$13))*(1+ASM!$B$3)+ASM!$B$16+ASM!$B$5+ASM!$B$6,2)</f>
        <v>269.49</v>
      </c>
      <c r="F33" s="7" t="n">
        <f aca="false">ROUND((D33*ASM!$B$8*IF(A33="10K",ASM!$B$11,IF(A33="14K",ASM!$B$12,ASM!$B$13))*(1+ASM!$B$3)+ASM!$B$16+ASM!$B$5+ASM!$B$6)*IF(B33&lt;=7,ASM!$B$7,ASM!$B$17),0)</f>
        <v>418</v>
      </c>
      <c r="G33" s="10" t="n">
        <f aca="false">CEILING(F33/0.75,5)</f>
        <v>560</v>
      </c>
      <c r="H33" s="9" t="n">
        <f aca="false">G33*0.75</f>
        <v>420</v>
      </c>
      <c r="I33" s="7" t="n">
        <f aca="false">ROUND((E33+0.45)/(1-ASM!$B$9),0)</f>
        <v>302</v>
      </c>
      <c r="J33" s="7" t="n">
        <f aca="false">ROUND((E33+0.45)/(1-ASM!$B$9-ASM!$B$10),0)</f>
        <v>362</v>
      </c>
      <c r="K33" s="7" t="str">
        <f aca="false">IF(H33&gt;=I33,"OK","FLOOR ALTI")</f>
        <v>OK</v>
      </c>
    </row>
    <row r="34" customFormat="false" ht="15" hidden="false" customHeight="false" outlineLevel="0" collapsed="false">
      <c r="A34" s="7" t="s">
        <v>48</v>
      </c>
      <c r="B34" s="7" t="n">
        <v>4</v>
      </c>
      <c r="C34" s="7" t="n">
        <v>10</v>
      </c>
      <c r="D34" s="8" t="n">
        <v>3.53</v>
      </c>
      <c r="E34" s="9" t="n">
        <f aca="false">ROUND(D34*ASM!$B$8*IF(A34="10K",ASM!$B$11,IF(A34="14K",ASM!$B$12,ASM!$B$13))*(1+ASM!$B$3)+ASM!$B$16+ASM!$B$5+ASM!$B$6,2)</f>
        <v>277.11</v>
      </c>
      <c r="F34" s="7" t="n">
        <f aca="false">ROUND((D34*ASM!$B$8*IF(A34="10K",ASM!$B$11,IF(A34="14K",ASM!$B$12,ASM!$B$13))*(1+ASM!$B$3)+ASM!$B$16+ASM!$B$5+ASM!$B$6)*IF(B34&lt;=7,ASM!$B$7,ASM!$B$17),0)</f>
        <v>430</v>
      </c>
      <c r="G34" s="10" t="n">
        <f aca="false">CEILING(F34/0.75,5)</f>
        <v>575</v>
      </c>
      <c r="H34" s="9" t="n">
        <f aca="false">G34*0.75</f>
        <v>431.25</v>
      </c>
      <c r="I34" s="7" t="n">
        <f aca="false">ROUND((E34+0.45)/(1-ASM!$B$9),0)</f>
        <v>310</v>
      </c>
      <c r="J34" s="7" t="n">
        <f aca="false">ROUND((E34+0.45)/(1-ASM!$B$9-ASM!$B$10),0)</f>
        <v>373</v>
      </c>
      <c r="K34" s="7" t="str">
        <f aca="false">IF(H34&gt;=I34,"OK","FLOOR ALTI")</f>
        <v>OK</v>
      </c>
    </row>
    <row r="35" customFormat="false" ht="15" hidden="false" customHeight="false" outlineLevel="0" collapsed="false">
      <c r="A35" s="7" t="s">
        <v>48</v>
      </c>
      <c r="B35" s="7" t="n">
        <v>4</v>
      </c>
      <c r="C35" s="7" t="n">
        <v>11</v>
      </c>
      <c r="D35" s="8" t="n">
        <v>3.67</v>
      </c>
      <c r="E35" s="9" t="n">
        <f aca="false">ROUND(D35*ASM!$B$8*IF(A35="10K",ASM!$B$11,IF(A35="14K",ASM!$B$12,ASM!$B$13))*(1+ASM!$B$3)+ASM!$B$16+ASM!$B$5+ASM!$B$6,2)</f>
        <v>285.33</v>
      </c>
      <c r="F35" s="7" t="n">
        <f aca="false">ROUND((D35*ASM!$B$8*IF(A35="10K",ASM!$B$11,IF(A35="14K",ASM!$B$12,ASM!$B$13))*(1+ASM!$B$3)+ASM!$B$16+ASM!$B$5+ASM!$B$6)*IF(B35&lt;=7,ASM!$B$7,ASM!$B$17),0)</f>
        <v>442</v>
      </c>
      <c r="G35" s="10" t="n">
        <f aca="false">CEILING(F35/0.75,5)</f>
        <v>590</v>
      </c>
      <c r="H35" s="9" t="n">
        <f aca="false">G35*0.75</f>
        <v>442.5</v>
      </c>
      <c r="I35" s="7" t="n">
        <f aca="false">ROUND((E35+0.45)/(1-ASM!$B$9),0)</f>
        <v>319</v>
      </c>
      <c r="J35" s="7" t="n">
        <f aca="false">ROUND((E35+0.45)/(1-ASM!$B$9-ASM!$B$10),0)</f>
        <v>384</v>
      </c>
      <c r="K35" s="7" t="str">
        <f aca="false">IF(H35&gt;=I35,"OK","FLOOR ALTI")</f>
        <v>OK</v>
      </c>
    </row>
    <row r="36" customFormat="false" ht="15" hidden="false" customHeight="false" outlineLevel="0" collapsed="false">
      <c r="A36" s="7" t="s">
        <v>48</v>
      </c>
      <c r="B36" s="7" t="n">
        <v>4</v>
      </c>
      <c r="C36" s="7" t="n">
        <v>12</v>
      </c>
      <c r="D36" s="8" t="n">
        <v>3.8</v>
      </c>
      <c r="E36" s="9" t="n">
        <f aca="false">ROUND(D36*ASM!$B$8*IF(A36="10K",ASM!$B$11,IF(A36="14K",ASM!$B$12,ASM!$B$13))*(1+ASM!$B$3)+ASM!$B$16+ASM!$B$5+ASM!$B$6,2)</f>
        <v>292.96</v>
      </c>
      <c r="F36" s="7" t="n">
        <f aca="false">ROUND((D36*ASM!$B$8*IF(A36="10K",ASM!$B$11,IF(A36="14K",ASM!$B$12,ASM!$B$13))*(1+ASM!$B$3)+ASM!$B$16+ASM!$B$5+ASM!$B$6)*IF(B36&lt;=7,ASM!$B$7,ASM!$B$17),0)</f>
        <v>454</v>
      </c>
      <c r="G36" s="10" t="n">
        <f aca="false">CEILING(F36/0.75,5)</f>
        <v>610</v>
      </c>
      <c r="H36" s="9" t="n">
        <f aca="false">G36*0.75</f>
        <v>457.5</v>
      </c>
      <c r="I36" s="7" t="n">
        <f aca="false">ROUND((E36+0.45)/(1-ASM!$B$9),0)</f>
        <v>328</v>
      </c>
      <c r="J36" s="7" t="n">
        <f aca="false">ROUND((E36+0.45)/(1-ASM!$B$9-ASM!$B$10),0)</f>
        <v>394</v>
      </c>
      <c r="K36" s="7" t="str">
        <f aca="false">IF(H36&gt;=I36,"OK","FLOOR ALTI")</f>
        <v>OK</v>
      </c>
    </row>
    <row r="37" customFormat="false" ht="15" hidden="false" customHeight="false" outlineLevel="0" collapsed="false">
      <c r="A37" s="7" t="s">
        <v>48</v>
      </c>
      <c r="B37" s="7" t="n">
        <v>4</v>
      </c>
      <c r="C37" s="7" t="n">
        <v>13</v>
      </c>
      <c r="D37" s="8" t="n">
        <v>3.93</v>
      </c>
      <c r="E37" s="9" t="n">
        <f aca="false">ROUND(D37*ASM!$B$8*IF(A37="10K",ASM!$B$11,IF(A37="14K",ASM!$B$12,ASM!$B$13))*(1+ASM!$B$3)+ASM!$B$16+ASM!$B$5+ASM!$B$6,2)</f>
        <v>300.58</v>
      </c>
      <c r="F37" s="7" t="n">
        <f aca="false">ROUND((D37*ASM!$B$8*IF(A37="10K",ASM!$B$11,IF(A37="14K",ASM!$B$12,ASM!$B$13))*(1+ASM!$B$3)+ASM!$B$16+ASM!$B$5+ASM!$B$6)*IF(B37&lt;=7,ASM!$B$7,ASM!$B$17),0)</f>
        <v>466</v>
      </c>
      <c r="G37" s="10" t="n">
        <f aca="false">CEILING(F37/0.75,5)</f>
        <v>625</v>
      </c>
      <c r="H37" s="9" t="n">
        <f aca="false">G37*0.75</f>
        <v>468.75</v>
      </c>
      <c r="I37" s="7" t="n">
        <f aca="false">ROUND((E37+0.45)/(1-ASM!$B$9),0)</f>
        <v>336</v>
      </c>
      <c r="J37" s="7" t="n">
        <f aca="false">ROUND((E37+0.45)/(1-ASM!$B$9-ASM!$B$10),0)</f>
        <v>404</v>
      </c>
      <c r="K37" s="7" t="str">
        <f aca="false">IF(H37&gt;=I37,"OK","FLOOR ALTI")</f>
        <v>OK</v>
      </c>
    </row>
    <row r="38" customFormat="false" ht="15" hidden="false" customHeight="false" outlineLevel="0" collapsed="false">
      <c r="A38" s="7" t="s">
        <v>48</v>
      </c>
      <c r="B38" s="7" t="n">
        <v>4</v>
      </c>
      <c r="C38" s="7" t="n">
        <v>14</v>
      </c>
      <c r="D38" s="8" t="n">
        <v>4.06</v>
      </c>
      <c r="E38" s="9" t="n">
        <f aca="false">ROUND(D38*ASM!$B$8*IF(A38="10K",ASM!$B$11,IF(A38="14K",ASM!$B$12,ASM!$B$13))*(1+ASM!$B$3)+ASM!$B$16+ASM!$B$5+ASM!$B$6,2)</f>
        <v>308.21</v>
      </c>
      <c r="F38" s="7" t="n">
        <f aca="false">ROUND((D38*ASM!$B$8*IF(A38="10K",ASM!$B$11,IF(A38="14K",ASM!$B$12,ASM!$B$13))*(1+ASM!$B$3)+ASM!$B$16+ASM!$B$5+ASM!$B$6)*IF(B38&lt;=7,ASM!$B$7,ASM!$B$17),0)</f>
        <v>478</v>
      </c>
      <c r="G38" s="10" t="n">
        <f aca="false">CEILING(F38/0.75,5)</f>
        <v>640</v>
      </c>
      <c r="H38" s="9" t="n">
        <f aca="false">G38*0.75</f>
        <v>480</v>
      </c>
      <c r="I38" s="7" t="n">
        <f aca="false">ROUND((E38+0.45)/(1-ASM!$B$9),0)</f>
        <v>345</v>
      </c>
      <c r="J38" s="7" t="n">
        <f aca="false">ROUND((E38+0.45)/(1-ASM!$B$9-ASM!$B$10),0)</f>
        <v>414</v>
      </c>
      <c r="K38" s="7" t="str">
        <f aca="false">IF(H38&gt;=I38,"OK","FLOOR ALTI")</f>
        <v>OK</v>
      </c>
    </row>
    <row r="39" customFormat="false" ht="15" hidden="false" customHeight="false" outlineLevel="0" collapsed="false">
      <c r="A39" s="7" t="s">
        <v>48</v>
      </c>
      <c r="B39" s="7" t="n">
        <v>4</v>
      </c>
      <c r="C39" s="7" t="n">
        <v>15</v>
      </c>
      <c r="D39" s="8" t="n">
        <v>4.2</v>
      </c>
      <c r="E39" s="9" t="n">
        <f aca="false">ROUND(D39*ASM!$B$8*IF(A39="10K",ASM!$B$11,IF(A39="14K",ASM!$B$12,ASM!$B$13))*(1+ASM!$B$3)+ASM!$B$16+ASM!$B$5+ASM!$B$6,2)</f>
        <v>316.42</v>
      </c>
      <c r="F39" s="7" t="n">
        <f aca="false">ROUND((D39*ASM!$B$8*IF(A39="10K",ASM!$B$11,IF(A39="14K",ASM!$B$12,ASM!$B$13))*(1+ASM!$B$3)+ASM!$B$16+ASM!$B$5+ASM!$B$6)*IF(B39&lt;=7,ASM!$B$7,ASM!$B$17),0)</f>
        <v>490</v>
      </c>
      <c r="G39" s="10" t="n">
        <f aca="false">CEILING(F39/0.75,5)</f>
        <v>655</v>
      </c>
      <c r="H39" s="9" t="n">
        <f aca="false">G39*0.75</f>
        <v>491.25</v>
      </c>
      <c r="I39" s="7" t="n">
        <f aca="false">ROUND((E39+0.45)/(1-ASM!$B$9),0)</f>
        <v>354</v>
      </c>
      <c r="J39" s="7" t="n">
        <f aca="false">ROUND((E39+0.45)/(1-ASM!$B$9-ASM!$B$10),0)</f>
        <v>425</v>
      </c>
      <c r="K39" s="7" t="str">
        <f aca="false">IF(H39&gt;=I39,"OK","FLOOR ALTI")</f>
        <v>OK</v>
      </c>
    </row>
    <row r="40" customFormat="false" ht="15" hidden="false" customHeight="false" outlineLevel="0" collapsed="false">
      <c r="A40" s="7" t="s">
        <v>48</v>
      </c>
      <c r="B40" s="7" t="n">
        <v>4</v>
      </c>
      <c r="C40" s="7" t="n">
        <v>16</v>
      </c>
      <c r="D40" s="8" t="n">
        <v>4.33</v>
      </c>
      <c r="E40" s="9" t="n">
        <f aca="false">ROUND(D40*ASM!$B$8*IF(A40="10K",ASM!$B$11,IF(A40="14K",ASM!$B$12,ASM!$B$13))*(1+ASM!$B$3)+ASM!$B$16+ASM!$B$5+ASM!$B$6,2)</f>
        <v>324.05</v>
      </c>
      <c r="F40" s="7" t="n">
        <f aca="false">ROUND((D40*ASM!$B$8*IF(A40="10K",ASM!$B$11,IF(A40="14K",ASM!$B$12,ASM!$B$13))*(1+ASM!$B$3)+ASM!$B$16+ASM!$B$5+ASM!$B$6)*IF(B40&lt;=7,ASM!$B$7,ASM!$B$17),0)</f>
        <v>502</v>
      </c>
      <c r="G40" s="10" t="n">
        <f aca="false">CEILING(F40/0.75,5)</f>
        <v>670</v>
      </c>
      <c r="H40" s="9" t="n">
        <f aca="false">G40*0.75</f>
        <v>502.5</v>
      </c>
      <c r="I40" s="7" t="n">
        <f aca="false">ROUND((E40+0.45)/(1-ASM!$B$9),0)</f>
        <v>363</v>
      </c>
      <c r="J40" s="7" t="n">
        <f aca="false">ROUND((E40+0.45)/(1-ASM!$B$9-ASM!$B$10),0)</f>
        <v>436</v>
      </c>
      <c r="K40" s="7" t="str">
        <f aca="false">IF(H40&gt;=I40,"OK","FLOOR ALTI")</f>
        <v>OK</v>
      </c>
    </row>
    <row r="41" customFormat="false" ht="15" hidden="false" customHeight="false" outlineLevel="0" collapsed="false">
      <c r="A41" s="7" t="s">
        <v>48</v>
      </c>
      <c r="B41" s="7" t="n">
        <v>5</v>
      </c>
      <c r="C41" s="7" t="n">
        <v>4</v>
      </c>
      <c r="D41" s="8" t="n">
        <v>3.42</v>
      </c>
      <c r="E41" s="9" t="n">
        <f aca="false">ROUND(D41*ASM!$B$8*IF(A41="10K",ASM!$B$11,IF(A41="14K",ASM!$B$12,ASM!$B$13))*(1+ASM!$B$3)+ASM!$B$16+ASM!$B$5+ASM!$B$6,2)</f>
        <v>270.66</v>
      </c>
      <c r="F41" s="7" t="n">
        <f aca="false">ROUND((D41*ASM!$B$8*IF(A41="10K",ASM!$B$11,IF(A41="14K",ASM!$B$12,ASM!$B$13))*(1+ASM!$B$3)+ASM!$B$16+ASM!$B$5+ASM!$B$6)*IF(B41&lt;=7,ASM!$B$7,ASM!$B$17),0)</f>
        <v>420</v>
      </c>
      <c r="G41" s="10" t="n">
        <f aca="false">CEILING(F41/0.75,5)</f>
        <v>560</v>
      </c>
      <c r="H41" s="9" t="n">
        <f aca="false">G41*0.75</f>
        <v>420</v>
      </c>
      <c r="I41" s="7" t="n">
        <f aca="false">ROUND((E41+0.45)/(1-ASM!$B$9),0)</f>
        <v>303</v>
      </c>
      <c r="J41" s="7" t="n">
        <f aca="false">ROUND((E41+0.45)/(1-ASM!$B$9-ASM!$B$10),0)</f>
        <v>364</v>
      </c>
      <c r="K41" s="7" t="str">
        <f aca="false">IF(H41&gt;=I41,"OK","FLOOR ALTI")</f>
        <v>OK</v>
      </c>
    </row>
    <row r="42" customFormat="false" ht="15" hidden="false" customHeight="false" outlineLevel="0" collapsed="false">
      <c r="A42" s="7" t="s">
        <v>48</v>
      </c>
      <c r="B42" s="7" t="n">
        <v>5</v>
      </c>
      <c r="C42" s="7" t="n">
        <v>5</v>
      </c>
      <c r="D42" s="8" t="n">
        <v>3.59</v>
      </c>
      <c r="E42" s="9" t="n">
        <f aca="false">ROUND(D42*ASM!$B$8*IF(A42="10K",ASM!$B$11,IF(A42="14K",ASM!$B$12,ASM!$B$13))*(1+ASM!$B$3)+ASM!$B$16+ASM!$B$5+ASM!$B$6,2)</f>
        <v>280.63</v>
      </c>
      <c r="F42" s="7" t="n">
        <f aca="false">ROUND((D42*ASM!$B$8*IF(A42="10K",ASM!$B$11,IF(A42="14K",ASM!$B$12,ASM!$B$13))*(1+ASM!$B$3)+ASM!$B$16+ASM!$B$5+ASM!$B$6)*IF(B42&lt;=7,ASM!$B$7,ASM!$B$17),0)</f>
        <v>435</v>
      </c>
      <c r="G42" s="10" t="n">
        <f aca="false">CEILING(F42/0.75,5)</f>
        <v>580</v>
      </c>
      <c r="H42" s="9" t="n">
        <f aca="false">G42*0.75</f>
        <v>435</v>
      </c>
      <c r="I42" s="7" t="n">
        <f aca="false">ROUND((E42+0.45)/(1-ASM!$B$9),0)</f>
        <v>314</v>
      </c>
      <c r="J42" s="7" t="n">
        <f aca="false">ROUND((E42+0.45)/(1-ASM!$B$9-ASM!$B$10),0)</f>
        <v>377</v>
      </c>
      <c r="K42" s="7" t="str">
        <f aca="false">IF(H42&gt;=I42,"OK","FLOOR ALTI")</f>
        <v>OK</v>
      </c>
    </row>
    <row r="43" customFormat="false" ht="15" hidden="false" customHeight="false" outlineLevel="0" collapsed="false">
      <c r="A43" s="7" t="s">
        <v>48</v>
      </c>
      <c r="B43" s="7" t="n">
        <v>5</v>
      </c>
      <c r="C43" s="7" t="n">
        <v>6</v>
      </c>
      <c r="D43" s="8" t="n">
        <v>3.75</v>
      </c>
      <c r="E43" s="9" t="n">
        <f aca="false">ROUND(D43*ASM!$B$8*IF(A43="10K",ASM!$B$11,IF(A43="14K",ASM!$B$12,ASM!$B$13))*(1+ASM!$B$3)+ASM!$B$16+ASM!$B$5+ASM!$B$6,2)</f>
        <v>290.02</v>
      </c>
      <c r="F43" s="7" t="n">
        <f aca="false">ROUND((D43*ASM!$B$8*IF(A43="10K",ASM!$B$11,IF(A43="14K",ASM!$B$12,ASM!$B$13))*(1+ASM!$B$3)+ASM!$B$16+ASM!$B$5+ASM!$B$6)*IF(B43&lt;=7,ASM!$B$7,ASM!$B$17),0)</f>
        <v>450</v>
      </c>
      <c r="G43" s="10" t="n">
        <f aca="false">CEILING(F43/0.75,5)</f>
        <v>600</v>
      </c>
      <c r="H43" s="9" t="n">
        <f aca="false">G43*0.75</f>
        <v>450</v>
      </c>
      <c r="I43" s="7" t="n">
        <f aca="false">ROUND((E43+0.45)/(1-ASM!$B$9),0)</f>
        <v>325</v>
      </c>
      <c r="J43" s="7" t="n">
        <f aca="false">ROUND((E43+0.45)/(1-ASM!$B$9-ASM!$B$10),0)</f>
        <v>390</v>
      </c>
      <c r="K43" s="7" t="str">
        <f aca="false">IF(H43&gt;=I43,"OK","FLOOR ALTI")</f>
        <v>OK</v>
      </c>
    </row>
    <row r="44" customFormat="false" ht="15" hidden="false" customHeight="false" outlineLevel="0" collapsed="false">
      <c r="A44" s="7" t="s">
        <v>48</v>
      </c>
      <c r="B44" s="7" t="n">
        <v>5</v>
      </c>
      <c r="C44" s="7" t="n">
        <v>7</v>
      </c>
      <c r="D44" s="8" t="n">
        <v>3.92</v>
      </c>
      <c r="E44" s="9" t="n">
        <f aca="false">ROUND(D44*ASM!$B$8*IF(A44="10K",ASM!$B$11,IF(A44="14K",ASM!$B$12,ASM!$B$13))*(1+ASM!$B$3)+ASM!$B$16+ASM!$B$5+ASM!$B$6,2)</f>
        <v>300</v>
      </c>
      <c r="F44" s="7" t="n">
        <f aca="false">ROUND((D44*ASM!$B$8*IF(A44="10K",ASM!$B$11,IF(A44="14K",ASM!$B$12,ASM!$B$13))*(1+ASM!$B$3)+ASM!$B$16+ASM!$B$5+ASM!$B$6)*IF(B44&lt;=7,ASM!$B$7,ASM!$B$17),0)</f>
        <v>465</v>
      </c>
      <c r="G44" s="10" t="n">
        <f aca="false">CEILING(F44/0.75,5)</f>
        <v>620</v>
      </c>
      <c r="H44" s="9" t="n">
        <f aca="false">G44*0.75</f>
        <v>465</v>
      </c>
      <c r="I44" s="7" t="n">
        <f aca="false">ROUND((E44+0.45)/(1-ASM!$B$9),0)</f>
        <v>336</v>
      </c>
      <c r="J44" s="7" t="n">
        <f aca="false">ROUND((E44+0.45)/(1-ASM!$B$9-ASM!$B$10),0)</f>
        <v>403</v>
      </c>
      <c r="K44" s="7" t="str">
        <f aca="false">IF(H44&gt;=I44,"OK","FLOOR ALTI")</f>
        <v>OK</v>
      </c>
    </row>
    <row r="45" customFormat="false" ht="15" hidden="false" customHeight="false" outlineLevel="0" collapsed="false">
      <c r="A45" s="7" t="s">
        <v>48</v>
      </c>
      <c r="B45" s="7" t="n">
        <v>5</v>
      </c>
      <c r="C45" s="7" t="n">
        <v>8</v>
      </c>
      <c r="D45" s="8" t="n">
        <v>4.08</v>
      </c>
      <c r="E45" s="9" t="n">
        <f aca="false">ROUND(D45*ASM!$B$8*IF(A45="10K",ASM!$B$11,IF(A45="14K",ASM!$B$12,ASM!$B$13))*(1+ASM!$B$3)+ASM!$B$16+ASM!$B$5+ASM!$B$6,2)</f>
        <v>309.38</v>
      </c>
      <c r="F45" s="7" t="n">
        <f aca="false">ROUND((D45*ASM!$B$8*IF(A45="10K",ASM!$B$11,IF(A45="14K",ASM!$B$12,ASM!$B$13))*(1+ASM!$B$3)+ASM!$B$16+ASM!$B$5+ASM!$B$6)*IF(B45&lt;=7,ASM!$B$7,ASM!$B$17),0)</f>
        <v>480</v>
      </c>
      <c r="G45" s="10" t="n">
        <f aca="false">CEILING(F45/0.75,5)</f>
        <v>640</v>
      </c>
      <c r="H45" s="9" t="n">
        <f aca="false">G45*0.75</f>
        <v>480</v>
      </c>
      <c r="I45" s="7" t="n">
        <f aca="false">ROUND((E45+0.45)/(1-ASM!$B$9),0)</f>
        <v>346</v>
      </c>
      <c r="J45" s="7" t="n">
        <f aca="false">ROUND((E45+0.45)/(1-ASM!$B$9-ASM!$B$10),0)</f>
        <v>416</v>
      </c>
      <c r="K45" s="7" t="str">
        <f aca="false">IF(H45&gt;=I45,"OK","FLOOR ALTI")</f>
        <v>OK</v>
      </c>
    </row>
    <row r="46" customFormat="false" ht="15" hidden="false" customHeight="false" outlineLevel="0" collapsed="false">
      <c r="A46" s="7" t="s">
        <v>48</v>
      </c>
      <c r="B46" s="7" t="n">
        <v>5</v>
      </c>
      <c r="C46" s="7" t="n">
        <v>9</v>
      </c>
      <c r="D46" s="8" t="n">
        <v>4.25</v>
      </c>
      <c r="E46" s="9" t="n">
        <f aca="false">ROUND(D46*ASM!$B$8*IF(A46="10K",ASM!$B$11,IF(A46="14K",ASM!$B$12,ASM!$B$13))*(1+ASM!$B$3)+ASM!$B$16+ASM!$B$5+ASM!$B$6,2)</f>
        <v>319.36</v>
      </c>
      <c r="F46" s="7" t="n">
        <f aca="false">ROUND((D46*ASM!$B$8*IF(A46="10K",ASM!$B$11,IF(A46="14K",ASM!$B$12,ASM!$B$13))*(1+ASM!$B$3)+ASM!$B$16+ASM!$B$5+ASM!$B$6)*IF(B46&lt;=7,ASM!$B$7,ASM!$B$17),0)</f>
        <v>495</v>
      </c>
      <c r="G46" s="10" t="n">
        <f aca="false">CEILING(F46/0.75,5)</f>
        <v>660</v>
      </c>
      <c r="H46" s="9" t="n">
        <f aca="false">G46*0.75</f>
        <v>495</v>
      </c>
      <c r="I46" s="7" t="n">
        <f aca="false">ROUND((E46+0.45)/(1-ASM!$B$9),0)</f>
        <v>357</v>
      </c>
      <c r="J46" s="7" t="n">
        <f aca="false">ROUND((E46+0.45)/(1-ASM!$B$9-ASM!$B$10),0)</f>
        <v>429</v>
      </c>
      <c r="K46" s="7" t="str">
        <f aca="false">IF(H46&gt;=I46,"OK","FLOOR ALTI")</f>
        <v>OK</v>
      </c>
    </row>
    <row r="47" customFormat="false" ht="15" hidden="false" customHeight="false" outlineLevel="0" collapsed="false">
      <c r="A47" s="7" t="s">
        <v>48</v>
      </c>
      <c r="B47" s="7" t="n">
        <v>5</v>
      </c>
      <c r="C47" s="7" t="n">
        <v>10</v>
      </c>
      <c r="D47" s="8" t="n">
        <v>4.42</v>
      </c>
      <c r="E47" s="9" t="n">
        <f aca="false">ROUND(D47*ASM!$B$8*IF(A47="10K",ASM!$B$11,IF(A47="14K",ASM!$B$12,ASM!$B$13))*(1+ASM!$B$3)+ASM!$B$16+ASM!$B$5+ASM!$B$6,2)</f>
        <v>329.33</v>
      </c>
      <c r="F47" s="7" t="n">
        <f aca="false">ROUND((D47*ASM!$B$8*IF(A47="10K",ASM!$B$11,IF(A47="14K",ASM!$B$12,ASM!$B$13))*(1+ASM!$B$3)+ASM!$B$16+ASM!$B$5+ASM!$B$6)*IF(B47&lt;=7,ASM!$B$7,ASM!$B$17),0)</f>
        <v>510</v>
      </c>
      <c r="G47" s="10" t="n">
        <f aca="false">CEILING(F47/0.75,5)</f>
        <v>680</v>
      </c>
      <c r="H47" s="9" t="n">
        <f aca="false">G47*0.75</f>
        <v>510</v>
      </c>
      <c r="I47" s="7" t="n">
        <f aca="false">ROUND((E47+0.45)/(1-ASM!$B$9),0)</f>
        <v>368</v>
      </c>
      <c r="J47" s="7" t="n">
        <f aca="false">ROUND((E47+0.45)/(1-ASM!$B$9-ASM!$B$10),0)</f>
        <v>443</v>
      </c>
      <c r="K47" s="7" t="str">
        <f aca="false">IF(H47&gt;=I47,"OK","FLOOR ALTI")</f>
        <v>OK</v>
      </c>
    </row>
    <row r="48" customFormat="false" ht="15" hidden="false" customHeight="false" outlineLevel="0" collapsed="false">
      <c r="A48" s="7" t="s">
        <v>48</v>
      </c>
      <c r="B48" s="7" t="n">
        <v>5</v>
      </c>
      <c r="C48" s="7" t="n">
        <v>11</v>
      </c>
      <c r="D48" s="8" t="n">
        <v>4.58</v>
      </c>
      <c r="E48" s="9" t="n">
        <f aca="false">ROUND(D48*ASM!$B$8*IF(A48="10K",ASM!$B$11,IF(A48="14K",ASM!$B$12,ASM!$B$13))*(1+ASM!$B$3)+ASM!$B$16+ASM!$B$5+ASM!$B$6,2)</f>
        <v>338.72</v>
      </c>
      <c r="F48" s="7" t="n">
        <f aca="false">ROUND((D48*ASM!$B$8*IF(A48="10K",ASM!$B$11,IF(A48="14K",ASM!$B$12,ASM!$B$13))*(1+ASM!$B$3)+ASM!$B$16+ASM!$B$5+ASM!$B$6)*IF(B48&lt;=7,ASM!$B$7,ASM!$B$17),0)</f>
        <v>525</v>
      </c>
      <c r="G48" s="10" t="n">
        <f aca="false">CEILING(F48/0.75,5)</f>
        <v>700</v>
      </c>
      <c r="H48" s="9" t="n">
        <f aca="false">G48*0.75</f>
        <v>525</v>
      </c>
      <c r="I48" s="7" t="n">
        <f aca="false">ROUND((E48+0.45)/(1-ASM!$B$9),0)</f>
        <v>379</v>
      </c>
      <c r="J48" s="7" t="n">
        <f aca="false">ROUND((E48+0.45)/(1-ASM!$B$9-ASM!$B$10),0)</f>
        <v>455</v>
      </c>
      <c r="K48" s="7" t="str">
        <f aca="false">IF(H48&gt;=I48,"OK","FLOOR ALTI")</f>
        <v>OK</v>
      </c>
    </row>
    <row r="49" customFormat="false" ht="15" hidden="false" customHeight="false" outlineLevel="0" collapsed="false">
      <c r="A49" s="7" t="s">
        <v>48</v>
      </c>
      <c r="B49" s="7" t="n">
        <v>5</v>
      </c>
      <c r="C49" s="7" t="n">
        <v>12</v>
      </c>
      <c r="D49" s="8" t="n">
        <v>4.75</v>
      </c>
      <c r="E49" s="9" t="n">
        <f aca="false">ROUND(D49*ASM!$B$8*IF(A49="10K",ASM!$B$11,IF(A49="14K",ASM!$B$12,ASM!$B$13))*(1+ASM!$B$3)+ASM!$B$16+ASM!$B$5+ASM!$B$6,2)</f>
        <v>348.69</v>
      </c>
      <c r="F49" s="7" t="n">
        <f aca="false">ROUND((D49*ASM!$B$8*IF(A49="10K",ASM!$B$11,IF(A49="14K",ASM!$B$12,ASM!$B$13))*(1+ASM!$B$3)+ASM!$B$16+ASM!$B$5+ASM!$B$6)*IF(B49&lt;=7,ASM!$B$7,ASM!$B$17),0)</f>
        <v>540</v>
      </c>
      <c r="G49" s="10" t="n">
        <f aca="false">CEILING(F49/0.75,5)</f>
        <v>720</v>
      </c>
      <c r="H49" s="9" t="n">
        <f aca="false">G49*0.75</f>
        <v>540</v>
      </c>
      <c r="I49" s="7" t="n">
        <f aca="false">ROUND((E49+0.45)/(1-ASM!$B$9),0)</f>
        <v>390</v>
      </c>
      <c r="J49" s="7" t="n">
        <f aca="false">ROUND((E49+0.45)/(1-ASM!$B$9-ASM!$B$10),0)</f>
        <v>469</v>
      </c>
      <c r="K49" s="7" t="str">
        <f aca="false">IF(H49&gt;=I49,"OK","FLOOR ALTI")</f>
        <v>OK</v>
      </c>
    </row>
    <row r="50" customFormat="false" ht="15" hidden="false" customHeight="false" outlineLevel="0" collapsed="false">
      <c r="A50" s="7" t="s">
        <v>48</v>
      </c>
      <c r="B50" s="7" t="n">
        <v>5</v>
      </c>
      <c r="C50" s="7" t="n">
        <v>13</v>
      </c>
      <c r="D50" s="8" t="n">
        <v>4.91</v>
      </c>
      <c r="E50" s="9" t="n">
        <f aca="false">ROUND(D50*ASM!$B$8*IF(A50="10K",ASM!$B$11,IF(A50="14K",ASM!$B$12,ASM!$B$13))*(1+ASM!$B$3)+ASM!$B$16+ASM!$B$5+ASM!$B$6,2)</f>
        <v>358.08</v>
      </c>
      <c r="F50" s="7" t="n">
        <f aca="false">ROUND((D50*ASM!$B$8*IF(A50="10K",ASM!$B$11,IF(A50="14K",ASM!$B$12,ASM!$B$13))*(1+ASM!$B$3)+ASM!$B$16+ASM!$B$5+ASM!$B$6)*IF(B50&lt;=7,ASM!$B$7,ASM!$B$17),0)</f>
        <v>555</v>
      </c>
      <c r="G50" s="10" t="n">
        <f aca="false">CEILING(F50/0.75,5)</f>
        <v>740</v>
      </c>
      <c r="H50" s="9" t="n">
        <f aca="false">G50*0.75</f>
        <v>555</v>
      </c>
      <c r="I50" s="7" t="n">
        <f aca="false">ROUND((E50+0.45)/(1-ASM!$B$9),0)</f>
        <v>401</v>
      </c>
      <c r="J50" s="7" t="n">
        <f aca="false">ROUND((E50+0.45)/(1-ASM!$B$9-ASM!$B$10),0)</f>
        <v>481</v>
      </c>
      <c r="K50" s="7" t="str">
        <f aca="false">IF(H50&gt;=I50,"OK","FLOOR ALTI")</f>
        <v>OK</v>
      </c>
    </row>
    <row r="51" customFormat="false" ht="15" hidden="false" customHeight="false" outlineLevel="0" collapsed="false">
      <c r="A51" s="7" t="s">
        <v>48</v>
      </c>
      <c r="B51" s="7" t="n">
        <v>5</v>
      </c>
      <c r="C51" s="7" t="n">
        <v>14</v>
      </c>
      <c r="D51" s="8" t="n">
        <v>5.08</v>
      </c>
      <c r="E51" s="9" t="n">
        <f aca="false">ROUND(D51*ASM!$B$8*IF(A51="10K",ASM!$B$11,IF(A51="14K",ASM!$B$12,ASM!$B$13))*(1+ASM!$B$3)+ASM!$B$16+ASM!$B$5+ASM!$B$6,2)</f>
        <v>368.06</v>
      </c>
      <c r="F51" s="7" t="n">
        <f aca="false">ROUND((D51*ASM!$B$8*IF(A51="10K",ASM!$B$11,IF(A51="14K",ASM!$B$12,ASM!$B$13))*(1+ASM!$B$3)+ASM!$B$16+ASM!$B$5+ASM!$B$6)*IF(B51&lt;=7,ASM!$B$7,ASM!$B$17),0)</f>
        <v>570</v>
      </c>
      <c r="G51" s="10" t="n">
        <f aca="false">CEILING(F51/0.75,5)</f>
        <v>760</v>
      </c>
      <c r="H51" s="9" t="n">
        <f aca="false">G51*0.75</f>
        <v>570</v>
      </c>
      <c r="I51" s="7" t="n">
        <f aca="false">ROUND((E51+0.45)/(1-ASM!$B$9),0)</f>
        <v>412</v>
      </c>
      <c r="J51" s="7" t="n">
        <f aca="false">ROUND((E51+0.45)/(1-ASM!$B$9-ASM!$B$10),0)</f>
        <v>495</v>
      </c>
      <c r="K51" s="7" t="str">
        <f aca="false">IF(H51&gt;=I51,"OK","FLOOR ALTI")</f>
        <v>OK</v>
      </c>
    </row>
    <row r="52" customFormat="false" ht="15" hidden="false" customHeight="false" outlineLevel="0" collapsed="false">
      <c r="A52" s="7" t="s">
        <v>48</v>
      </c>
      <c r="B52" s="7" t="n">
        <v>5</v>
      </c>
      <c r="C52" s="7" t="n">
        <v>15</v>
      </c>
      <c r="D52" s="8" t="n">
        <v>5.29</v>
      </c>
      <c r="E52" s="9" t="n">
        <f aca="false">ROUND(D52*ASM!$B$8*IF(A52="10K",ASM!$B$11,IF(A52="14K",ASM!$B$12,ASM!$B$13))*(1+ASM!$B$3)+ASM!$B$16+ASM!$B$5+ASM!$B$6,2)</f>
        <v>380.38</v>
      </c>
      <c r="F52" s="7" t="n">
        <f aca="false">ROUND((D52*ASM!$B$8*IF(A52="10K",ASM!$B$11,IF(A52="14K",ASM!$B$12,ASM!$B$13))*(1+ASM!$B$3)+ASM!$B$16+ASM!$B$5+ASM!$B$6)*IF(B52&lt;=7,ASM!$B$7,ASM!$B$17),0)</f>
        <v>590</v>
      </c>
      <c r="G52" s="10" t="n">
        <f aca="false">CEILING(F52/0.75,5)</f>
        <v>790</v>
      </c>
      <c r="H52" s="9" t="n">
        <f aca="false">G52*0.75</f>
        <v>592.5</v>
      </c>
      <c r="I52" s="7" t="n">
        <f aca="false">ROUND((E52+0.45)/(1-ASM!$B$9),0)</f>
        <v>426</v>
      </c>
      <c r="J52" s="7" t="n">
        <f aca="false">ROUND((E52+0.45)/(1-ASM!$B$9-ASM!$B$10),0)</f>
        <v>511</v>
      </c>
      <c r="K52" s="7" t="str">
        <f aca="false">IF(H52&gt;=I52,"OK","FLOOR ALTI")</f>
        <v>OK</v>
      </c>
    </row>
    <row r="53" customFormat="false" ht="15" hidden="false" customHeight="false" outlineLevel="0" collapsed="false">
      <c r="A53" s="7" t="s">
        <v>48</v>
      </c>
      <c r="B53" s="7" t="n">
        <v>5</v>
      </c>
      <c r="C53" s="7" t="n">
        <v>16</v>
      </c>
      <c r="D53" s="8" t="n">
        <v>5.42</v>
      </c>
      <c r="E53" s="9" t="n">
        <f aca="false">ROUND(D53*ASM!$B$8*IF(A53="10K",ASM!$B$11,IF(A53="14K",ASM!$B$12,ASM!$B$13))*(1+ASM!$B$3)+ASM!$B$16+ASM!$B$5+ASM!$B$6,2)</f>
        <v>388</v>
      </c>
      <c r="F53" s="7" t="n">
        <f aca="false">ROUND((D53*ASM!$B$8*IF(A53="10K",ASM!$B$11,IF(A53="14K",ASM!$B$12,ASM!$B$13))*(1+ASM!$B$3)+ASM!$B$16+ASM!$B$5+ASM!$B$6)*IF(B53&lt;=7,ASM!$B$7,ASM!$B$17),0)</f>
        <v>601</v>
      </c>
      <c r="G53" s="10" t="n">
        <f aca="false">CEILING(F53/0.75,5)</f>
        <v>805</v>
      </c>
      <c r="H53" s="9" t="n">
        <f aca="false">G53*0.75</f>
        <v>603.75</v>
      </c>
      <c r="I53" s="7" t="n">
        <f aca="false">ROUND((E53+0.45)/(1-ASM!$B$9),0)</f>
        <v>434</v>
      </c>
      <c r="J53" s="7" t="n">
        <f aca="false">ROUND((E53+0.45)/(1-ASM!$B$9-ASM!$B$10),0)</f>
        <v>521</v>
      </c>
      <c r="K53" s="7" t="str">
        <f aca="false">IF(H53&gt;=I53,"OK","FLOOR ALTI")</f>
        <v>OK</v>
      </c>
    </row>
    <row r="54" customFormat="false" ht="15" hidden="false" customHeight="false" outlineLevel="0" collapsed="false">
      <c r="A54" s="7" t="s">
        <v>48</v>
      </c>
      <c r="B54" s="7" t="n">
        <v>6</v>
      </c>
      <c r="C54" s="7" t="n">
        <v>4</v>
      </c>
      <c r="D54" s="8" t="n">
        <v>4.11</v>
      </c>
      <c r="E54" s="9" t="n">
        <f aca="false">ROUND(D54*ASM!$B$8*IF(A54="10K",ASM!$B$11,IF(A54="14K",ASM!$B$12,ASM!$B$13))*(1+ASM!$B$3)+ASM!$B$16+ASM!$B$5+ASM!$B$6,2)</f>
        <v>311.14</v>
      </c>
      <c r="F54" s="7" t="n">
        <f aca="false">ROUND((D54*ASM!$B$8*IF(A54="10K",ASM!$B$11,IF(A54="14K",ASM!$B$12,ASM!$B$13))*(1+ASM!$B$3)+ASM!$B$16+ASM!$B$5+ASM!$B$6)*IF(B54&lt;=7,ASM!$B$7,ASM!$B$17),0)</f>
        <v>482</v>
      </c>
      <c r="G54" s="10" t="n">
        <f aca="false">CEILING(F54/0.75,5)</f>
        <v>645</v>
      </c>
      <c r="H54" s="9" t="n">
        <f aca="false">G54*0.75</f>
        <v>483.75</v>
      </c>
      <c r="I54" s="7" t="n">
        <f aca="false">ROUND((E54+0.45)/(1-ASM!$B$9),0)</f>
        <v>348</v>
      </c>
      <c r="J54" s="7" t="n">
        <f aca="false">ROUND((E54+0.45)/(1-ASM!$B$9-ASM!$B$10),0)</f>
        <v>418</v>
      </c>
      <c r="K54" s="7" t="str">
        <f aca="false">IF(H54&gt;=I54,"OK","FLOOR ALTI")</f>
        <v>OK</v>
      </c>
    </row>
    <row r="55" customFormat="false" ht="15" hidden="false" customHeight="false" outlineLevel="0" collapsed="false">
      <c r="A55" s="7" t="s">
        <v>48</v>
      </c>
      <c r="B55" s="7" t="n">
        <v>6</v>
      </c>
      <c r="C55" s="7" t="n">
        <v>5</v>
      </c>
      <c r="D55" s="8" t="n">
        <v>4.3</v>
      </c>
      <c r="E55" s="9" t="n">
        <f aca="false">ROUND(D55*ASM!$B$8*IF(A55="10K",ASM!$B$11,IF(A55="14K",ASM!$B$12,ASM!$B$13))*(1+ASM!$B$3)+ASM!$B$16+ASM!$B$5+ASM!$B$6,2)</f>
        <v>322.29</v>
      </c>
      <c r="F55" s="7" t="n">
        <f aca="false">ROUND((D55*ASM!$B$8*IF(A55="10K",ASM!$B$11,IF(A55="14K",ASM!$B$12,ASM!$B$13))*(1+ASM!$B$3)+ASM!$B$16+ASM!$B$5+ASM!$B$6)*IF(B55&lt;=7,ASM!$B$7,ASM!$B$17),0)</f>
        <v>500</v>
      </c>
      <c r="G55" s="10" t="n">
        <f aca="false">CEILING(F55/0.75,5)</f>
        <v>670</v>
      </c>
      <c r="H55" s="9" t="n">
        <f aca="false">G55*0.75</f>
        <v>502.5</v>
      </c>
      <c r="I55" s="7" t="n">
        <f aca="false">ROUND((E55+0.45)/(1-ASM!$B$9),0)</f>
        <v>361</v>
      </c>
      <c r="J55" s="7" t="n">
        <f aca="false">ROUND((E55+0.45)/(1-ASM!$B$9-ASM!$B$10),0)</f>
        <v>433</v>
      </c>
      <c r="K55" s="7" t="str">
        <f aca="false">IF(H55&gt;=I55,"OK","FLOOR ALTI")</f>
        <v>OK</v>
      </c>
    </row>
    <row r="56" customFormat="false" ht="15" hidden="false" customHeight="false" outlineLevel="0" collapsed="false">
      <c r="A56" s="7" t="s">
        <v>48</v>
      </c>
      <c r="B56" s="7" t="n">
        <v>6</v>
      </c>
      <c r="C56" s="7" t="n">
        <v>6</v>
      </c>
      <c r="D56" s="8" t="n">
        <v>4.5</v>
      </c>
      <c r="E56" s="9" t="n">
        <f aca="false">ROUND(D56*ASM!$B$8*IF(A56="10K",ASM!$B$11,IF(A56="14K",ASM!$B$12,ASM!$B$13))*(1+ASM!$B$3)+ASM!$B$16+ASM!$B$5+ASM!$B$6,2)</f>
        <v>334.03</v>
      </c>
      <c r="F56" s="7" t="n">
        <f aca="false">ROUND((D56*ASM!$B$8*IF(A56="10K",ASM!$B$11,IF(A56="14K",ASM!$B$12,ASM!$B$13))*(1+ASM!$B$3)+ASM!$B$16+ASM!$B$5+ASM!$B$6)*IF(B56&lt;=7,ASM!$B$7,ASM!$B$17),0)</f>
        <v>518</v>
      </c>
      <c r="G56" s="10" t="n">
        <f aca="false">CEILING(F56/0.75,5)</f>
        <v>695</v>
      </c>
      <c r="H56" s="9" t="n">
        <f aca="false">G56*0.75</f>
        <v>521.25</v>
      </c>
      <c r="I56" s="7" t="n">
        <f aca="false">ROUND((E56+0.45)/(1-ASM!$B$9),0)</f>
        <v>374</v>
      </c>
      <c r="J56" s="7" t="n">
        <f aca="false">ROUND((E56+0.45)/(1-ASM!$B$9-ASM!$B$10),0)</f>
        <v>449</v>
      </c>
      <c r="K56" s="7" t="str">
        <f aca="false">IF(H56&gt;=I56,"OK","FLOOR ALTI")</f>
        <v>OK</v>
      </c>
    </row>
    <row r="57" customFormat="false" ht="15" hidden="false" customHeight="false" outlineLevel="0" collapsed="false">
      <c r="A57" s="7" t="s">
        <v>48</v>
      </c>
      <c r="B57" s="7" t="n">
        <v>6</v>
      </c>
      <c r="C57" s="7" t="n">
        <v>7</v>
      </c>
      <c r="D57" s="8" t="n">
        <v>4.7</v>
      </c>
      <c r="E57" s="9" t="n">
        <f aca="false">ROUND(D57*ASM!$B$8*IF(A57="10K",ASM!$B$11,IF(A57="14K",ASM!$B$12,ASM!$B$13))*(1+ASM!$B$3)+ASM!$B$16+ASM!$B$5+ASM!$B$6,2)</f>
        <v>345.76</v>
      </c>
      <c r="F57" s="7" t="n">
        <f aca="false">ROUND((D57*ASM!$B$8*IF(A57="10K",ASM!$B$11,IF(A57="14K",ASM!$B$12,ASM!$B$13))*(1+ASM!$B$3)+ASM!$B$16+ASM!$B$5+ASM!$B$6)*IF(B57&lt;=7,ASM!$B$7,ASM!$B$17),0)</f>
        <v>536</v>
      </c>
      <c r="G57" s="10" t="n">
        <f aca="false">CEILING(F57/0.75,5)</f>
        <v>715</v>
      </c>
      <c r="H57" s="9" t="n">
        <f aca="false">G57*0.75</f>
        <v>536.25</v>
      </c>
      <c r="I57" s="7" t="n">
        <f aca="false">ROUND((E57+0.45)/(1-ASM!$B$9),0)</f>
        <v>387</v>
      </c>
      <c r="J57" s="7" t="n">
        <f aca="false">ROUND((E57+0.45)/(1-ASM!$B$9-ASM!$B$10),0)</f>
        <v>465</v>
      </c>
      <c r="K57" s="7" t="str">
        <f aca="false">IF(H57&gt;=I57,"OK","FLOOR ALTI")</f>
        <v>OK</v>
      </c>
    </row>
    <row r="58" customFormat="false" ht="15" hidden="false" customHeight="false" outlineLevel="0" collapsed="false">
      <c r="A58" s="7" t="s">
        <v>48</v>
      </c>
      <c r="B58" s="7" t="n">
        <v>6</v>
      </c>
      <c r="C58" s="7" t="n">
        <v>8</v>
      </c>
      <c r="D58" s="8" t="n">
        <v>4.9</v>
      </c>
      <c r="E58" s="9" t="n">
        <f aca="false">ROUND(D58*ASM!$B$8*IF(A58="10K",ASM!$B$11,IF(A58="14K",ASM!$B$12,ASM!$B$13))*(1+ASM!$B$3)+ASM!$B$16+ASM!$B$5+ASM!$B$6,2)</f>
        <v>357.49</v>
      </c>
      <c r="F58" s="7" t="n">
        <f aca="false">ROUND((D58*ASM!$B$8*IF(A58="10K",ASM!$B$11,IF(A58="14K",ASM!$B$12,ASM!$B$13))*(1+ASM!$B$3)+ASM!$B$16+ASM!$B$5+ASM!$B$6)*IF(B58&lt;=7,ASM!$B$7,ASM!$B$17),0)</f>
        <v>554</v>
      </c>
      <c r="G58" s="10" t="n">
        <f aca="false">CEILING(F58/0.75,5)</f>
        <v>740</v>
      </c>
      <c r="H58" s="9" t="n">
        <f aca="false">G58*0.75</f>
        <v>555</v>
      </c>
      <c r="I58" s="7" t="n">
        <f aca="false">ROUND((E58+0.45)/(1-ASM!$B$9),0)</f>
        <v>400</v>
      </c>
      <c r="J58" s="7" t="n">
        <f aca="false">ROUND((E58+0.45)/(1-ASM!$B$9-ASM!$B$10),0)</f>
        <v>480</v>
      </c>
      <c r="K58" s="7" t="str">
        <f aca="false">IF(H58&gt;=I58,"OK","FLOOR ALTI")</f>
        <v>OK</v>
      </c>
    </row>
    <row r="59" customFormat="false" ht="15" hidden="false" customHeight="false" outlineLevel="0" collapsed="false">
      <c r="A59" s="7" t="s">
        <v>48</v>
      </c>
      <c r="B59" s="7" t="n">
        <v>6</v>
      </c>
      <c r="C59" s="7" t="n">
        <v>9</v>
      </c>
      <c r="D59" s="8" t="n">
        <v>5.1</v>
      </c>
      <c r="E59" s="9" t="n">
        <f aca="false">ROUND(D59*ASM!$B$8*IF(A59="10K",ASM!$B$11,IF(A59="14K",ASM!$B$12,ASM!$B$13))*(1+ASM!$B$3)+ASM!$B$16+ASM!$B$5+ASM!$B$6,2)</f>
        <v>369.23</v>
      </c>
      <c r="F59" s="7" t="n">
        <f aca="false">ROUND((D59*ASM!$B$8*IF(A59="10K",ASM!$B$11,IF(A59="14K",ASM!$B$12,ASM!$B$13))*(1+ASM!$B$3)+ASM!$B$16+ASM!$B$5+ASM!$B$6)*IF(B59&lt;=7,ASM!$B$7,ASM!$B$17),0)</f>
        <v>572</v>
      </c>
      <c r="G59" s="10" t="n">
        <f aca="false">CEILING(F59/0.75,5)</f>
        <v>765</v>
      </c>
      <c r="H59" s="9" t="n">
        <f aca="false">G59*0.75</f>
        <v>573.75</v>
      </c>
      <c r="I59" s="7" t="n">
        <f aca="false">ROUND((E59+0.45)/(1-ASM!$B$9),0)</f>
        <v>413</v>
      </c>
      <c r="J59" s="7" t="n">
        <f aca="false">ROUND((E59+0.45)/(1-ASM!$B$9-ASM!$B$10),0)</f>
        <v>496</v>
      </c>
      <c r="K59" s="7" t="str">
        <f aca="false">IF(H59&gt;=I59,"OK","FLOOR ALTI")</f>
        <v>OK</v>
      </c>
    </row>
    <row r="60" customFormat="false" ht="15" hidden="false" customHeight="false" outlineLevel="0" collapsed="false">
      <c r="A60" s="7" t="s">
        <v>48</v>
      </c>
      <c r="B60" s="7" t="n">
        <v>6</v>
      </c>
      <c r="C60" s="7" t="n">
        <v>10</v>
      </c>
      <c r="D60" s="8" t="n">
        <v>5.3</v>
      </c>
      <c r="E60" s="9" t="n">
        <f aca="false">ROUND(D60*ASM!$B$8*IF(A60="10K",ASM!$B$11,IF(A60="14K",ASM!$B$12,ASM!$B$13))*(1+ASM!$B$3)+ASM!$B$16+ASM!$B$5+ASM!$B$6,2)</f>
        <v>380.96</v>
      </c>
      <c r="F60" s="7" t="n">
        <f aca="false">ROUND((D60*ASM!$B$8*IF(A60="10K",ASM!$B$11,IF(A60="14K",ASM!$B$12,ASM!$B$13))*(1+ASM!$B$3)+ASM!$B$16+ASM!$B$5+ASM!$B$6)*IF(B60&lt;=7,ASM!$B$7,ASM!$B$17),0)</f>
        <v>590</v>
      </c>
      <c r="G60" s="10" t="n">
        <f aca="false">CEILING(F60/0.75,5)</f>
        <v>790</v>
      </c>
      <c r="H60" s="9" t="n">
        <f aca="false">G60*0.75</f>
        <v>592.5</v>
      </c>
      <c r="I60" s="7" t="n">
        <f aca="false">ROUND((E60+0.45)/(1-ASM!$B$9),0)</f>
        <v>426</v>
      </c>
      <c r="J60" s="7" t="n">
        <f aca="false">ROUND((E60+0.45)/(1-ASM!$B$9-ASM!$B$10),0)</f>
        <v>512</v>
      </c>
      <c r="K60" s="7" t="str">
        <f aca="false">IF(H60&gt;=I60,"OK","FLOOR ALTI")</f>
        <v>OK</v>
      </c>
    </row>
    <row r="61" customFormat="false" ht="15" hidden="false" customHeight="false" outlineLevel="0" collapsed="false">
      <c r="A61" s="7" t="s">
        <v>48</v>
      </c>
      <c r="B61" s="7" t="n">
        <v>6</v>
      </c>
      <c r="C61" s="7" t="n">
        <v>11</v>
      </c>
      <c r="D61" s="8" t="n">
        <v>5.5</v>
      </c>
      <c r="E61" s="9" t="n">
        <f aca="false">ROUND(D61*ASM!$B$8*IF(A61="10K",ASM!$B$11,IF(A61="14K",ASM!$B$12,ASM!$B$13))*(1+ASM!$B$3)+ASM!$B$16+ASM!$B$5+ASM!$B$6,2)</f>
        <v>392.7</v>
      </c>
      <c r="F61" s="7" t="n">
        <f aca="false">ROUND((D61*ASM!$B$8*IF(A61="10K",ASM!$B$11,IF(A61="14K",ASM!$B$12,ASM!$B$13))*(1+ASM!$B$3)+ASM!$B$16+ASM!$B$5+ASM!$B$6)*IF(B61&lt;=7,ASM!$B$7,ASM!$B$17),0)</f>
        <v>609</v>
      </c>
      <c r="G61" s="10" t="n">
        <f aca="false">CEILING(F61/0.75,5)</f>
        <v>815</v>
      </c>
      <c r="H61" s="9" t="n">
        <f aca="false">G61*0.75</f>
        <v>611.25</v>
      </c>
      <c r="I61" s="7" t="n">
        <f aca="false">ROUND((E61+0.45)/(1-ASM!$B$9),0)</f>
        <v>439</v>
      </c>
      <c r="J61" s="7" t="n">
        <f aca="false">ROUND((E61+0.45)/(1-ASM!$B$9-ASM!$B$10),0)</f>
        <v>528</v>
      </c>
      <c r="K61" s="7" t="str">
        <f aca="false">IF(H61&gt;=I61,"OK","FLOOR ALTI")</f>
        <v>OK</v>
      </c>
    </row>
    <row r="62" customFormat="false" ht="15" hidden="false" customHeight="false" outlineLevel="0" collapsed="false">
      <c r="A62" s="7" t="s">
        <v>48</v>
      </c>
      <c r="B62" s="7" t="n">
        <v>6</v>
      </c>
      <c r="C62" s="7" t="n">
        <v>12</v>
      </c>
      <c r="D62" s="8" t="n">
        <v>5.7</v>
      </c>
      <c r="E62" s="9" t="n">
        <f aca="false">ROUND(D62*ASM!$B$8*IF(A62="10K",ASM!$B$11,IF(A62="14K",ASM!$B$12,ASM!$B$13))*(1+ASM!$B$3)+ASM!$B$16+ASM!$B$5+ASM!$B$6,2)</f>
        <v>404.43</v>
      </c>
      <c r="F62" s="7" t="n">
        <f aca="false">ROUND((D62*ASM!$B$8*IF(A62="10K",ASM!$B$11,IF(A62="14K",ASM!$B$12,ASM!$B$13))*(1+ASM!$B$3)+ASM!$B$16+ASM!$B$5+ASM!$B$6)*IF(B62&lt;=7,ASM!$B$7,ASM!$B$17),0)</f>
        <v>627</v>
      </c>
      <c r="G62" s="10" t="n">
        <f aca="false">CEILING(F62/0.75,5)</f>
        <v>840</v>
      </c>
      <c r="H62" s="9" t="n">
        <f aca="false">G62*0.75</f>
        <v>630</v>
      </c>
      <c r="I62" s="7" t="n">
        <f aca="false">ROUND((E62+0.45)/(1-ASM!$B$9),0)</f>
        <v>452</v>
      </c>
      <c r="J62" s="7" t="n">
        <f aca="false">ROUND((E62+0.45)/(1-ASM!$B$9-ASM!$B$10),0)</f>
        <v>543</v>
      </c>
      <c r="K62" s="7" t="str">
        <f aca="false">IF(H62&gt;=I62,"OK","FLOOR ALTI")</f>
        <v>OK</v>
      </c>
    </row>
    <row r="63" customFormat="false" ht="15" hidden="false" customHeight="false" outlineLevel="0" collapsed="false">
      <c r="A63" s="7" t="s">
        <v>48</v>
      </c>
      <c r="B63" s="7" t="n">
        <v>6</v>
      </c>
      <c r="C63" s="7" t="n">
        <v>13</v>
      </c>
      <c r="D63" s="8" t="n">
        <v>5.9</v>
      </c>
      <c r="E63" s="9" t="n">
        <f aca="false">ROUND(D63*ASM!$B$8*IF(A63="10K",ASM!$B$11,IF(A63="14K",ASM!$B$12,ASM!$B$13))*(1+ASM!$B$3)+ASM!$B$16+ASM!$B$5+ASM!$B$6,2)</f>
        <v>416.17</v>
      </c>
      <c r="F63" s="7" t="n">
        <f aca="false">ROUND((D63*ASM!$B$8*IF(A63="10K",ASM!$B$11,IF(A63="14K",ASM!$B$12,ASM!$B$13))*(1+ASM!$B$3)+ASM!$B$16+ASM!$B$5+ASM!$B$6)*IF(B63&lt;=7,ASM!$B$7,ASM!$B$17),0)</f>
        <v>645</v>
      </c>
      <c r="G63" s="10" t="n">
        <f aca="false">CEILING(F63/0.75,5)</f>
        <v>860</v>
      </c>
      <c r="H63" s="9" t="n">
        <f aca="false">G63*0.75</f>
        <v>645</v>
      </c>
      <c r="I63" s="7" t="n">
        <f aca="false">ROUND((E63+0.45)/(1-ASM!$B$9),0)</f>
        <v>465</v>
      </c>
      <c r="J63" s="7" t="n">
        <f aca="false">ROUND((E63+0.45)/(1-ASM!$B$9-ASM!$B$10),0)</f>
        <v>559</v>
      </c>
      <c r="K63" s="7" t="str">
        <f aca="false">IF(H63&gt;=I63,"OK","FLOOR ALTI")</f>
        <v>OK</v>
      </c>
    </row>
    <row r="64" customFormat="false" ht="15" hidden="false" customHeight="false" outlineLevel="0" collapsed="false">
      <c r="A64" s="7" t="s">
        <v>48</v>
      </c>
      <c r="B64" s="7" t="n">
        <v>6</v>
      </c>
      <c r="C64" s="7" t="n">
        <v>14</v>
      </c>
      <c r="D64" s="8" t="n">
        <v>6.1</v>
      </c>
      <c r="E64" s="9" t="n">
        <f aca="false">ROUND(D64*ASM!$B$8*IF(A64="10K",ASM!$B$11,IF(A64="14K",ASM!$B$12,ASM!$B$13))*(1+ASM!$B$3)+ASM!$B$16+ASM!$B$5+ASM!$B$6,2)</f>
        <v>427.9</v>
      </c>
      <c r="F64" s="7" t="n">
        <f aca="false">ROUND((D64*ASM!$B$8*IF(A64="10K",ASM!$B$11,IF(A64="14K",ASM!$B$12,ASM!$B$13))*(1+ASM!$B$3)+ASM!$B$16+ASM!$B$5+ASM!$B$6)*IF(B64&lt;=7,ASM!$B$7,ASM!$B$17),0)</f>
        <v>663</v>
      </c>
      <c r="G64" s="10" t="n">
        <f aca="false">CEILING(F64/0.75,5)</f>
        <v>885</v>
      </c>
      <c r="H64" s="9" t="n">
        <f aca="false">G64*0.75</f>
        <v>663.75</v>
      </c>
      <c r="I64" s="7" t="n">
        <f aca="false">ROUND((E64+0.45)/(1-ASM!$B$9),0)</f>
        <v>479</v>
      </c>
      <c r="J64" s="7" t="n">
        <f aca="false">ROUND((E64+0.45)/(1-ASM!$B$9-ASM!$B$10),0)</f>
        <v>575</v>
      </c>
      <c r="K64" s="7" t="str">
        <f aca="false">IF(H64&gt;=I64,"OK","FLOOR ALTI")</f>
        <v>OK</v>
      </c>
    </row>
    <row r="65" customFormat="false" ht="15" hidden="false" customHeight="false" outlineLevel="0" collapsed="false">
      <c r="A65" s="7" t="s">
        <v>48</v>
      </c>
      <c r="B65" s="7" t="n">
        <v>6</v>
      </c>
      <c r="C65" s="7" t="n">
        <v>15</v>
      </c>
      <c r="D65" s="8" t="n">
        <v>6.29</v>
      </c>
      <c r="E65" s="9" t="n">
        <f aca="false">ROUND(D65*ASM!$B$8*IF(A65="10K",ASM!$B$11,IF(A65="14K",ASM!$B$12,ASM!$B$13))*(1+ASM!$B$3)+ASM!$B$16+ASM!$B$5+ASM!$B$6,2)</f>
        <v>439.05</v>
      </c>
      <c r="F65" s="7" t="n">
        <f aca="false">ROUND((D65*ASM!$B$8*IF(A65="10K",ASM!$B$11,IF(A65="14K",ASM!$B$12,ASM!$B$13))*(1+ASM!$B$3)+ASM!$B$16+ASM!$B$5+ASM!$B$6)*IF(B65&lt;=7,ASM!$B$7,ASM!$B$17),0)</f>
        <v>681</v>
      </c>
      <c r="G65" s="10" t="n">
        <f aca="false">CEILING(F65/0.75,5)</f>
        <v>910</v>
      </c>
      <c r="H65" s="9" t="n">
        <f aca="false">G65*0.75</f>
        <v>682.5</v>
      </c>
      <c r="I65" s="7" t="n">
        <f aca="false">ROUND((E65+0.45)/(1-ASM!$B$9),0)</f>
        <v>491</v>
      </c>
      <c r="J65" s="7" t="n">
        <f aca="false">ROUND((E65+0.45)/(1-ASM!$B$9-ASM!$B$10),0)</f>
        <v>590</v>
      </c>
      <c r="K65" s="7" t="str">
        <f aca="false">IF(H65&gt;=I65,"OK","FLOOR ALTI")</f>
        <v>OK</v>
      </c>
    </row>
    <row r="66" customFormat="false" ht="15" hidden="false" customHeight="false" outlineLevel="0" collapsed="false">
      <c r="A66" s="7" t="s">
        <v>48</v>
      </c>
      <c r="B66" s="7" t="n">
        <v>6</v>
      </c>
      <c r="C66" s="7" t="n">
        <v>16</v>
      </c>
      <c r="D66" s="8" t="n">
        <v>6.49</v>
      </c>
      <c r="E66" s="9" t="n">
        <f aca="false">ROUND(D66*ASM!$B$8*IF(A66="10K",ASM!$B$11,IF(A66="14K",ASM!$B$12,ASM!$B$13))*(1+ASM!$B$3)+ASM!$B$16+ASM!$B$5+ASM!$B$6,2)</f>
        <v>450.78</v>
      </c>
      <c r="F66" s="7" t="n">
        <f aca="false">ROUND((D66*ASM!$B$8*IF(A66="10K",ASM!$B$11,IF(A66="14K",ASM!$B$12,ASM!$B$13))*(1+ASM!$B$3)+ASM!$B$16+ASM!$B$5+ASM!$B$6)*IF(B66&lt;=7,ASM!$B$7,ASM!$B$17),0)</f>
        <v>699</v>
      </c>
      <c r="G66" s="10" t="n">
        <f aca="false">CEILING(F66/0.75,5)</f>
        <v>935</v>
      </c>
      <c r="H66" s="9" t="n">
        <f aca="false">G66*0.75</f>
        <v>701.25</v>
      </c>
      <c r="I66" s="7" t="n">
        <f aca="false">ROUND((E66+0.45)/(1-ASM!$B$9),0)</f>
        <v>504</v>
      </c>
      <c r="J66" s="7" t="n">
        <f aca="false">ROUND((E66+0.45)/(1-ASM!$B$9-ASM!$B$10),0)</f>
        <v>606</v>
      </c>
      <c r="K66" s="7" t="str">
        <f aca="false">IF(H66&gt;=I66,"OK","FLOOR ALTI")</f>
        <v>OK</v>
      </c>
    </row>
    <row r="67" customFormat="false" ht="15" hidden="false" customHeight="false" outlineLevel="0" collapsed="false">
      <c r="A67" s="7" t="s">
        <v>48</v>
      </c>
      <c r="B67" s="7" t="n">
        <v>7</v>
      </c>
      <c r="C67" s="7" t="n">
        <v>4</v>
      </c>
      <c r="D67" s="8" t="n">
        <v>4.79</v>
      </c>
      <c r="E67" s="9" t="n">
        <f aca="false">ROUND(D67*ASM!$B$8*IF(A67="10K",ASM!$B$11,IF(A67="14K",ASM!$B$12,ASM!$B$13))*(1+ASM!$B$3)+ASM!$B$16+ASM!$B$5+ASM!$B$6,2)</f>
        <v>351.04</v>
      </c>
      <c r="F67" s="7" t="n">
        <f aca="false">ROUND((D67*ASM!$B$8*IF(A67="10K",ASM!$B$11,IF(A67="14K",ASM!$B$12,ASM!$B$13))*(1+ASM!$B$3)+ASM!$B$16+ASM!$B$5+ASM!$B$6)*IF(B67&lt;=7,ASM!$B$7,ASM!$B$17),0)</f>
        <v>544</v>
      </c>
      <c r="G67" s="10" t="n">
        <f aca="false">CEILING(F67/0.75,5)</f>
        <v>730</v>
      </c>
      <c r="H67" s="9" t="n">
        <f aca="false">G67*0.75</f>
        <v>547.5</v>
      </c>
      <c r="I67" s="7" t="n">
        <f aca="false">ROUND((E67+0.45)/(1-ASM!$B$9),0)</f>
        <v>393</v>
      </c>
      <c r="J67" s="7" t="n">
        <f aca="false">ROUND((E67+0.45)/(1-ASM!$B$9-ASM!$B$10),0)</f>
        <v>472</v>
      </c>
      <c r="K67" s="7" t="str">
        <f aca="false">IF(H67&gt;=I67,"OK","FLOOR ALTI")</f>
        <v>OK</v>
      </c>
    </row>
    <row r="68" customFormat="false" ht="15" hidden="false" customHeight="false" outlineLevel="0" collapsed="false">
      <c r="A68" s="7" t="s">
        <v>48</v>
      </c>
      <c r="B68" s="7" t="n">
        <v>7</v>
      </c>
      <c r="C68" s="7" t="n">
        <v>5</v>
      </c>
      <c r="D68" s="8" t="n">
        <v>5.04</v>
      </c>
      <c r="E68" s="9" t="n">
        <f aca="false">ROUND(D68*ASM!$B$8*IF(A68="10K",ASM!$B$11,IF(A68="14K",ASM!$B$12,ASM!$B$13))*(1+ASM!$B$3)+ASM!$B$16+ASM!$B$5+ASM!$B$6,2)</f>
        <v>365.71</v>
      </c>
      <c r="F68" s="7" t="n">
        <f aca="false">ROUND((D68*ASM!$B$8*IF(A68="10K",ASM!$B$11,IF(A68="14K",ASM!$B$12,ASM!$B$13))*(1+ASM!$B$3)+ASM!$B$16+ASM!$B$5+ASM!$B$6)*IF(B68&lt;=7,ASM!$B$7,ASM!$B$17),0)</f>
        <v>567</v>
      </c>
      <c r="G68" s="10" t="n">
        <f aca="false">CEILING(F68/0.75,5)</f>
        <v>760</v>
      </c>
      <c r="H68" s="9" t="n">
        <f aca="false">G68*0.75</f>
        <v>570</v>
      </c>
      <c r="I68" s="7" t="n">
        <f aca="false">ROUND((E68+0.45)/(1-ASM!$B$9),0)</f>
        <v>409</v>
      </c>
      <c r="J68" s="7" t="n">
        <f aca="false">ROUND((E68+0.45)/(1-ASM!$B$9-ASM!$B$10),0)</f>
        <v>491</v>
      </c>
      <c r="K68" s="7" t="str">
        <f aca="false">IF(H68&gt;=I68,"OK","FLOOR ALTI")</f>
        <v>OK</v>
      </c>
    </row>
    <row r="69" customFormat="false" ht="15" hidden="false" customHeight="false" outlineLevel="0" collapsed="false">
      <c r="A69" s="7" t="s">
        <v>48</v>
      </c>
      <c r="B69" s="7" t="n">
        <v>7</v>
      </c>
      <c r="C69" s="7" t="n">
        <v>6</v>
      </c>
      <c r="D69" s="8" t="n">
        <v>5.25</v>
      </c>
      <c r="E69" s="9" t="n">
        <f aca="false">ROUND(D69*ASM!$B$8*IF(A69="10K",ASM!$B$11,IF(A69="14K",ASM!$B$12,ASM!$B$13))*(1+ASM!$B$3)+ASM!$B$16+ASM!$B$5+ASM!$B$6,2)</f>
        <v>378.03</v>
      </c>
      <c r="F69" s="7" t="n">
        <f aca="false">ROUND((D69*ASM!$B$8*IF(A69="10K",ASM!$B$11,IF(A69="14K",ASM!$B$12,ASM!$B$13))*(1+ASM!$B$3)+ASM!$B$16+ASM!$B$5+ASM!$B$6)*IF(B69&lt;=7,ASM!$B$7,ASM!$B$17),0)</f>
        <v>586</v>
      </c>
      <c r="G69" s="10" t="n">
        <f aca="false">CEILING(F69/0.75,5)</f>
        <v>785</v>
      </c>
      <c r="H69" s="9" t="n">
        <f aca="false">G69*0.75</f>
        <v>588.75</v>
      </c>
      <c r="I69" s="7" t="n">
        <f aca="false">ROUND((E69+0.45)/(1-ASM!$B$9),0)</f>
        <v>423</v>
      </c>
      <c r="J69" s="7" t="n">
        <f aca="false">ROUND((E69+0.45)/(1-ASM!$B$9-ASM!$B$10),0)</f>
        <v>508</v>
      </c>
      <c r="K69" s="7" t="str">
        <f aca="false">IF(H69&gt;=I69,"OK","FLOOR ALTI")</f>
        <v>OK</v>
      </c>
    </row>
    <row r="70" customFormat="false" ht="15" hidden="false" customHeight="false" outlineLevel="0" collapsed="false">
      <c r="A70" s="7" t="s">
        <v>48</v>
      </c>
      <c r="B70" s="7" t="n">
        <v>7</v>
      </c>
      <c r="C70" s="7" t="n">
        <v>7</v>
      </c>
      <c r="D70" s="8" t="n">
        <v>5.49</v>
      </c>
      <c r="E70" s="9" t="n">
        <f aca="false">ROUND(D70*ASM!$B$8*IF(A70="10K",ASM!$B$11,IF(A70="14K",ASM!$B$12,ASM!$B$13))*(1+ASM!$B$3)+ASM!$B$16+ASM!$B$5+ASM!$B$6,2)</f>
        <v>392.11</v>
      </c>
      <c r="F70" s="7" t="n">
        <f aca="false">ROUND((D70*ASM!$B$8*IF(A70="10K",ASM!$B$11,IF(A70="14K",ASM!$B$12,ASM!$B$13))*(1+ASM!$B$3)+ASM!$B$16+ASM!$B$5+ASM!$B$6)*IF(B70&lt;=7,ASM!$B$7,ASM!$B$17),0)</f>
        <v>608</v>
      </c>
      <c r="G70" s="10" t="n">
        <f aca="false">CEILING(F70/0.75,5)</f>
        <v>815</v>
      </c>
      <c r="H70" s="9" t="n">
        <f aca="false">G70*0.75</f>
        <v>611.25</v>
      </c>
      <c r="I70" s="7" t="n">
        <f aca="false">ROUND((E70+0.45)/(1-ASM!$B$9),0)</f>
        <v>439</v>
      </c>
      <c r="J70" s="7" t="n">
        <f aca="false">ROUND((E70+0.45)/(1-ASM!$B$9-ASM!$B$10),0)</f>
        <v>527</v>
      </c>
      <c r="K70" s="7" t="str">
        <f aca="false">IF(H70&gt;=I70,"OK","FLOOR ALTI")</f>
        <v>OK</v>
      </c>
    </row>
    <row r="71" customFormat="false" ht="15" hidden="false" customHeight="false" outlineLevel="0" collapsed="false">
      <c r="A71" s="7" t="s">
        <v>48</v>
      </c>
      <c r="B71" s="7" t="n">
        <v>7</v>
      </c>
      <c r="C71" s="7" t="n">
        <v>8</v>
      </c>
      <c r="D71" s="8" t="n">
        <v>5.72</v>
      </c>
      <c r="E71" s="9" t="n">
        <f aca="false">ROUND(D71*ASM!$B$8*IF(A71="10K",ASM!$B$11,IF(A71="14K",ASM!$B$12,ASM!$B$13))*(1+ASM!$B$3)+ASM!$B$16+ASM!$B$5+ASM!$B$6,2)</f>
        <v>405.61</v>
      </c>
      <c r="F71" s="7" t="n">
        <f aca="false">ROUND((D71*ASM!$B$8*IF(A71="10K",ASM!$B$11,IF(A71="14K",ASM!$B$12,ASM!$B$13))*(1+ASM!$B$3)+ASM!$B$16+ASM!$B$5+ASM!$B$6)*IF(B71&lt;=7,ASM!$B$7,ASM!$B$17),0)</f>
        <v>629</v>
      </c>
      <c r="G71" s="10" t="n">
        <f aca="false">CEILING(F71/0.75,5)</f>
        <v>840</v>
      </c>
      <c r="H71" s="9" t="n">
        <f aca="false">G71*0.75</f>
        <v>630</v>
      </c>
      <c r="I71" s="7" t="n">
        <f aca="false">ROUND((E71+0.45)/(1-ASM!$B$9),0)</f>
        <v>454</v>
      </c>
      <c r="J71" s="7" t="n">
        <f aca="false">ROUND((E71+0.45)/(1-ASM!$B$9-ASM!$B$10),0)</f>
        <v>545</v>
      </c>
      <c r="K71" s="7" t="str">
        <f aca="false">IF(H71&gt;=I71,"OK","FLOOR ALTI")</f>
        <v>OK</v>
      </c>
    </row>
    <row r="72" customFormat="false" ht="15" hidden="false" customHeight="false" outlineLevel="0" collapsed="false">
      <c r="A72" s="7" t="s">
        <v>48</v>
      </c>
      <c r="B72" s="7" t="n">
        <v>7</v>
      </c>
      <c r="C72" s="7" t="n">
        <v>9</v>
      </c>
      <c r="D72" s="8" t="n">
        <v>5.95</v>
      </c>
      <c r="E72" s="9" t="n">
        <f aca="false">ROUND(D72*ASM!$B$8*IF(A72="10K",ASM!$B$11,IF(A72="14K",ASM!$B$12,ASM!$B$13))*(1+ASM!$B$3)+ASM!$B$16+ASM!$B$5+ASM!$B$6,2)</f>
        <v>419.1</v>
      </c>
      <c r="F72" s="7" t="n">
        <f aca="false">ROUND((D72*ASM!$B$8*IF(A72="10K",ASM!$B$11,IF(A72="14K",ASM!$B$12,ASM!$B$13))*(1+ASM!$B$3)+ASM!$B$16+ASM!$B$5+ASM!$B$6)*IF(B72&lt;=7,ASM!$B$7,ASM!$B$17),0)</f>
        <v>650</v>
      </c>
      <c r="G72" s="10" t="n">
        <f aca="false">CEILING(F72/0.75,5)</f>
        <v>870</v>
      </c>
      <c r="H72" s="9" t="n">
        <f aca="false">G72*0.75</f>
        <v>652.5</v>
      </c>
      <c r="I72" s="7" t="n">
        <f aca="false">ROUND((E72+0.45)/(1-ASM!$B$9),0)</f>
        <v>469</v>
      </c>
      <c r="J72" s="7" t="n">
        <f aca="false">ROUND((E72+0.45)/(1-ASM!$B$9-ASM!$B$10),0)</f>
        <v>563</v>
      </c>
      <c r="K72" s="7" t="str">
        <f aca="false">IF(H72&gt;=I72,"OK","FLOOR ALTI")</f>
        <v>OK</v>
      </c>
    </row>
    <row r="73" customFormat="false" ht="15" hidden="false" customHeight="false" outlineLevel="0" collapsed="false">
      <c r="A73" s="7" t="s">
        <v>48</v>
      </c>
      <c r="B73" s="7" t="n">
        <v>7</v>
      </c>
      <c r="C73" s="7" t="n">
        <v>10</v>
      </c>
      <c r="D73" s="8" t="n">
        <v>6.18</v>
      </c>
      <c r="E73" s="9" t="n">
        <f aca="false">ROUND(D73*ASM!$B$8*IF(A73="10K",ASM!$B$11,IF(A73="14K",ASM!$B$12,ASM!$B$13))*(1+ASM!$B$3)+ASM!$B$16+ASM!$B$5+ASM!$B$6,2)</f>
        <v>432.6</v>
      </c>
      <c r="F73" s="7" t="n">
        <f aca="false">ROUND((D73*ASM!$B$8*IF(A73="10K",ASM!$B$11,IF(A73="14K",ASM!$B$12,ASM!$B$13))*(1+ASM!$B$3)+ASM!$B$16+ASM!$B$5+ASM!$B$6)*IF(B73&lt;=7,ASM!$B$7,ASM!$B$17),0)</f>
        <v>671</v>
      </c>
      <c r="G73" s="10" t="n">
        <f aca="false">CEILING(F73/0.75,5)</f>
        <v>895</v>
      </c>
      <c r="H73" s="9" t="n">
        <f aca="false">G73*0.75</f>
        <v>671.25</v>
      </c>
      <c r="I73" s="7" t="n">
        <f aca="false">ROUND((E73+0.45)/(1-ASM!$B$9),0)</f>
        <v>484</v>
      </c>
      <c r="J73" s="7" t="n">
        <f aca="false">ROUND((E73+0.45)/(1-ASM!$B$9-ASM!$B$10),0)</f>
        <v>581</v>
      </c>
      <c r="K73" s="7" t="str">
        <f aca="false">IF(H73&gt;=I73,"OK","FLOOR ALTI")</f>
        <v>OK</v>
      </c>
    </row>
    <row r="74" customFormat="false" ht="15" hidden="false" customHeight="false" outlineLevel="0" collapsed="false">
      <c r="A74" s="7" t="s">
        <v>48</v>
      </c>
      <c r="B74" s="7" t="n">
        <v>7</v>
      </c>
      <c r="C74" s="7" t="n">
        <v>11</v>
      </c>
      <c r="D74" s="8" t="n">
        <v>6.42</v>
      </c>
      <c r="E74" s="9" t="n">
        <f aca="false">ROUND(D74*ASM!$B$8*IF(A74="10K",ASM!$B$11,IF(A74="14K",ASM!$B$12,ASM!$B$13))*(1+ASM!$B$3)+ASM!$B$16+ASM!$B$5+ASM!$B$6,2)</f>
        <v>446.68</v>
      </c>
      <c r="F74" s="7" t="n">
        <f aca="false">ROUND((D74*ASM!$B$8*IF(A74="10K",ASM!$B$11,IF(A74="14K",ASM!$B$12,ASM!$B$13))*(1+ASM!$B$3)+ASM!$B$16+ASM!$B$5+ASM!$B$6)*IF(B74&lt;=7,ASM!$B$7,ASM!$B$17),0)</f>
        <v>692</v>
      </c>
      <c r="G74" s="10" t="n">
        <f aca="false">CEILING(F74/0.75,5)</f>
        <v>925</v>
      </c>
      <c r="H74" s="9" t="n">
        <f aca="false">G74*0.75</f>
        <v>693.75</v>
      </c>
      <c r="I74" s="7" t="n">
        <f aca="false">ROUND((E74+0.45)/(1-ASM!$B$9),0)</f>
        <v>500</v>
      </c>
      <c r="J74" s="7" t="n">
        <f aca="false">ROUND((E74+0.45)/(1-ASM!$B$9-ASM!$B$10),0)</f>
        <v>600</v>
      </c>
      <c r="K74" s="7" t="str">
        <f aca="false">IF(H74&gt;=I74,"OK","FLOOR ALTI")</f>
        <v>OK</v>
      </c>
    </row>
    <row r="75" customFormat="false" ht="15" hidden="false" customHeight="false" outlineLevel="0" collapsed="false">
      <c r="A75" s="7" t="s">
        <v>48</v>
      </c>
      <c r="B75" s="7" t="n">
        <v>7</v>
      </c>
      <c r="C75" s="7" t="n">
        <v>12</v>
      </c>
      <c r="D75" s="8" t="n">
        <v>6.65</v>
      </c>
      <c r="E75" s="9" t="n">
        <f aca="false">ROUND(D75*ASM!$B$8*IF(A75="10K",ASM!$B$11,IF(A75="14K",ASM!$B$12,ASM!$B$13))*(1+ASM!$B$3)+ASM!$B$16+ASM!$B$5+ASM!$B$6,2)</f>
        <v>460.17</v>
      </c>
      <c r="F75" s="7" t="n">
        <f aca="false">ROUND((D75*ASM!$B$8*IF(A75="10K",ASM!$B$11,IF(A75="14K",ASM!$B$12,ASM!$B$13))*(1+ASM!$B$3)+ASM!$B$16+ASM!$B$5+ASM!$B$6)*IF(B75&lt;=7,ASM!$B$7,ASM!$B$17),0)</f>
        <v>713</v>
      </c>
      <c r="G75" s="10" t="n">
        <f aca="false">CEILING(F75/0.75,5)</f>
        <v>955</v>
      </c>
      <c r="H75" s="9" t="n">
        <f aca="false">G75*0.75</f>
        <v>716.25</v>
      </c>
      <c r="I75" s="7" t="n">
        <f aca="false">ROUND((E75+0.45)/(1-ASM!$B$9),0)</f>
        <v>515</v>
      </c>
      <c r="J75" s="7" t="n">
        <f aca="false">ROUND((E75+0.45)/(1-ASM!$B$9-ASM!$B$10),0)</f>
        <v>618</v>
      </c>
      <c r="K75" s="7" t="str">
        <f aca="false">IF(H75&gt;=I75,"OK","FLOOR ALTI")</f>
        <v>OK</v>
      </c>
    </row>
    <row r="76" customFormat="false" ht="15" hidden="false" customHeight="false" outlineLevel="0" collapsed="false">
      <c r="A76" s="7" t="s">
        <v>48</v>
      </c>
      <c r="B76" s="7" t="n">
        <v>7</v>
      </c>
      <c r="C76" s="7" t="n">
        <v>13</v>
      </c>
      <c r="D76" s="8" t="n">
        <v>6.88</v>
      </c>
      <c r="E76" s="9" t="n">
        <f aca="false">ROUND(D76*ASM!$B$8*IF(A76="10K",ASM!$B$11,IF(A76="14K",ASM!$B$12,ASM!$B$13))*(1+ASM!$B$3)+ASM!$B$16+ASM!$B$5+ASM!$B$6,2)</f>
        <v>473.67</v>
      </c>
      <c r="F76" s="7" t="n">
        <f aca="false">ROUND((D76*ASM!$B$8*IF(A76="10K",ASM!$B$11,IF(A76="14K",ASM!$B$12,ASM!$B$13))*(1+ASM!$B$3)+ASM!$B$16+ASM!$B$5+ASM!$B$6)*IF(B76&lt;=7,ASM!$B$7,ASM!$B$17),0)</f>
        <v>734</v>
      </c>
      <c r="G76" s="10" t="n">
        <f aca="false">CEILING(F76/0.75,5)</f>
        <v>980</v>
      </c>
      <c r="H76" s="9" t="n">
        <f aca="false">G76*0.75</f>
        <v>735</v>
      </c>
      <c r="I76" s="7" t="n">
        <f aca="false">ROUND((E76+0.45)/(1-ASM!$B$9),0)</f>
        <v>530</v>
      </c>
      <c r="J76" s="7" t="n">
        <f aca="false">ROUND((E76+0.45)/(1-ASM!$B$9-ASM!$B$10),0)</f>
        <v>636</v>
      </c>
      <c r="K76" s="7" t="str">
        <f aca="false">IF(H76&gt;=I76,"OK","FLOOR ALTI")</f>
        <v>OK</v>
      </c>
    </row>
    <row r="77" customFormat="false" ht="15" hidden="false" customHeight="false" outlineLevel="0" collapsed="false">
      <c r="A77" s="7" t="s">
        <v>48</v>
      </c>
      <c r="B77" s="7" t="n">
        <v>7</v>
      </c>
      <c r="C77" s="7" t="n">
        <v>14</v>
      </c>
      <c r="D77" s="8" t="n">
        <v>7.11</v>
      </c>
      <c r="E77" s="9" t="n">
        <f aca="false">ROUND(D77*ASM!$B$8*IF(A77="10K",ASM!$B$11,IF(A77="14K",ASM!$B$12,ASM!$B$13))*(1+ASM!$B$3)+ASM!$B$16+ASM!$B$5+ASM!$B$6,2)</f>
        <v>487.16</v>
      </c>
      <c r="F77" s="7" t="n">
        <f aca="false">ROUND((D77*ASM!$B$8*IF(A77="10K",ASM!$B$11,IF(A77="14K",ASM!$B$12,ASM!$B$13))*(1+ASM!$B$3)+ASM!$B$16+ASM!$B$5+ASM!$B$6)*IF(B77&lt;=7,ASM!$B$7,ASM!$B$17),0)</f>
        <v>755</v>
      </c>
      <c r="G77" s="10" t="n">
        <f aca="false">CEILING(F77/0.75,5)</f>
        <v>1010</v>
      </c>
      <c r="H77" s="9" t="n">
        <f aca="false">G77*0.75</f>
        <v>757.5</v>
      </c>
      <c r="I77" s="7" t="n">
        <f aca="false">ROUND((E77+0.45)/(1-ASM!$B$9),0)</f>
        <v>545</v>
      </c>
      <c r="J77" s="7" t="n">
        <f aca="false">ROUND((E77+0.45)/(1-ASM!$B$9-ASM!$B$10),0)</f>
        <v>655</v>
      </c>
      <c r="K77" s="7" t="str">
        <f aca="false">IF(H77&gt;=I77,"OK","FLOOR ALTI")</f>
        <v>OK</v>
      </c>
    </row>
    <row r="78" customFormat="false" ht="15" hidden="false" customHeight="false" outlineLevel="0" collapsed="false">
      <c r="A78" s="7" t="s">
        <v>48</v>
      </c>
      <c r="B78" s="7" t="n">
        <v>7</v>
      </c>
      <c r="C78" s="7" t="n">
        <v>15</v>
      </c>
      <c r="D78" s="8" t="n">
        <v>7.34</v>
      </c>
      <c r="E78" s="9" t="n">
        <f aca="false">ROUND(D78*ASM!$B$8*IF(A78="10K",ASM!$B$11,IF(A78="14K",ASM!$B$12,ASM!$B$13))*(1+ASM!$B$3)+ASM!$B$16+ASM!$B$5+ASM!$B$6,2)</f>
        <v>500.66</v>
      </c>
      <c r="F78" s="7" t="n">
        <f aca="false">ROUND((D78*ASM!$B$8*IF(A78="10K",ASM!$B$11,IF(A78="14K",ASM!$B$12,ASM!$B$13))*(1+ASM!$B$3)+ASM!$B$16+ASM!$B$5+ASM!$B$6)*IF(B78&lt;=7,ASM!$B$7,ASM!$B$17),0)</f>
        <v>776</v>
      </c>
      <c r="G78" s="10" t="n">
        <f aca="false">CEILING(F78/0.75,5)</f>
        <v>1035</v>
      </c>
      <c r="H78" s="9" t="n">
        <f aca="false">G78*0.75</f>
        <v>776.25</v>
      </c>
      <c r="I78" s="7" t="n">
        <f aca="false">ROUND((E78+0.45)/(1-ASM!$B$9),0)</f>
        <v>560</v>
      </c>
      <c r="J78" s="7" t="n">
        <f aca="false">ROUND((E78+0.45)/(1-ASM!$B$9-ASM!$B$10),0)</f>
        <v>673</v>
      </c>
      <c r="K78" s="7" t="str">
        <f aca="false">IF(H78&gt;=I78,"OK","FLOOR ALTI")</f>
        <v>OK</v>
      </c>
    </row>
    <row r="79" customFormat="false" ht="15" hidden="false" customHeight="false" outlineLevel="0" collapsed="false">
      <c r="A79" s="7" t="s">
        <v>48</v>
      </c>
      <c r="B79" s="7" t="n">
        <v>7</v>
      </c>
      <c r="C79" s="7" t="n">
        <v>16</v>
      </c>
      <c r="D79" s="8" t="n">
        <v>7.58</v>
      </c>
      <c r="E79" s="9" t="n">
        <f aca="false">ROUND(D79*ASM!$B$8*IF(A79="10K",ASM!$B$11,IF(A79="14K",ASM!$B$12,ASM!$B$13))*(1+ASM!$B$3)+ASM!$B$16+ASM!$B$5+ASM!$B$6,2)</f>
        <v>514.74</v>
      </c>
      <c r="F79" s="7" t="n">
        <f aca="false">ROUND((D79*ASM!$B$8*IF(A79="10K",ASM!$B$11,IF(A79="14K",ASM!$B$12,ASM!$B$13))*(1+ASM!$B$3)+ASM!$B$16+ASM!$B$5+ASM!$B$6)*IF(B79&lt;=7,ASM!$B$7,ASM!$B$17),0)</f>
        <v>798</v>
      </c>
      <c r="G79" s="10" t="n">
        <f aca="false">CEILING(F79/0.75,5)</f>
        <v>1065</v>
      </c>
      <c r="H79" s="9" t="n">
        <f aca="false">G79*0.75</f>
        <v>798.75</v>
      </c>
      <c r="I79" s="7" t="n">
        <f aca="false">ROUND((E79+0.45)/(1-ASM!$B$9),0)</f>
        <v>576</v>
      </c>
      <c r="J79" s="7" t="n">
        <f aca="false">ROUND((E79+0.45)/(1-ASM!$B$9-ASM!$B$10),0)</f>
        <v>692</v>
      </c>
      <c r="K79" s="7" t="str">
        <f aca="false">IF(H79&gt;=I79,"OK","FLOOR ALTI")</f>
        <v>OK</v>
      </c>
    </row>
    <row r="80" customFormat="false" ht="15" hidden="false" customHeight="false" outlineLevel="0" collapsed="false">
      <c r="A80" s="7" t="s">
        <v>48</v>
      </c>
      <c r="B80" s="7" t="n">
        <v>8</v>
      </c>
      <c r="C80" s="7" t="n">
        <v>4</v>
      </c>
      <c r="D80" s="8" t="n">
        <v>5.47</v>
      </c>
      <c r="E80" s="9" t="n">
        <f aca="false">ROUND(D80*ASM!$B$8*IF(A80="10K",ASM!$B$11,IF(A80="14K",ASM!$B$12,ASM!$B$13))*(1+ASM!$B$3)+ASM!$B$16+ASM!$B$5+ASM!$B$6,2)</f>
        <v>390.94</v>
      </c>
      <c r="F80" s="7" t="n">
        <f aca="false">ROUND((D80*ASM!$B$8*IF(A80="10K",ASM!$B$11,IF(A80="14K",ASM!$B$12,ASM!$B$13))*(1+ASM!$B$3)+ASM!$B$16+ASM!$B$5+ASM!$B$6)*IF(B80&lt;=7,ASM!$B$7,ASM!$B$17),0)</f>
        <v>782</v>
      </c>
      <c r="G80" s="10" t="n">
        <f aca="false">CEILING(F80/0.75,5)</f>
        <v>1045</v>
      </c>
      <c r="H80" s="9" t="n">
        <f aca="false">G80*0.75</f>
        <v>783.75</v>
      </c>
      <c r="I80" s="7" t="n">
        <f aca="false">ROUND((E80+0.45)/(1-ASM!$B$9),0)</f>
        <v>437</v>
      </c>
      <c r="J80" s="7" t="n">
        <f aca="false">ROUND((E80+0.45)/(1-ASM!$B$9-ASM!$B$10),0)</f>
        <v>525</v>
      </c>
      <c r="K80" s="7" t="str">
        <f aca="false">IF(H80&gt;=I80,"OK","FLOOR ALTI")</f>
        <v>OK</v>
      </c>
    </row>
    <row r="81" customFormat="false" ht="15" hidden="false" customHeight="false" outlineLevel="0" collapsed="false">
      <c r="A81" s="7" t="s">
        <v>48</v>
      </c>
      <c r="B81" s="7" t="n">
        <v>8</v>
      </c>
      <c r="C81" s="7" t="n">
        <v>5</v>
      </c>
      <c r="D81" s="8" t="n">
        <v>5.74</v>
      </c>
      <c r="E81" s="9" t="n">
        <f aca="false">ROUND(D81*ASM!$B$8*IF(A81="10K",ASM!$B$11,IF(A81="14K",ASM!$B$12,ASM!$B$13))*(1+ASM!$B$3)+ASM!$B$16+ASM!$B$5+ASM!$B$6,2)</f>
        <v>406.78</v>
      </c>
      <c r="F81" s="7" t="n">
        <f aca="false">ROUND((D81*ASM!$B$8*IF(A81="10K",ASM!$B$11,IF(A81="14K",ASM!$B$12,ASM!$B$13))*(1+ASM!$B$3)+ASM!$B$16+ASM!$B$5+ASM!$B$6)*IF(B81&lt;=7,ASM!$B$7,ASM!$B$17),0)</f>
        <v>814</v>
      </c>
      <c r="G81" s="10" t="n">
        <f aca="false">CEILING(F81/0.75,5)</f>
        <v>1090</v>
      </c>
      <c r="H81" s="9" t="n">
        <f aca="false">G81*0.75</f>
        <v>817.5</v>
      </c>
      <c r="I81" s="7" t="n">
        <f aca="false">ROUND((E81+0.45)/(1-ASM!$B$9),0)</f>
        <v>455</v>
      </c>
      <c r="J81" s="7" t="n">
        <f aca="false">ROUND((E81+0.45)/(1-ASM!$B$9-ASM!$B$10),0)</f>
        <v>547</v>
      </c>
      <c r="K81" s="7" t="str">
        <f aca="false">IF(H81&gt;=I81,"OK","FLOOR ALTI")</f>
        <v>OK</v>
      </c>
    </row>
    <row r="82" customFormat="false" ht="15" hidden="false" customHeight="false" outlineLevel="0" collapsed="false">
      <c r="A82" s="7" t="s">
        <v>48</v>
      </c>
      <c r="B82" s="7" t="n">
        <v>8</v>
      </c>
      <c r="C82" s="7" t="n">
        <v>6</v>
      </c>
      <c r="D82" s="8" t="n">
        <v>6</v>
      </c>
      <c r="E82" s="9" t="n">
        <f aca="false">ROUND(D82*ASM!$B$8*IF(A82="10K",ASM!$B$11,IF(A82="14K",ASM!$B$12,ASM!$B$13))*(1+ASM!$B$3)+ASM!$B$16+ASM!$B$5+ASM!$B$6,2)</f>
        <v>422.03</v>
      </c>
      <c r="F82" s="7" t="n">
        <f aca="false">ROUND((D82*ASM!$B$8*IF(A82="10K",ASM!$B$11,IF(A82="14K",ASM!$B$12,ASM!$B$13))*(1+ASM!$B$3)+ASM!$B$16+ASM!$B$5+ASM!$B$6)*IF(B82&lt;=7,ASM!$B$7,ASM!$B$17),0)</f>
        <v>844</v>
      </c>
      <c r="G82" s="10" t="n">
        <f aca="false">CEILING(F82/0.75,5)</f>
        <v>1130</v>
      </c>
      <c r="H82" s="9" t="n">
        <f aca="false">G82*0.75</f>
        <v>847.5</v>
      </c>
      <c r="I82" s="7" t="n">
        <f aca="false">ROUND((E82+0.45)/(1-ASM!$B$9),0)</f>
        <v>472</v>
      </c>
      <c r="J82" s="7" t="n">
        <f aca="false">ROUND((E82+0.45)/(1-ASM!$B$9-ASM!$B$10),0)</f>
        <v>567</v>
      </c>
      <c r="K82" s="7" t="str">
        <f aca="false">IF(H82&gt;=I82,"OK","FLOOR ALTI")</f>
        <v>OK</v>
      </c>
    </row>
    <row r="83" customFormat="false" ht="15" hidden="false" customHeight="false" outlineLevel="0" collapsed="false">
      <c r="A83" s="7" t="s">
        <v>48</v>
      </c>
      <c r="B83" s="7" t="n">
        <v>8</v>
      </c>
      <c r="C83" s="7" t="n">
        <v>7</v>
      </c>
      <c r="D83" s="8" t="n">
        <v>6.27</v>
      </c>
      <c r="E83" s="9" t="n">
        <f aca="false">ROUND(D83*ASM!$B$8*IF(A83="10K",ASM!$B$11,IF(A83="14K",ASM!$B$12,ASM!$B$13))*(1+ASM!$B$3)+ASM!$B$16+ASM!$B$5+ASM!$B$6,2)</f>
        <v>437.88</v>
      </c>
      <c r="F83" s="7" t="n">
        <f aca="false">ROUND((D83*ASM!$B$8*IF(A83="10K",ASM!$B$11,IF(A83="14K",ASM!$B$12,ASM!$B$13))*(1+ASM!$B$3)+ASM!$B$16+ASM!$B$5+ASM!$B$6)*IF(B83&lt;=7,ASM!$B$7,ASM!$B$17),0)</f>
        <v>876</v>
      </c>
      <c r="G83" s="10" t="n">
        <f aca="false">CEILING(F83/0.75,5)</f>
        <v>1170</v>
      </c>
      <c r="H83" s="9" t="n">
        <f aca="false">G83*0.75</f>
        <v>877.5</v>
      </c>
      <c r="I83" s="7" t="n">
        <f aca="false">ROUND((E83+0.45)/(1-ASM!$B$9),0)</f>
        <v>490</v>
      </c>
      <c r="J83" s="7" t="n">
        <f aca="false">ROUND((E83+0.45)/(1-ASM!$B$9-ASM!$B$10),0)</f>
        <v>588</v>
      </c>
      <c r="K83" s="7" t="str">
        <f aca="false">IF(H83&gt;=I83,"OK","FLOOR ALTI")</f>
        <v>OK</v>
      </c>
    </row>
    <row r="84" customFormat="false" ht="15" hidden="false" customHeight="false" outlineLevel="0" collapsed="false">
      <c r="A84" s="7" t="s">
        <v>48</v>
      </c>
      <c r="B84" s="7" t="n">
        <v>8</v>
      </c>
      <c r="C84" s="7" t="n">
        <v>8</v>
      </c>
      <c r="D84" s="8" t="n">
        <v>6.54</v>
      </c>
      <c r="E84" s="9" t="n">
        <f aca="false">ROUND(D84*ASM!$B$8*IF(A84="10K",ASM!$B$11,IF(A84="14K",ASM!$B$12,ASM!$B$13))*(1+ASM!$B$3)+ASM!$B$16+ASM!$B$5+ASM!$B$6,2)</f>
        <v>453.72</v>
      </c>
      <c r="F84" s="7" t="n">
        <f aca="false">ROUND((D84*ASM!$B$8*IF(A84="10K",ASM!$B$11,IF(A84="14K",ASM!$B$12,ASM!$B$13))*(1+ASM!$B$3)+ASM!$B$16+ASM!$B$5+ASM!$B$6)*IF(B84&lt;=7,ASM!$B$7,ASM!$B$17),0)</f>
        <v>907</v>
      </c>
      <c r="G84" s="10" t="n">
        <f aca="false">CEILING(F84/0.75,5)</f>
        <v>1210</v>
      </c>
      <c r="H84" s="9" t="n">
        <f aca="false">G84*0.75</f>
        <v>907.5</v>
      </c>
      <c r="I84" s="7" t="n">
        <f aca="false">ROUND((E84+0.45)/(1-ASM!$B$9),0)</f>
        <v>507</v>
      </c>
      <c r="J84" s="7" t="n">
        <f aca="false">ROUND((E84+0.45)/(1-ASM!$B$9-ASM!$B$10),0)</f>
        <v>610</v>
      </c>
      <c r="K84" s="7" t="str">
        <f aca="false">IF(H84&gt;=I84,"OK","FLOOR ALTI")</f>
        <v>OK</v>
      </c>
    </row>
    <row r="85" customFormat="false" ht="15" hidden="false" customHeight="false" outlineLevel="0" collapsed="false">
      <c r="A85" s="7" t="s">
        <v>48</v>
      </c>
      <c r="B85" s="7" t="n">
        <v>8</v>
      </c>
      <c r="C85" s="7" t="n">
        <v>9</v>
      </c>
      <c r="D85" s="8" t="n">
        <v>6.8</v>
      </c>
      <c r="E85" s="9" t="n">
        <f aca="false">ROUND(D85*ASM!$B$8*IF(A85="10K",ASM!$B$11,IF(A85="14K",ASM!$B$12,ASM!$B$13))*(1+ASM!$B$3)+ASM!$B$16+ASM!$B$5+ASM!$B$6,2)</f>
        <v>468.97</v>
      </c>
      <c r="F85" s="7" t="n">
        <f aca="false">ROUND((D85*ASM!$B$8*IF(A85="10K",ASM!$B$11,IF(A85="14K",ASM!$B$12,ASM!$B$13))*(1+ASM!$B$3)+ASM!$B$16+ASM!$B$5+ASM!$B$6)*IF(B85&lt;=7,ASM!$B$7,ASM!$B$17),0)</f>
        <v>938</v>
      </c>
      <c r="G85" s="10" t="n">
        <f aca="false">CEILING(F85/0.75,5)</f>
        <v>1255</v>
      </c>
      <c r="H85" s="9" t="n">
        <f aca="false">G85*0.75</f>
        <v>941.25</v>
      </c>
      <c r="I85" s="7" t="n">
        <f aca="false">ROUND((E85+0.45)/(1-ASM!$B$9),0)</f>
        <v>524</v>
      </c>
      <c r="J85" s="7" t="n">
        <f aca="false">ROUND((E85+0.45)/(1-ASM!$B$9-ASM!$B$10),0)</f>
        <v>630</v>
      </c>
      <c r="K85" s="7" t="str">
        <f aca="false">IF(H85&gt;=I85,"OK","FLOOR ALTI")</f>
        <v>OK</v>
      </c>
    </row>
    <row r="86" customFormat="false" ht="15" hidden="false" customHeight="false" outlineLevel="0" collapsed="false">
      <c r="A86" s="7" t="s">
        <v>48</v>
      </c>
      <c r="B86" s="7" t="n">
        <v>8</v>
      </c>
      <c r="C86" s="7" t="n">
        <v>10</v>
      </c>
      <c r="D86" s="8" t="n">
        <v>7.07</v>
      </c>
      <c r="E86" s="9" t="n">
        <f aca="false">ROUND(D86*ASM!$B$8*IF(A86="10K",ASM!$B$11,IF(A86="14K",ASM!$B$12,ASM!$B$13))*(1+ASM!$B$3)+ASM!$B$16+ASM!$B$5+ASM!$B$6,2)</f>
        <v>484.81</v>
      </c>
      <c r="F86" s="7" t="n">
        <f aca="false">ROUND((D86*ASM!$B$8*IF(A86="10K",ASM!$B$11,IF(A86="14K",ASM!$B$12,ASM!$B$13))*(1+ASM!$B$3)+ASM!$B$16+ASM!$B$5+ASM!$B$6)*IF(B86&lt;=7,ASM!$B$7,ASM!$B$17),0)</f>
        <v>970</v>
      </c>
      <c r="G86" s="10" t="n">
        <f aca="false">CEILING(F86/0.75,5)</f>
        <v>1295</v>
      </c>
      <c r="H86" s="9" t="n">
        <f aca="false">G86*0.75</f>
        <v>971.25</v>
      </c>
      <c r="I86" s="7" t="n">
        <f aca="false">ROUND((E86+0.45)/(1-ASM!$B$9),0)</f>
        <v>542</v>
      </c>
      <c r="J86" s="7" t="n">
        <f aca="false">ROUND((E86+0.45)/(1-ASM!$B$9-ASM!$B$10),0)</f>
        <v>651</v>
      </c>
      <c r="K86" s="7" t="str">
        <f aca="false">IF(H86&gt;=I86,"OK","FLOOR ALTI")</f>
        <v>OK</v>
      </c>
    </row>
    <row r="87" customFormat="false" ht="15" hidden="false" customHeight="false" outlineLevel="0" collapsed="false">
      <c r="A87" s="7" t="s">
        <v>48</v>
      </c>
      <c r="B87" s="7" t="n">
        <v>8</v>
      </c>
      <c r="C87" s="7" t="n">
        <v>11</v>
      </c>
      <c r="D87" s="8" t="n">
        <v>7.33</v>
      </c>
      <c r="E87" s="9" t="n">
        <f aca="false">ROUND(D87*ASM!$B$8*IF(A87="10K",ASM!$B$11,IF(A87="14K",ASM!$B$12,ASM!$B$13))*(1+ASM!$B$3)+ASM!$B$16+ASM!$B$5+ASM!$B$6,2)</f>
        <v>500.07</v>
      </c>
      <c r="F87" s="7" t="n">
        <f aca="false">ROUND((D87*ASM!$B$8*IF(A87="10K",ASM!$B$11,IF(A87="14K",ASM!$B$12,ASM!$B$13))*(1+ASM!$B$3)+ASM!$B$16+ASM!$B$5+ASM!$B$6)*IF(B87&lt;=7,ASM!$B$7,ASM!$B$17),0)</f>
        <v>1000</v>
      </c>
      <c r="G87" s="10" t="n">
        <f aca="false">CEILING(F87/0.75,5)</f>
        <v>1335</v>
      </c>
      <c r="H87" s="9" t="n">
        <f aca="false">G87*0.75</f>
        <v>1001.25</v>
      </c>
      <c r="I87" s="7" t="n">
        <f aca="false">ROUND((E87+0.45)/(1-ASM!$B$9),0)</f>
        <v>559</v>
      </c>
      <c r="J87" s="7" t="n">
        <f aca="false">ROUND((E87+0.45)/(1-ASM!$B$9-ASM!$B$10),0)</f>
        <v>672</v>
      </c>
      <c r="K87" s="7" t="str">
        <f aca="false">IF(H87&gt;=I87,"OK","FLOOR ALTI")</f>
        <v>OK</v>
      </c>
    </row>
    <row r="88" customFormat="false" ht="15" hidden="false" customHeight="false" outlineLevel="0" collapsed="false">
      <c r="A88" s="7" t="s">
        <v>48</v>
      </c>
      <c r="B88" s="7" t="n">
        <v>8</v>
      </c>
      <c r="C88" s="7" t="n">
        <v>12</v>
      </c>
      <c r="D88" s="8" t="n">
        <v>7.6</v>
      </c>
      <c r="E88" s="9" t="n">
        <f aca="false">ROUND(D88*ASM!$B$8*IF(A88="10K",ASM!$B$11,IF(A88="14K",ASM!$B$12,ASM!$B$13))*(1+ASM!$B$3)+ASM!$B$16+ASM!$B$5+ASM!$B$6,2)</f>
        <v>515.91</v>
      </c>
      <c r="F88" s="7" t="n">
        <f aca="false">ROUND((D88*ASM!$B$8*IF(A88="10K",ASM!$B$11,IF(A88="14K",ASM!$B$12,ASM!$B$13))*(1+ASM!$B$3)+ASM!$B$16+ASM!$B$5+ASM!$B$6)*IF(B88&lt;=7,ASM!$B$7,ASM!$B$17),0)</f>
        <v>1032</v>
      </c>
      <c r="G88" s="10" t="n">
        <f aca="false">CEILING(F88/0.75,5)</f>
        <v>1380</v>
      </c>
      <c r="H88" s="9" t="n">
        <f aca="false">G88*0.75</f>
        <v>1035</v>
      </c>
      <c r="I88" s="7" t="n">
        <f aca="false">ROUND((E88+0.45)/(1-ASM!$B$9),0)</f>
        <v>577</v>
      </c>
      <c r="J88" s="7" t="n">
        <f aca="false">ROUND((E88+0.45)/(1-ASM!$B$9-ASM!$B$10),0)</f>
        <v>693</v>
      </c>
      <c r="K88" s="7" t="str">
        <f aca="false">IF(H88&gt;=I88,"OK","FLOOR ALTI")</f>
        <v>OK</v>
      </c>
    </row>
    <row r="89" customFormat="false" ht="15" hidden="false" customHeight="false" outlineLevel="0" collapsed="false">
      <c r="A89" s="7" t="s">
        <v>48</v>
      </c>
      <c r="B89" s="7" t="n">
        <v>8</v>
      </c>
      <c r="C89" s="7" t="n">
        <v>13</v>
      </c>
      <c r="D89" s="8" t="n">
        <v>7.86</v>
      </c>
      <c r="E89" s="9" t="n">
        <f aca="false">ROUND(D89*ASM!$B$8*IF(A89="10K",ASM!$B$11,IF(A89="14K",ASM!$B$12,ASM!$B$13))*(1+ASM!$B$3)+ASM!$B$16+ASM!$B$5+ASM!$B$6,2)</f>
        <v>531.17</v>
      </c>
      <c r="F89" s="7" t="n">
        <f aca="false">ROUND((D89*ASM!$B$8*IF(A89="10K",ASM!$B$11,IF(A89="14K",ASM!$B$12,ASM!$B$13))*(1+ASM!$B$3)+ASM!$B$16+ASM!$B$5+ASM!$B$6)*IF(B89&lt;=7,ASM!$B$7,ASM!$B$17),0)</f>
        <v>1062</v>
      </c>
      <c r="G89" s="10" t="n">
        <f aca="false">CEILING(F89/0.75,5)</f>
        <v>1420</v>
      </c>
      <c r="H89" s="9" t="n">
        <f aca="false">G89*0.75</f>
        <v>1065</v>
      </c>
      <c r="I89" s="7" t="n">
        <f aca="false">ROUND((E89+0.45)/(1-ASM!$B$9),0)</f>
        <v>594</v>
      </c>
      <c r="J89" s="7" t="n">
        <f aca="false">ROUND((E89+0.45)/(1-ASM!$B$9-ASM!$B$10),0)</f>
        <v>714</v>
      </c>
      <c r="K89" s="7" t="str">
        <f aca="false">IF(H89&gt;=I89,"OK","FLOOR ALTI")</f>
        <v>OK</v>
      </c>
    </row>
    <row r="90" customFormat="false" ht="15" hidden="false" customHeight="false" outlineLevel="0" collapsed="false">
      <c r="A90" s="7" t="s">
        <v>48</v>
      </c>
      <c r="B90" s="7" t="n">
        <v>8</v>
      </c>
      <c r="C90" s="7" t="n">
        <v>14</v>
      </c>
      <c r="D90" s="8" t="n">
        <v>8.13</v>
      </c>
      <c r="E90" s="9" t="n">
        <f aca="false">ROUND(D90*ASM!$B$8*IF(A90="10K",ASM!$B$11,IF(A90="14K",ASM!$B$12,ASM!$B$13))*(1+ASM!$B$3)+ASM!$B$16+ASM!$B$5+ASM!$B$6,2)</f>
        <v>547.01</v>
      </c>
      <c r="F90" s="7" t="n">
        <f aca="false">ROUND((D90*ASM!$B$8*IF(A90="10K",ASM!$B$11,IF(A90="14K",ASM!$B$12,ASM!$B$13))*(1+ASM!$B$3)+ASM!$B$16+ASM!$B$5+ASM!$B$6)*IF(B90&lt;=7,ASM!$B$7,ASM!$B$17),0)</f>
        <v>1094</v>
      </c>
      <c r="G90" s="10" t="n">
        <f aca="false">CEILING(F90/0.75,5)</f>
        <v>1460</v>
      </c>
      <c r="H90" s="9" t="n">
        <f aca="false">G90*0.75</f>
        <v>1095</v>
      </c>
      <c r="I90" s="7" t="n">
        <f aca="false">ROUND((E90+0.45)/(1-ASM!$B$9),0)</f>
        <v>612</v>
      </c>
      <c r="J90" s="7" t="n">
        <f aca="false">ROUND((E90+0.45)/(1-ASM!$B$9-ASM!$B$10),0)</f>
        <v>735</v>
      </c>
      <c r="K90" s="7" t="str">
        <f aca="false">IF(H90&gt;=I90,"OK","FLOOR ALTI")</f>
        <v>OK</v>
      </c>
    </row>
    <row r="91" customFormat="false" ht="15" hidden="false" customHeight="false" outlineLevel="0" collapsed="false">
      <c r="A91" s="7" t="s">
        <v>48</v>
      </c>
      <c r="B91" s="7" t="n">
        <v>8</v>
      </c>
      <c r="C91" s="7" t="n">
        <v>15</v>
      </c>
      <c r="D91" s="8" t="n">
        <v>8.39</v>
      </c>
      <c r="E91" s="9" t="n">
        <f aca="false">ROUND(D91*ASM!$B$8*IF(A91="10K",ASM!$B$11,IF(A91="14K",ASM!$B$12,ASM!$B$13))*(1+ASM!$B$3)+ASM!$B$16+ASM!$B$5+ASM!$B$6,2)</f>
        <v>562.26</v>
      </c>
      <c r="F91" s="7" t="n">
        <f aca="false">ROUND((D91*ASM!$B$8*IF(A91="10K",ASM!$B$11,IF(A91="14K",ASM!$B$12,ASM!$B$13))*(1+ASM!$B$3)+ASM!$B$16+ASM!$B$5+ASM!$B$6)*IF(B91&lt;=7,ASM!$B$7,ASM!$B$17),0)</f>
        <v>1125</v>
      </c>
      <c r="G91" s="10" t="n">
        <f aca="false">CEILING(F91/0.75,5)</f>
        <v>1500</v>
      </c>
      <c r="H91" s="9" t="n">
        <f aca="false">G91*0.75</f>
        <v>1125</v>
      </c>
      <c r="I91" s="7" t="n">
        <f aca="false">ROUND((E91+0.45)/(1-ASM!$B$9),0)</f>
        <v>629</v>
      </c>
      <c r="J91" s="7" t="n">
        <f aca="false">ROUND((E91+0.45)/(1-ASM!$B$9-ASM!$B$10),0)</f>
        <v>755</v>
      </c>
      <c r="K91" s="7" t="str">
        <f aca="false">IF(H91&gt;=I91,"OK","FLOOR ALTI")</f>
        <v>OK</v>
      </c>
    </row>
    <row r="92" customFormat="false" ht="15" hidden="false" customHeight="false" outlineLevel="0" collapsed="false">
      <c r="A92" s="7" t="s">
        <v>48</v>
      </c>
      <c r="B92" s="7" t="n">
        <v>8</v>
      </c>
      <c r="C92" s="7" t="n">
        <v>16</v>
      </c>
      <c r="D92" s="8" t="n">
        <v>8.66</v>
      </c>
      <c r="E92" s="9" t="n">
        <f aca="false">ROUND(D92*ASM!$B$8*IF(A92="10K",ASM!$B$11,IF(A92="14K",ASM!$B$12,ASM!$B$13))*(1+ASM!$B$3)+ASM!$B$16+ASM!$B$5+ASM!$B$6,2)</f>
        <v>578.1</v>
      </c>
      <c r="F92" s="7" t="n">
        <f aca="false">ROUND((D92*ASM!$B$8*IF(A92="10K",ASM!$B$11,IF(A92="14K",ASM!$B$12,ASM!$B$13))*(1+ASM!$B$3)+ASM!$B$16+ASM!$B$5+ASM!$B$6)*IF(B92&lt;=7,ASM!$B$7,ASM!$B$17),0)</f>
        <v>1156</v>
      </c>
      <c r="G92" s="10" t="n">
        <f aca="false">CEILING(F92/0.75,5)</f>
        <v>1545</v>
      </c>
      <c r="H92" s="9" t="n">
        <f aca="false">G92*0.75</f>
        <v>1158.75</v>
      </c>
      <c r="I92" s="7" t="n">
        <f aca="false">ROUND((E92+0.45)/(1-ASM!$B$9),0)</f>
        <v>646</v>
      </c>
      <c r="J92" s="7" t="n">
        <f aca="false">ROUND((E92+0.45)/(1-ASM!$B$9-ASM!$B$10),0)</f>
        <v>777</v>
      </c>
      <c r="K92" s="7" t="str">
        <f aca="false">IF(H92&gt;=I92,"OK","FLOOR ALTI")</f>
        <v>OK</v>
      </c>
    </row>
    <row r="93" customFormat="false" ht="15" hidden="false" customHeight="false" outlineLevel="0" collapsed="false">
      <c r="A93" s="7" t="s">
        <v>48</v>
      </c>
      <c r="B93" s="7" t="n">
        <v>9</v>
      </c>
      <c r="C93" s="7" t="n">
        <v>4</v>
      </c>
      <c r="D93" s="8" t="n">
        <v>6.16</v>
      </c>
      <c r="E93" s="9" t="n">
        <f aca="false">ROUND(D93*ASM!$B$8*IF(A93="10K",ASM!$B$11,IF(A93="14K",ASM!$B$12,ASM!$B$13))*(1+ASM!$B$3)+ASM!$B$16+ASM!$B$5+ASM!$B$6,2)</f>
        <v>431.42</v>
      </c>
      <c r="F93" s="7" t="n">
        <f aca="false">ROUND((D93*ASM!$B$8*IF(A93="10K",ASM!$B$11,IF(A93="14K",ASM!$B$12,ASM!$B$13))*(1+ASM!$B$3)+ASM!$B$16+ASM!$B$5+ASM!$B$6)*IF(B93&lt;=7,ASM!$B$7,ASM!$B$17),0)</f>
        <v>863</v>
      </c>
      <c r="G93" s="10" t="n">
        <f aca="false">CEILING(F93/0.75,5)</f>
        <v>1155</v>
      </c>
      <c r="H93" s="9" t="n">
        <f aca="false">G93*0.75</f>
        <v>866.25</v>
      </c>
      <c r="I93" s="7" t="n">
        <f aca="false">ROUND((E93+0.45)/(1-ASM!$B$9),0)</f>
        <v>483</v>
      </c>
      <c r="J93" s="7" t="n">
        <f aca="false">ROUND((E93+0.45)/(1-ASM!$B$9-ASM!$B$10),0)</f>
        <v>580</v>
      </c>
      <c r="K93" s="7" t="str">
        <f aca="false">IF(H93&gt;=I93,"OK","FLOOR ALTI")</f>
        <v>OK</v>
      </c>
    </row>
    <row r="94" customFormat="false" ht="15" hidden="false" customHeight="false" outlineLevel="0" collapsed="false">
      <c r="A94" s="7" t="s">
        <v>48</v>
      </c>
      <c r="B94" s="7" t="n">
        <v>9</v>
      </c>
      <c r="C94" s="7" t="n">
        <v>5</v>
      </c>
      <c r="D94" s="8" t="n">
        <v>6.46</v>
      </c>
      <c r="E94" s="9" t="n">
        <f aca="false">ROUND(D94*ASM!$B$8*IF(A94="10K",ASM!$B$11,IF(A94="14K",ASM!$B$12,ASM!$B$13))*(1+ASM!$B$3)+ASM!$B$16+ASM!$B$5+ASM!$B$6,2)</f>
        <v>449.02</v>
      </c>
      <c r="F94" s="7" t="n">
        <f aca="false">ROUND((D94*ASM!$B$8*IF(A94="10K",ASM!$B$11,IF(A94="14K",ASM!$B$12,ASM!$B$13))*(1+ASM!$B$3)+ASM!$B$16+ASM!$B$5+ASM!$B$6)*IF(B94&lt;=7,ASM!$B$7,ASM!$B$17),0)</f>
        <v>898</v>
      </c>
      <c r="G94" s="10" t="n">
        <f aca="false">CEILING(F94/0.75,5)</f>
        <v>1200</v>
      </c>
      <c r="H94" s="9" t="n">
        <f aca="false">G94*0.75</f>
        <v>900</v>
      </c>
      <c r="I94" s="7" t="n">
        <f aca="false">ROUND((E94+0.45)/(1-ASM!$B$9),0)</f>
        <v>502</v>
      </c>
      <c r="J94" s="7" t="n">
        <f aca="false">ROUND((E94+0.45)/(1-ASM!$B$9-ASM!$B$10),0)</f>
        <v>603</v>
      </c>
      <c r="K94" s="7" t="str">
        <f aca="false">IF(H94&gt;=I94,"OK","FLOOR ALTI")</f>
        <v>OK</v>
      </c>
    </row>
    <row r="95" customFormat="false" ht="15" hidden="false" customHeight="false" outlineLevel="0" collapsed="false">
      <c r="A95" s="7" t="s">
        <v>48</v>
      </c>
      <c r="B95" s="7" t="n">
        <v>9</v>
      </c>
      <c r="C95" s="7" t="n">
        <v>6</v>
      </c>
      <c r="D95" s="8" t="n">
        <v>6.76</v>
      </c>
      <c r="E95" s="9" t="n">
        <f aca="false">ROUND(D95*ASM!$B$8*IF(A95="10K",ASM!$B$11,IF(A95="14K",ASM!$B$12,ASM!$B$13))*(1+ASM!$B$3)+ASM!$B$16+ASM!$B$5+ASM!$B$6,2)</f>
        <v>466.63</v>
      </c>
      <c r="F95" s="7" t="n">
        <f aca="false">ROUND((D95*ASM!$B$8*IF(A95="10K",ASM!$B$11,IF(A95="14K",ASM!$B$12,ASM!$B$13))*(1+ASM!$B$3)+ASM!$B$16+ASM!$B$5+ASM!$B$6)*IF(B95&lt;=7,ASM!$B$7,ASM!$B$17),0)</f>
        <v>933</v>
      </c>
      <c r="G95" s="10" t="n">
        <f aca="false">CEILING(F95/0.75,5)</f>
        <v>1245</v>
      </c>
      <c r="H95" s="9" t="n">
        <f aca="false">G95*0.75</f>
        <v>933.75</v>
      </c>
      <c r="I95" s="7" t="n">
        <f aca="false">ROUND((E95+0.45)/(1-ASM!$B$9),0)</f>
        <v>522</v>
      </c>
      <c r="J95" s="7" t="n">
        <f aca="false">ROUND((E95+0.45)/(1-ASM!$B$9-ASM!$B$10),0)</f>
        <v>627</v>
      </c>
      <c r="K95" s="7" t="str">
        <f aca="false">IF(H95&gt;=I95,"OK","FLOOR ALTI")</f>
        <v>OK</v>
      </c>
    </row>
    <row r="96" customFormat="false" ht="15" hidden="false" customHeight="false" outlineLevel="0" collapsed="false">
      <c r="A96" s="7" t="s">
        <v>48</v>
      </c>
      <c r="B96" s="7" t="n">
        <v>9</v>
      </c>
      <c r="C96" s="7" t="n">
        <v>7</v>
      </c>
      <c r="D96" s="8" t="n">
        <v>7.05</v>
      </c>
      <c r="E96" s="9" t="n">
        <f aca="false">ROUND(D96*ASM!$B$8*IF(A96="10K",ASM!$B$11,IF(A96="14K",ASM!$B$12,ASM!$B$13))*(1+ASM!$B$3)+ASM!$B$16+ASM!$B$5+ASM!$B$6,2)</f>
        <v>483.64</v>
      </c>
      <c r="F96" s="7" t="n">
        <f aca="false">ROUND((D96*ASM!$B$8*IF(A96="10K",ASM!$B$11,IF(A96="14K",ASM!$B$12,ASM!$B$13))*(1+ASM!$B$3)+ASM!$B$16+ASM!$B$5+ASM!$B$6)*IF(B96&lt;=7,ASM!$B$7,ASM!$B$17),0)</f>
        <v>967</v>
      </c>
      <c r="G96" s="10" t="n">
        <f aca="false">CEILING(F96/0.75,5)</f>
        <v>1290</v>
      </c>
      <c r="H96" s="9" t="n">
        <f aca="false">G96*0.75</f>
        <v>967.5</v>
      </c>
      <c r="I96" s="7" t="n">
        <f aca="false">ROUND((E96+0.45)/(1-ASM!$B$9),0)</f>
        <v>541</v>
      </c>
      <c r="J96" s="7" t="n">
        <f aca="false">ROUND((E96+0.45)/(1-ASM!$B$9-ASM!$B$10),0)</f>
        <v>650</v>
      </c>
      <c r="K96" s="7" t="str">
        <f aca="false">IF(H96&gt;=I96,"OK","FLOOR ALTI")</f>
        <v>OK</v>
      </c>
    </row>
    <row r="97" customFormat="false" ht="15" hidden="false" customHeight="false" outlineLevel="0" collapsed="false">
      <c r="A97" s="7" t="s">
        <v>48</v>
      </c>
      <c r="B97" s="7" t="n">
        <v>9</v>
      </c>
      <c r="C97" s="7" t="n">
        <v>8</v>
      </c>
      <c r="D97" s="8" t="n">
        <v>7.35</v>
      </c>
      <c r="E97" s="9" t="n">
        <f aca="false">ROUND(D97*ASM!$B$8*IF(A97="10K",ASM!$B$11,IF(A97="14K",ASM!$B$12,ASM!$B$13))*(1+ASM!$B$3)+ASM!$B$16+ASM!$B$5+ASM!$B$6,2)</f>
        <v>501.24</v>
      </c>
      <c r="F97" s="7" t="n">
        <f aca="false">ROUND((D97*ASM!$B$8*IF(A97="10K",ASM!$B$11,IF(A97="14K",ASM!$B$12,ASM!$B$13))*(1+ASM!$B$3)+ASM!$B$16+ASM!$B$5+ASM!$B$6)*IF(B97&lt;=7,ASM!$B$7,ASM!$B$17),0)</f>
        <v>1002</v>
      </c>
      <c r="G97" s="10" t="n">
        <f aca="false">CEILING(F97/0.75,5)</f>
        <v>1340</v>
      </c>
      <c r="H97" s="9" t="n">
        <f aca="false">G97*0.75</f>
        <v>1005</v>
      </c>
      <c r="I97" s="7" t="n">
        <f aca="false">ROUND((E97+0.45)/(1-ASM!$B$9),0)</f>
        <v>561</v>
      </c>
      <c r="J97" s="7" t="n">
        <f aca="false">ROUND((E97+0.45)/(1-ASM!$B$9-ASM!$B$10),0)</f>
        <v>673</v>
      </c>
      <c r="K97" s="7" t="str">
        <f aca="false">IF(H97&gt;=I97,"OK","FLOOR ALTI")</f>
        <v>OK</v>
      </c>
    </row>
    <row r="98" customFormat="false" ht="15" hidden="false" customHeight="false" outlineLevel="0" collapsed="false">
      <c r="A98" s="7" t="s">
        <v>48</v>
      </c>
      <c r="B98" s="7" t="n">
        <v>9</v>
      </c>
      <c r="C98" s="7" t="n">
        <v>9</v>
      </c>
      <c r="D98" s="8" t="n">
        <v>7.65</v>
      </c>
      <c r="E98" s="9" t="n">
        <f aca="false">ROUND(D98*ASM!$B$8*IF(A98="10K",ASM!$B$11,IF(A98="14K",ASM!$B$12,ASM!$B$13))*(1+ASM!$B$3)+ASM!$B$16+ASM!$B$5+ASM!$B$6,2)</f>
        <v>518.84</v>
      </c>
      <c r="F98" s="7" t="n">
        <f aca="false">ROUND((D98*ASM!$B$8*IF(A98="10K",ASM!$B$11,IF(A98="14K",ASM!$B$12,ASM!$B$13))*(1+ASM!$B$3)+ASM!$B$16+ASM!$B$5+ASM!$B$6)*IF(B98&lt;=7,ASM!$B$7,ASM!$B$17),0)</f>
        <v>1038</v>
      </c>
      <c r="G98" s="10" t="n">
        <f aca="false">CEILING(F98/0.75,5)</f>
        <v>1385</v>
      </c>
      <c r="H98" s="9" t="n">
        <f aca="false">G98*0.75</f>
        <v>1038.75</v>
      </c>
      <c r="I98" s="7" t="n">
        <f aca="false">ROUND((E98+0.45)/(1-ASM!$B$9),0)</f>
        <v>580</v>
      </c>
      <c r="J98" s="7" t="n">
        <f aca="false">ROUND((E98+0.45)/(1-ASM!$B$9-ASM!$B$10),0)</f>
        <v>697</v>
      </c>
      <c r="K98" s="7" t="str">
        <f aca="false">IF(H98&gt;=I98,"OK","FLOOR ALTI")</f>
        <v>OK</v>
      </c>
    </row>
    <row r="99" customFormat="false" ht="15" hidden="false" customHeight="false" outlineLevel="0" collapsed="false">
      <c r="A99" s="7" t="s">
        <v>48</v>
      </c>
      <c r="B99" s="7" t="n">
        <v>9</v>
      </c>
      <c r="C99" s="7" t="n">
        <v>10</v>
      </c>
      <c r="D99" s="8" t="n">
        <v>7.95</v>
      </c>
      <c r="E99" s="9" t="n">
        <f aca="false">ROUND(D99*ASM!$B$8*IF(A99="10K",ASM!$B$11,IF(A99="14K",ASM!$B$12,ASM!$B$13))*(1+ASM!$B$3)+ASM!$B$16+ASM!$B$5+ASM!$B$6,2)</f>
        <v>536.45</v>
      </c>
      <c r="F99" s="7" t="n">
        <f aca="false">ROUND((D99*ASM!$B$8*IF(A99="10K",ASM!$B$11,IF(A99="14K",ASM!$B$12,ASM!$B$13))*(1+ASM!$B$3)+ASM!$B$16+ASM!$B$5+ASM!$B$6)*IF(B99&lt;=7,ASM!$B$7,ASM!$B$17),0)</f>
        <v>1073</v>
      </c>
      <c r="G99" s="10" t="n">
        <f aca="false">CEILING(F99/0.75,5)</f>
        <v>1435</v>
      </c>
      <c r="H99" s="9" t="n">
        <f aca="false">G99*0.75</f>
        <v>1076.25</v>
      </c>
      <c r="I99" s="7" t="n">
        <f aca="false">ROUND((E99+0.45)/(1-ASM!$B$9),0)</f>
        <v>600</v>
      </c>
      <c r="J99" s="7" t="n">
        <f aca="false">ROUND((E99+0.45)/(1-ASM!$B$9-ASM!$B$10),0)</f>
        <v>721</v>
      </c>
      <c r="K99" s="7" t="str">
        <f aca="false">IF(H99&gt;=I99,"OK","FLOOR ALTI")</f>
        <v>OK</v>
      </c>
    </row>
    <row r="100" customFormat="false" ht="15" hidden="false" customHeight="false" outlineLevel="0" collapsed="false">
      <c r="A100" s="7" t="s">
        <v>48</v>
      </c>
      <c r="B100" s="7" t="n">
        <v>9</v>
      </c>
      <c r="C100" s="7" t="n">
        <v>11</v>
      </c>
      <c r="D100" s="8" t="n">
        <v>8.25</v>
      </c>
      <c r="E100" s="9" t="n">
        <f aca="false">ROUND(D100*ASM!$B$8*IF(A100="10K",ASM!$B$11,IF(A100="14K",ASM!$B$12,ASM!$B$13))*(1+ASM!$B$3)+ASM!$B$16+ASM!$B$5+ASM!$B$6,2)</f>
        <v>554.05</v>
      </c>
      <c r="F100" s="7" t="n">
        <f aca="false">ROUND((D100*ASM!$B$8*IF(A100="10K",ASM!$B$11,IF(A100="14K",ASM!$B$12,ASM!$B$13))*(1+ASM!$B$3)+ASM!$B$16+ASM!$B$5+ASM!$B$6)*IF(B100&lt;=7,ASM!$B$7,ASM!$B$17),0)</f>
        <v>1108</v>
      </c>
      <c r="G100" s="10" t="n">
        <f aca="false">CEILING(F100/0.75,5)</f>
        <v>1480</v>
      </c>
      <c r="H100" s="9" t="n">
        <f aca="false">G100*0.75</f>
        <v>1110</v>
      </c>
      <c r="I100" s="7" t="n">
        <f aca="false">ROUND((E100+0.45)/(1-ASM!$B$9),0)</f>
        <v>620</v>
      </c>
      <c r="J100" s="7" t="n">
        <f aca="false">ROUND((E100+0.45)/(1-ASM!$B$9-ASM!$B$10),0)</f>
        <v>744</v>
      </c>
      <c r="K100" s="7" t="str">
        <f aca="false">IF(H100&gt;=I100,"OK","FLOOR ALTI")</f>
        <v>OK</v>
      </c>
    </row>
    <row r="101" customFormat="false" ht="15" hidden="false" customHeight="false" outlineLevel="0" collapsed="false">
      <c r="A101" s="7" t="s">
        <v>48</v>
      </c>
      <c r="B101" s="7" t="n">
        <v>9</v>
      </c>
      <c r="C101" s="7" t="n">
        <v>12</v>
      </c>
      <c r="D101" s="8" t="n">
        <v>8.55</v>
      </c>
      <c r="E101" s="9" t="n">
        <f aca="false">ROUND(D101*ASM!$B$8*IF(A101="10K",ASM!$B$11,IF(A101="14K",ASM!$B$12,ASM!$B$13))*(1+ASM!$B$3)+ASM!$B$16+ASM!$B$5+ASM!$B$6,2)</f>
        <v>571.65</v>
      </c>
      <c r="F101" s="7" t="n">
        <f aca="false">ROUND((D101*ASM!$B$8*IF(A101="10K",ASM!$B$11,IF(A101="14K",ASM!$B$12,ASM!$B$13))*(1+ASM!$B$3)+ASM!$B$16+ASM!$B$5+ASM!$B$6)*IF(B101&lt;=7,ASM!$B$7,ASM!$B$17),0)</f>
        <v>1143</v>
      </c>
      <c r="G101" s="10" t="n">
        <f aca="false">CEILING(F101/0.75,5)</f>
        <v>1525</v>
      </c>
      <c r="H101" s="9" t="n">
        <f aca="false">G101*0.75</f>
        <v>1143.75</v>
      </c>
      <c r="I101" s="7" t="n">
        <f aca="false">ROUND((E101+0.45)/(1-ASM!$B$9),0)</f>
        <v>639</v>
      </c>
      <c r="J101" s="7" t="n">
        <f aca="false">ROUND((E101+0.45)/(1-ASM!$B$9-ASM!$B$10),0)</f>
        <v>768</v>
      </c>
      <c r="K101" s="7" t="str">
        <f aca="false">IF(H101&gt;=I101,"OK","FLOOR ALTI")</f>
        <v>OK</v>
      </c>
    </row>
    <row r="102" customFormat="false" ht="15" hidden="false" customHeight="false" outlineLevel="0" collapsed="false">
      <c r="A102" s="7" t="s">
        <v>48</v>
      </c>
      <c r="B102" s="7" t="n">
        <v>9</v>
      </c>
      <c r="C102" s="7" t="n">
        <v>13</v>
      </c>
      <c r="D102" s="8" t="n">
        <v>8.85</v>
      </c>
      <c r="E102" s="9" t="n">
        <f aca="false">ROUND(D102*ASM!$B$8*IF(A102="10K",ASM!$B$11,IF(A102="14K",ASM!$B$12,ASM!$B$13))*(1+ASM!$B$3)+ASM!$B$16+ASM!$B$5+ASM!$B$6,2)</f>
        <v>589.25</v>
      </c>
      <c r="F102" s="7" t="n">
        <f aca="false">ROUND((D102*ASM!$B$8*IF(A102="10K",ASM!$B$11,IF(A102="14K",ASM!$B$12,ASM!$B$13))*(1+ASM!$B$3)+ASM!$B$16+ASM!$B$5+ASM!$B$6)*IF(B102&lt;=7,ASM!$B$7,ASM!$B$17),0)</f>
        <v>1179</v>
      </c>
      <c r="G102" s="10" t="n">
        <f aca="false">CEILING(F102/0.75,5)</f>
        <v>1575</v>
      </c>
      <c r="H102" s="9" t="n">
        <f aca="false">G102*0.75</f>
        <v>1181.25</v>
      </c>
      <c r="I102" s="7" t="n">
        <f aca="false">ROUND((E102+0.45)/(1-ASM!$B$9),0)</f>
        <v>659</v>
      </c>
      <c r="J102" s="7" t="n">
        <f aca="false">ROUND((E102+0.45)/(1-ASM!$B$9-ASM!$B$10),0)</f>
        <v>792</v>
      </c>
      <c r="K102" s="7" t="str">
        <f aca="false">IF(H102&gt;=I102,"OK","FLOOR ALTI")</f>
        <v>OK</v>
      </c>
    </row>
    <row r="103" customFormat="false" ht="15" hidden="false" customHeight="false" outlineLevel="0" collapsed="false">
      <c r="A103" s="7" t="s">
        <v>48</v>
      </c>
      <c r="B103" s="7" t="n">
        <v>9</v>
      </c>
      <c r="C103" s="7" t="n">
        <v>14</v>
      </c>
      <c r="D103" s="8" t="n">
        <v>9.14</v>
      </c>
      <c r="E103" s="9" t="n">
        <f aca="false">ROUND(D103*ASM!$B$8*IF(A103="10K",ASM!$B$11,IF(A103="14K",ASM!$B$12,ASM!$B$13))*(1+ASM!$B$3)+ASM!$B$16+ASM!$B$5+ASM!$B$6,2)</f>
        <v>606.27</v>
      </c>
      <c r="F103" s="7" t="n">
        <f aca="false">ROUND((D103*ASM!$B$8*IF(A103="10K",ASM!$B$11,IF(A103="14K",ASM!$B$12,ASM!$B$13))*(1+ASM!$B$3)+ASM!$B$16+ASM!$B$5+ASM!$B$6)*IF(B103&lt;=7,ASM!$B$7,ASM!$B$17),0)</f>
        <v>1213</v>
      </c>
      <c r="G103" s="10" t="n">
        <f aca="false">CEILING(F103/0.75,5)</f>
        <v>1620</v>
      </c>
      <c r="H103" s="9" t="n">
        <f aca="false">G103*0.75</f>
        <v>1215</v>
      </c>
      <c r="I103" s="7" t="n">
        <f aca="false">ROUND((E103+0.45)/(1-ASM!$B$9),0)</f>
        <v>678</v>
      </c>
      <c r="J103" s="7" t="n">
        <f aca="false">ROUND((E103+0.45)/(1-ASM!$B$9-ASM!$B$10),0)</f>
        <v>814</v>
      </c>
      <c r="K103" s="7" t="str">
        <f aca="false">IF(H103&gt;=I103,"OK","FLOOR ALTI")</f>
        <v>OK</v>
      </c>
    </row>
    <row r="104" customFormat="false" ht="15" hidden="false" customHeight="false" outlineLevel="0" collapsed="false">
      <c r="A104" s="7" t="s">
        <v>48</v>
      </c>
      <c r="B104" s="7" t="n">
        <v>9</v>
      </c>
      <c r="C104" s="7" t="n">
        <v>15</v>
      </c>
      <c r="D104" s="8" t="n">
        <v>9.44</v>
      </c>
      <c r="E104" s="9" t="n">
        <f aca="false">ROUND(D104*ASM!$B$8*IF(A104="10K",ASM!$B$11,IF(A104="14K",ASM!$B$12,ASM!$B$13))*(1+ASM!$B$3)+ASM!$B$16+ASM!$B$5+ASM!$B$6,2)</f>
        <v>623.87</v>
      </c>
      <c r="F104" s="7" t="n">
        <f aca="false">ROUND((D104*ASM!$B$8*IF(A104="10K",ASM!$B$11,IF(A104="14K",ASM!$B$12,ASM!$B$13))*(1+ASM!$B$3)+ASM!$B$16+ASM!$B$5+ASM!$B$6)*IF(B104&lt;=7,ASM!$B$7,ASM!$B$17),0)</f>
        <v>1248</v>
      </c>
      <c r="G104" s="10" t="n">
        <f aca="false">CEILING(F104/0.75,5)</f>
        <v>1665</v>
      </c>
      <c r="H104" s="9" t="n">
        <f aca="false">G104*0.75</f>
        <v>1248.75</v>
      </c>
      <c r="I104" s="7" t="n">
        <f aca="false">ROUND((E104+0.45)/(1-ASM!$B$9),0)</f>
        <v>698</v>
      </c>
      <c r="J104" s="7" t="n">
        <f aca="false">ROUND((E104+0.45)/(1-ASM!$B$9-ASM!$B$10),0)</f>
        <v>838</v>
      </c>
      <c r="K104" s="7" t="str">
        <f aca="false">IF(H104&gt;=I104,"OK","FLOOR ALTI")</f>
        <v>OK</v>
      </c>
    </row>
    <row r="105" customFormat="false" ht="15" hidden="false" customHeight="false" outlineLevel="0" collapsed="false">
      <c r="A105" s="7" t="s">
        <v>48</v>
      </c>
      <c r="B105" s="7" t="n">
        <v>9</v>
      </c>
      <c r="C105" s="7" t="n">
        <v>16</v>
      </c>
      <c r="D105" s="8" t="n">
        <v>9.74</v>
      </c>
      <c r="E105" s="9" t="n">
        <f aca="false">ROUND(D105*ASM!$B$8*IF(A105="10K",ASM!$B$11,IF(A105="14K",ASM!$B$12,ASM!$B$13))*(1+ASM!$B$3)+ASM!$B$16+ASM!$B$5+ASM!$B$6,2)</f>
        <v>641.47</v>
      </c>
      <c r="F105" s="7" t="n">
        <f aca="false">ROUND((D105*ASM!$B$8*IF(A105="10K",ASM!$B$11,IF(A105="14K",ASM!$B$12,ASM!$B$13))*(1+ASM!$B$3)+ASM!$B$16+ASM!$B$5+ASM!$B$6)*IF(B105&lt;=7,ASM!$B$7,ASM!$B$17),0)</f>
        <v>1283</v>
      </c>
      <c r="G105" s="10" t="n">
        <f aca="false">CEILING(F105/0.75,5)</f>
        <v>1715</v>
      </c>
      <c r="H105" s="9" t="n">
        <f aca="false">G105*0.75</f>
        <v>1286.25</v>
      </c>
      <c r="I105" s="7" t="n">
        <f aca="false">ROUND((E105+0.45)/(1-ASM!$B$9),0)</f>
        <v>717</v>
      </c>
      <c r="J105" s="7" t="n">
        <f aca="false">ROUND((E105+0.45)/(1-ASM!$B$9-ASM!$B$10),0)</f>
        <v>862</v>
      </c>
      <c r="K105" s="7" t="str">
        <f aca="false">IF(H105&gt;=I105,"OK","FLOOR ALTI")</f>
        <v>OK</v>
      </c>
    </row>
    <row r="106" customFormat="false" ht="15" hidden="false" customHeight="false" outlineLevel="0" collapsed="false">
      <c r="A106" s="7" t="s">
        <v>48</v>
      </c>
      <c r="B106" s="7" t="n">
        <v>10</v>
      </c>
      <c r="C106" s="7" t="n">
        <v>4</v>
      </c>
      <c r="D106" s="8" t="n">
        <v>6.84</v>
      </c>
      <c r="E106" s="9" t="n">
        <f aca="false">ROUND(D106*ASM!$B$8*IF(A106="10K",ASM!$B$11,IF(A106="14K",ASM!$B$12,ASM!$B$13))*(1+ASM!$B$3)+ASM!$B$16+ASM!$B$5+ASM!$B$6,2)</f>
        <v>471.32</v>
      </c>
      <c r="F106" s="7" t="n">
        <f aca="false">ROUND((D106*ASM!$B$8*IF(A106="10K",ASM!$B$11,IF(A106="14K",ASM!$B$12,ASM!$B$13))*(1+ASM!$B$3)+ASM!$B$16+ASM!$B$5+ASM!$B$6)*IF(B106&lt;=7,ASM!$B$7,ASM!$B$17),0)</f>
        <v>943</v>
      </c>
      <c r="G106" s="10" t="n">
        <f aca="false">CEILING(F106/0.75,5)</f>
        <v>1260</v>
      </c>
      <c r="H106" s="9" t="n">
        <f aca="false">G106*0.75</f>
        <v>945</v>
      </c>
      <c r="I106" s="7" t="n">
        <f aca="false">ROUND((E106+0.45)/(1-ASM!$B$9),0)</f>
        <v>527</v>
      </c>
      <c r="J106" s="7" t="n">
        <f aca="false">ROUND((E106+0.45)/(1-ASM!$B$9-ASM!$B$10),0)</f>
        <v>633</v>
      </c>
      <c r="K106" s="7" t="str">
        <f aca="false">IF(H106&gt;=I106,"OK","FLOOR ALTI")</f>
        <v>OK</v>
      </c>
    </row>
    <row r="107" customFormat="false" ht="15" hidden="false" customHeight="false" outlineLevel="0" collapsed="false">
      <c r="A107" s="7" t="s">
        <v>48</v>
      </c>
      <c r="B107" s="7" t="n">
        <v>10</v>
      </c>
      <c r="C107" s="7" t="n">
        <v>5</v>
      </c>
      <c r="D107" s="8" t="n">
        <v>7.17</v>
      </c>
      <c r="E107" s="9" t="n">
        <f aca="false">ROUND(D107*ASM!$B$8*IF(A107="10K",ASM!$B$11,IF(A107="14K",ASM!$B$12,ASM!$B$13))*(1+ASM!$B$3)+ASM!$B$16+ASM!$B$5+ASM!$B$6,2)</f>
        <v>490.68</v>
      </c>
      <c r="F107" s="7" t="n">
        <f aca="false">ROUND((D107*ASM!$B$8*IF(A107="10K",ASM!$B$11,IF(A107="14K",ASM!$B$12,ASM!$B$13))*(1+ASM!$B$3)+ASM!$B$16+ASM!$B$5+ASM!$B$6)*IF(B107&lt;=7,ASM!$B$7,ASM!$B$17),0)</f>
        <v>981</v>
      </c>
      <c r="G107" s="10" t="n">
        <f aca="false">CEILING(F107/0.75,5)</f>
        <v>1310</v>
      </c>
      <c r="H107" s="9" t="n">
        <f aca="false">G107*0.75</f>
        <v>982.5</v>
      </c>
      <c r="I107" s="7" t="n">
        <f aca="false">ROUND((E107+0.45)/(1-ASM!$B$9),0)</f>
        <v>549</v>
      </c>
      <c r="J107" s="7" t="n">
        <f aca="false">ROUND((E107+0.45)/(1-ASM!$B$9-ASM!$B$10),0)</f>
        <v>659</v>
      </c>
      <c r="K107" s="7" t="str">
        <f aca="false">IF(H107&gt;=I107,"OK","FLOOR ALTI")</f>
        <v>OK</v>
      </c>
    </row>
    <row r="108" customFormat="false" ht="15" hidden="false" customHeight="false" outlineLevel="0" collapsed="false">
      <c r="A108" s="7" t="s">
        <v>48</v>
      </c>
      <c r="B108" s="7" t="n">
        <v>10</v>
      </c>
      <c r="C108" s="7" t="n">
        <v>6</v>
      </c>
      <c r="D108" s="8" t="n">
        <v>7.51</v>
      </c>
      <c r="E108" s="9" t="n">
        <f aca="false">ROUND(D108*ASM!$B$8*IF(A108="10K",ASM!$B$11,IF(A108="14K",ASM!$B$12,ASM!$B$13))*(1+ASM!$B$3)+ASM!$B$16+ASM!$B$5+ASM!$B$6,2)</f>
        <v>510.63</v>
      </c>
      <c r="F108" s="7" t="n">
        <f aca="false">ROUND((D108*ASM!$B$8*IF(A108="10K",ASM!$B$11,IF(A108="14K",ASM!$B$12,ASM!$B$13))*(1+ASM!$B$3)+ASM!$B$16+ASM!$B$5+ASM!$B$6)*IF(B108&lt;=7,ASM!$B$7,ASM!$B$17),0)</f>
        <v>1021</v>
      </c>
      <c r="G108" s="10" t="n">
        <f aca="false">CEILING(F108/0.75,5)</f>
        <v>1365</v>
      </c>
      <c r="H108" s="9" t="n">
        <f aca="false">G108*0.75</f>
        <v>1023.75</v>
      </c>
      <c r="I108" s="7" t="n">
        <f aca="false">ROUND((E108+0.45)/(1-ASM!$B$9),0)</f>
        <v>571</v>
      </c>
      <c r="J108" s="7" t="n">
        <f aca="false">ROUND((E108+0.45)/(1-ASM!$B$9-ASM!$B$10),0)</f>
        <v>686</v>
      </c>
      <c r="K108" s="7" t="str">
        <f aca="false">IF(H108&gt;=I108,"OK","FLOOR ALTI")</f>
        <v>OK</v>
      </c>
    </row>
    <row r="109" customFormat="false" ht="15" hidden="false" customHeight="false" outlineLevel="0" collapsed="false">
      <c r="A109" s="7" t="s">
        <v>48</v>
      </c>
      <c r="B109" s="7" t="n">
        <v>10</v>
      </c>
      <c r="C109" s="7" t="n">
        <v>7</v>
      </c>
      <c r="D109" s="8" t="n">
        <v>7.84</v>
      </c>
      <c r="E109" s="9" t="n">
        <f aca="false">ROUND(D109*ASM!$B$8*IF(A109="10K",ASM!$B$11,IF(A109="14K",ASM!$B$12,ASM!$B$13))*(1+ASM!$B$3)+ASM!$B$16+ASM!$B$5+ASM!$B$6,2)</f>
        <v>529.99</v>
      </c>
      <c r="F109" s="7" t="n">
        <f aca="false">ROUND((D109*ASM!$B$8*IF(A109="10K",ASM!$B$11,IF(A109="14K",ASM!$B$12,ASM!$B$13))*(1+ASM!$B$3)+ASM!$B$16+ASM!$B$5+ASM!$B$6)*IF(B109&lt;=7,ASM!$B$7,ASM!$B$17),0)</f>
        <v>1060</v>
      </c>
      <c r="G109" s="10" t="n">
        <f aca="false">CEILING(F109/0.75,5)</f>
        <v>1415</v>
      </c>
      <c r="H109" s="9" t="n">
        <f aca="false">G109*0.75</f>
        <v>1061.25</v>
      </c>
      <c r="I109" s="7" t="n">
        <f aca="false">ROUND((E109+0.45)/(1-ASM!$B$9),0)</f>
        <v>593</v>
      </c>
      <c r="J109" s="7" t="n">
        <f aca="false">ROUND((E109+0.45)/(1-ASM!$B$9-ASM!$B$10),0)</f>
        <v>712</v>
      </c>
      <c r="K109" s="7" t="str">
        <f aca="false">IF(H109&gt;=I109,"OK","FLOOR ALTI")</f>
        <v>OK</v>
      </c>
    </row>
    <row r="110" customFormat="false" ht="15" hidden="false" customHeight="false" outlineLevel="0" collapsed="false">
      <c r="A110" s="7" t="s">
        <v>48</v>
      </c>
      <c r="B110" s="7" t="n">
        <v>10</v>
      </c>
      <c r="C110" s="7" t="n">
        <v>8</v>
      </c>
      <c r="D110" s="8" t="n">
        <v>8.17</v>
      </c>
      <c r="E110" s="9" t="n">
        <f aca="false">ROUND(D110*ASM!$B$8*IF(A110="10K",ASM!$B$11,IF(A110="14K",ASM!$B$12,ASM!$B$13))*(1+ASM!$B$3)+ASM!$B$16+ASM!$B$5+ASM!$B$6,2)</f>
        <v>549.35</v>
      </c>
      <c r="F110" s="7" t="n">
        <f aca="false">ROUND((D110*ASM!$B$8*IF(A110="10K",ASM!$B$11,IF(A110="14K",ASM!$B$12,ASM!$B$13))*(1+ASM!$B$3)+ASM!$B$16+ASM!$B$5+ASM!$B$6)*IF(B110&lt;=7,ASM!$B$7,ASM!$B$17),0)</f>
        <v>1099</v>
      </c>
      <c r="G110" s="10" t="n">
        <f aca="false">CEILING(F110/0.75,5)</f>
        <v>1470</v>
      </c>
      <c r="H110" s="9" t="n">
        <f aca="false">G110*0.75</f>
        <v>1102.5</v>
      </c>
      <c r="I110" s="7" t="n">
        <f aca="false">ROUND((E110+0.45)/(1-ASM!$B$9),0)</f>
        <v>614</v>
      </c>
      <c r="J110" s="7" t="n">
        <f aca="false">ROUND((E110+0.45)/(1-ASM!$B$9-ASM!$B$10),0)</f>
        <v>738</v>
      </c>
      <c r="K110" s="7" t="str">
        <f aca="false">IF(H110&gt;=I110,"OK","FLOOR ALTI")</f>
        <v>OK</v>
      </c>
    </row>
    <row r="111" customFormat="false" ht="15" hidden="false" customHeight="false" outlineLevel="0" collapsed="false">
      <c r="A111" s="7" t="s">
        <v>48</v>
      </c>
      <c r="B111" s="7" t="n">
        <v>10</v>
      </c>
      <c r="C111" s="7" t="n">
        <v>9</v>
      </c>
      <c r="D111" s="8" t="n">
        <v>8.5</v>
      </c>
      <c r="E111" s="9" t="n">
        <f aca="false">ROUND(D111*ASM!$B$8*IF(A111="10K",ASM!$B$11,IF(A111="14K",ASM!$B$12,ASM!$B$13))*(1+ASM!$B$3)+ASM!$B$16+ASM!$B$5+ASM!$B$6,2)</f>
        <v>568.72</v>
      </c>
      <c r="F111" s="7" t="n">
        <f aca="false">ROUND((D111*ASM!$B$8*IF(A111="10K",ASM!$B$11,IF(A111="14K",ASM!$B$12,ASM!$B$13))*(1+ASM!$B$3)+ASM!$B$16+ASM!$B$5+ASM!$B$6)*IF(B111&lt;=7,ASM!$B$7,ASM!$B$17),0)</f>
        <v>1137</v>
      </c>
      <c r="G111" s="10" t="n">
        <f aca="false">CEILING(F111/0.75,5)</f>
        <v>1520</v>
      </c>
      <c r="H111" s="9" t="n">
        <f aca="false">G111*0.75</f>
        <v>1140</v>
      </c>
      <c r="I111" s="7" t="n">
        <f aca="false">ROUND((E111+0.45)/(1-ASM!$B$9),0)</f>
        <v>636</v>
      </c>
      <c r="J111" s="7" t="n">
        <f aca="false">ROUND((E111+0.45)/(1-ASM!$B$9-ASM!$B$10),0)</f>
        <v>764</v>
      </c>
      <c r="K111" s="7" t="str">
        <f aca="false">IF(H111&gt;=I111,"OK","FLOOR ALTI")</f>
        <v>OK</v>
      </c>
    </row>
    <row r="112" customFormat="false" ht="15" hidden="false" customHeight="false" outlineLevel="0" collapsed="false">
      <c r="A112" s="7" t="s">
        <v>48</v>
      </c>
      <c r="B112" s="7" t="n">
        <v>10</v>
      </c>
      <c r="C112" s="7" t="n">
        <v>10</v>
      </c>
      <c r="D112" s="8" t="n">
        <v>8.83</v>
      </c>
      <c r="E112" s="9" t="n">
        <f aca="false">ROUND(D112*ASM!$B$8*IF(A112="10K",ASM!$B$11,IF(A112="14K",ASM!$B$12,ASM!$B$13))*(1+ASM!$B$3)+ASM!$B$16+ASM!$B$5+ASM!$B$6,2)</f>
        <v>588.08</v>
      </c>
      <c r="F112" s="7" t="n">
        <f aca="false">ROUND((D112*ASM!$B$8*IF(A112="10K",ASM!$B$11,IF(A112="14K",ASM!$B$12,ASM!$B$13))*(1+ASM!$B$3)+ASM!$B$16+ASM!$B$5+ASM!$B$6)*IF(B112&lt;=7,ASM!$B$7,ASM!$B$17),0)</f>
        <v>1176</v>
      </c>
      <c r="G112" s="10" t="n">
        <f aca="false">CEILING(F112/0.75,5)</f>
        <v>1570</v>
      </c>
      <c r="H112" s="9" t="n">
        <f aca="false">G112*0.75</f>
        <v>1177.5</v>
      </c>
      <c r="I112" s="7" t="n">
        <f aca="false">ROUND((E112+0.45)/(1-ASM!$B$9),0)</f>
        <v>658</v>
      </c>
      <c r="J112" s="7" t="n">
        <f aca="false">ROUND((E112+0.45)/(1-ASM!$B$9-ASM!$B$10),0)</f>
        <v>790</v>
      </c>
      <c r="K112" s="7" t="str">
        <f aca="false">IF(H112&gt;=I112,"OK","FLOOR ALTI")</f>
        <v>OK</v>
      </c>
    </row>
    <row r="113" customFormat="false" ht="15" hidden="false" customHeight="false" outlineLevel="0" collapsed="false">
      <c r="A113" s="7" t="s">
        <v>48</v>
      </c>
      <c r="B113" s="7" t="n">
        <v>10</v>
      </c>
      <c r="C113" s="7" t="n">
        <v>11</v>
      </c>
      <c r="D113" s="8" t="n">
        <v>9.16</v>
      </c>
      <c r="E113" s="9" t="n">
        <f aca="false">ROUND(D113*ASM!$B$8*IF(A113="10K",ASM!$B$11,IF(A113="14K",ASM!$B$12,ASM!$B$13))*(1+ASM!$B$3)+ASM!$B$16+ASM!$B$5+ASM!$B$6,2)</f>
        <v>607.44</v>
      </c>
      <c r="F113" s="7" t="n">
        <f aca="false">ROUND((D113*ASM!$B$8*IF(A113="10K",ASM!$B$11,IF(A113="14K",ASM!$B$12,ASM!$B$13))*(1+ASM!$B$3)+ASM!$B$16+ASM!$B$5+ASM!$B$6)*IF(B113&lt;=7,ASM!$B$7,ASM!$B$17),0)</f>
        <v>1215</v>
      </c>
      <c r="G113" s="10" t="n">
        <f aca="false">CEILING(F113/0.75,5)</f>
        <v>1620</v>
      </c>
      <c r="H113" s="9" t="n">
        <f aca="false">G113*0.75</f>
        <v>1215</v>
      </c>
      <c r="I113" s="7" t="n">
        <f aca="false">ROUND((E113+0.45)/(1-ASM!$B$9),0)</f>
        <v>679</v>
      </c>
      <c r="J113" s="7" t="n">
        <f aca="false">ROUND((E113+0.45)/(1-ASM!$B$9-ASM!$B$10),0)</f>
        <v>816</v>
      </c>
      <c r="K113" s="7" t="str">
        <f aca="false">IF(H113&gt;=I113,"OK","FLOOR ALTI")</f>
        <v>OK</v>
      </c>
    </row>
    <row r="114" customFormat="false" ht="15" hidden="false" customHeight="false" outlineLevel="0" collapsed="false">
      <c r="A114" s="7" t="s">
        <v>48</v>
      </c>
      <c r="B114" s="7" t="n">
        <v>10</v>
      </c>
      <c r="C114" s="7" t="n">
        <v>12</v>
      </c>
      <c r="D114" s="8" t="n">
        <v>9.5</v>
      </c>
      <c r="E114" s="9" t="n">
        <f aca="false">ROUND(D114*ASM!$B$8*IF(A114="10K",ASM!$B$11,IF(A114="14K",ASM!$B$12,ASM!$B$13))*(1+ASM!$B$3)+ASM!$B$16+ASM!$B$5+ASM!$B$6,2)</f>
        <v>627.39</v>
      </c>
      <c r="F114" s="7" t="n">
        <f aca="false">ROUND((D114*ASM!$B$8*IF(A114="10K",ASM!$B$11,IF(A114="14K",ASM!$B$12,ASM!$B$13))*(1+ASM!$B$3)+ASM!$B$16+ASM!$B$5+ASM!$B$6)*IF(B114&lt;=7,ASM!$B$7,ASM!$B$17),0)</f>
        <v>1255</v>
      </c>
      <c r="G114" s="10" t="n">
        <f aca="false">CEILING(F114/0.75,5)</f>
        <v>1675</v>
      </c>
      <c r="H114" s="9" t="n">
        <f aca="false">G114*0.75</f>
        <v>1256.25</v>
      </c>
      <c r="I114" s="7" t="n">
        <f aca="false">ROUND((E114+0.45)/(1-ASM!$B$9),0)</f>
        <v>701</v>
      </c>
      <c r="J114" s="7" t="n">
        <f aca="false">ROUND((E114+0.45)/(1-ASM!$B$9-ASM!$B$10),0)</f>
        <v>843</v>
      </c>
      <c r="K114" s="7" t="str">
        <f aca="false">IF(H114&gt;=I114,"OK","FLOOR ALTI")</f>
        <v>OK</v>
      </c>
    </row>
    <row r="115" customFormat="false" ht="15" hidden="false" customHeight="false" outlineLevel="0" collapsed="false">
      <c r="A115" s="7" t="s">
        <v>48</v>
      </c>
      <c r="B115" s="7" t="n">
        <v>10</v>
      </c>
      <c r="C115" s="7" t="n">
        <v>13</v>
      </c>
      <c r="D115" s="8" t="n">
        <v>9.83</v>
      </c>
      <c r="E115" s="9" t="n">
        <f aca="false">ROUND(D115*ASM!$B$8*IF(A115="10K",ASM!$B$11,IF(A115="14K",ASM!$B$12,ASM!$B$13))*(1+ASM!$B$3)+ASM!$B$16+ASM!$B$5+ASM!$B$6,2)</f>
        <v>646.75</v>
      </c>
      <c r="F115" s="7" t="n">
        <f aca="false">ROUND((D115*ASM!$B$8*IF(A115="10K",ASM!$B$11,IF(A115="14K",ASM!$B$12,ASM!$B$13))*(1+ASM!$B$3)+ASM!$B$16+ASM!$B$5+ASM!$B$6)*IF(B115&lt;=7,ASM!$B$7,ASM!$B$17),0)</f>
        <v>1293</v>
      </c>
      <c r="G115" s="10" t="n">
        <f aca="false">CEILING(F115/0.75,5)</f>
        <v>1725</v>
      </c>
      <c r="H115" s="9" t="n">
        <f aca="false">G115*0.75</f>
        <v>1293.75</v>
      </c>
      <c r="I115" s="7" t="n">
        <f aca="false">ROUND((E115+0.45)/(1-ASM!$B$9),0)</f>
        <v>723</v>
      </c>
      <c r="J115" s="7" t="n">
        <f aca="false">ROUND((E115+0.45)/(1-ASM!$B$9-ASM!$B$10),0)</f>
        <v>869</v>
      </c>
      <c r="K115" s="7" t="str">
        <f aca="false">IF(H115&gt;=I115,"OK","FLOOR ALTI")</f>
        <v>OK</v>
      </c>
    </row>
    <row r="116" customFormat="false" ht="15" hidden="false" customHeight="false" outlineLevel="0" collapsed="false">
      <c r="A116" s="7" t="s">
        <v>48</v>
      </c>
      <c r="B116" s="7" t="n">
        <v>10</v>
      </c>
      <c r="C116" s="7" t="n">
        <v>14</v>
      </c>
      <c r="D116" s="8" t="n">
        <v>10.16</v>
      </c>
      <c r="E116" s="9" t="n">
        <f aca="false">ROUND(D116*ASM!$B$8*IF(A116="10K",ASM!$B$11,IF(A116="14K",ASM!$B$12,ASM!$B$13))*(1+ASM!$B$3)+ASM!$B$16+ASM!$B$5+ASM!$B$6,2)</f>
        <v>666.11</v>
      </c>
      <c r="F116" s="7" t="n">
        <f aca="false">ROUND((D116*ASM!$B$8*IF(A116="10K",ASM!$B$11,IF(A116="14K",ASM!$B$12,ASM!$B$13))*(1+ASM!$B$3)+ASM!$B$16+ASM!$B$5+ASM!$B$6)*IF(B116&lt;=7,ASM!$B$7,ASM!$B$17),0)</f>
        <v>1332</v>
      </c>
      <c r="G116" s="10" t="n">
        <f aca="false">CEILING(F116/0.75,5)</f>
        <v>1780</v>
      </c>
      <c r="H116" s="9" t="n">
        <f aca="false">G116*0.75</f>
        <v>1335</v>
      </c>
      <c r="I116" s="7" t="n">
        <f aca="false">ROUND((E116+0.45)/(1-ASM!$B$9),0)</f>
        <v>745</v>
      </c>
      <c r="J116" s="7" t="n">
        <f aca="false">ROUND((E116+0.45)/(1-ASM!$B$9-ASM!$B$10),0)</f>
        <v>895</v>
      </c>
      <c r="K116" s="7" t="str">
        <f aca="false">IF(H116&gt;=I116,"OK","FLOOR ALTI")</f>
        <v>OK</v>
      </c>
    </row>
    <row r="117" customFormat="false" ht="15" hidden="false" customHeight="false" outlineLevel="0" collapsed="false">
      <c r="A117" s="7" t="s">
        <v>48</v>
      </c>
      <c r="B117" s="7" t="n">
        <v>10</v>
      </c>
      <c r="C117" s="7" t="n">
        <v>15</v>
      </c>
      <c r="D117" s="8" t="n">
        <v>10.49</v>
      </c>
      <c r="E117" s="9" t="n">
        <f aca="false">ROUND(D117*ASM!$B$8*IF(A117="10K",ASM!$B$11,IF(A117="14K",ASM!$B$12,ASM!$B$13))*(1+ASM!$B$3)+ASM!$B$16+ASM!$B$5+ASM!$B$6,2)</f>
        <v>685.47</v>
      </c>
      <c r="F117" s="7" t="n">
        <f aca="false">ROUND((D117*ASM!$B$8*IF(A117="10K",ASM!$B$11,IF(A117="14K",ASM!$B$12,ASM!$B$13))*(1+ASM!$B$3)+ASM!$B$16+ASM!$B$5+ASM!$B$6)*IF(B117&lt;=7,ASM!$B$7,ASM!$B$17),0)</f>
        <v>1371</v>
      </c>
      <c r="G117" s="10" t="n">
        <f aca="false">CEILING(F117/0.75,5)</f>
        <v>1830</v>
      </c>
      <c r="H117" s="9" t="n">
        <f aca="false">G117*0.75</f>
        <v>1372.5</v>
      </c>
      <c r="I117" s="7" t="n">
        <f aca="false">ROUND((E117+0.45)/(1-ASM!$B$9),0)</f>
        <v>766</v>
      </c>
      <c r="J117" s="7" t="n">
        <f aca="false">ROUND((E117+0.45)/(1-ASM!$B$9-ASM!$B$10),0)</f>
        <v>921</v>
      </c>
      <c r="K117" s="7" t="str">
        <f aca="false">IF(H117&gt;=I117,"OK","FLOOR ALTI")</f>
        <v>OK</v>
      </c>
    </row>
    <row r="118" customFormat="false" ht="15" hidden="false" customHeight="false" outlineLevel="0" collapsed="false">
      <c r="A118" s="7" t="s">
        <v>48</v>
      </c>
      <c r="B118" s="7" t="n">
        <v>10</v>
      </c>
      <c r="C118" s="7" t="n">
        <v>16</v>
      </c>
      <c r="D118" s="8" t="n">
        <v>10.82</v>
      </c>
      <c r="E118" s="9" t="n">
        <f aca="false">ROUND(D118*ASM!$B$8*IF(A118="10K",ASM!$B$11,IF(A118="14K",ASM!$B$12,ASM!$B$13))*(1+ASM!$B$3)+ASM!$B$16+ASM!$B$5+ASM!$B$6,2)</f>
        <v>704.84</v>
      </c>
      <c r="F118" s="7" t="n">
        <f aca="false">ROUND((D118*ASM!$B$8*IF(A118="10K",ASM!$B$11,IF(A118="14K",ASM!$B$12,ASM!$B$13))*(1+ASM!$B$3)+ASM!$B$16+ASM!$B$5+ASM!$B$6)*IF(B118&lt;=7,ASM!$B$7,ASM!$B$17),0)</f>
        <v>1410</v>
      </c>
      <c r="G118" s="10" t="n">
        <f aca="false">CEILING(F118/0.75,5)</f>
        <v>1880</v>
      </c>
      <c r="H118" s="9" t="n">
        <f aca="false">G118*0.75</f>
        <v>1410</v>
      </c>
      <c r="I118" s="7" t="n">
        <f aca="false">ROUND((E118+0.45)/(1-ASM!$B$9),0)</f>
        <v>788</v>
      </c>
      <c r="J118" s="7" t="n">
        <f aca="false">ROUND((E118+0.45)/(1-ASM!$B$9-ASM!$B$10),0)</f>
        <v>947</v>
      </c>
      <c r="K118" s="7" t="str">
        <f aca="false">IF(H118&gt;=I118,"OK","FLOOR ALTI")</f>
        <v>OK</v>
      </c>
    </row>
    <row r="119" customFormat="false" ht="15" hidden="false" customHeight="false" outlineLevel="0" collapsed="false">
      <c r="A119" s="7" t="s">
        <v>48</v>
      </c>
      <c r="B119" s="7" t="n">
        <v>11</v>
      </c>
      <c r="C119" s="7" t="n">
        <v>4</v>
      </c>
      <c r="D119" s="8" t="n">
        <v>7.53</v>
      </c>
      <c r="E119" s="9" t="n">
        <f aca="false">ROUND(D119*ASM!$B$8*IF(A119="10K",ASM!$B$11,IF(A119="14K",ASM!$B$12,ASM!$B$13))*(1+ASM!$B$3)+ASM!$B$16+ASM!$B$5+ASM!$B$6,2)</f>
        <v>511.8</v>
      </c>
      <c r="F119" s="7" t="n">
        <f aca="false">ROUND((D119*ASM!$B$8*IF(A119="10K",ASM!$B$11,IF(A119="14K",ASM!$B$12,ASM!$B$13))*(1+ASM!$B$3)+ASM!$B$16+ASM!$B$5+ASM!$B$6)*IF(B119&lt;=7,ASM!$B$7,ASM!$B$17),0)</f>
        <v>1024</v>
      </c>
      <c r="G119" s="10" t="n">
        <f aca="false">CEILING(F119/0.75,5)</f>
        <v>1370</v>
      </c>
      <c r="H119" s="9" t="n">
        <f aca="false">G119*0.75</f>
        <v>1027.5</v>
      </c>
      <c r="I119" s="7" t="n">
        <f aca="false">ROUND((E119+0.45)/(1-ASM!$B$9),0)</f>
        <v>572</v>
      </c>
      <c r="J119" s="7" t="n">
        <f aca="false">ROUND((E119+0.45)/(1-ASM!$B$9-ASM!$B$10),0)</f>
        <v>688</v>
      </c>
      <c r="K119" s="7" t="str">
        <f aca="false">IF(H119&gt;=I119,"OK","FLOOR ALTI")</f>
        <v>OK</v>
      </c>
    </row>
    <row r="120" customFormat="false" ht="15" hidden="false" customHeight="false" outlineLevel="0" collapsed="false">
      <c r="A120" s="7" t="s">
        <v>48</v>
      </c>
      <c r="B120" s="7" t="n">
        <v>11</v>
      </c>
      <c r="C120" s="7" t="n">
        <v>5</v>
      </c>
      <c r="D120" s="8" t="n">
        <v>7.89</v>
      </c>
      <c r="E120" s="9" t="n">
        <f aca="false">ROUND(D120*ASM!$B$8*IF(A120="10K",ASM!$B$11,IF(A120="14K",ASM!$B$12,ASM!$B$13))*(1+ASM!$B$3)+ASM!$B$16+ASM!$B$5+ASM!$B$6,2)</f>
        <v>532.93</v>
      </c>
      <c r="F120" s="7" t="n">
        <f aca="false">ROUND((D120*ASM!$B$8*IF(A120="10K",ASM!$B$11,IF(A120="14K",ASM!$B$12,ASM!$B$13))*(1+ASM!$B$3)+ASM!$B$16+ASM!$B$5+ASM!$B$6)*IF(B120&lt;=7,ASM!$B$7,ASM!$B$17),0)</f>
        <v>1066</v>
      </c>
      <c r="G120" s="10" t="n">
        <f aca="false">CEILING(F120/0.75,5)</f>
        <v>1425</v>
      </c>
      <c r="H120" s="9" t="n">
        <f aca="false">G120*0.75</f>
        <v>1068.75</v>
      </c>
      <c r="I120" s="7" t="n">
        <f aca="false">ROUND((E120+0.45)/(1-ASM!$B$9),0)</f>
        <v>596</v>
      </c>
      <c r="J120" s="7" t="n">
        <f aca="false">ROUND((E120+0.45)/(1-ASM!$B$9-ASM!$B$10),0)</f>
        <v>716</v>
      </c>
      <c r="K120" s="7" t="str">
        <f aca="false">IF(H120&gt;=I120,"OK","FLOOR ALTI")</f>
        <v>OK</v>
      </c>
    </row>
    <row r="121" customFormat="false" ht="15" hidden="false" customHeight="false" outlineLevel="0" collapsed="false">
      <c r="A121" s="7" t="s">
        <v>48</v>
      </c>
      <c r="B121" s="7" t="n">
        <v>11</v>
      </c>
      <c r="C121" s="7" t="n">
        <v>6</v>
      </c>
      <c r="D121" s="8" t="n">
        <v>8.26</v>
      </c>
      <c r="E121" s="9" t="n">
        <f aca="false">ROUND(D121*ASM!$B$8*IF(A121="10K",ASM!$B$11,IF(A121="14K",ASM!$B$12,ASM!$B$13))*(1+ASM!$B$3)+ASM!$B$16+ASM!$B$5+ASM!$B$6,2)</f>
        <v>554.63</v>
      </c>
      <c r="F121" s="7" t="n">
        <f aca="false">ROUND((D121*ASM!$B$8*IF(A121="10K",ASM!$B$11,IF(A121="14K",ASM!$B$12,ASM!$B$13))*(1+ASM!$B$3)+ASM!$B$16+ASM!$B$5+ASM!$B$6)*IF(B121&lt;=7,ASM!$B$7,ASM!$B$17),0)</f>
        <v>1109</v>
      </c>
      <c r="G121" s="10" t="n">
        <f aca="false">CEILING(F121/0.75,5)</f>
        <v>1480</v>
      </c>
      <c r="H121" s="9" t="n">
        <f aca="false">G121*0.75</f>
        <v>1110</v>
      </c>
      <c r="I121" s="7" t="n">
        <f aca="false">ROUND((E121+0.45)/(1-ASM!$B$9),0)</f>
        <v>620</v>
      </c>
      <c r="J121" s="7" t="n">
        <f aca="false">ROUND((E121+0.45)/(1-ASM!$B$9-ASM!$B$10),0)</f>
        <v>745</v>
      </c>
      <c r="K121" s="7" t="str">
        <f aca="false">IF(H121&gt;=I121,"OK","FLOOR ALTI")</f>
        <v>OK</v>
      </c>
    </row>
    <row r="122" customFormat="false" ht="15" hidden="false" customHeight="false" outlineLevel="0" collapsed="false">
      <c r="A122" s="7" t="s">
        <v>48</v>
      </c>
      <c r="B122" s="7" t="n">
        <v>11</v>
      </c>
      <c r="C122" s="7" t="n">
        <v>7</v>
      </c>
      <c r="D122" s="8" t="n">
        <v>8.62</v>
      </c>
      <c r="E122" s="9" t="n">
        <f aca="false">ROUND(D122*ASM!$B$8*IF(A122="10K",ASM!$B$11,IF(A122="14K",ASM!$B$12,ASM!$B$13))*(1+ASM!$B$3)+ASM!$B$16+ASM!$B$5+ASM!$B$6,2)</f>
        <v>575.76</v>
      </c>
      <c r="F122" s="7" t="n">
        <f aca="false">ROUND((D122*ASM!$B$8*IF(A122="10K",ASM!$B$11,IF(A122="14K",ASM!$B$12,ASM!$B$13))*(1+ASM!$B$3)+ASM!$B$16+ASM!$B$5+ASM!$B$6)*IF(B122&lt;=7,ASM!$B$7,ASM!$B$17),0)</f>
        <v>1152</v>
      </c>
      <c r="G122" s="10" t="n">
        <f aca="false">CEILING(F122/0.75,5)</f>
        <v>1540</v>
      </c>
      <c r="H122" s="9" t="n">
        <f aca="false">G122*0.75</f>
        <v>1155</v>
      </c>
      <c r="I122" s="7" t="n">
        <f aca="false">ROUND((E122+0.45)/(1-ASM!$B$9),0)</f>
        <v>644</v>
      </c>
      <c r="J122" s="7" t="n">
        <f aca="false">ROUND((E122+0.45)/(1-ASM!$B$9-ASM!$B$10),0)</f>
        <v>773</v>
      </c>
      <c r="K122" s="7" t="str">
        <f aca="false">IF(H122&gt;=I122,"OK","FLOOR ALTI")</f>
        <v>OK</v>
      </c>
    </row>
    <row r="123" customFormat="false" ht="15" hidden="false" customHeight="false" outlineLevel="0" collapsed="false">
      <c r="A123" s="7" t="s">
        <v>48</v>
      </c>
      <c r="B123" s="7" t="n">
        <v>11</v>
      </c>
      <c r="C123" s="7" t="n">
        <v>8</v>
      </c>
      <c r="D123" s="8" t="n">
        <v>8.99</v>
      </c>
      <c r="E123" s="9" t="n">
        <f aca="false">ROUND(D123*ASM!$B$8*IF(A123="10K",ASM!$B$11,IF(A123="14K",ASM!$B$12,ASM!$B$13))*(1+ASM!$B$3)+ASM!$B$16+ASM!$B$5+ASM!$B$6,2)</f>
        <v>597.46</v>
      </c>
      <c r="F123" s="7" t="n">
        <f aca="false">ROUND((D123*ASM!$B$8*IF(A123="10K",ASM!$B$11,IF(A123="14K",ASM!$B$12,ASM!$B$13))*(1+ASM!$B$3)+ASM!$B$16+ASM!$B$5+ASM!$B$6)*IF(B123&lt;=7,ASM!$B$7,ASM!$B$17),0)</f>
        <v>1195</v>
      </c>
      <c r="G123" s="10" t="n">
        <f aca="false">CEILING(F123/0.75,5)</f>
        <v>1595</v>
      </c>
      <c r="H123" s="9" t="n">
        <f aca="false">G123*0.75</f>
        <v>1196.25</v>
      </c>
      <c r="I123" s="7" t="n">
        <f aca="false">ROUND((E123+0.45)/(1-ASM!$B$9),0)</f>
        <v>668</v>
      </c>
      <c r="J123" s="7" t="n">
        <f aca="false">ROUND((E123+0.45)/(1-ASM!$B$9-ASM!$B$10),0)</f>
        <v>803</v>
      </c>
      <c r="K123" s="7" t="str">
        <f aca="false">IF(H123&gt;=I123,"OK","FLOOR ALTI")</f>
        <v>OK</v>
      </c>
    </row>
    <row r="124" customFormat="false" ht="15" hidden="false" customHeight="false" outlineLevel="0" collapsed="false">
      <c r="A124" s="7" t="s">
        <v>48</v>
      </c>
      <c r="B124" s="7" t="n">
        <v>11</v>
      </c>
      <c r="C124" s="7" t="n">
        <v>9</v>
      </c>
      <c r="D124" s="8" t="n">
        <v>9.35</v>
      </c>
      <c r="E124" s="9" t="n">
        <f aca="false">ROUND(D124*ASM!$B$8*IF(A124="10K",ASM!$B$11,IF(A124="14K",ASM!$B$12,ASM!$B$13))*(1+ASM!$B$3)+ASM!$B$16+ASM!$B$5+ASM!$B$6,2)</f>
        <v>618.59</v>
      </c>
      <c r="F124" s="7" t="n">
        <f aca="false">ROUND((D124*ASM!$B$8*IF(A124="10K",ASM!$B$11,IF(A124="14K",ASM!$B$12,ASM!$B$13))*(1+ASM!$B$3)+ASM!$B$16+ASM!$B$5+ASM!$B$6)*IF(B124&lt;=7,ASM!$B$7,ASM!$B$17),0)</f>
        <v>1237</v>
      </c>
      <c r="G124" s="10" t="n">
        <f aca="false">CEILING(F124/0.75,5)</f>
        <v>1650</v>
      </c>
      <c r="H124" s="9" t="n">
        <f aca="false">G124*0.75</f>
        <v>1237.5</v>
      </c>
      <c r="I124" s="7" t="n">
        <f aca="false">ROUND((E124+0.45)/(1-ASM!$B$9),0)</f>
        <v>692</v>
      </c>
      <c r="J124" s="7" t="n">
        <f aca="false">ROUND((E124+0.45)/(1-ASM!$B$9-ASM!$B$10),0)</f>
        <v>831</v>
      </c>
      <c r="K124" s="7" t="str">
        <f aca="false">IF(H124&gt;=I124,"OK","FLOOR ALTI")</f>
        <v>OK</v>
      </c>
    </row>
    <row r="125" customFormat="false" ht="15" hidden="false" customHeight="false" outlineLevel="0" collapsed="false">
      <c r="A125" s="7" t="s">
        <v>48</v>
      </c>
      <c r="B125" s="7" t="n">
        <v>11</v>
      </c>
      <c r="C125" s="7" t="n">
        <v>10</v>
      </c>
      <c r="D125" s="8" t="n">
        <v>9.72</v>
      </c>
      <c r="E125" s="9" t="n">
        <f aca="false">ROUND(D125*ASM!$B$8*IF(A125="10K",ASM!$B$11,IF(A125="14K",ASM!$B$12,ASM!$B$13))*(1+ASM!$B$3)+ASM!$B$16+ASM!$B$5+ASM!$B$6,2)</f>
        <v>640.3</v>
      </c>
      <c r="F125" s="7" t="n">
        <f aca="false">ROUND((D125*ASM!$B$8*IF(A125="10K",ASM!$B$11,IF(A125="14K",ASM!$B$12,ASM!$B$13))*(1+ASM!$B$3)+ASM!$B$16+ASM!$B$5+ASM!$B$6)*IF(B125&lt;=7,ASM!$B$7,ASM!$B$17),0)</f>
        <v>1281</v>
      </c>
      <c r="G125" s="10" t="n">
        <f aca="false">CEILING(F125/0.75,5)</f>
        <v>1710</v>
      </c>
      <c r="H125" s="9" t="n">
        <f aca="false">G125*0.75</f>
        <v>1282.5</v>
      </c>
      <c r="I125" s="7" t="n">
        <f aca="false">ROUND((E125+0.45)/(1-ASM!$B$9),0)</f>
        <v>716</v>
      </c>
      <c r="J125" s="7" t="n">
        <f aca="false">ROUND((E125+0.45)/(1-ASM!$B$9-ASM!$B$10),0)</f>
        <v>860</v>
      </c>
      <c r="K125" s="7" t="str">
        <f aca="false">IF(H125&gt;=I125,"OK","FLOOR ALTI")</f>
        <v>OK</v>
      </c>
    </row>
    <row r="126" customFormat="false" ht="15" hidden="false" customHeight="false" outlineLevel="0" collapsed="false">
      <c r="A126" s="7" t="s">
        <v>48</v>
      </c>
      <c r="B126" s="7" t="n">
        <v>11</v>
      </c>
      <c r="C126" s="7" t="n">
        <v>11</v>
      </c>
      <c r="D126" s="8" t="n">
        <v>10.08</v>
      </c>
      <c r="E126" s="9" t="n">
        <f aca="false">ROUND(D126*ASM!$B$8*IF(A126="10K",ASM!$B$11,IF(A126="14K",ASM!$B$12,ASM!$B$13))*(1+ASM!$B$3)+ASM!$B$16+ASM!$B$5+ASM!$B$6,2)</f>
        <v>661.42</v>
      </c>
      <c r="F126" s="7" t="n">
        <f aca="false">ROUND((D126*ASM!$B$8*IF(A126="10K",ASM!$B$11,IF(A126="14K",ASM!$B$12,ASM!$B$13))*(1+ASM!$B$3)+ASM!$B$16+ASM!$B$5+ASM!$B$6)*IF(B126&lt;=7,ASM!$B$7,ASM!$B$17),0)</f>
        <v>1323</v>
      </c>
      <c r="G126" s="10" t="n">
        <f aca="false">CEILING(F126/0.75,5)</f>
        <v>1765</v>
      </c>
      <c r="H126" s="9" t="n">
        <f aca="false">G126*0.75</f>
        <v>1323.75</v>
      </c>
      <c r="I126" s="7" t="n">
        <f aca="false">ROUND((E126+0.45)/(1-ASM!$B$9),0)</f>
        <v>740</v>
      </c>
      <c r="J126" s="7" t="n">
        <f aca="false">ROUND((E126+0.45)/(1-ASM!$B$9-ASM!$B$10),0)</f>
        <v>888</v>
      </c>
      <c r="K126" s="7" t="str">
        <f aca="false">IF(H126&gt;=I126,"OK","FLOOR ALTI")</f>
        <v>OK</v>
      </c>
    </row>
    <row r="127" customFormat="false" ht="15" hidden="false" customHeight="false" outlineLevel="0" collapsed="false">
      <c r="A127" s="7" t="s">
        <v>48</v>
      </c>
      <c r="B127" s="7" t="n">
        <v>11</v>
      </c>
      <c r="C127" s="7" t="n">
        <v>12</v>
      </c>
      <c r="D127" s="8" t="n">
        <v>10.45</v>
      </c>
      <c r="E127" s="9" t="n">
        <f aca="false">ROUND(D127*ASM!$B$8*IF(A127="10K",ASM!$B$11,IF(A127="14K",ASM!$B$12,ASM!$B$13))*(1+ASM!$B$3)+ASM!$B$16+ASM!$B$5+ASM!$B$6,2)</f>
        <v>683.13</v>
      </c>
      <c r="F127" s="7" t="n">
        <f aca="false">ROUND((D127*ASM!$B$8*IF(A127="10K",ASM!$B$11,IF(A127="14K",ASM!$B$12,ASM!$B$13))*(1+ASM!$B$3)+ASM!$B$16+ASM!$B$5+ASM!$B$6)*IF(B127&lt;=7,ASM!$B$7,ASM!$B$17),0)</f>
        <v>1366</v>
      </c>
      <c r="G127" s="10" t="n">
        <f aca="false">CEILING(F127/0.75,5)</f>
        <v>1825</v>
      </c>
      <c r="H127" s="9" t="n">
        <f aca="false">G127*0.75</f>
        <v>1368.75</v>
      </c>
      <c r="I127" s="7" t="n">
        <f aca="false">ROUND((E127+0.45)/(1-ASM!$B$9),0)</f>
        <v>764</v>
      </c>
      <c r="J127" s="7" t="n">
        <f aca="false">ROUND((E127+0.45)/(1-ASM!$B$9-ASM!$B$10),0)</f>
        <v>918</v>
      </c>
      <c r="K127" s="7" t="str">
        <f aca="false">IF(H127&gt;=I127,"OK","FLOOR ALTI")</f>
        <v>OK</v>
      </c>
    </row>
    <row r="128" customFormat="false" ht="15" hidden="false" customHeight="false" outlineLevel="0" collapsed="false">
      <c r="A128" s="7" t="s">
        <v>48</v>
      </c>
      <c r="B128" s="7" t="n">
        <v>11</v>
      </c>
      <c r="C128" s="7" t="n">
        <v>13</v>
      </c>
      <c r="D128" s="8" t="n">
        <v>10.81</v>
      </c>
      <c r="E128" s="9" t="n">
        <f aca="false">ROUND(D128*ASM!$B$8*IF(A128="10K",ASM!$B$11,IF(A128="14K",ASM!$B$12,ASM!$B$13))*(1+ASM!$B$3)+ASM!$B$16+ASM!$B$5+ASM!$B$6,2)</f>
        <v>704.25</v>
      </c>
      <c r="F128" s="7" t="n">
        <f aca="false">ROUND((D128*ASM!$B$8*IF(A128="10K",ASM!$B$11,IF(A128="14K",ASM!$B$12,ASM!$B$13))*(1+ASM!$B$3)+ASM!$B$16+ASM!$B$5+ASM!$B$6)*IF(B128&lt;=7,ASM!$B$7,ASM!$B$17),0)</f>
        <v>1408</v>
      </c>
      <c r="G128" s="10" t="n">
        <f aca="false">CEILING(F128/0.75,5)</f>
        <v>1880</v>
      </c>
      <c r="H128" s="9" t="n">
        <f aca="false">G128*0.75</f>
        <v>1410</v>
      </c>
      <c r="I128" s="7" t="n">
        <f aca="false">ROUND((E128+0.45)/(1-ASM!$B$9),0)</f>
        <v>787</v>
      </c>
      <c r="J128" s="7" t="n">
        <f aca="false">ROUND((E128+0.45)/(1-ASM!$B$9-ASM!$B$10),0)</f>
        <v>946</v>
      </c>
      <c r="K128" s="7" t="str">
        <f aca="false">IF(H128&gt;=I128,"OK","FLOOR ALTI")</f>
        <v>OK</v>
      </c>
    </row>
    <row r="129" customFormat="false" ht="15" hidden="false" customHeight="false" outlineLevel="0" collapsed="false">
      <c r="A129" s="7" t="s">
        <v>48</v>
      </c>
      <c r="B129" s="7" t="n">
        <v>11</v>
      </c>
      <c r="C129" s="7" t="n">
        <v>14</v>
      </c>
      <c r="D129" s="8" t="n">
        <v>11.18</v>
      </c>
      <c r="E129" s="9" t="n">
        <f aca="false">ROUND(D129*ASM!$B$8*IF(A129="10K",ASM!$B$11,IF(A129="14K",ASM!$B$12,ASM!$B$13))*(1+ASM!$B$3)+ASM!$B$16+ASM!$B$5+ASM!$B$6,2)</f>
        <v>725.96</v>
      </c>
      <c r="F129" s="7" t="n">
        <f aca="false">ROUND((D129*ASM!$B$8*IF(A129="10K",ASM!$B$11,IF(A129="14K",ASM!$B$12,ASM!$B$13))*(1+ASM!$B$3)+ASM!$B$16+ASM!$B$5+ASM!$B$6)*IF(B129&lt;=7,ASM!$B$7,ASM!$B$17),0)</f>
        <v>1452</v>
      </c>
      <c r="G129" s="10" t="n">
        <f aca="false">CEILING(F129/0.75,5)</f>
        <v>1940</v>
      </c>
      <c r="H129" s="9" t="n">
        <f aca="false">G129*0.75</f>
        <v>1455</v>
      </c>
      <c r="I129" s="7" t="n">
        <f aca="false">ROUND((E129+0.45)/(1-ASM!$B$9),0)</f>
        <v>812</v>
      </c>
      <c r="J129" s="7" t="n">
        <f aca="false">ROUND((E129+0.45)/(1-ASM!$B$9-ASM!$B$10),0)</f>
        <v>975</v>
      </c>
      <c r="K129" s="7" t="str">
        <f aca="false">IF(H129&gt;=I129,"OK","FLOOR ALTI")</f>
        <v>OK</v>
      </c>
    </row>
    <row r="130" customFormat="false" ht="15" hidden="false" customHeight="false" outlineLevel="0" collapsed="false">
      <c r="A130" s="7" t="s">
        <v>48</v>
      </c>
      <c r="B130" s="7" t="n">
        <v>11</v>
      </c>
      <c r="C130" s="7" t="n">
        <v>15</v>
      </c>
      <c r="D130" s="8" t="n">
        <v>11.53</v>
      </c>
      <c r="E130" s="9" t="n">
        <f aca="false">ROUND(D130*ASM!$B$8*IF(A130="10K",ASM!$B$11,IF(A130="14K",ASM!$B$12,ASM!$B$13))*(1+ASM!$B$3)+ASM!$B$16+ASM!$B$5+ASM!$B$6,2)</f>
        <v>746.49</v>
      </c>
      <c r="F130" s="7" t="n">
        <f aca="false">ROUND((D130*ASM!$B$8*IF(A130="10K",ASM!$B$11,IF(A130="14K",ASM!$B$12,ASM!$B$13))*(1+ASM!$B$3)+ASM!$B$16+ASM!$B$5+ASM!$B$6)*IF(B130&lt;=7,ASM!$B$7,ASM!$B$17),0)</f>
        <v>1493</v>
      </c>
      <c r="G130" s="10" t="n">
        <f aca="false">CEILING(F130/0.75,5)</f>
        <v>1995</v>
      </c>
      <c r="H130" s="9" t="n">
        <f aca="false">G130*0.75</f>
        <v>1496.25</v>
      </c>
      <c r="I130" s="7" t="n">
        <f aca="false">ROUND((E130+0.45)/(1-ASM!$B$9),0)</f>
        <v>835</v>
      </c>
      <c r="J130" s="7" t="n">
        <f aca="false">ROUND((E130+0.45)/(1-ASM!$B$9-ASM!$B$10),0)</f>
        <v>1003</v>
      </c>
      <c r="K130" s="7" t="str">
        <f aca="false">IF(H130&gt;=I130,"OK","FLOOR ALTI")</f>
        <v>OK</v>
      </c>
    </row>
    <row r="131" customFormat="false" ht="15" hidden="false" customHeight="false" outlineLevel="0" collapsed="false">
      <c r="A131" s="7" t="s">
        <v>48</v>
      </c>
      <c r="B131" s="7" t="n">
        <v>11</v>
      </c>
      <c r="C131" s="7" t="n">
        <v>16</v>
      </c>
      <c r="D131" s="8" t="n">
        <v>11.91</v>
      </c>
      <c r="E131" s="9" t="n">
        <f aca="false">ROUND(D131*ASM!$B$8*IF(A131="10K",ASM!$B$11,IF(A131="14K",ASM!$B$12,ASM!$B$13))*(1+ASM!$B$3)+ASM!$B$16+ASM!$B$5+ASM!$B$6,2)</f>
        <v>768.79</v>
      </c>
      <c r="F131" s="7" t="n">
        <f aca="false">ROUND((D131*ASM!$B$8*IF(A131="10K",ASM!$B$11,IF(A131="14K",ASM!$B$12,ASM!$B$13))*(1+ASM!$B$3)+ASM!$B$16+ASM!$B$5+ASM!$B$6)*IF(B131&lt;=7,ASM!$B$7,ASM!$B$17),0)</f>
        <v>1538</v>
      </c>
      <c r="G131" s="10" t="n">
        <f aca="false">CEILING(F131/0.75,5)</f>
        <v>2055</v>
      </c>
      <c r="H131" s="9" t="n">
        <f aca="false">G131*0.75</f>
        <v>1541.25</v>
      </c>
      <c r="I131" s="7" t="n">
        <f aca="false">ROUND((E131+0.45)/(1-ASM!$B$9),0)</f>
        <v>859</v>
      </c>
      <c r="J131" s="7" t="n">
        <f aca="false">ROUND((E131+0.45)/(1-ASM!$B$9-ASM!$B$10),0)</f>
        <v>1033</v>
      </c>
      <c r="K131" s="7" t="str">
        <f aca="false">IF(H131&gt;=I131,"OK","FLOOR ALTI")</f>
        <v>OK</v>
      </c>
    </row>
    <row r="132" customFormat="false" ht="15" hidden="false" customHeight="false" outlineLevel="0" collapsed="false">
      <c r="A132" s="7" t="s">
        <v>48</v>
      </c>
      <c r="B132" s="7" t="n">
        <v>12</v>
      </c>
      <c r="C132" s="7" t="n">
        <v>4</v>
      </c>
      <c r="D132" s="8" t="n">
        <v>8.21</v>
      </c>
      <c r="E132" s="9" t="n">
        <f aca="false">ROUND(D132*ASM!$B$8*IF(A132="10K",ASM!$B$11,IF(A132="14K",ASM!$B$12,ASM!$B$13))*(1+ASM!$B$3)+ASM!$B$16+ASM!$B$5+ASM!$B$6,2)</f>
        <v>551.7</v>
      </c>
      <c r="F132" s="7" t="n">
        <f aca="false">ROUND((D132*ASM!$B$8*IF(A132="10K",ASM!$B$11,IF(A132="14K",ASM!$B$12,ASM!$B$13))*(1+ASM!$B$3)+ASM!$B$16+ASM!$B$5+ASM!$B$6)*IF(B132&lt;=7,ASM!$B$7,ASM!$B$17),0)</f>
        <v>1103</v>
      </c>
      <c r="G132" s="10" t="n">
        <f aca="false">CEILING(F132/0.75,5)</f>
        <v>1475</v>
      </c>
      <c r="H132" s="9" t="n">
        <f aca="false">G132*0.75</f>
        <v>1106.25</v>
      </c>
      <c r="I132" s="7" t="n">
        <f aca="false">ROUND((E132+0.45)/(1-ASM!$B$9),0)</f>
        <v>617</v>
      </c>
      <c r="J132" s="7" t="n">
        <f aca="false">ROUND((E132+0.45)/(1-ASM!$B$9-ASM!$B$10),0)</f>
        <v>741</v>
      </c>
      <c r="K132" s="7" t="str">
        <f aca="false">IF(H132&gt;=I132,"OK","FLOOR ALTI")</f>
        <v>OK</v>
      </c>
    </row>
    <row r="133" customFormat="false" ht="15" hidden="false" customHeight="false" outlineLevel="0" collapsed="false">
      <c r="A133" s="7" t="s">
        <v>48</v>
      </c>
      <c r="B133" s="7" t="n">
        <v>12</v>
      </c>
      <c r="C133" s="7" t="n">
        <v>5</v>
      </c>
      <c r="D133" s="8" t="n">
        <v>8.61</v>
      </c>
      <c r="E133" s="9" t="n">
        <f aca="false">ROUND(D133*ASM!$B$8*IF(A133="10K",ASM!$B$11,IF(A133="14K",ASM!$B$12,ASM!$B$13))*(1+ASM!$B$3)+ASM!$B$16+ASM!$B$5+ASM!$B$6,2)</f>
        <v>575.17</v>
      </c>
      <c r="F133" s="7" t="n">
        <f aca="false">ROUND((D133*ASM!$B$8*IF(A133="10K",ASM!$B$11,IF(A133="14K",ASM!$B$12,ASM!$B$13))*(1+ASM!$B$3)+ASM!$B$16+ASM!$B$5+ASM!$B$6)*IF(B133&lt;=7,ASM!$B$7,ASM!$B$17),0)</f>
        <v>1150</v>
      </c>
      <c r="G133" s="10" t="n">
        <f aca="false">CEILING(F133/0.75,5)</f>
        <v>1535</v>
      </c>
      <c r="H133" s="9" t="n">
        <f aca="false">G133*0.75</f>
        <v>1151.25</v>
      </c>
      <c r="I133" s="7" t="n">
        <f aca="false">ROUND((E133+0.45)/(1-ASM!$B$9),0)</f>
        <v>643</v>
      </c>
      <c r="J133" s="7" t="n">
        <f aca="false">ROUND((E133+0.45)/(1-ASM!$B$9-ASM!$B$10),0)</f>
        <v>773</v>
      </c>
      <c r="K133" s="7" t="str">
        <f aca="false">IF(H133&gt;=I133,"OK","FLOOR ALTI")</f>
        <v>OK</v>
      </c>
    </row>
    <row r="134" customFormat="false" ht="15" hidden="false" customHeight="false" outlineLevel="0" collapsed="false">
      <c r="A134" s="7" t="s">
        <v>48</v>
      </c>
      <c r="B134" s="7" t="n">
        <v>12</v>
      </c>
      <c r="C134" s="7" t="n">
        <v>6</v>
      </c>
      <c r="D134" s="8" t="n">
        <v>9.01</v>
      </c>
      <c r="E134" s="9" t="n">
        <f aca="false">ROUND(D134*ASM!$B$8*IF(A134="10K",ASM!$B$11,IF(A134="14K",ASM!$B$12,ASM!$B$13))*(1+ASM!$B$3)+ASM!$B$16+ASM!$B$5+ASM!$B$6,2)</f>
        <v>598.64</v>
      </c>
      <c r="F134" s="7" t="n">
        <f aca="false">ROUND((D134*ASM!$B$8*IF(A134="10K",ASM!$B$11,IF(A134="14K",ASM!$B$12,ASM!$B$13))*(1+ASM!$B$3)+ASM!$B$16+ASM!$B$5+ASM!$B$6)*IF(B134&lt;=7,ASM!$B$7,ASM!$B$17),0)</f>
        <v>1197</v>
      </c>
      <c r="G134" s="10" t="n">
        <f aca="false">CEILING(F134/0.75,5)</f>
        <v>1600</v>
      </c>
      <c r="H134" s="9" t="n">
        <f aca="false">G134*0.75</f>
        <v>1200</v>
      </c>
      <c r="I134" s="7" t="n">
        <f aca="false">ROUND((E134+0.45)/(1-ASM!$B$9),0)</f>
        <v>669</v>
      </c>
      <c r="J134" s="7" t="n">
        <f aca="false">ROUND((E134+0.45)/(1-ASM!$B$9-ASM!$B$10),0)</f>
        <v>804</v>
      </c>
      <c r="K134" s="7" t="str">
        <f aca="false">IF(H134&gt;=I134,"OK","FLOOR ALTI")</f>
        <v>OK</v>
      </c>
    </row>
    <row r="135" customFormat="false" ht="15" hidden="false" customHeight="false" outlineLevel="0" collapsed="false">
      <c r="A135" s="7" t="s">
        <v>48</v>
      </c>
      <c r="B135" s="7" t="n">
        <v>12</v>
      </c>
      <c r="C135" s="7" t="n">
        <v>7</v>
      </c>
      <c r="D135" s="8" t="n">
        <v>9.41</v>
      </c>
      <c r="E135" s="9" t="n">
        <f aca="false">ROUND(D135*ASM!$B$8*IF(A135="10K",ASM!$B$11,IF(A135="14K",ASM!$B$12,ASM!$B$13))*(1+ASM!$B$3)+ASM!$B$16+ASM!$B$5+ASM!$B$6,2)</f>
        <v>622.11</v>
      </c>
      <c r="F135" s="7" t="n">
        <f aca="false">ROUND((D135*ASM!$B$8*IF(A135="10K",ASM!$B$11,IF(A135="14K",ASM!$B$12,ASM!$B$13))*(1+ASM!$B$3)+ASM!$B$16+ASM!$B$5+ASM!$B$6)*IF(B135&lt;=7,ASM!$B$7,ASM!$B$17),0)</f>
        <v>1244</v>
      </c>
      <c r="G135" s="10" t="n">
        <f aca="false">CEILING(F135/0.75,5)</f>
        <v>1660</v>
      </c>
      <c r="H135" s="9" t="n">
        <f aca="false">G135*0.75</f>
        <v>1245</v>
      </c>
      <c r="I135" s="7" t="n">
        <f aca="false">ROUND((E135+0.45)/(1-ASM!$B$9),0)</f>
        <v>696</v>
      </c>
      <c r="J135" s="7" t="n">
        <f aca="false">ROUND((E135+0.45)/(1-ASM!$B$9-ASM!$B$10),0)</f>
        <v>836</v>
      </c>
      <c r="K135" s="7" t="str">
        <f aca="false">IF(H135&gt;=I135,"OK","FLOOR ALTI")</f>
        <v>OK</v>
      </c>
    </row>
    <row r="136" customFormat="false" ht="15" hidden="false" customHeight="false" outlineLevel="0" collapsed="false">
      <c r="A136" s="7" t="s">
        <v>48</v>
      </c>
      <c r="B136" s="7" t="n">
        <v>12</v>
      </c>
      <c r="C136" s="7" t="n">
        <v>8</v>
      </c>
      <c r="D136" s="8" t="n">
        <v>9.8</v>
      </c>
      <c r="E136" s="9" t="n">
        <f aca="false">ROUND(D136*ASM!$B$8*IF(A136="10K",ASM!$B$11,IF(A136="14K",ASM!$B$12,ASM!$B$13))*(1+ASM!$B$3)+ASM!$B$16+ASM!$B$5+ASM!$B$6,2)</f>
        <v>644.99</v>
      </c>
      <c r="F136" s="7" t="n">
        <f aca="false">ROUND((D136*ASM!$B$8*IF(A136="10K",ASM!$B$11,IF(A136="14K",ASM!$B$12,ASM!$B$13))*(1+ASM!$B$3)+ASM!$B$16+ASM!$B$5+ASM!$B$6)*IF(B136&lt;=7,ASM!$B$7,ASM!$B$17),0)</f>
        <v>1290</v>
      </c>
      <c r="G136" s="10" t="n">
        <f aca="false">CEILING(F136/0.75,5)</f>
        <v>1720</v>
      </c>
      <c r="H136" s="9" t="n">
        <f aca="false">G136*0.75</f>
        <v>1290</v>
      </c>
      <c r="I136" s="7" t="n">
        <f aca="false">ROUND((E136+0.45)/(1-ASM!$B$9),0)</f>
        <v>721</v>
      </c>
      <c r="J136" s="7" t="n">
        <f aca="false">ROUND((E136+0.45)/(1-ASM!$B$9-ASM!$B$10),0)</f>
        <v>866</v>
      </c>
      <c r="K136" s="7" t="str">
        <f aca="false">IF(H136&gt;=I136,"OK","FLOOR ALTI")</f>
        <v>OK</v>
      </c>
    </row>
    <row r="137" customFormat="false" ht="15" hidden="false" customHeight="false" outlineLevel="0" collapsed="false">
      <c r="A137" s="7" t="s">
        <v>48</v>
      </c>
      <c r="B137" s="7" t="n">
        <v>12</v>
      </c>
      <c r="C137" s="7" t="n">
        <v>9</v>
      </c>
      <c r="D137" s="8" t="n">
        <v>10.2</v>
      </c>
      <c r="E137" s="9" t="n">
        <f aca="false">ROUND(D137*ASM!$B$8*IF(A137="10K",ASM!$B$11,IF(A137="14K",ASM!$B$12,ASM!$B$13))*(1+ASM!$B$3)+ASM!$B$16+ASM!$B$5+ASM!$B$6,2)</f>
        <v>668.46</v>
      </c>
      <c r="F137" s="7" t="n">
        <f aca="false">ROUND((D137*ASM!$B$8*IF(A137="10K",ASM!$B$11,IF(A137="14K",ASM!$B$12,ASM!$B$13))*(1+ASM!$B$3)+ASM!$B$16+ASM!$B$5+ASM!$B$6)*IF(B137&lt;=7,ASM!$B$7,ASM!$B$17),0)</f>
        <v>1337</v>
      </c>
      <c r="G137" s="10" t="n">
        <f aca="false">CEILING(F137/0.75,5)</f>
        <v>1785</v>
      </c>
      <c r="H137" s="9" t="n">
        <f aca="false">G137*0.75</f>
        <v>1338.75</v>
      </c>
      <c r="I137" s="7" t="n">
        <f aca="false">ROUND((E137+0.45)/(1-ASM!$B$9),0)</f>
        <v>747</v>
      </c>
      <c r="J137" s="7" t="n">
        <f aca="false">ROUND((E137+0.45)/(1-ASM!$B$9-ASM!$B$10),0)</f>
        <v>898</v>
      </c>
      <c r="K137" s="7" t="str">
        <f aca="false">IF(H137&gt;=I137,"OK","FLOOR ALTI")</f>
        <v>OK</v>
      </c>
    </row>
    <row r="138" customFormat="false" ht="15" hidden="false" customHeight="false" outlineLevel="0" collapsed="false">
      <c r="A138" s="7" t="s">
        <v>48</v>
      </c>
      <c r="B138" s="7" t="n">
        <v>12</v>
      </c>
      <c r="C138" s="7" t="n">
        <v>10</v>
      </c>
      <c r="D138" s="8" t="n">
        <v>10.6</v>
      </c>
      <c r="E138" s="9" t="n">
        <f aca="false">ROUND(D138*ASM!$B$8*IF(A138="10K",ASM!$B$11,IF(A138="14K",ASM!$B$12,ASM!$B$13))*(1+ASM!$B$3)+ASM!$B$16+ASM!$B$5+ASM!$B$6,2)</f>
        <v>691.93</v>
      </c>
      <c r="F138" s="7" t="n">
        <f aca="false">ROUND((D138*ASM!$B$8*IF(A138="10K",ASM!$B$11,IF(A138="14K",ASM!$B$12,ASM!$B$13))*(1+ASM!$B$3)+ASM!$B$16+ASM!$B$5+ASM!$B$6)*IF(B138&lt;=7,ASM!$B$7,ASM!$B$17),0)</f>
        <v>1384</v>
      </c>
      <c r="G138" s="10" t="n">
        <f aca="false">CEILING(F138/0.75,5)</f>
        <v>1850</v>
      </c>
      <c r="H138" s="9" t="n">
        <f aca="false">G138*0.75</f>
        <v>1387.5</v>
      </c>
      <c r="I138" s="7" t="n">
        <f aca="false">ROUND((E138+0.45)/(1-ASM!$B$9),0)</f>
        <v>774</v>
      </c>
      <c r="J138" s="7" t="n">
        <f aca="false">ROUND((E138+0.45)/(1-ASM!$B$9-ASM!$B$10),0)</f>
        <v>929</v>
      </c>
      <c r="K138" s="7" t="str">
        <f aca="false">IF(H138&gt;=I138,"OK","FLOOR ALTI")</f>
        <v>OK</v>
      </c>
    </row>
    <row r="139" customFormat="false" ht="15" hidden="false" customHeight="false" outlineLevel="0" collapsed="false">
      <c r="A139" s="7" t="s">
        <v>48</v>
      </c>
      <c r="B139" s="7" t="n">
        <v>12</v>
      </c>
      <c r="C139" s="7" t="n">
        <v>11</v>
      </c>
      <c r="D139" s="8" t="n">
        <v>11</v>
      </c>
      <c r="E139" s="9" t="n">
        <f aca="false">ROUND(D139*ASM!$B$8*IF(A139="10K",ASM!$B$11,IF(A139="14K",ASM!$B$12,ASM!$B$13))*(1+ASM!$B$3)+ASM!$B$16+ASM!$B$5+ASM!$B$6,2)</f>
        <v>715.4</v>
      </c>
      <c r="F139" s="7" t="n">
        <f aca="false">ROUND((D139*ASM!$B$8*IF(A139="10K",ASM!$B$11,IF(A139="14K",ASM!$B$12,ASM!$B$13))*(1+ASM!$B$3)+ASM!$B$16+ASM!$B$5+ASM!$B$6)*IF(B139&lt;=7,ASM!$B$7,ASM!$B$17),0)</f>
        <v>1431</v>
      </c>
      <c r="G139" s="10" t="n">
        <f aca="false">CEILING(F139/0.75,5)</f>
        <v>1910</v>
      </c>
      <c r="H139" s="9" t="n">
        <f aca="false">G139*0.75</f>
        <v>1432.5</v>
      </c>
      <c r="I139" s="7" t="n">
        <f aca="false">ROUND((E139+0.45)/(1-ASM!$B$9),0)</f>
        <v>800</v>
      </c>
      <c r="J139" s="7" t="n">
        <f aca="false">ROUND((E139+0.45)/(1-ASM!$B$9-ASM!$B$10),0)</f>
        <v>961</v>
      </c>
      <c r="K139" s="7" t="str">
        <f aca="false">IF(H139&gt;=I139,"OK","FLOOR ALTI")</f>
        <v>OK</v>
      </c>
    </row>
    <row r="140" customFormat="false" ht="15" hidden="false" customHeight="false" outlineLevel="0" collapsed="false">
      <c r="A140" s="7" t="s">
        <v>48</v>
      </c>
      <c r="B140" s="7" t="n">
        <v>12</v>
      </c>
      <c r="C140" s="7" t="n">
        <v>12</v>
      </c>
      <c r="D140" s="8" t="n">
        <v>11.4</v>
      </c>
      <c r="E140" s="9" t="n">
        <f aca="false">ROUND(D140*ASM!$B$8*IF(A140="10K",ASM!$B$11,IF(A140="14K",ASM!$B$12,ASM!$B$13))*(1+ASM!$B$3)+ASM!$B$16+ASM!$B$5+ASM!$B$6,2)</f>
        <v>738.87</v>
      </c>
      <c r="F140" s="7" t="n">
        <f aca="false">ROUND((D140*ASM!$B$8*IF(A140="10K",ASM!$B$11,IF(A140="14K",ASM!$B$12,ASM!$B$13))*(1+ASM!$B$3)+ASM!$B$16+ASM!$B$5+ASM!$B$6)*IF(B140&lt;=7,ASM!$B$7,ASM!$B$17),0)</f>
        <v>1478</v>
      </c>
      <c r="G140" s="10" t="n">
        <f aca="false">CEILING(F140/0.75,5)</f>
        <v>1975</v>
      </c>
      <c r="H140" s="9" t="n">
        <f aca="false">G140*0.75</f>
        <v>1481.25</v>
      </c>
      <c r="I140" s="7" t="n">
        <f aca="false">ROUND((E140+0.45)/(1-ASM!$B$9),0)</f>
        <v>826</v>
      </c>
      <c r="J140" s="7" t="n">
        <f aca="false">ROUND((E140+0.45)/(1-ASM!$B$9-ASM!$B$10),0)</f>
        <v>992</v>
      </c>
      <c r="K140" s="7" t="str">
        <f aca="false">IF(H140&gt;=I140,"OK","FLOOR ALTI")</f>
        <v>OK</v>
      </c>
    </row>
    <row r="141" customFormat="false" ht="15" hidden="false" customHeight="false" outlineLevel="0" collapsed="false">
      <c r="A141" s="7" t="s">
        <v>48</v>
      </c>
      <c r="B141" s="7" t="n">
        <v>12</v>
      </c>
      <c r="C141" s="7" t="n">
        <v>13</v>
      </c>
      <c r="D141" s="8" t="n">
        <v>11.79</v>
      </c>
      <c r="E141" s="9" t="n">
        <f aca="false">ROUND(D141*ASM!$B$8*IF(A141="10K",ASM!$B$11,IF(A141="14K",ASM!$B$12,ASM!$B$13))*(1+ASM!$B$3)+ASM!$B$16+ASM!$B$5+ASM!$B$6,2)</f>
        <v>761.75</v>
      </c>
      <c r="F141" s="7" t="n">
        <f aca="false">ROUND((D141*ASM!$B$8*IF(A141="10K",ASM!$B$11,IF(A141="14K",ASM!$B$12,ASM!$B$13))*(1+ASM!$B$3)+ASM!$B$16+ASM!$B$5+ASM!$B$6)*IF(B141&lt;=7,ASM!$B$7,ASM!$B$17),0)</f>
        <v>1523</v>
      </c>
      <c r="G141" s="10" t="n">
        <f aca="false">CEILING(F141/0.75,5)</f>
        <v>2035</v>
      </c>
      <c r="H141" s="9" t="n">
        <f aca="false">G141*0.75</f>
        <v>1526.25</v>
      </c>
      <c r="I141" s="7" t="n">
        <f aca="false">ROUND((E141+0.45)/(1-ASM!$B$9),0)</f>
        <v>852</v>
      </c>
      <c r="J141" s="7" t="n">
        <f aca="false">ROUND((E141+0.45)/(1-ASM!$B$9-ASM!$B$10),0)</f>
        <v>1023</v>
      </c>
      <c r="K141" s="7" t="str">
        <f aca="false">IF(H141&gt;=I141,"OK","FLOOR ALTI")</f>
        <v>OK</v>
      </c>
    </row>
    <row r="142" customFormat="false" ht="15" hidden="false" customHeight="false" outlineLevel="0" collapsed="false">
      <c r="A142" s="7" t="s">
        <v>48</v>
      </c>
      <c r="B142" s="7" t="n">
        <v>12</v>
      </c>
      <c r="C142" s="7" t="n">
        <v>14</v>
      </c>
      <c r="D142" s="8" t="n">
        <v>12.19</v>
      </c>
      <c r="E142" s="9" t="n">
        <f aca="false">ROUND(D142*ASM!$B$8*IF(A142="10K",ASM!$B$11,IF(A142="14K",ASM!$B$12,ASM!$B$13))*(1+ASM!$B$3)+ASM!$B$16+ASM!$B$5+ASM!$B$6,2)</f>
        <v>785.22</v>
      </c>
      <c r="F142" s="7" t="n">
        <f aca="false">ROUND((D142*ASM!$B$8*IF(A142="10K",ASM!$B$11,IF(A142="14K",ASM!$B$12,ASM!$B$13))*(1+ASM!$B$3)+ASM!$B$16+ASM!$B$5+ASM!$B$6)*IF(B142&lt;=7,ASM!$B$7,ASM!$B$17),0)</f>
        <v>1570</v>
      </c>
      <c r="G142" s="10" t="n">
        <f aca="false">CEILING(F142/0.75,5)</f>
        <v>2095</v>
      </c>
      <c r="H142" s="9" t="n">
        <f aca="false">G142*0.75</f>
        <v>1571.25</v>
      </c>
      <c r="I142" s="7" t="n">
        <f aca="false">ROUND((E142+0.45)/(1-ASM!$B$9),0)</f>
        <v>878</v>
      </c>
      <c r="J142" s="7" t="n">
        <f aca="false">ROUND((E142+0.45)/(1-ASM!$B$9-ASM!$B$10),0)</f>
        <v>1055</v>
      </c>
      <c r="K142" s="7" t="str">
        <f aca="false">IF(H142&gt;=I142,"OK","FLOOR ALTI")</f>
        <v>OK</v>
      </c>
    </row>
    <row r="143" customFormat="false" ht="15" hidden="false" customHeight="false" outlineLevel="0" collapsed="false">
      <c r="A143" s="7" t="s">
        <v>48</v>
      </c>
      <c r="B143" s="7" t="n">
        <v>12</v>
      </c>
      <c r="C143" s="7" t="n">
        <v>15</v>
      </c>
      <c r="D143" s="8" t="n">
        <v>12.59</v>
      </c>
      <c r="E143" s="9" t="n">
        <f aca="false">ROUND(D143*ASM!$B$8*IF(A143="10K",ASM!$B$11,IF(A143="14K",ASM!$B$12,ASM!$B$13))*(1+ASM!$B$3)+ASM!$B$16+ASM!$B$5+ASM!$B$6,2)</f>
        <v>808.69</v>
      </c>
      <c r="F143" s="7" t="n">
        <f aca="false">ROUND((D143*ASM!$B$8*IF(A143="10K",ASM!$B$11,IF(A143="14K",ASM!$B$12,ASM!$B$13))*(1+ASM!$B$3)+ASM!$B$16+ASM!$B$5+ASM!$B$6)*IF(B143&lt;=7,ASM!$B$7,ASM!$B$17),0)</f>
        <v>1617</v>
      </c>
      <c r="G143" s="10" t="n">
        <f aca="false">CEILING(F143/0.75,5)</f>
        <v>2160</v>
      </c>
      <c r="H143" s="9" t="n">
        <f aca="false">G143*0.75</f>
        <v>1620</v>
      </c>
      <c r="I143" s="7" t="n">
        <f aca="false">ROUND((E143+0.45)/(1-ASM!$B$9),0)</f>
        <v>904</v>
      </c>
      <c r="J143" s="7" t="n">
        <f aca="false">ROUND((E143+0.45)/(1-ASM!$B$9-ASM!$B$10),0)</f>
        <v>1086</v>
      </c>
      <c r="K143" s="7" t="str">
        <f aca="false">IF(H143&gt;=I143,"OK","FLOOR ALTI")</f>
        <v>OK</v>
      </c>
    </row>
    <row r="144" customFormat="false" ht="15" hidden="false" customHeight="false" outlineLevel="0" collapsed="false">
      <c r="A144" s="7" t="s">
        <v>48</v>
      </c>
      <c r="B144" s="7" t="n">
        <v>12</v>
      </c>
      <c r="C144" s="7" t="n">
        <v>16</v>
      </c>
      <c r="D144" s="8" t="n">
        <v>12.99</v>
      </c>
      <c r="E144" s="9" t="n">
        <f aca="false">ROUND(D144*ASM!$B$8*IF(A144="10K",ASM!$B$11,IF(A144="14K",ASM!$B$12,ASM!$B$13))*(1+ASM!$B$3)+ASM!$B$16+ASM!$B$5+ASM!$B$6,2)</f>
        <v>832.15</v>
      </c>
      <c r="F144" s="7" t="n">
        <f aca="false">ROUND((D144*ASM!$B$8*IF(A144="10K",ASM!$B$11,IF(A144="14K",ASM!$B$12,ASM!$B$13))*(1+ASM!$B$3)+ASM!$B$16+ASM!$B$5+ASM!$B$6)*IF(B144&lt;=7,ASM!$B$7,ASM!$B$17),0)</f>
        <v>1664</v>
      </c>
      <c r="G144" s="10" t="n">
        <f aca="false">CEILING(F144/0.75,5)</f>
        <v>2220</v>
      </c>
      <c r="H144" s="9" t="n">
        <f aca="false">G144*0.75</f>
        <v>1665</v>
      </c>
      <c r="I144" s="7" t="n">
        <f aca="false">ROUND((E144+0.45)/(1-ASM!$B$9),0)</f>
        <v>930</v>
      </c>
      <c r="J144" s="7" t="n">
        <f aca="false">ROUND((E144+0.45)/(1-ASM!$B$9-ASM!$B$10),0)</f>
        <v>1118</v>
      </c>
      <c r="K144" s="7" t="str">
        <f aca="false">IF(H144&gt;=I144,"OK","FLOOR ALTI")</f>
        <v>OK</v>
      </c>
    </row>
    <row r="145" customFormat="false" ht="15" hidden="false" customHeight="false" outlineLevel="0" collapsed="false">
      <c r="A145" s="7" t="s">
        <v>49</v>
      </c>
      <c r="B145" s="7" t="n">
        <v>2</v>
      </c>
      <c r="C145" s="7" t="n">
        <v>4</v>
      </c>
      <c r="D145" s="8" t="n">
        <v>1.56</v>
      </c>
      <c r="E145" s="9" t="n">
        <f aca="false">ROUND(D145*ASM!$B$8*IF(A145="10K",ASM!$B$11,IF(A145="14K",ASM!$B$12,ASM!$B$13))*(1+ASM!$B$3)+ASM!$B$16+ASM!$B$5+ASM!$B$6,2)</f>
        <v>197.96</v>
      </c>
      <c r="F145" s="7" t="n">
        <f aca="false">ROUND((D145*ASM!$B$8*IF(A145="10K",ASM!$B$11,IF(A145="14K",ASM!$B$12,ASM!$B$13))*(1+ASM!$B$3)+ASM!$B$16+ASM!$B$5+ASM!$B$6)*IF(B145&lt;=7,ASM!$B$7,ASM!$B$17),0)</f>
        <v>307</v>
      </c>
      <c r="G145" s="10" t="n">
        <f aca="false">CEILING(F145/0.75,5)</f>
        <v>410</v>
      </c>
      <c r="H145" s="9" t="n">
        <f aca="false">G145*0.75</f>
        <v>307.5</v>
      </c>
      <c r="I145" s="7" t="n">
        <f aca="false">ROUND((E145+0.45)/(1-ASM!$B$9),0)</f>
        <v>222</v>
      </c>
      <c r="J145" s="7" t="n">
        <f aca="false">ROUND((E145+0.45)/(1-ASM!$B$9-ASM!$B$10),0)</f>
        <v>266</v>
      </c>
      <c r="K145" s="7" t="str">
        <f aca="false">IF(H145&gt;=I145,"OK","FLOOR ALTI")</f>
        <v>OK</v>
      </c>
    </row>
    <row r="146" customFormat="false" ht="15" hidden="false" customHeight="false" outlineLevel="0" collapsed="false">
      <c r="A146" s="7" t="s">
        <v>49</v>
      </c>
      <c r="B146" s="7" t="n">
        <v>2</v>
      </c>
      <c r="C146" s="7" t="n">
        <v>5</v>
      </c>
      <c r="D146" s="8" t="n">
        <v>1.63</v>
      </c>
      <c r="E146" s="9" t="n">
        <f aca="false">ROUND(D146*ASM!$B$8*IF(A146="10K",ASM!$B$11,IF(A146="14K",ASM!$B$12,ASM!$B$13))*(1+ASM!$B$3)+ASM!$B$16+ASM!$B$5+ASM!$B$6,2)</f>
        <v>203.71</v>
      </c>
      <c r="F146" s="7" t="n">
        <f aca="false">ROUND((D146*ASM!$B$8*IF(A146="10K",ASM!$B$11,IF(A146="14K",ASM!$B$12,ASM!$B$13))*(1+ASM!$B$3)+ASM!$B$16+ASM!$B$5+ASM!$B$6)*IF(B146&lt;=7,ASM!$B$7,ASM!$B$17),0)</f>
        <v>316</v>
      </c>
      <c r="G146" s="10" t="n">
        <f aca="false">CEILING(F146/0.75,5)</f>
        <v>425</v>
      </c>
      <c r="H146" s="9" t="n">
        <f aca="false">G146*0.75</f>
        <v>318.75</v>
      </c>
      <c r="I146" s="7" t="n">
        <f aca="false">ROUND((E146+0.45)/(1-ASM!$B$9),0)</f>
        <v>228</v>
      </c>
      <c r="J146" s="7" t="n">
        <f aca="false">ROUND((E146+0.45)/(1-ASM!$B$9-ASM!$B$10),0)</f>
        <v>274</v>
      </c>
      <c r="K146" s="7" t="str">
        <f aca="false">IF(H146&gt;=I146,"OK","FLOOR ALTI")</f>
        <v>OK</v>
      </c>
    </row>
    <row r="147" customFormat="false" ht="15" hidden="false" customHeight="false" outlineLevel="0" collapsed="false">
      <c r="A147" s="7" t="s">
        <v>49</v>
      </c>
      <c r="B147" s="7" t="n">
        <v>2</v>
      </c>
      <c r="C147" s="7" t="n">
        <v>6</v>
      </c>
      <c r="D147" s="8" t="n">
        <v>1.71</v>
      </c>
      <c r="E147" s="9" t="n">
        <f aca="false">ROUND(D147*ASM!$B$8*IF(A147="10K",ASM!$B$11,IF(A147="14K",ASM!$B$12,ASM!$B$13))*(1+ASM!$B$3)+ASM!$B$16+ASM!$B$5+ASM!$B$6,2)</f>
        <v>210.27</v>
      </c>
      <c r="F147" s="7" t="n">
        <f aca="false">ROUND((D147*ASM!$B$8*IF(A147="10K",ASM!$B$11,IF(A147="14K",ASM!$B$12,ASM!$B$13))*(1+ASM!$B$3)+ASM!$B$16+ASM!$B$5+ASM!$B$6)*IF(B147&lt;=7,ASM!$B$7,ASM!$B$17),0)</f>
        <v>326</v>
      </c>
      <c r="G147" s="10" t="n">
        <f aca="false">CEILING(F147/0.75,5)</f>
        <v>435</v>
      </c>
      <c r="H147" s="9" t="n">
        <f aca="false">G147*0.75</f>
        <v>326.25</v>
      </c>
      <c r="I147" s="7" t="n">
        <f aca="false">ROUND((E147+0.45)/(1-ASM!$B$9),0)</f>
        <v>235</v>
      </c>
      <c r="J147" s="7" t="n">
        <f aca="false">ROUND((E147+0.45)/(1-ASM!$B$9-ASM!$B$10),0)</f>
        <v>283</v>
      </c>
      <c r="K147" s="7" t="str">
        <f aca="false">IF(H147&gt;=I147,"OK","FLOOR ALTI")</f>
        <v>OK</v>
      </c>
    </row>
    <row r="148" customFormat="false" ht="15" hidden="false" customHeight="false" outlineLevel="0" collapsed="false">
      <c r="A148" s="7" t="s">
        <v>49</v>
      </c>
      <c r="B148" s="7" t="n">
        <v>2</v>
      </c>
      <c r="C148" s="7" t="n">
        <v>7</v>
      </c>
      <c r="D148" s="8" t="n">
        <v>1.78</v>
      </c>
      <c r="E148" s="9" t="n">
        <f aca="false">ROUND(D148*ASM!$B$8*IF(A148="10K",ASM!$B$11,IF(A148="14K",ASM!$B$12,ASM!$B$13))*(1+ASM!$B$3)+ASM!$B$16+ASM!$B$5+ASM!$B$6,2)</f>
        <v>216.01</v>
      </c>
      <c r="F148" s="7" t="n">
        <f aca="false">ROUND((D148*ASM!$B$8*IF(A148="10K",ASM!$B$11,IF(A148="14K",ASM!$B$12,ASM!$B$13))*(1+ASM!$B$3)+ASM!$B$16+ASM!$B$5+ASM!$B$6)*IF(B148&lt;=7,ASM!$B$7,ASM!$B$17),0)</f>
        <v>335</v>
      </c>
      <c r="G148" s="10" t="n">
        <f aca="false">CEILING(F148/0.75,5)</f>
        <v>450</v>
      </c>
      <c r="H148" s="9" t="n">
        <f aca="false">G148*0.75</f>
        <v>337.5</v>
      </c>
      <c r="I148" s="7" t="n">
        <f aca="false">ROUND((E148+0.45)/(1-ASM!$B$9),0)</f>
        <v>242</v>
      </c>
      <c r="J148" s="7" t="n">
        <f aca="false">ROUND((E148+0.45)/(1-ASM!$B$9-ASM!$B$10),0)</f>
        <v>291</v>
      </c>
      <c r="K148" s="7" t="str">
        <f aca="false">IF(H148&gt;=I148,"OK","FLOOR ALTI")</f>
        <v>OK</v>
      </c>
    </row>
    <row r="149" customFormat="false" ht="15" hidden="false" customHeight="false" outlineLevel="0" collapsed="false">
      <c r="A149" s="7" t="s">
        <v>49</v>
      </c>
      <c r="B149" s="7" t="n">
        <v>2</v>
      </c>
      <c r="C149" s="7" t="n">
        <v>8</v>
      </c>
      <c r="D149" s="8" t="n">
        <v>1.86</v>
      </c>
      <c r="E149" s="9" t="n">
        <f aca="false">ROUND(D149*ASM!$B$8*IF(A149="10K",ASM!$B$11,IF(A149="14K",ASM!$B$12,ASM!$B$13))*(1+ASM!$B$3)+ASM!$B$16+ASM!$B$5+ASM!$B$6,2)</f>
        <v>222.57</v>
      </c>
      <c r="F149" s="7" t="n">
        <f aca="false">ROUND((D149*ASM!$B$8*IF(A149="10K",ASM!$B$11,IF(A149="14K",ASM!$B$12,ASM!$B$13))*(1+ASM!$B$3)+ASM!$B$16+ASM!$B$5+ASM!$B$6)*IF(B149&lt;=7,ASM!$B$7,ASM!$B$17),0)</f>
        <v>345</v>
      </c>
      <c r="G149" s="10" t="n">
        <f aca="false">CEILING(F149/0.75,5)</f>
        <v>460</v>
      </c>
      <c r="H149" s="9" t="n">
        <f aca="false">G149*0.75</f>
        <v>345</v>
      </c>
      <c r="I149" s="7" t="n">
        <f aca="false">ROUND((E149+0.45)/(1-ASM!$B$9),0)</f>
        <v>249</v>
      </c>
      <c r="J149" s="7" t="n">
        <f aca="false">ROUND((E149+0.45)/(1-ASM!$B$9-ASM!$B$10),0)</f>
        <v>299</v>
      </c>
      <c r="K149" s="7" t="str">
        <f aca="false">IF(H149&gt;=I149,"OK","FLOOR ALTI")</f>
        <v>OK</v>
      </c>
    </row>
    <row r="150" customFormat="false" ht="15" hidden="false" customHeight="false" outlineLevel="0" collapsed="false">
      <c r="A150" s="7" t="s">
        <v>49</v>
      </c>
      <c r="B150" s="7" t="n">
        <v>2</v>
      </c>
      <c r="C150" s="7" t="n">
        <v>9</v>
      </c>
      <c r="D150" s="8" t="n">
        <v>1.93</v>
      </c>
      <c r="E150" s="9" t="n">
        <f aca="false">ROUND(D150*ASM!$B$8*IF(A150="10K",ASM!$B$11,IF(A150="14K",ASM!$B$12,ASM!$B$13))*(1+ASM!$B$3)+ASM!$B$16+ASM!$B$5+ASM!$B$6,2)</f>
        <v>228.32</v>
      </c>
      <c r="F150" s="7" t="n">
        <f aca="false">ROUND((D150*ASM!$B$8*IF(A150="10K",ASM!$B$11,IF(A150="14K",ASM!$B$12,ASM!$B$13))*(1+ASM!$B$3)+ASM!$B$16+ASM!$B$5+ASM!$B$6)*IF(B150&lt;=7,ASM!$B$7,ASM!$B$17),0)</f>
        <v>354</v>
      </c>
      <c r="G150" s="10" t="n">
        <f aca="false">CEILING(F150/0.75,5)</f>
        <v>475</v>
      </c>
      <c r="H150" s="9" t="n">
        <f aca="false">G150*0.75</f>
        <v>356.25</v>
      </c>
      <c r="I150" s="7" t="n">
        <f aca="false">ROUND((E150+0.45)/(1-ASM!$B$9),0)</f>
        <v>256</v>
      </c>
      <c r="J150" s="7" t="n">
        <f aca="false">ROUND((E150+0.45)/(1-ASM!$B$9-ASM!$B$10),0)</f>
        <v>307</v>
      </c>
      <c r="K150" s="7" t="str">
        <f aca="false">IF(H150&gt;=I150,"OK","FLOOR ALTI")</f>
        <v>OK</v>
      </c>
    </row>
    <row r="151" customFormat="false" ht="15" hidden="false" customHeight="false" outlineLevel="0" collapsed="false">
      <c r="A151" s="7" t="s">
        <v>49</v>
      </c>
      <c r="B151" s="7" t="n">
        <v>2</v>
      </c>
      <c r="C151" s="7" t="n">
        <v>10</v>
      </c>
      <c r="D151" s="8" t="n">
        <v>2.01</v>
      </c>
      <c r="E151" s="9" t="n">
        <f aca="false">ROUND(D151*ASM!$B$8*IF(A151="10K",ASM!$B$11,IF(A151="14K",ASM!$B$12,ASM!$B$13))*(1+ASM!$B$3)+ASM!$B$16+ASM!$B$5+ASM!$B$6,2)</f>
        <v>234.88</v>
      </c>
      <c r="F151" s="7" t="n">
        <f aca="false">ROUND((D151*ASM!$B$8*IF(A151="10K",ASM!$B$11,IF(A151="14K",ASM!$B$12,ASM!$B$13))*(1+ASM!$B$3)+ASM!$B$16+ASM!$B$5+ASM!$B$6)*IF(B151&lt;=7,ASM!$B$7,ASM!$B$17),0)</f>
        <v>364</v>
      </c>
      <c r="G151" s="10" t="n">
        <f aca="false">CEILING(F151/0.75,5)</f>
        <v>490</v>
      </c>
      <c r="H151" s="9" t="n">
        <f aca="false">G151*0.75</f>
        <v>367.5</v>
      </c>
      <c r="I151" s="7" t="n">
        <f aca="false">ROUND((E151+0.45)/(1-ASM!$B$9),0)</f>
        <v>263</v>
      </c>
      <c r="J151" s="7" t="n">
        <f aca="false">ROUND((E151+0.45)/(1-ASM!$B$9-ASM!$B$10),0)</f>
        <v>316</v>
      </c>
      <c r="K151" s="7" t="str">
        <f aca="false">IF(H151&gt;=I151,"OK","FLOOR ALTI")</f>
        <v>OK</v>
      </c>
    </row>
    <row r="152" customFormat="false" ht="15" hidden="false" customHeight="false" outlineLevel="0" collapsed="false">
      <c r="A152" s="7" t="s">
        <v>49</v>
      </c>
      <c r="B152" s="7" t="n">
        <v>2</v>
      </c>
      <c r="C152" s="7" t="n">
        <v>11</v>
      </c>
      <c r="D152" s="8" t="n">
        <v>2.08</v>
      </c>
      <c r="E152" s="9" t="n">
        <f aca="false">ROUND(D152*ASM!$B$8*IF(A152="10K",ASM!$B$11,IF(A152="14K",ASM!$B$12,ASM!$B$13))*(1+ASM!$B$3)+ASM!$B$16+ASM!$B$5+ASM!$B$6,2)</f>
        <v>240.62</v>
      </c>
      <c r="F152" s="7" t="n">
        <f aca="false">ROUND((D152*ASM!$B$8*IF(A152="10K",ASM!$B$11,IF(A152="14K",ASM!$B$12,ASM!$B$13))*(1+ASM!$B$3)+ASM!$B$16+ASM!$B$5+ASM!$B$6)*IF(B152&lt;=7,ASM!$B$7,ASM!$B$17),0)</f>
        <v>373</v>
      </c>
      <c r="G152" s="10" t="n">
        <f aca="false">CEILING(F152/0.75,5)</f>
        <v>500</v>
      </c>
      <c r="H152" s="9" t="n">
        <f aca="false">G152*0.75</f>
        <v>375</v>
      </c>
      <c r="I152" s="7" t="n">
        <f aca="false">ROUND((E152+0.45)/(1-ASM!$B$9),0)</f>
        <v>269</v>
      </c>
      <c r="J152" s="7" t="n">
        <f aca="false">ROUND((E152+0.45)/(1-ASM!$B$9-ASM!$B$10),0)</f>
        <v>324</v>
      </c>
      <c r="K152" s="7" t="str">
        <f aca="false">IF(H152&gt;=I152,"OK","FLOOR ALTI")</f>
        <v>OK</v>
      </c>
    </row>
    <row r="153" customFormat="false" ht="15" hidden="false" customHeight="false" outlineLevel="0" collapsed="false">
      <c r="A153" s="7" t="s">
        <v>49</v>
      </c>
      <c r="B153" s="7" t="n">
        <v>2</v>
      </c>
      <c r="C153" s="7" t="n">
        <v>12</v>
      </c>
      <c r="D153" s="8" t="n">
        <v>2.16</v>
      </c>
      <c r="E153" s="9" t="n">
        <f aca="false">ROUND(D153*ASM!$B$8*IF(A153="10K",ASM!$B$11,IF(A153="14K",ASM!$B$12,ASM!$B$13))*(1+ASM!$B$3)+ASM!$B$16+ASM!$B$5+ASM!$B$6,2)</f>
        <v>247.18</v>
      </c>
      <c r="F153" s="7" t="n">
        <f aca="false">ROUND((D153*ASM!$B$8*IF(A153="10K",ASM!$B$11,IF(A153="14K",ASM!$B$12,ASM!$B$13))*(1+ASM!$B$3)+ASM!$B$16+ASM!$B$5+ASM!$B$6)*IF(B153&lt;=7,ASM!$B$7,ASM!$B$17),0)</f>
        <v>383</v>
      </c>
      <c r="G153" s="10" t="n">
        <f aca="false">CEILING(F153/0.75,5)</f>
        <v>515</v>
      </c>
      <c r="H153" s="9" t="n">
        <f aca="false">G153*0.75</f>
        <v>386.25</v>
      </c>
      <c r="I153" s="7" t="n">
        <f aca="false">ROUND((E153+0.45)/(1-ASM!$B$9),0)</f>
        <v>277</v>
      </c>
      <c r="J153" s="7" t="n">
        <f aca="false">ROUND((E153+0.45)/(1-ASM!$B$9-ASM!$B$10),0)</f>
        <v>332</v>
      </c>
      <c r="K153" s="7" t="str">
        <f aca="false">IF(H153&gt;=I153,"OK","FLOOR ALTI")</f>
        <v>OK</v>
      </c>
    </row>
    <row r="154" customFormat="false" ht="15" hidden="false" customHeight="false" outlineLevel="0" collapsed="false">
      <c r="A154" s="7" t="s">
        <v>49</v>
      </c>
      <c r="B154" s="7" t="n">
        <v>2</v>
      </c>
      <c r="C154" s="7" t="n">
        <v>13</v>
      </c>
      <c r="D154" s="8" t="n">
        <v>2.23</v>
      </c>
      <c r="E154" s="9" t="n">
        <f aca="false">ROUND(D154*ASM!$B$8*IF(A154="10K",ASM!$B$11,IF(A154="14K",ASM!$B$12,ASM!$B$13))*(1+ASM!$B$3)+ASM!$B$16+ASM!$B$5+ASM!$B$6,2)</f>
        <v>252.92</v>
      </c>
      <c r="F154" s="7" t="n">
        <f aca="false">ROUND((D154*ASM!$B$8*IF(A154="10K",ASM!$B$11,IF(A154="14K",ASM!$B$12,ASM!$B$13))*(1+ASM!$B$3)+ASM!$B$16+ASM!$B$5+ASM!$B$6)*IF(B154&lt;=7,ASM!$B$7,ASM!$B$17),0)</f>
        <v>392</v>
      </c>
      <c r="G154" s="10" t="n">
        <f aca="false">CEILING(F154/0.75,5)</f>
        <v>525</v>
      </c>
      <c r="H154" s="9" t="n">
        <f aca="false">G154*0.75</f>
        <v>393.75</v>
      </c>
      <c r="I154" s="7" t="n">
        <f aca="false">ROUND((E154+0.45)/(1-ASM!$B$9),0)</f>
        <v>283</v>
      </c>
      <c r="J154" s="7" t="n">
        <f aca="false">ROUND((E154+0.45)/(1-ASM!$B$9-ASM!$B$10),0)</f>
        <v>340</v>
      </c>
      <c r="K154" s="7" t="str">
        <f aca="false">IF(H154&gt;=I154,"OK","FLOOR ALTI")</f>
        <v>OK</v>
      </c>
    </row>
    <row r="155" customFormat="false" ht="15" hidden="false" customHeight="false" outlineLevel="0" collapsed="false">
      <c r="A155" s="7" t="s">
        <v>49</v>
      </c>
      <c r="B155" s="7" t="n">
        <v>2</v>
      </c>
      <c r="C155" s="7" t="n">
        <v>14</v>
      </c>
      <c r="D155" s="8" t="n">
        <v>2.31</v>
      </c>
      <c r="E155" s="9" t="n">
        <f aca="false">ROUND(D155*ASM!$B$8*IF(A155="10K",ASM!$B$11,IF(A155="14K",ASM!$B$12,ASM!$B$13))*(1+ASM!$B$3)+ASM!$B$16+ASM!$B$5+ASM!$B$6,2)</f>
        <v>259.49</v>
      </c>
      <c r="F155" s="7" t="n">
        <f aca="false">ROUND((D155*ASM!$B$8*IF(A155="10K",ASM!$B$11,IF(A155="14K",ASM!$B$12,ASM!$B$13))*(1+ASM!$B$3)+ASM!$B$16+ASM!$B$5+ASM!$B$6)*IF(B155&lt;=7,ASM!$B$7,ASM!$B$17),0)</f>
        <v>402</v>
      </c>
      <c r="G155" s="10" t="n">
        <f aca="false">CEILING(F155/0.75,5)</f>
        <v>540</v>
      </c>
      <c r="H155" s="9" t="n">
        <f aca="false">G155*0.75</f>
        <v>405</v>
      </c>
      <c r="I155" s="7" t="n">
        <f aca="false">ROUND((E155+0.45)/(1-ASM!$B$9),0)</f>
        <v>290</v>
      </c>
      <c r="J155" s="7" t="n">
        <f aca="false">ROUND((E155+0.45)/(1-ASM!$B$9-ASM!$B$10),0)</f>
        <v>349</v>
      </c>
      <c r="K155" s="7" t="str">
        <f aca="false">IF(H155&gt;=I155,"OK","FLOOR ALTI")</f>
        <v>OK</v>
      </c>
    </row>
    <row r="156" customFormat="false" ht="15" hidden="false" customHeight="false" outlineLevel="0" collapsed="false">
      <c r="A156" s="7" t="s">
        <v>49</v>
      </c>
      <c r="B156" s="7" t="n">
        <v>2</v>
      </c>
      <c r="C156" s="7" t="n">
        <v>15</v>
      </c>
      <c r="D156" s="8" t="n">
        <v>2.38</v>
      </c>
      <c r="E156" s="9" t="n">
        <f aca="false">ROUND(D156*ASM!$B$8*IF(A156="10K",ASM!$B$11,IF(A156="14K",ASM!$B$12,ASM!$B$13))*(1+ASM!$B$3)+ASM!$B$16+ASM!$B$5+ASM!$B$6,2)</f>
        <v>265.23</v>
      </c>
      <c r="F156" s="7" t="n">
        <f aca="false">ROUND((D156*ASM!$B$8*IF(A156="10K",ASM!$B$11,IF(A156="14K",ASM!$B$12,ASM!$B$13))*(1+ASM!$B$3)+ASM!$B$16+ASM!$B$5+ASM!$B$6)*IF(B156&lt;=7,ASM!$B$7,ASM!$B$17),0)</f>
        <v>411</v>
      </c>
      <c r="G156" s="10" t="n">
        <f aca="false">CEILING(F156/0.75,5)</f>
        <v>550</v>
      </c>
      <c r="H156" s="9" t="n">
        <f aca="false">G156*0.75</f>
        <v>412.5</v>
      </c>
      <c r="I156" s="7" t="n">
        <f aca="false">ROUND((E156+0.45)/(1-ASM!$B$9),0)</f>
        <v>297</v>
      </c>
      <c r="J156" s="7" t="n">
        <f aca="false">ROUND((E156+0.45)/(1-ASM!$B$9-ASM!$B$10),0)</f>
        <v>357</v>
      </c>
      <c r="K156" s="7" t="str">
        <f aca="false">IF(H156&gt;=I156,"OK","FLOOR ALTI")</f>
        <v>OK</v>
      </c>
    </row>
    <row r="157" customFormat="false" ht="15" hidden="false" customHeight="false" outlineLevel="0" collapsed="false">
      <c r="A157" s="7" t="s">
        <v>49</v>
      </c>
      <c r="B157" s="7" t="n">
        <v>2</v>
      </c>
      <c r="C157" s="7" t="n">
        <v>16</v>
      </c>
      <c r="D157" s="8" t="n">
        <v>2.46</v>
      </c>
      <c r="E157" s="9" t="n">
        <f aca="false">ROUND(D157*ASM!$B$8*IF(A157="10K",ASM!$B$11,IF(A157="14K",ASM!$B$12,ASM!$B$13))*(1+ASM!$B$3)+ASM!$B$16+ASM!$B$5+ASM!$B$6,2)</f>
        <v>271.79</v>
      </c>
      <c r="F157" s="7" t="n">
        <f aca="false">ROUND((D157*ASM!$B$8*IF(A157="10K",ASM!$B$11,IF(A157="14K",ASM!$B$12,ASM!$B$13))*(1+ASM!$B$3)+ASM!$B$16+ASM!$B$5+ASM!$B$6)*IF(B157&lt;=7,ASM!$B$7,ASM!$B$17),0)</f>
        <v>421</v>
      </c>
      <c r="G157" s="10" t="n">
        <f aca="false">CEILING(F157/0.75,5)</f>
        <v>565</v>
      </c>
      <c r="H157" s="9" t="n">
        <f aca="false">G157*0.75</f>
        <v>423.75</v>
      </c>
      <c r="I157" s="7" t="n">
        <f aca="false">ROUND((E157+0.45)/(1-ASM!$B$9),0)</f>
        <v>304</v>
      </c>
      <c r="J157" s="7" t="n">
        <f aca="false">ROUND((E157+0.45)/(1-ASM!$B$9-ASM!$B$10),0)</f>
        <v>365</v>
      </c>
      <c r="K157" s="7" t="str">
        <f aca="false">IF(H157&gt;=I157,"OK","FLOOR ALTI")</f>
        <v>OK</v>
      </c>
    </row>
    <row r="158" customFormat="false" ht="15" hidden="false" customHeight="false" outlineLevel="0" collapsed="false">
      <c r="A158" s="7" t="s">
        <v>49</v>
      </c>
      <c r="B158" s="7" t="n">
        <v>3</v>
      </c>
      <c r="C158" s="7" t="n">
        <v>4</v>
      </c>
      <c r="D158" s="8" t="n">
        <v>2.33</v>
      </c>
      <c r="E158" s="9" t="n">
        <f aca="false">ROUND(D158*ASM!$B$8*IF(A158="10K",ASM!$B$11,IF(A158="14K",ASM!$B$12,ASM!$B$13))*(1+ASM!$B$3)+ASM!$B$16+ASM!$B$5+ASM!$B$6,2)</f>
        <v>261.13</v>
      </c>
      <c r="F158" s="7" t="n">
        <f aca="false">ROUND((D158*ASM!$B$8*IF(A158="10K",ASM!$B$11,IF(A158="14K",ASM!$B$12,ASM!$B$13))*(1+ASM!$B$3)+ASM!$B$16+ASM!$B$5+ASM!$B$6)*IF(B158&lt;=7,ASM!$B$7,ASM!$B$17),0)</f>
        <v>405</v>
      </c>
      <c r="G158" s="10" t="n">
        <f aca="false">CEILING(F158/0.75,5)</f>
        <v>540</v>
      </c>
      <c r="H158" s="9" t="n">
        <f aca="false">G158*0.75</f>
        <v>405</v>
      </c>
      <c r="I158" s="7" t="n">
        <f aca="false">ROUND((E158+0.45)/(1-ASM!$B$9),0)</f>
        <v>292</v>
      </c>
      <c r="J158" s="7" t="n">
        <f aca="false">ROUND((E158+0.45)/(1-ASM!$B$9-ASM!$B$10),0)</f>
        <v>351</v>
      </c>
      <c r="K158" s="7" t="str">
        <f aca="false">IF(H158&gt;=I158,"OK","FLOOR ALTI")</f>
        <v>OK</v>
      </c>
    </row>
    <row r="159" customFormat="false" ht="15" hidden="false" customHeight="false" outlineLevel="0" collapsed="false">
      <c r="A159" s="7" t="s">
        <v>49</v>
      </c>
      <c r="B159" s="7" t="n">
        <v>3</v>
      </c>
      <c r="C159" s="7" t="n">
        <v>5</v>
      </c>
      <c r="D159" s="8" t="n">
        <v>2.45</v>
      </c>
      <c r="E159" s="9" t="n">
        <f aca="false">ROUND(D159*ASM!$B$8*IF(A159="10K",ASM!$B$11,IF(A159="14K",ASM!$B$12,ASM!$B$13))*(1+ASM!$B$3)+ASM!$B$16+ASM!$B$5+ASM!$B$6,2)</f>
        <v>270.97</v>
      </c>
      <c r="F159" s="7" t="n">
        <f aca="false">ROUND((D159*ASM!$B$8*IF(A159="10K",ASM!$B$11,IF(A159="14K",ASM!$B$12,ASM!$B$13))*(1+ASM!$B$3)+ASM!$B$16+ASM!$B$5+ASM!$B$6)*IF(B159&lt;=7,ASM!$B$7,ASM!$B$17),0)</f>
        <v>420</v>
      </c>
      <c r="G159" s="10" t="n">
        <f aca="false">CEILING(F159/0.75,5)</f>
        <v>560</v>
      </c>
      <c r="H159" s="9" t="n">
        <f aca="false">G159*0.75</f>
        <v>420</v>
      </c>
      <c r="I159" s="7" t="n">
        <f aca="false">ROUND((E159+0.45)/(1-ASM!$B$9),0)</f>
        <v>303</v>
      </c>
      <c r="J159" s="7" t="n">
        <f aca="false">ROUND((E159+0.45)/(1-ASM!$B$9-ASM!$B$10),0)</f>
        <v>364</v>
      </c>
      <c r="K159" s="7" t="str">
        <f aca="false">IF(H159&gt;=I159,"OK","FLOOR ALTI")</f>
        <v>OK</v>
      </c>
    </row>
    <row r="160" customFormat="false" ht="15" hidden="false" customHeight="false" outlineLevel="0" collapsed="false">
      <c r="A160" s="7" t="s">
        <v>49</v>
      </c>
      <c r="B160" s="7" t="n">
        <v>3</v>
      </c>
      <c r="C160" s="7" t="n">
        <v>6</v>
      </c>
      <c r="D160" s="8" t="n">
        <v>2.56</v>
      </c>
      <c r="E160" s="9" t="n">
        <f aca="false">ROUND(D160*ASM!$B$8*IF(A160="10K",ASM!$B$11,IF(A160="14K",ASM!$B$12,ASM!$B$13))*(1+ASM!$B$3)+ASM!$B$16+ASM!$B$5+ASM!$B$6,2)</f>
        <v>279.99</v>
      </c>
      <c r="F160" s="7" t="n">
        <f aca="false">ROUND((D160*ASM!$B$8*IF(A160="10K",ASM!$B$11,IF(A160="14K",ASM!$B$12,ASM!$B$13))*(1+ASM!$B$3)+ASM!$B$16+ASM!$B$5+ASM!$B$6)*IF(B160&lt;=7,ASM!$B$7,ASM!$B$17),0)</f>
        <v>434</v>
      </c>
      <c r="G160" s="10" t="n">
        <f aca="false">CEILING(F160/0.75,5)</f>
        <v>580</v>
      </c>
      <c r="H160" s="9" t="n">
        <f aca="false">G160*0.75</f>
        <v>435</v>
      </c>
      <c r="I160" s="7" t="n">
        <f aca="false">ROUND((E160+0.45)/(1-ASM!$B$9),0)</f>
        <v>313</v>
      </c>
      <c r="J160" s="7" t="n">
        <f aca="false">ROUND((E160+0.45)/(1-ASM!$B$9-ASM!$B$10),0)</f>
        <v>376</v>
      </c>
      <c r="K160" s="7" t="str">
        <f aca="false">IF(H160&gt;=I160,"OK","FLOOR ALTI")</f>
        <v>OK</v>
      </c>
    </row>
    <row r="161" customFormat="false" ht="15" hidden="false" customHeight="false" outlineLevel="0" collapsed="false">
      <c r="A161" s="7" t="s">
        <v>49</v>
      </c>
      <c r="B161" s="7" t="n">
        <v>3</v>
      </c>
      <c r="C161" s="7" t="n">
        <v>7</v>
      </c>
      <c r="D161" s="8" t="n">
        <v>2.67</v>
      </c>
      <c r="E161" s="9" t="n">
        <f aca="false">ROUND(D161*ASM!$B$8*IF(A161="10K",ASM!$B$11,IF(A161="14K",ASM!$B$12,ASM!$B$13))*(1+ASM!$B$3)+ASM!$B$16+ASM!$B$5+ASM!$B$6,2)</f>
        <v>289.02</v>
      </c>
      <c r="F161" s="7" t="n">
        <f aca="false">ROUND((D161*ASM!$B$8*IF(A161="10K",ASM!$B$11,IF(A161="14K",ASM!$B$12,ASM!$B$13))*(1+ASM!$B$3)+ASM!$B$16+ASM!$B$5+ASM!$B$6)*IF(B161&lt;=7,ASM!$B$7,ASM!$B$17),0)</f>
        <v>448</v>
      </c>
      <c r="G161" s="10" t="n">
        <f aca="false">CEILING(F161/0.75,5)</f>
        <v>600</v>
      </c>
      <c r="H161" s="9" t="n">
        <f aca="false">G161*0.75</f>
        <v>450</v>
      </c>
      <c r="I161" s="7" t="n">
        <f aca="false">ROUND((E161+0.45)/(1-ASM!$B$9),0)</f>
        <v>323</v>
      </c>
      <c r="J161" s="7" t="n">
        <f aca="false">ROUND((E161+0.45)/(1-ASM!$B$9-ASM!$B$10),0)</f>
        <v>389</v>
      </c>
      <c r="K161" s="7" t="str">
        <f aca="false">IF(H161&gt;=I161,"OK","FLOOR ALTI")</f>
        <v>OK</v>
      </c>
    </row>
    <row r="162" customFormat="false" ht="15" hidden="false" customHeight="false" outlineLevel="0" collapsed="false">
      <c r="A162" s="7" t="s">
        <v>49</v>
      </c>
      <c r="B162" s="7" t="n">
        <v>3</v>
      </c>
      <c r="C162" s="7" t="n">
        <v>8</v>
      </c>
      <c r="D162" s="8" t="n">
        <v>2.79</v>
      </c>
      <c r="E162" s="9" t="n">
        <f aca="false">ROUND(D162*ASM!$B$8*IF(A162="10K",ASM!$B$11,IF(A162="14K",ASM!$B$12,ASM!$B$13))*(1+ASM!$B$3)+ASM!$B$16+ASM!$B$5+ASM!$B$6,2)</f>
        <v>298.86</v>
      </c>
      <c r="F162" s="7" t="n">
        <f aca="false">ROUND((D162*ASM!$B$8*IF(A162="10K",ASM!$B$11,IF(A162="14K",ASM!$B$12,ASM!$B$13))*(1+ASM!$B$3)+ASM!$B$16+ASM!$B$5+ASM!$B$6)*IF(B162&lt;=7,ASM!$B$7,ASM!$B$17),0)</f>
        <v>463</v>
      </c>
      <c r="G162" s="10" t="n">
        <f aca="false">CEILING(F162/0.75,5)</f>
        <v>620</v>
      </c>
      <c r="H162" s="9" t="n">
        <f aca="false">G162*0.75</f>
        <v>465</v>
      </c>
      <c r="I162" s="7" t="n">
        <f aca="false">ROUND((E162+0.45)/(1-ASM!$B$9),0)</f>
        <v>334</v>
      </c>
      <c r="J162" s="7" t="n">
        <f aca="false">ROUND((E162+0.45)/(1-ASM!$B$9-ASM!$B$10),0)</f>
        <v>402</v>
      </c>
      <c r="K162" s="7" t="str">
        <f aca="false">IF(H162&gt;=I162,"OK","FLOOR ALTI")</f>
        <v>OK</v>
      </c>
    </row>
    <row r="163" customFormat="false" ht="15" hidden="false" customHeight="false" outlineLevel="0" collapsed="false">
      <c r="A163" s="7" t="s">
        <v>49</v>
      </c>
      <c r="B163" s="7" t="n">
        <v>3</v>
      </c>
      <c r="C163" s="7" t="n">
        <v>9</v>
      </c>
      <c r="D163" s="8" t="n">
        <v>2.9</v>
      </c>
      <c r="E163" s="9" t="n">
        <f aca="false">ROUND(D163*ASM!$B$8*IF(A163="10K",ASM!$B$11,IF(A163="14K",ASM!$B$12,ASM!$B$13))*(1+ASM!$B$3)+ASM!$B$16+ASM!$B$5+ASM!$B$6,2)</f>
        <v>307.88</v>
      </c>
      <c r="F163" s="7" t="n">
        <f aca="false">ROUND((D163*ASM!$B$8*IF(A163="10K",ASM!$B$11,IF(A163="14K",ASM!$B$12,ASM!$B$13))*(1+ASM!$B$3)+ASM!$B$16+ASM!$B$5+ASM!$B$6)*IF(B163&lt;=7,ASM!$B$7,ASM!$B$17),0)</f>
        <v>477</v>
      </c>
      <c r="G163" s="10" t="n">
        <f aca="false">CEILING(F163/0.75,5)</f>
        <v>640</v>
      </c>
      <c r="H163" s="9" t="n">
        <f aca="false">G163*0.75</f>
        <v>480</v>
      </c>
      <c r="I163" s="7" t="n">
        <f aca="false">ROUND((E163+0.45)/(1-ASM!$B$9),0)</f>
        <v>345</v>
      </c>
      <c r="J163" s="7" t="n">
        <f aca="false">ROUND((E163+0.45)/(1-ASM!$B$9-ASM!$B$10),0)</f>
        <v>414</v>
      </c>
      <c r="K163" s="7" t="str">
        <f aca="false">IF(H163&gt;=I163,"OK","FLOOR ALTI")</f>
        <v>OK</v>
      </c>
    </row>
    <row r="164" customFormat="false" ht="15" hidden="false" customHeight="false" outlineLevel="0" collapsed="false">
      <c r="A164" s="7" t="s">
        <v>49</v>
      </c>
      <c r="B164" s="7" t="n">
        <v>3</v>
      </c>
      <c r="C164" s="7" t="n">
        <v>10</v>
      </c>
      <c r="D164" s="8" t="n">
        <v>3.01</v>
      </c>
      <c r="E164" s="9" t="n">
        <f aca="false">ROUND(D164*ASM!$B$8*IF(A164="10K",ASM!$B$11,IF(A164="14K",ASM!$B$12,ASM!$B$13))*(1+ASM!$B$3)+ASM!$B$16+ASM!$B$5+ASM!$B$6,2)</f>
        <v>316.91</v>
      </c>
      <c r="F164" s="7" t="n">
        <f aca="false">ROUND((D164*ASM!$B$8*IF(A164="10K",ASM!$B$11,IF(A164="14K",ASM!$B$12,ASM!$B$13))*(1+ASM!$B$3)+ASM!$B$16+ASM!$B$5+ASM!$B$6)*IF(B164&lt;=7,ASM!$B$7,ASM!$B$17),0)</f>
        <v>491</v>
      </c>
      <c r="G164" s="10" t="n">
        <f aca="false">CEILING(F164/0.75,5)</f>
        <v>655</v>
      </c>
      <c r="H164" s="9" t="n">
        <f aca="false">G164*0.75</f>
        <v>491.25</v>
      </c>
      <c r="I164" s="7" t="n">
        <f aca="false">ROUND((E164+0.45)/(1-ASM!$B$9),0)</f>
        <v>355</v>
      </c>
      <c r="J164" s="7" t="n">
        <f aca="false">ROUND((E164+0.45)/(1-ASM!$B$9-ASM!$B$10),0)</f>
        <v>426</v>
      </c>
      <c r="K164" s="7" t="str">
        <f aca="false">IF(H164&gt;=I164,"OK","FLOOR ALTI")</f>
        <v>OK</v>
      </c>
    </row>
    <row r="165" customFormat="false" ht="15" hidden="false" customHeight="false" outlineLevel="0" collapsed="false">
      <c r="A165" s="7" t="s">
        <v>49</v>
      </c>
      <c r="B165" s="7" t="n">
        <v>3</v>
      </c>
      <c r="C165" s="7" t="n">
        <v>11</v>
      </c>
      <c r="D165" s="8" t="n">
        <v>3.12</v>
      </c>
      <c r="E165" s="9" t="n">
        <f aca="false">ROUND(D165*ASM!$B$8*IF(A165="10K",ASM!$B$11,IF(A165="14K",ASM!$B$12,ASM!$B$13))*(1+ASM!$B$3)+ASM!$B$16+ASM!$B$5+ASM!$B$6,2)</f>
        <v>325.93</v>
      </c>
      <c r="F165" s="7" t="n">
        <f aca="false">ROUND((D165*ASM!$B$8*IF(A165="10K",ASM!$B$11,IF(A165="14K",ASM!$B$12,ASM!$B$13))*(1+ASM!$B$3)+ASM!$B$16+ASM!$B$5+ASM!$B$6)*IF(B165&lt;=7,ASM!$B$7,ASM!$B$17),0)</f>
        <v>505</v>
      </c>
      <c r="G165" s="10" t="n">
        <f aca="false">CEILING(F165/0.75,5)</f>
        <v>675</v>
      </c>
      <c r="H165" s="9" t="n">
        <f aca="false">G165*0.75</f>
        <v>506.25</v>
      </c>
      <c r="I165" s="7" t="n">
        <f aca="false">ROUND((E165+0.45)/(1-ASM!$B$9),0)</f>
        <v>365</v>
      </c>
      <c r="J165" s="7" t="n">
        <f aca="false">ROUND((E165+0.45)/(1-ASM!$B$9-ASM!$B$10),0)</f>
        <v>438</v>
      </c>
      <c r="K165" s="7" t="str">
        <f aca="false">IF(H165&gt;=I165,"OK","FLOOR ALTI")</f>
        <v>OK</v>
      </c>
    </row>
    <row r="166" customFormat="false" ht="15" hidden="false" customHeight="false" outlineLevel="0" collapsed="false">
      <c r="A166" s="7" t="s">
        <v>49</v>
      </c>
      <c r="B166" s="7" t="n">
        <v>3</v>
      </c>
      <c r="C166" s="7" t="n">
        <v>12</v>
      </c>
      <c r="D166" s="8" t="n">
        <v>3.24</v>
      </c>
      <c r="E166" s="9" t="n">
        <f aca="false">ROUND(D166*ASM!$B$8*IF(A166="10K",ASM!$B$11,IF(A166="14K",ASM!$B$12,ASM!$B$13))*(1+ASM!$B$3)+ASM!$B$16+ASM!$B$5+ASM!$B$6,2)</f>
        <v>335.77</v>
      </c>
      <c r="F166" s="7" t="n">
        <f aca="false">ROUND((D166*ASM!$B$8*IF(A166="10K",ASM!$B$11,IF(A166="14K",ASM!$B$12,ASM!$B$13))*(1+ASM!$B$3)+ASM!$B$16+ASM!$B$5+ASM!$B$6)*IF(B166&lt;=7,ASM!$B$7,ASM!$B$17),0)</f>
        <v>520</v>
      </c>
      <c r="G166" s="10" t="n">
        <f aca="false">CEILING(F166/0.75,5)</f>
        <v>695</v>
      </c>
      <c r="H166" s="9" t="n">
        <f aca="false">G166*0.75</f>
        <v>521.25</v>
      </c>
      <c r="I166" s="7" t="n">
        <f aca="false">ROUND((E166+0.45)/(1-ASM!$B$9),0)</f>
        <v>376</v>
      </c>
      <c r="J166" s="7" t="n">
        <f aca="false">ROUND((E166+0.45)/(1-ASM!$B$9-ASM!$B$10),0)</f>
        <v>451</v>
      </c>
      <c r="K166" s="7" t="str">
        <f aca="false">IF(H166&gt;=I166,"OK","FLOOR ALTI")</f>
        <v>OK</v>
      </c>
    </row>
    <row r="167" customFormat="false" ht="15" hidden="false" customHeight="false" outlineLevel="0" collapsed="false">
      <c r="A167" s="7" t="s">
        <v>49</v>
      </c>
      <c r="B167" s="7" t="n">
        <v>3</v>
      </c>
      <c r="C167" s="7" t="n">
        <v>13</v>
      </c>
      <c r="D167" s="8" t="n">
        <v>3.35</v>
      </c>
      <c r="E167" s="9" t="n">
        <f aca="false">ROUND(D167*ASM!$B$8*IF(A167="10K",ASM!$B$11,IF(A167="14K",ASM!$B$12,ASM!$B$13))*(1+ASM!$B$3)+ASM!$B$16+ASM!$B$5+ASM!$B$6,2)</f>
        <v>344.8</v>
      </c>
      <c r="F167" s="7" t="n">
        <f aca="false">ROUND((D167*ASM!$B$8*IF(A167="10K",ASM!$B$11,IF(A167="14K",ASM!$B$12,ASM!$B$13))*(1+ASM!$B$3)+ASM!$B$16+ASM!$B$5+ASM!$B$6)*IF(B167&lt;=7,ASM!$B$7,ASM!$B$17),0)</f>
        <v>534</v>
      </c>
      <c r="G167" s="10" t="n">
        <f aca="false">CEILING(F167/0.75,5)</f>
        <v>715</v>
      </c>
      <c r="H167" s="9" t="n">
        <f aca="false">G167*0.75</f>
        <v>536.25</v>
      </c>
      <c r="I167" s="7" t="n">
        <f aca="false">ROUND((E167+0.45)/(1-ASM!$B$9),0)</f>
        <v>386</v>
      </c>
      <c r="J167" s="7" t="n">
        <f aca="false">ROUND((E167+0.45)/(1-ASM!$B$9-ASM!$B$10),0)</f>
        <v>463</v>
      </c>
      <c r="K167" s="7" t="str">
        <f aca="false">IF(H167&gt;=I167,"OK","FLOOR ALTI")</f>
        <v>OK</v>
      </c>
    </row>
    <row r="168" customFormat="false" ht="15" hidden="false" customHeight="false" outlineLevel="0" collapsed="false">
      <c r="A168" s="7" t="s">
        <v>49</v>
      </c>
      <c r="B168" s="7" t="n">
        <v>3</v>
      </c>
      <c r="C168" s="7" t="n">
        <v>14</v>
      </c>
      <c r="D168" s="8" t="n">
        <v>3.46</v>
      </c>
      <c r="E168" s="9" t="n">
        <f aca="false">ROUND(D168*ASM!$B$8*IF(A168="10K",ASM!$B$11,IF(A168="14K",ASM!$B$12,ASM!$B$13))*(1+ASM!$B$3)+ASM!$B$16+ASM!$B$5+ASM!$B$6,2)</f>
        <v>353.82</v>
      </c>
      <c r="F168" s="7" t="n">
        <f aca="false">ROUND((D168*ASM!$B$8*IF(A168="10K",ASM!$B$11,IF(A168="14K",ASM!$B$12,ASM!$B$13))*(1+ASM!$B$3)+ASM!$B$16+ASM!$B$5+ASM!$B$6)*IF(B168&lt;=7,ASM!$B$7,ASM!$B$17),0)</f>
        <v>548</v>
      </c>
      <c r="G168" s="10" t="n">
        <f aca="false">CEILING(F168/0.75,5)</f>
        <v>735</v>
      </c>
      <c r="H168" s="9" t="n">
        <f aca="false">G168*0.75</f>
        <v>551.25</v>
      </c>
      <c r="I168" s="7" t="n">
        <f aca="false">ROUND((E168+0.45)/(1-ASM!$B$9),0)</f>
        <v>396</v>
      </c>
      <c r="J168" s="7" t="n">
        <f aca="false">ROUND((E168+0.45)/(1-ASM!$B$9-ASM!$B$10),0)</f>
        <v>476</v>
      </c>
      <c r="K168" s="7" t="str">
        <f aca="false">IF(H168&gt;=I168,"OK","FLOOR ALTI")</f>
        <v>OK</v>
      </c>
    </row>
    <row r="169" customFormat="false" ht="15" hidden="false" customHeight="false" outlineLevel="0" collapsed="false">
      <c r="A169" s="7" t="s">
        <v>49</v>
      </c>
      <c r="B169" s="7" t="n">
        <v>3</v>
      </c>
      <c r="C169" s="7" t="n">
        <v>15</v>
      </c>
      <c r="D169" s="8" t="n">
        <v>3.58</v>
      </c>
      <c r="E169" s="9" t="n">
        <f aca="false">ROUND(D169*ASM!$B$8*IF(A169="10K",ASM!$B$11,IF(A169="14K",ASM!$B$12,ASM!$B$13))*(1+ASM!$B$3)+ASM!$B$16+ASM!$B$5+ASM!$B$6,2)</f>
        <v>363.66</v>
      </c>
      <c r="F169" s="7" t="n">
        <f aca="false">ROUND((D169*ASM!$B$8*IF(A169="10K",ASM!$B$11,IF(A169="14K",ASM!$B$12,ASM!$B$13))*(1+ASM!$B$3)+ASM!$B$16+ASM!$B$5+ASM!$B$6)*IF(B169&lt;=7,ASM!$B$7,ASM!$B$17),0)</f>
        <v>564</v>
      </c>
      <c r="G169" s="10" t="n">
        <f aca="false">CEILING(F169/0.75,5)</f>
        <v>755</v>
      </c>
      <c r="H169" s="9" t="n">
        <f aca="false">G169*0.75</f>
        <v>566.25</v>
      </c>
      <c r="I169" s="7" t="n">
        <f aca="false">ROUND((E169+0.45)/(1-ASM!$B$9),0)</f>
        <v>407</v>
      </c>
      <c r="J169" s="7" t="n">
        <f aca="false">ROUND((E169+0.45)/(1-ASM!$B$9-ASM!$B$10),0)</f>
        <v>489</v>
      </c>
      <c r="K169" s="7" t="str">
        <f aca="false">IF(H169&gt;=I169,"OK","FLOOR ALTI")</f>
        <v>OK</v>
      </c>
    </row>
    <row r="170" customFormat="false" ht="15" hidden="false" customHeight="false" outlineLevel="0" collapsed="false">
      <c r="A170" s="7" t="s">
        <v>49</v>
      </c>
      <c r="B170" s="7" t="n">
        <v>3</v>
      </c>
      <c r="C170" s="7" t="n">
        <v>16</v>
      </c>
      <c r="D170" s="8" t="n">
        <v>3.69</v>
      </c>
      <c r="E170" s="9" t="n">
        <f aca="false">ROUND(D170*ASM!$B$8*IF(A170="10K",ASM!$B$11,IF(A170="14K",ASM!$B$12,ASM!$B$13))*(1+ASM!$B$3)+ASM!$B$16+ASM!$B$5+ASM!$B$6,2)</f>
        <v>372.69</v>
      </c>
      <c r="F170" s="7" t="n">
        <f aca="false">ROUND((D170*ASM!$B$8*IF(A170="10K",ASM!$B$11,IF(A170="14K",ASM!$B$12,ASM!$B$13))*(1+ASM!$B$3)+ASM!$B$16+ASM!$B$5+ASM!$B$6)*IF(B170&lt;=7,ASM!$B$7,ASM!$B$17),0)</f>
        <v>578</v>
      </c>
      <c r="G170" s="10" t="n">
        <f aca="false">CEILING(F170/0.75,5)</f>
        <v>775</v>
      </c>
      <c r="H170" s="9" t="n">
        <f aca="false">G170*0.75</f>
        <v>581.25</v>
      </c>
      <c r="I170" s="7" t="n">
        <f aca="false">ROUND((E170+0.45)/(1-ASM!$B$9),0)</f>
        <v>417</v>
      </c>
      <c r="J170" s="7" t="n">
        <f aca="false">ROUND((E170+0.45)/(1-ASM!$B$9-ASM!$B$10),0)</f>
        <v>501</v>
      </c>
      <c r="K170" s="7" t="str">
        <f aca="false">IF(H170&gt;=I170,"OK","FLOOR ALTI")</f>
        <v>OK</v>
      </c>
    </row>
    <row r="171" customFormat="false" ht="15" hidden="false" customHeight="false" outlineLevel="0" collapsed="false">
      <c r="A171" s="7" t="s">
        <v>49</v>
      </c>
      <c r="B171" s="7" t="n">
        <v>4</v>
      </c>
      <c r="C171" s="7" t="n">
        <v>4</v>
      </c>
      <c r="D171" s="8" t="n">
        <v>3.11</v>
      </c>
      <c r="E171" s="9" t="n">
        <f aca="false">ROUND(D171*ASM!$B$8*IF(A171="10K",ASM!$B$11,IF(A171="14K",ASM!$B$12,ASM!$B$13))*(1+ASM!$B$3)+ASM!$B$16+ASM!$B$5+ASM!$B$6,2)</f>
        <v>325.11</v>
      </c>
      <c r="F171" s="7" t="n">
        <f aca="false">ROUND((D171*ASM!$B$8*IF(A171="10K",ASM!$B$11,IF(A171="14K",ASM!$B$12,ASM!$B$13))*(1+ASM!$B$3)+ASM!$B$16+ASM!$B$5+ASM!$B$6)*IF(B171&lt;=7,ASM!$B$7,ASM!$B$17),0)</f>
        <v>504</v>
      </c>
      <c r="G171" s="10" t="n">
        <f aca="false">CEILING(F171/0.75,5)</f>
        <v>675</v>
      </c>
      <c r="H171" s="9" t="n">
        <f aca="false">G171*0.75</f>
        <v>506.25</v>
      </c>
      <c r="I171" s="7" t="n">
        <f aca="false">ROUND((E171+0.45)/(1-ASM!$B$9),0)</f>
        <v>364</v>
      </c>
      <c r="J171" s="7" t="n">
        <f aca="false">ROUND((E171+0.45)/(1-ASM!$B$9-ASM!$B$10),0)</f>
        <v>437</v>
      </c>
      <c r="K171" s="7" t="str">
        <f aca="false">IF(H171&gt;=I171,"OK","FLOOR ALTI")</f>
        <v>OK</v>
      </c>
    </row>
    <row r="172" customFormat="false" ht="15" hidden="false" customHeight="false" outlineLevel="0" collapsed="false">
      <c r="A172" s="7" t="s">
        <v>49</v>
      </c>
      <c r="B172" s="7" t="n">
        <v>4</v>
      </c>
      <c r="C172" s="7" t="n">
        <v>5</v>
      </c>
      <c r="D172" s="8" t="n">
        <v>3.26</v>
      </c>
      <c r="E172" s="9" t="n">
        <f aca="false">ROUND(D172*ASM!$B$8*IF(A172="10K",ASM!$B$11,IF(A172="14K",ASM!$B$12,ASM!$B$13))*(1+ASM!$B$3)+ASM!$B$16+ASM!$B$5+ASM!$B$6,2)</f>
        <v>337.41</v>
      </c>
      <c r="F172" s="7" t="n">
        <f aca="false">ROUND((D172*ASM!$B$8*IF(A172="10K",ASM!$B$11,IF(A172="14K",ASM!$B$12,ASM!$B$13))*(1+ASM!$B$3)+ASM!$B$16+ASM!$B$5+ASM!$B$6)*IF(B172&lt;=7,ASM!$B$7,ASM!$B$17),0)</f>
        <v>523</v>
      </c>
      <c r="G172" s="10" t="n">
        <f aca="false">CEILING(F172/0.75,5)</f>
        <v>700</v>
      </c>
      <c r="H172" s="9" t="n">
        <f aca="false">G172*0.75</f>
        <v>525</v>
      </c>
      <c r="I172" s="7" t="n">
        <f aca="false">ROUND((E172+0.45)/(1-ASM!$B$9),0)</f>
        <v>377</v>
      </c>
      <c r="J172" s="7" t="n">
        <f aca="false">ROUND((E172+0.45)/(1-ASM!$B$9-ASM!$B$10),0)</f>
        <v>454</v>
      </c>
      <c r="K172" s="7" t="str">
        <f aca="false">IF(H172&gt;=I172,"OK","FLOOR ALTI")</f>
        <v>OK</v>
      </c>
    </row>
    <row r="173" customFormat="false" ht="15" hidden="false" customHeight="false" outlineLevel="0" collapsed="false">
      <c r="A173" s="7" t="s">
        <v>49</v>
      </c>
      <c r="B173" s="7" t="n">
        <v>4</v>
      </c>
      <c r="C173" s="7" t="n">
        <v>6</v>
      </c>
      <c r="D173" s="8" t="n">
        <v>3.41</v>
      </c>
      <c r="E173" s="9" t="n">
        <f aca="false">ROUND(D173*ASM!$B$8*IF(A173="10K",ASM!$B$11,IF(A173="14K",ASM!$B$12,ASM!$B$13))*(1+ASM!$B$3)+ASM!$B$16+ASM!$B$5+ASM!$B$6,2)</f>
        <v>349.72</v>
      </c>
      <c r="F173" s="7" t="n">
        <f aca="false">ROUND((D173*ASM!$B$8*IF(A173="10K",ASM!$B$11,IF(A173="14K",ASM!$B$12,ASM!$B$13))*(1+ASM!$B$3)+ASM!$B$16+ASM!$B$5+ASM!$B$6)*IF(B173&lt;=7,ASM!$B$7,ASM!$B$17),0)</f>
        <v>542</v>
      </c>
      <c r="G173" s="10" t="n">
        <f aca="false">CEILING(F173/0.75,5)</f>
        <v>725</v>
      </c>
      <c r="H173" s="9" t="n">
        <f aca="false">G173*0.75</f>
        <v>543.75</v>
      </c>
      <c r="I173" s="7" t="n">
        <f aca="false">ROUND((E173+0.45)/(1-ASM!$B$9),0)</f>
        <v>391</v>
      </c>
      <c r="J173" s="7" t="n">
        <f aca="false">ROUND((E173+0.45)/(1-ASM!$B$9-ASM!$B$10),0)</f>
        <v>470</v>
      </c>
      <c r="K173" s="7" t="str">
        <f aca="false">IF(H173&gt;=I173,"OK","FLOOR ALTI")</f>
        <v>OK</v>
      </c>
    </row>
    <row r="174" customFormat="false" ht="15" hidden="false" customHeight="false" outlineLevel="0" collapsed="false">
      <c r="A174" s="7" t="s">
        <v>49</v>
      </c>
      <c r="B174" s="7" t="n">
        <v>4</v>
      </c>
      <c r="C174" s="7" t="n">
        <v>7</v>
      </c>
      <c r="D174" s="8" t="n">
        <v>3.56</v>
      </c>
      <c r="E174" s="9" t="n">
        <f aca="false">ROUND(D174*ASM!$B$8*IF(A174="10K",ASM!$B$11,IF(A174="14K",ASM!$B$12,ASM!$B$13))*(1+ASM!$B$3)+ASM!$B$16+ASM!$B$5+ASM!$B$6,2)</f>
        <v>362.02</v>
      </c>
      <c r="F174" s="7" t="n">
        <f aca="false">ROUND((D174*ASM!$B$8*IF(A174="10K",ASM!$B$11,IF(A174="14K",ASM!$B$12,ASM!$B$13))*(1+ASM!$B$3)+ASM!$B$16+ASM!$B$5+ASM!$B$6)*IF(B174&lt;=7,ASM!$B$7,ASM!$B$17),0)</f>
        <v>561</v>
      </c>
      <c r="G174" s="10" t="n">
        <f aca="false">CEILING(F174/0.75,5)</f>
        <v>750</v>
      </c>
      <c r="H174" s="9" t="n">
        <f aca="false">G174*0.75</f>
        <v>562.5</v>
      </c>
      <c r="I174" s="7" t="n">
        <f aca="false">ROUND((E174+0.45)/(1-ASM!$B$9),0)</f>
        <v>405</v>
      </c>
      <c r="J174" s="7" t="n">
        <f aca="false">ROUND((E174+0.45)/(1-ASM!$B$9-ASM!$B$10),0)</f>
        <v>487</v>
      </c>
      <c r="K174" s="7" t="str">
        <f aca="false">IF(H174&gt;=I174,"OK","FLOOR ALTI")</f>
        <v>OK</v>
      </c>
    </row>
    <row r="175" customFormat="false" ht="15" hidden="false" customHeight="false" outlineLevel="0" collapsed="false">
      <c r="A175" s="7" t="s">
        <v>49</v>
      </c>
      <c r="B175" s="7" t="n">
        <v>4</v>
      </c>
      <c r="C175" s="7" t="n">
        <v>8</v>
      </c>
      <c r="D175" s="8" t="n">
        <v>3.71</v>
      </c>
      <c r="E175" s="9" t="n">
        <f aca="false">ROUND(D175*ASM!$B$8*IF(A175="10K",ASM!$B$11,IF(A175="14K",ASM!$B$12,ASM!$B$13))*(1+ASM!$B$3)+ASM!$B$16+ASM!$B$5+ASM!$B$6,2)</f>
        <v>374.33</v>
      </c>
      <c r="F175" s="7" t="n">
        <f aca="false">ROUND((D175*ASM!$B$8*IF(A175="10K",ASM!$B$11,IF(A175="14K",ASM!$B$12,ASM!$B$13))*(1+ASM!$B$3)+ASM!$B$16+ASM!$B$5+ASM!$B$6)*IF(B175&lt;=7,ASM!$B$7,ASM!$B$17),0)</f>
        <v>580</v>
      </c>
      <c r="G175" s="10" t="n">
        <f aca="false">CEILING(F175/0.75,5)</f>
        <v>775</v>
      </c>
      <c r="H175" s="9" t="n">
        <f aca="false">G175*0.75</f>
        <v>581.25</v>
      </c>
      <c r="I175" s="7" t="n">
        <f aca="false">ROUND((E175+0.45)/(1-ASM!$B$9),0)</f>
        <v>419</v>
      </c>
      <c r="J175" s="7" t="n">
        <f aca="false">ROUND((E175+0.45)/(1-ASM!$B$9-ASM!$B$10),0)</f>
        <v>503</v>
      </c>
      <c r="K175" s="7" t="str">
        <f aca="false">IF(H175&gt;=I175,"OK","FLOOR ALTI")</f>
        <v>OK</v>
      </c>
    </row>
    <row r="176" customFormat="false" ht="15" hidden="false" customHeight="false" outlineLevel="0" collapsed="false">
      <c r="A176" s="7" t="s">
        <v>49</v>
      </c>
      <c r="B176" s="7" t="n">
        <v>4</v>
      </c>
      <c r="C176" s="7" t="n">
        <v>9</v>
      </c>
      <c r="D176" s="8" t="n">
        <v>3.86</v>
      </c>
      <c r="E176" s="9" t="n">
        <f aca="false">ROUND(D176*ASM!$B$8*IF(A176="10K",ASM!$B$11,IF(A176="14K",ASM!$B$12,ASM!$B$13))*(1+ASM!$B$3)+ASM!$B$16+ASM!$B$5+ASM!$B$6,2)</f>
        <v>386.63</v>
      </c>
      <c r="F176" s="7" t="n">
        <f aca="false">ROUND((D176*ASM!$B$8*IF(A176="10K",ASM!$B$11,IF(A176="14K",ASM!$B$12,ASM!$B$13))*(1+ASM!$B$3)+ASM!$B$16+ASM!$B$5+ASM!$B$6)*IF(B176&lt;=7,ASM!$B$7,ASM!$B$17),0)</f>
        <v>599</v>
      </c>
      <c r="G176" s="10" t="n">
        <f aca="false">CEILING(F176/0.75,5)</f>
        <v>800</v>
      </c>
      <c r="H176" s="9" t="n">
        <f aca="false">G176*0.75</f>
        <v>600</v>
      </c>
      <c r="I176" s="7" t="n">
        <f aca="false">ROUND((E176+0.45)/(1-ASM!$B$9),0)</f>
        <v>432</v>
      </c>
      <c r="J176" s="7" t="n">
        <f aca="false">ROUND((E176+0.45)/(1-ASM!$B$9-ASM!$B$10),0)</f>
        <v>520</v>
      </c>
      <c r="K176" s="7" t="str">
        <f aca="false">IF(H176&gt;=I176,"OK","FLOOR ALTI")</f>
        <v>OK</v>
      </c>
    </row>
    <row r="177" customFormat="false" ht="15" hidden="false" customHeight="false" outlineLevel="0" collapsed="false">
      <c r="A177" s="7" t="s">
        <v>49</v>
      </c>
      <c r="B177" s="7" t="n">
        <v>4</v>
      </c>
      <c r="C177" s="7" t="n">
        <v>10</v>
      </c>
      <c r="D177" s="8" t="n">
        <v>4.01</v>
      </c>
      <c r="E177" s="9" t="n">
        <f aca="false">ROUND(D177*ASM!$B$8*IF(A177="10K",ASM!$B$11,IF(A177="14K",ASM!$B$12,ASM!$B$13))*(1+ASM!$B$3)+ASM!$B$16+ASM!$B$5+ASM!$B$6,2)</f>
        <v>398.94</v>
      </c>
      <c r="F177" s="7" t="n">
        <f aca="false">ROUND((D177*ASM!$B$8*IF(A177="10K",ASM!$B$11,IF(A177="14K",ASM!$B$12,ASM!$B$13))*(1+ASM!$B$3)+ASM!$B$16+ASM!$B$5+ASM!$B$6)*IF(B177&lt;=7,ASM!$B$7,ASM!$B$17),0)</f>
        <v>618</v>
      </c>
      <c r="G177" s="10" t="n">
        <f aca="false">CEILING(F177/0.75,5)</f>
        <v>825</v>
      </c>
      <c r="H177" s="9" t="n">
        <f aca="false">G177*0.75</f>
        <v>618.75</v>
      </c>
      <c r="I177" s="7" t="n">
        <f aca="false">ROUND((E177+0.45)/(1-ASM!$B$9),0)</f>
        <v>446</v>
      </c>
      <c r="J177" s="7" t="n">
        <f aca="false">ROUND((E177+0.45)/(1-ASM!$B$9-ASM!$B$10),0)</f>
        <v>536</v>
      </c>
      <c r="K177" s="7" t="str">
        <f aca="false">IF(H177&gt;=I177,"OK","FLOOR ALTI")</f>
        <v>OK</v>
      </c>
    </row>
    <row r="178" customFormat="false" ht="15" hidden="false" customHeight="false" outlineLevel="0" collapsed="false">
      <c r="A178" s="7" t="s">
        <v>49</v>
      </c>
      <c r="B178" s="7" t="n">
        <v>4</v>
      </c>
      <c r="C178" s="7" t="n">
        <v>11</v>
      </c>
      <c r="D178" s="8" t="n">
        <v>4.17</v>
      </c>
      <c r="E178" s="9" t="n">
        <f aca="false">ROUND(D178*ASM!$B$8*IF(A178="10K",ASM!$B$11,IF(A178="14K",ASM!$B$12,ASM!$B$13))*(1+ASM!$B$3)+ASM!$B$16+ASM!$B$5+ASM!$B$6,2)</f>
        <v>412.06</v>
      </c>
      <c r="F178" s="7" t="n">
        <f aca="false">ROUND((D178*ASM!$B$8*IF(A178="10K",ASM!$B$11,IF(A178="14K",ASM!$B$12,ASM!$B$13))*(1+ASM!$B$3)+ASM!$B$16+ASM!$B$5+ASM!$B$6)*IF(B178&lt;=7,ASM!$B$7,ASM!$B$17),0)</f>
        <v>639</v>
      </c>
      <c r="G178" s="10" t="n">
        <f aca="false">CEILING(F178/0.75,5)</f>
        <v>855</v>
      </c>
      <c r="H178" s="9" t="n">
        <f aca="false">G178*0.75</f>
        <v>641.25</v>
      </c>
      <c r="I178" s="7" t="n">
        <f aca="false">ROUND((E178+0.45)/(1-ASM!$B$9),0)</f>
        <v>461</v>
      </c>
      <c r="J178" s="7" t="n">
        <f aca="false">ROUND((E178+0.45)/(1-ASM!$B$9-ASM!$B$10),0)</f>
        <v>554</v>
      </c>
      <c r="K178" s="7" t="str">
        <f aca="false">IF(H178&gt;=I178,"OK","FLOOR ALTI")</f>
        <v>OK</v>
      </c>
    </row>
    <row r="179" customFormat="false" ht="15" hidden="false" customHeight="false" outlineLevel="0" collapsed="false">
      <c r="A179" s="7" t="s">
        <v>49</v>
      </c>
      <c r="B179" s="7" t="n">
        <v>4</v>
      </c>
      <c r="C179" s="7" t="n">
        <v>12</v>
      </c>
      <c r="D179" s="8" t="n">
        <v>4.32</v>
      </c>
      <c r="E179" s="9" t="n">
        <f aca="false">ROUND(D179*ASM!$B$8*IF(A179="10K",ASM!$B$11,IF(A179="14K",ASM!$B$12,ASM!$B$13))*(1+ASM!$B$3)+ASM!$B$16+ASM!$B$5+ASM!$B$6,2)</f>
        <v>424.36</v>
      </c>
      <c r="F179" s="7" t="n">
        <f aca="false">ROUND((D179*ASM!$B$8*IF(A179="10K",ASM!$B$11,IF(A179="14K",ASM!$B$12,ASM!$B$13))*(1+ASM!$B$3)+ASM!$B$16+ASM!$B$5+ASM!$B$6)*IF(B179&lt;=7,ASM!$B$7,ASM!$B$17),0)</f>
        <v>658</v>
      </c>
      <c r="G179" s="10" t="n">
        <f aca="false">CEILING(F179/0.75,5)</f>
        <v>880</v>
      </c>
      <c r="H179" s="9" t="n">
        <f aca="false">G179*0.75</f>
        <v>660</v>
      </c>
      <c r="I179" s="7" t="n">
        <f aca="false">ROUND((E179+0.45)/(1-ASM!$B$9),0)</f>
        <v>475</v>
      </c>
      <c r="J179" s="7" t="n">
        <f aca="false">ROUND((E179+0.45)/(1-ASM!$B$9-ASM!$B$10),0)</f>
        <v>570</v>
      </c>
      <c r="K179" s="7" t="str">
        <f aca="false">IF(H179&gt;=I179,"OK","FLOOR ALTI")</f>
        <v>OK</v>
      </c>
    </row>
    <row r="180" customFormat="false" ht="15" hidden="false" customHeight="false" outlineLevel="0" collapsed="false">
      <c r="A180" s="7" t="s">
        <v>49</v>
      </c>
      <c r="B180" s="7" t="n">
        <v>4</v>
      </c>
      <c r="C180" s="7" t="n">
        <v>13</v>
      </c>
      <c r="D180" s="8" t="n">
        <v>4.47</v>
      </c>
      <c r="E180" s="9" t="n">
        <f aca="false">ROUND(D180*ASM!$B$8*IF(A180="10K",ASM!$B$11,IF(A180="14K",ASM!$B$12,ASM!$B$13))*(1+ASM!$B$3)+ASM!$B$16+ASM!$B$5+ASM!$B$6,2)</f>
        <v>436.67</v>
      </c>
      <c r="F180" s="7" t="n">
        <f aca="false">ROUND((D180*ASM!$B$8*IF(A180="10K",ASM!$B$11,IF(A180="14K",ASM!$B$12,ASM!$B$13))*(1+ASM!$B$3)+ASM!$B$16+ASM!$B$5+ASM!$B$6)*IF(B180&lt;=7,ASM!$B$7,ASM!$B$17),0)</f>
        <v>677</v>
      </c>
      <c r="G180" s="10" t="n">
        <f aca="false">CEILING(F180/0.75,5)</f>
        <v>905</v>
      </c>
      <c r="H180" s="9" t="n">
        <f aca="false">G180*0.75</f>
        <v>678.75</v>
      </c>
      <c r="I180" s="7" t="n">
        <f aca="false">ROUND((E180+0.45)/(1-ASM!$B$9),0)</f>
        <v>488</v>
      </c>
      <c r="J180" s="7" t="n">
        <f aca="false">ROUND((E180+0.45)/(1-ASM!$B$9-ASM!$B$10),0)</f>
        <v>587</v>
      </c>
      <c r="K180" s="7" t="str">
        <f aca="false">IF(H180&gt;=I180,"OK","FLOOR ALTI")</f>
        <v>OK</v>
      </c>
    </row>
    <row r="181" customFormat="false" ht="15" hidden="false" customHeight="false" outlineLevel="0" collapsed="false">
      <c r="A181" s="7" t="s">
        <v>49</v>
      </c>
      <c r="B181" s="7" t="n">
        <v>4</v>
      </c>
      <c r="C181" s="7" t="n">
        <v>14</v>
      </c>
      <c r="D181" s="8" t="n">
        <v>4.62</v>
      </c>
      <c r="E181" s="9" t="n">
        <f aca="false">ROUND(D181*ASM!$B$8*IF(A181="10K",ASM!$B$11,IF(A181="14K",ASM!$B$12,ASM!$B$13))*(1+ASM!$B$3)+ASM!$B$16+ASM!$B$5+ASM!$B$6,2)</f>
        <v>448.97</v>
      </c>
      <c r="F181" s="7" t="n">
        <f aca="false">ROUND((D181*ASM!$B$8*IF(A181="10K",ASM!$B$11,IF(A181="14K",ASM!$B$12,ASM!$B$13))*(1+ASM!$B$3)+ASM!$B$16+ASM!$B$5+ASM!$B$6)*IF(B181&lt;=7,ASM!$B$7,ASM!$B$17),0)</f>
        <v>696</v>
      </c>
      <c r="G181" s="10" t="n">
        <f aca="false">CEILING(F181/0.75,5)</f>
        <v>930</v>
      </c>
      <c r="H181" s="9" t="n">
        <f aca="false">G181*0.75</f>
        <v>697.5</v>
      </c>
      <c r="I181" s="7" t="n">
        <f aca="false">ROUND((E181+0.45)/(1-ASM!$B$9),0)</f>
        <v>502</v>
      </c>
      <c r="J181" s="7" t="n">
        <f aca="false">ROUND((E181+0.45)/(1-ASM!$B$9-ASM!$B$10),0)</f>
        <v>603</v>
      </c>
      <c r="K181" s="7" t="str">
        <f aca="false">IF(H181&gt;=I181,"OK","FLOOR ALTI")</f>
        <v>OK</v>
      </c>
    </row>
    <row r="182" customFormat="false" ht="15" hidden="false" customHeight="false" outlineLevel="0" collapsed="false">
      <c r="A182" s="7" t="s">
        <v>49</v>
      </c>
      <c r="B182" s="7" t="n">
        <v>4</v>
      </c>
      <c r="C182" s="7" t="n">
        <v>15</v>
      </c>
      <c r="D182" s="8" t="n">
        <v>4.77</v>
      </c>
      <c r="E182" s="9" t="n">
        <f aca="false">ROUND(D182*ASM!$B$8*IF(A182="10K",ASM!$B$11,IF(A182="14K",ASM!$B$12,ASM!$B$13))*(1+ASM!$B$3)+ASM!$B$16+ASM!$B$5+ASM!$B$6,2)</f>
        <v>461.28</v>
      </c>
      <c r="F182" s="7" t="n">
        <f aca="false">ROUND((D182*ASM!$B$8*IF(A182="10K",ASM!$B$11,IF(A182="14K",ASM!$B$12,ASM!$B$13))*(1+ASM!$B$3)+ASM!$B$16+ASM!$B$5+ASM!$B$6)*IF(B182&lt;=7,ASM!$B$7,ASM!$B$17),0)</f>
        <v>715</v>
      </c>
      <c r="G182" s="10" t="n">
        <f aca="false">CEILING(F182/0.75,5)</f>
        <v>955</v>
      </c>
      <c r="H182" s="9" t="n">
        <f aca="false">G182*0.75</f>
        <v>716.25</v>
      </c>
      <c r="I182" s="7" t="n">
        <f aca="false">ROUND((E182+0.45)/(1-ASM!$B$9),0)</f>
        <v>516</v>
      </c>
      <c r="J182" s="7" t="n">
        <f aca="false">ROUND((E182+0.45)/(1-ASM!$B$9-ASM!$B$10),0)</f>
        <v>620</v>
      </c>
      <c r="K182" s="7" t="str">
        <f aca="false">IF(H182&gt;=I182,"OK","FLOOR ALTI")</f>
        <v>OK</v>
      </c>
    </row>
    <row r="183" customFormat="false" ht="15" hidden="false" customHeight="false" outlineLevel="0" collapsed="false">
      <c r="A183" s="7" t="s">
        <v>49</v>
      </c>
      <c r="B183" s="7" t="n">
        <v>4</v>
      </c>
      <c r="C183" s="7" t="n">
        <v>16</v>
      </c>
      <c r="D183" s="8" t="n">
        <v>4.92</v>
      </c>
      <c r="E183" s="9" t="n">
        <f aca="false">ROUND(D183*ASM!$B$8*IF(A183="10K",ASM!$B$11,IF(A183="14K",ASM!$B$12,ASM!$B$13))*(1+ASM!$B$3)+ASM!$B$16+ASM!$B$5+ASM!$B$6,2)</f>
        <v>473.58</v>
      </c>
      <c r="F183" s="7" t="n">
        <f aca="false">ROUND((D183*ASM!$B$8*IF(A183="10K",ASM!$B$11,IF(A183="14K",ASM!$B$12,ASM!$B$13))*(1+ASM!$B$3)+ASM!$B$16+ASM!$B$5+ASM!$B$6)*IF(B183&lt;=7,ASM!$B$7,ASM!$B$17),0)</f>
        <v>734</v>
      </c>
      <c r="G183" s="10" t="n">
        <f aca="false">CEILING(F183/0.75,5)</f>
        <v>980</v>
      </c>
      <c r="H183" s="9" t="n">
        <f aca="false">G183*0.75</f>
        <v>735</v>
      </c>
      <c r="I183" s="7" t="n">
        <f aca="false">ROUND((E183+0.45)/(1-ASM!$B$9),0)</f>
        <v>530</v>
      </c>
      <c r="J183" s="7" t="n">
        <f aca="false">ROUND((E183+0.45)/(1-ASM!$B$9-ASM!$B$10),0)</f>
        <v>636</v>
      </c>
      <c r="K183" s="7" t="str">
        <f aca="false">IF(H183&gt;=I183,"OK","FLOOR ALTI")</f>
        <v>OK</v>
      </c>
    </row>
    <row r="184" customFormat="false" ht="15" hidden="false" customHeight="false" outlineLevel="0" collapsed="false">
      <c r="A184" s="7" t="s">
        <v>49</v>
      </c>
      <c r="B184" s="7" t="n">
        <v>5</v>
      </c>
      <c r="C184" s="7" t="n">
        <v>4</v>
      </c>
      <c r="D184" s="8" t="n">
        <v>3.89</v>
      </c>
      <c r="E184" s="9" t="n">
        <f aca="false">ROUND(D184*ASM!$B$8*IF(A184="10K",ASM!$B$11,IF(A184="14K",ASM!$B$12,ASM!$B$13))*(1+ASM!$B$3)+ASM!$B$16+ASM!$B$5+ASM!$B$6,2)</f>
        <v>389.09</v>
      </c>
      <c r="F184" s="7" t="n">
        <f aca="false">ROUND((D184*ASM!$B$8*IF(A184="10K",ASM!$B$11,IF(A184="14K",ASM!$B$12,ASM!$B$13))*(1+ASM!$B$3)+ASM!$B$16+ASM!$B$5+ASM!$B$6)*IF(B184&lt;=7,ASM!$B$7,ASM!$B$17),0)</f>
        <v>603</v>
      </c>
      <c r="G184" s="10" t="n">
        <f aca="false">CEILING(F184/0.75,5)</f>
        <v>805</v>
      </c>
      <c r="H184" s="9" t="n">
        <f aca="false">G184*0.75</f>
        <v>603.75</v>
      </c>
      <c r="I184" s="7" t="n">
        <f aca="false">ROUND((E184+0.45)/(1-ASM!$B$9),0)</f>
        <v>435</v>
      </c>
      <c r="J184" s="7" t="n">
        <f aca="false">ROUND((E184+0.45)/(1-ASM!$B$9-ASM!$B$10),0)</f>
        <v>523</v>
      </c>
      <c r="K184" s="7" t="str">
        <f aca="false">IF(H184&gt;=I184,"OK","FLOOR ALTI")</f>
        <v>OK</v>
      </c>
    </row>
    <row r="185" customFormat="false" ht="15" hidden="false" customHeight="false" outlineLevel="0" collapsed="false">
      <c r="A185" s="7" t="s">
        <v>49</v>
      </c>
      <c r="B185" s="7" t="n">
        <v>5</v>
      </c>
      <c r="C185" s="7" t="n">
        <v>5</v>
      </c>
      <c r="D185" s="8" t="n">
        <v>4.06</v>
      </c>
      <c r="E185" s="9" t="n">
        <f aca="false">ROUND(D185*ASM!$B$8*IF(A185="10K",ASM!$B$11,IF(A185="14K",ASM!$B$12,ASM!$B$13))*(1+ASM!$B$3)+ASM!$B$16+ASM!$B$5+ASM!$B$6,2)</f>
        <v>403.04</v>
      </c>
      <c r="F185" s="7" t="n">
        <f aca="false">ROUND((D185*ASM!$B$8*IF(A185="10K",ASM!$B$11,IF(A185="14K",ASM!$B$12,ASM!$B$13))*(1+ASM!$B$3)+ASM!$B$16+ASM!$B$5+ASM!$B$6)*IF(B185&lt;=7,ASM!$B$7,ASM!$B$17),0)</f>
        <v>625</v>
      </c>
      <c r="G185" s="10" t="n">
        <f aca="false">CEILING(F185/0.75,5)</f>
        <v>835</v>
      </c>
      <c r="H185" s="9" t="n">
        <f aca="false">G185*0.75</f>
        <v>626.25</v>
      </c>
      <c r="I185" s="7" t="n">
        <f aca="false">ROUND((E185+0.45)/(1-ASM!$B$9),0)</f>
        <v>451</v>
      </c>
      <c r="J185" s="7" t="n">
        <f aca="false">ROUND((E185+0.45)/(1-ASM!$B$9-ASM!$B$10),0)</f>
        <v>542</v>
      </c>
      <c r="K185" s="7" t="str">
        <f aca="false">IF(H185&gt;=I185,"OK","FLOOR ALTI")</f>
        <v>OK</v>
      </c>
    </row>
    <row r="186" customFormat="false" ht="15" hidden="false" customHeight="false" outlineLevel="0" collapsed="false">
      <c r="A186" s="7" t="s">
        <v>49</v>
      </c>
      <c r="B186" s="7" t="n">
        <v>5</v>
      </c>
      <c r="C186" s="7" t="n">
        <v>6</v>
      </c>
      <c r="D186" s="8" t="n">
        <v>4.26</v>
      </c>
      <c r="E186" s="9" t="n">
        <f aca="false">ROUND(D186*ASM!$B$8*IF(A186="10K",ASM!$B$11,IF(A186="14K",ASM!$B$12,ASM!$B$13))*(1+ASM!$B$3)+ASM!$B$16+ASM!$B$5+ASM!$B$6,2)</f>
        <v>419.44</v>
      </c>
      <c r="F186" s="7" t="n">
        <f aca="false">ROUND((D186*ASM!$B$8*IF(A186="10K",ASM!$B$11,IF(A186="14K",ASM!$B$12,ASM!$B$13))*(1+ASM!$B$3)+ASM!$B$16+ASM!$B$5+ASM!$B$6)*IF(B186&lt;=7,ASM!$B$7,ASM!$B$17),0)</f>
        <v>650</v>
      </c>
      <c r="G186" s="10" t="n">
        <f aca="false">CEILING(F186/0.75,5)</f>
        <v>870</v>
      </c>
      <c r="H186" s="9" t="n">
        <f aca="false">G186*0.75</f>
        <v>652.5</v>
      </c>
      <c r="I186" s="7" t="n">
        <f aca="false">ROUND((E186+0.45)/(1-ASM!$B$9),0)</f>
        <v>469</v>
      </c>
      <c r="J186" s="7" t="n">
        <f aca="false">ROUND((E186+0.45)/(1-ASM!$B$9-ASM!$B$10),0)</f>
        <v>564</v>
      </c>
      <c r="K186" s="7" t="str">
        <f aca="false">IF(H186&gt;=I186,"OK","FLOOR ALTI")</f>
        <v>OK</v>
      </c>
    </row>
    <row r="187" customFormat="false" ht="15" hidden="false" customHeight="false" outlineLevel="0" collapsed="false">
      <c r="A187" s="7" t="s">
        <v>49</v>
      </c>
      <c r="B187" s="7" t="n">
        <v>5</v>
      </c>
      <c r="C187" s="7" t="n">
        <v>7</v>
      </c>
      <c r="D187" s="8" t="n">
        <v>4.45</v>
      </c>
      <c r="E187" s="9" t="n">
        <f aca="false">ROUND(D187*ASM!$B$8*IF(A187="10K",ASM!$B$11,IF(A187="14K",ASM!$B$12,ASM!$B$13))*(1+ASM!$B$3)+ASM!$B$16+ASM!$B$5+ASM!$B$6,2)</f>
        <v>435.03</v>
      </c>
      <c r="F187" s="7" t="n">
        <f aca="false">ROUND((D187*ASM!$B$8*IF(A187="10K",ASM!$B$11,IF(A187="14K",ASM!$B$12,ASM!$B$13))*(1+ASM!$B$3)+ASM!$B$16+ASM!$B$5+ASM!$B$6)*IF(B187&lt;=7,ASM!$B$7,ASM!$B$17),0)</f>
        <v>674</v>
      </c>
      <c r="G187" s="10" t="n">
        <f aca="false">CEILING(F187/0.75,5)</f>
        <v>900</v>
      </c>
      <c r="H187" s="9" t="n">
        <f aca="false">G187*0.75</f>
        <v>675</v>
      </c>
      <c r="I187" s="7" t="n">
        <f aca="false">ROUND((E187+0.45)/(1-ASM!$B$9),0)</f>
        <v>487</v>
      </c>
      <c r="J187" s="7" t="n">
        <f aca="false">ROUND((E187+0.45)/(1-ASM!$B$9-ASM!$B$10),0)</f>
        <v>585</v>
      </c>
      <c r="K187" s="7" t="str">
        <f aca="false">IF(H187&gt;=I187,"OK","FLOOR ALTI")</f>
        <v>OK</v>
      </c>
    </row>
    <row r="188" customFormat="false" ht="15" hidden="false" customHeight="false" outlineLevel="0" collapsed="false">
      <c r="A188" s="7" t="s">
        <v>49</v>
      </c>
      <c r="B188" s="7" t="n">
        <v>5</v>
      </c>
      <c r="C188" s="7" t="n">
        <v>8</v>
      </c>
      <c r="D188" s="8" t="n">
        <v>4.64</v>
      </c>
      <c r="E188" s="9" t="n">
        <f aca="false">ROUND(D188*ASM!$B$8*IF(A188="10K",ASM!$B$11,IF(A188="14K",ASM!$B$12,ASM!$B$13))*(1+ASM!$B$3)+ASM!$B$16+ASM!$B$5+ASM!$B$6,2)</f>
        <v>450.61</v>
      </c>
      <c r="F188" s="7" t="n">
        <f aca="false">ROUND((D188*ASM!$B$8*IF(A188="10K",ASM!$B$11,IF(A188="14K",ASM!$B$12,ASM!$B$13))*(1+ASM!$B$3)+ASM!$B$16+ASM!$B$5+ASM!$B$6)*IF(B188&lt;=7,ASM!$B$7,ASM!$B$17),0)</f>
        <v>698</v>
      </c>
      <c r="G188" s="10" t="n">
        <f aca="false">CEILING(F188/0.75,5)</f>
        <v>935</v>
      </c>
      <c r="H188" s="9" t="n">
        <f aca="false">G188*0.75</f>
        <v>701.25</v>
      </c>
      <c r="I188" s="7" t="n">
        <f aca="false">ROUND((E188+0.45)/(1-ASM!$B$9),0)</f>
        <v>504</v>
      </c>
      <c r="J188" s="7" t="n">
        <f aca="false">ROUND((E188+0.45)/(1-ASM!$B$9-ASM!$B$10),0)</f>
        <v>605</v>
      </c>
      <c r="K188" s="7" t="str">
        <f aca="false">IF(H188&gt;=I188,"OK","FLOOR ALTI")</f>
        <v>OK</v>
      </c>
    </row>
    <row r="189" customFormat="false" ht="15" hidden="false" customHeight="false" outlineLevel="0" collapsed="false">
      <c r="A189" s="7" t="s">
        <v>49</v>
      </c>
      <c r="B189" s="7" t="n">
        <v>5</v>
      </c>
      <c r="C189" s="7" t="n">
        <v>9</v>
      </c>
      <c r="D189" s="8" t="n">
        <v>4.83</v>
      </c>
      <c r="E189" s="9" t="n">
        <f aca="false">ROUND(D189*ASM!$B$8*IF(A189="10K",ASM!$B$11,IF(A189="14K",ASM!$B$12,ASM!$B$13))*(1+ASM!$B$3)+ASM!$B$16+ASM!$B$5+ASM!$B$6,2)</f>
        <v>466.2</v>
      </c>
      <c r="F189" s="7" t="n">
        <f aca="false">ROUND((D189*ASM!$B$8*IF(A189="10K",ASM!$B$11,IF(A189="14K",ASM!$B$12,ASM!$B$13))*(1+ASM!$B$3)+ASM!$B$16+ASM!$B$5+ASM!$B$6)*IF(B189&lt;=7,ASM!$B$7,ASM!$B$17),0)</f>
        <v>723</v>
      </c>
      <c r="G189" s="10" t="n">
        <f aca="false">CEILING(F189/0.75,5)</f>
        <v>965</v>
      </c>
      <c r="H189" s="9" t="n">
        <f aca="false">G189*0.75</f>
        <v>723.75</v>
      </c>
      <c r="I189" s="7" t="n">
        <f aca="false">ROUND((E189+0.45)/(1-ASM!$B$9),0)</f>
        <v>521</v>
      </c>
      <c r="J189" s="7" t="n">
        <f aca="false">ROUND((E189+0.45)/(1-ASM!$B$9-ASM!$B$10),0)</f>
        <v>626</v>
      </c>
      <c r="K189" s="7" t="str">
        <f aca="false">IF(H189&gt;=I189,"OK","FLOOR ALTI")</f>
        <v>OK</v>
      </c>
    </row>
    <row r="190" customFormat="false" ht="15" hidden="false" customHeight="false" outlineLevel="0" collapsed="false">
      <c r="A190" s="7" t="s">
        <v>49</v>
      </c>
      <c r="B190" s="7" t="n">
        <v>5</v>
      </c>
      <c r="C190" s="7" t="n">
        <v>10</v>
      </c>
      <c r="D190" s="8" t="n">
        <v>5.02</v>
      </c>
      <c r="E190" s="9" t="n">
        <f aca="false">ROUND(D190*ASM!$B$8*IF(A190="10K",ASM!$B$11,IF(A190="14K",ASM!$B$12,ASM!$B$13))*(1+ASM!$B$3)+ASM!$B$16+ASM!$B$5+ASM!$B$6,2)</f>
        <v>481.78</v>
      </c>
      <c r="F190" s="7" t="n">
        <f aca="false">ROUND((D190*ASM!$B$8*IF(A190="10K",ASM!$B$11,IF(A190="14K",ASM!$B$12,ASM!$B$13))*(1+ASM!$B$3)+ASM!$B$16+ASM!$B$5+ASM!$B$6)*IF(B190&lt;=7,ASM!$B$7,ASM!$B$17),0)</f>
        <v>747</v>
      </c>
      <c r="G190" s="10" t="n">
        <f aca="false">CEILING(F190/0.75,5)</f>
        <v>1000</v>
      </c>
      <c r="H190" s="9" t="n">
        <f aca="false">G190*0.75</f>
        <v>750</v>
      </c>
      <c r="I190" s="7" t="n">
        <f aca="false">ROUND((E190+0.45)/(1-ASM!$B$9),0)</f>
        <v>539</v>
      </c>
      <c r="J190" s="7" t="n">
        <f aca="false">ROUND((E190+0.45)/(1-ASM!$B$9-ASM!$B$10),0)</f>
        <v>647</v>
      </c>
      <c r="K190" s="7" t="str">
        <f aca="false">IF(H190&gt;=I190,"OK","FLOOR ALTI")</f>
        <v>OK</v>
      </c>
    </row>
    <row r="191" customFormat="false" ht="15" hidden="false" customHeight="false" outlineLevel="0" collapsed="false">
      <c r="A191" s="7" t="s">
        <v>49</v>
      </c>
      <c r="B191" s="7" t="n">
        <v>5</v>
      </c>
      <c r="C191" s="7" t="n">
        <v>11</v>
      </c>
      <c r="D191" s="8" t="n">
        <v>5.21</v>
      </c>
      <c r="E191" s="9" t="n">
        <f aca="false">ROUND(D191*ASM!$B$8*IF(A191="10K",ASM!$B$11,IF(A191="14K",ASM!$B$12,ASM!$B$13))*(1+ASM!$B$3)+ASM!$B$16+ASM!$B$5+ASM!$B$6,2)</f>
        <v>497.37</v>
      </c>
      <c r="F191" s="7" t="n">
        <f aca="false">ROUND((D191*ASM!$B$8*IF(A191="10K",ASM!$B$11,IF(A191="14K",ASM!$B$12,ASM!$B$13))*(1+ASM!$B$3)+ASM!$B$16+ASM!$B$5+ASM!$B$6)*IF(B191&lt;=7,ASM!$B$7,ASM!$B$17),0)</f>
        <v>771</v>
      </c>
      <c r="G191" s="10" t="n">
        <f aca="false">CEILING(F191/0.75,5)</f>
        <v>1030</v>
      </c>
      <c r="H191" s="9" t="n">
        <f aca="false">G191*0.75</f>
        <v>772.5</v>
      </c>
      <c r="I191" s="7" t="n">
        <f aca="false">ROUND((E191+0.45)/(1-ASM!$B$9),0)</f>
        <v>556</v>
      </c>
      <c r="J191" s="7" t="n">
        <f aca="false">ROUND((E191+0.45)/(1-ASM!$B$9-ASM!$B$10),0)</f>
        <v>668</v>
      </c>
      <c r="K191" s="7" t="str">
        <f aca="false">IF(H191&gt;=I191,"OK","FLOOR ALTI")</f>
        <v>OK</v>
      </c>
    </row>
    <row r="192" customFormat="false" ht="15" hidden="false" customHeight="false" outlineLevel="0" collapsed="false">
      <c r="A192" s="7" t="s">
        <v>49</v>
      </c>
      <c r="B192" s="7" t="n">
        <v>5</v>
      </c>
      <c r="C192" s="7" t="n">
        <v>12</v>
      </c>
      <c r="D192" s="8" t="n">
        <v>5.4</v>
      </c>
      <c r="E192" s="9" t="n">
        <f aca="false">ROUND(D192*ASM!$B$8*IF(A192="10K",ASM!$B$11,IF(A192="14K",ASM!$B$12,ASM!$B$13))*(1+ASM!$B$3)+ASM!$B$16+ASM!$B$5+ASM!$B$6,2)</f>
        <v>512.96</v>
      </c>
      <c r="F192" s="7" t="n">
        <f aca="false">ROUND((D192*ASM!$B$8*IF(A192="10K",ASM!$B$11,IF(A192="14K",ASM!$B$12,ASM!$B$13))*(1+ASM!$B$3)+ASM!$B$16+ASM!$B$5+ASM!$B$6)*IF(B192&lt;=7,ASM!$B$7,ASM!$B$17),0)</f>
        <v>795</v>
      </c>
      <c r="G192" s="10" t="n">
        <f aca="false">CEILING(F192/0.75,5)</f>
        <v>1060</v>
      </c>
      <c r="H192" s="9" t="n">
        <f aca="false">G192*0.75</f>
        <v>795</v>
      </c>
      <c r="I192" s="7" t="n">
        <f aca="false">ROUND((E192+0.45)/(1-ASM!$B$9),0)</f>
        <v>574</v>
      </c>
      <c r="J192" s="7" t="n">
        <f aca="false">ROUND((E192+0.45)/(1-ASM!$B$9-ASM!$B$10),0)</f>
        <v>689</v>
      </c>
      <c r="K192" s="7" t="str">
        <f aca="false">IF(H192&gt;=I192,"OK","FLOOR ALTI")</f>
        <v>OK</v>
      </c>
    </row>
    <row r="193" customFormat="false" ht="15" hidden="false" customHeight="false" outlineLevel="0" collapsed="false">
      <c r="A193" s="7" t="s">
        <v>49</v>
      </c>
      <c r="B193" s="7" t="n">
        <v>5</v>
      </c>
      <c r="C193" s="7" t="n">
        <v>13</v>
      </c>
      <c r="D193" s="8" t="n">
        <v>5.58</v>
      </c>
      <c r="E193" s="9" t="n">
        <f aca="false">ROUND(D193*ASM!$B$8*IF(A193="10K",ASM!$B$11,IF(A193="14K",ASM!$B$12,ASM!$B$13))*(1+ASM!$B$3)+ASM!$B$16+ASM!$B$5+ASM!$B$6,2)</f>
        <v>527.72</v>
      </c>
      <c r="F193" s="7" t="n">
        <f aca="false">ROUND((D193*ASM!$B$8*IF(A193="10K",ASM!$B$11,IF(A193="14K",ASM!$B$12,ASM!$B$13))*(1+ASM!$B$3)+ASM!$B$16+ASM!$B$5+ASM!$B$6)*IF(B193&lt;=7,ASM!$B$7,ASM!$B$17),0)</f>
        <v>818</v>
      </c>
      <c r="G193" s="10" t="n">
        <f aca="false">CEILING(F193/0.75,5)</f>
        <v>1095</v>
      </c>
      <c r="H193" s="9" t="n">
        <f aca="false">G193*0.75</f>
        <v>821.25</v>
      </c>
      <c r="I193" s="7" t="n">
        <f aca="false">ROUND((E193+0.45)/(1-ASM!$B$9),0)</f>
        <v>590</v>
      </c>
      <c r="J193" s="7" t="n">
        <f aca="false">ROUND((E193+0.45)/(1-ASM!$B$9-ASM!$B$10),0)</f>
        <v>709</v>
      </c>
      <c r="K193" s="7" t="str">
        <f aca="false">IF(H193&gt;=I193,"OK","FLOOR ALTI")</f>
        <v>OK</v>
      </c>
    </row>
    <row r="194" customFormat="false" ht="15" hidden="false" customHeight="false" outlineLevel="0" collapsed="false">
      <c r="A194" s="7" t="s">
        <v>49</v>
      </c>
      <c r="B194" s="7" t="n">
        <v>5</v>
      </c>
      <c r="C194" s="7" t="n">
        <v>14</v>
      </c>
      <c r="D194" s="8" t="n">
        <v>5.77</v>
      </c>
      <c r="E194" s="9" t="n">
        <f aca="false">ROUND(D194*ASM!$B$8*IF(A194="10K",ASM!$B$11,IF(A194="14K",ASM!$B$12,ASM!$B$13))*(1+ASM!$B$3)+ASM!$B$16+ASM!$B$5+ASM!$B$6,2)</f>
        <v>543.31</v>
      </c>
      <c r="F194" s="7" t="n">
        <f aca="false">ROUND((D194*ASM!$B$8*IF(A194="10K",ASM!$B$11,IF(A194="14K",ASM!$B$12,ASM!$B$13))*(1+ASM!$B$3)+ASM!$B$16+ASM!$B$5+ASM!$B$6)*IF(B194&lt;=7,ASM!$B$7,ASM!$B$17),0)</f>
        <v>842</v>
      </c>
      <c r="G194" s="10" t="n">
        <f aca="false">CEILING(F194/0.75,5)</f>
        <v>1125</v>
      </c>
      <c r="H194" s="9" t="n">
        <f aca="false">G194*0.75</f>
        <v>843.75</v>
      </c>
      <c r="I194" s="7" t="n">
        <f aca="false">ROUND((E194+0.45)/(1-ASM!$B$9),0)</f>
        <v>608</v>
      </c>
      <c r="J194" s="7" t="n">
        <f aca="false">ROUND((E194+0.45)/(1-ASM!$B$9-ASM!$B$10),0)</f>
        <v>730</v>
      </c>
      <c r="K194" s="7" t="str">
        <f aca="false">IF(H194&gt;=I194,"OK","FLOOR ALTI")</f>
        <v>OK</v>
      </c>
    </row>
    <row r="195" customFormat="false" ht="15" hidden="false" customHeight="false" outlineLevel="0" collapsed="false">
      <c r="A195" s="7" t="s">
        <v>49</v>
      </c>
      <c r="B195" s="7" t="n">
        <v>5</v>
      </c>
      <c r="C195" s="7" t="n">
        <v>15</v>
      </c>
      <c r="D195" s="8" t="n">
        <v>5.96</v>
      </c>
      <c r="E195" s="9" t="n">
        <f aca="false">ROUND(D195*ASM!$B$8*IF(A195="10K",ASM!$B$11,IF(A195="14K",ASM!$B$12,ASM!$B$13))*(1+ASM!$B$3)+ASM!$B$16+ASM!$B$5+ASM!$B$6,2)</f>
        <v>558.89</v>
      </c>
      <c r="F195" s="7" t="n">
        <f aca="false">ROUND((D195*ASM!$B$8*IF(A195="10K",ASM!$B$11,IF(A195="14K",ASM!$B$12,ASM!$B$13))*(1+ASM!$B$3)+ASM!$B$16+ASM!$B$5+ASM!$B$6)*IF(B195&lt;=7,ASM!$B$7,ASM!$B$17),0)</f>
        <v>866</v>
      </c>
      <c r="G195" s="10" t="n">
        <f aca="false">CEILING(F195/0.75,5)</f>
        <v>1155</v>
      </c>
      <c r="H195" s="9" t="n">
        <f aca="false">G195*0.75</f>
        <v>866.25</v>
      </c>
      <c r="I195" s="7" t="n">
        <f aca="false">ROUND((E195+0.45)/(1-ASM!$B$9),0)</f>
        <v>625</v>
      </c>
      <c r="J195" s="7" t="n">
        <f aca="false">ROUND((E195+0.45)/(1-ASM!$B$9-ASM!$B$10),0)</f>
        <v>751</v>
      </c>
      <c r="K195" s="7" t="str">
        <f aca="false">IF(H195&gt;=I195,"OK","FLOOR ALTI")</f>
        <v>OK</v>
      </c>
    </row>
    <row r="196" customFormat="false" ht="15" hidden="false" customHeight="false" outlineLevel="0" collapsed="false">
      <c r="A196" s="7" t="s">
        <v>49</v>
      </c>
      <c r="B196" s="7" t="n">
        <v>5</v>
      </c>
      <c r="C196" s="7" t="n">
        <v>16</v>
      </c>
      <c r="D196" s="8" t="n">
        <v>6.15</v>
      </c>
      <c r="E196" s="9" t="n">
        <f aca="false">ROUND(D196*ASM!$B$8*IF(A196="10K",ASM!$B$11,IF(A196="14K",ASM!$B$12,ASM!$B$13))*(1+ASM!$B$3)+ASM!$B$16+ASM!$B$5+ASM!$B$6,2)</f>
        <v>574.48</v>
      </c>
      <c r="F196" s="7" t="n">
        <f aca="false">ROUND((D196*ASM!$B$8*IF(A196="10K",ASM!$B$11,IF(A196="14K",ASM!$B$12,ASM!$B$13))*(1+ASM!$B$3)+ASM!$B$16+ASM!$B$5+ASM!$B$6)*IF(B196&lt;=7,ASM!$B$7,ASM!$B$17),0)</f>
        <v>890</v>
      </c>
      <c r="G196" s="10" t="n">
        <f aca="false">CEILING(F196/0.75,5)</f>
        <v>1190</v>
      </c>
      <c r="H196" s="9" t="n">
        <f aca="false">G196*0.75</f>
        <v>892.5</v>
      </c>
      <c r="I196" s="7" t="n">
        <f aca="false">ROUND((E196+0.45)/(1-ASM!$B$9),0)</f>
        <v>642</v>
      </c>
      <c r="J196" s="7" t="n">
        <f aca="false">ROUND((E196+0.45)/(1-ASM!$B$9-ASM!$B$10),0)</f>
        <v>772</v>
      </c>
      <c r="K196" s="7" t="str">
        <f aca="false">IF(H196&gt;=I196,"OK","FLOOR ALTI")</f>
        <v>OK</v>
      </c>
    </row>
    <row r="197" customFormat="false" ht="15" hidden="false" customHeight="false" outlineLevel="0" collapsed="false">
      <c r="A197" s="7" t="s">
        <v>49</v>
      </c>
      <c r="B197" s="7" t="n">
        <v>6</v>
      </c>
      <c r="C197" s="7" t="n">
        <v>4</v>
      </c>
      <c r="D197" s="8" t="n">
        <v>4.67</v>
      </c>
      <c r="E197" s="9" t="n">
        <f aca="false">ROUND(D197*ASM!$B$8*IF(A197="10K",ASM!$B$11,IF(A197="14K",ASM!$B$12,ASM!$B$13))*(1+ASM!$B$3)+ASM!$B$16+ASM!$B$5+ASM!$B$6,2)</f>
        <v>453.07</v>
      </c>
      <c r="F197" s="7" t="n">
        <f aca="false">ROUND((D197*ASM!$B$8*IF(A197="10K",ASM!$B$11,IF(A197="14K",ASM!$B$12,ASM!$B$13))*(1+ASM!$B$3)+ASM!$B$16+ASM!$B$5+ASM!$B$6)*IF(B197&lt;=7,ASM!$B$7,ASM!$B$17),0)</f>
        <v>702</v>
      </c>
      <c r="G197" s="10" t="n">
        <f aca="false">CEILING(F197/0.75,5)</f>
        <v>940</v>
      </c>
      <c r="H197" s="9" t="n">
        <f aca="false">G197*0.75</f>
        <v>705</v>
      </c>
      <c r="I197" s="7" t="n">
        <f aca="false">ROUND((E197+0.45)/(1-ASM!$B$9),0)</f>
        <v>507</v>
      </c>
      <c r="J197" s="7" t="n">
        <f aca="false">ROUND((E197+0.45)/(1-ASM!$B$9-ASM!$B$10),0)</f>
        <v>609</v>
      </c>
      <c r="K197" s="7" t="str">
        <f aca="false">IF(H197&gt;=I197,"OK","FLOOR ALTI")</f>
        <v>OK</v>
      </c>
    </row>
    <row r="198" customFormat="false" ht="15" hidden="false" customHeight="false" outlineLevel="0" collapsed="false">
      <c r="A198" s="7" t="s">
        <v>49</v>
      </c>
      <c r="B198" s="7" t="n">
        <v>6</v>
      </c>
      <c r="C198" s="7" t="n">
        <v>5</v>
      </c>
      <c r="D198" s="8" t="n">
        <v>4.89</v>
      </c>
      <c r="E198" s="9" t="n">
        <f aca="false">ROUND(D198*ASM!$B$8*IF(A198="10K",ASM!$B$11,IF(A198="14K",ASM!$B$12,ASM!$B$13))*(1+ASM!$B$3)+ASM!$B$16+ASM!$B$5+ASM!$B$6,2)</f>
        <v>471.12</v>
      </c>
      <c r="F198" s="7" t="n">
        <f aca="false">ROUND((D198*ASM!$B$8*IF(A198="10K",ASM!$B$11,IF(A198="14K",ASM!$B$12,ASM!$B$13))*(1+ASM!$B$3)+ASM!$B$16+ASM!$B$5+ASM!$B$6)*IF(B198&lt;=7,ASM!$B$7,ASM!$B$17),0)</f>
        <v>730</v>
      </c>
      <c r="G198" s="10" t="n">
        <f aca="false">CEILING(F198/0.75,5)</f>
        <v>975</v>
      </c>
      <c r="H198" s="9" t="n">
        <f aca="false">G198*0.75</f>
        <v>731.25</v>
      </c>
      <c r="I198" s="7" t="n">
        <f aca="false">ROUND((E198+0.45)/(1-ASM!$B$9),0)</f>
        <v>527</v>
      </c>
      <c r="J198" s="7" t="n">
        <f aca="false">ROUND((E198+0.45)/(1-ASM!$B$9-ASM!$B$10),0)</f>
        <v>633</v>
      </c>
      <c r="K198" s="7" t="str">
        <f aca="false">IF(H198&gt;=I198,"OK","FLOOR ALTI")</f>
        <v>OK</v>
      </c>
    </row>
    <row r="199" customFormat="false" ht="15" hidden="false" customHeight="false" outlineLevel="0" collapsed="false">
      <c r="A199" s="7" t="s">
        <v>49</v>
      </c>
      <c r="B199" s="7" t="n">
        <v>6</v>
      </c>
      <c r="C199" s="7" t="n">
        <v>6</v>
      </c>
      <c r="D199" s="8" t="n">
        <v>5.12</v>
      </c>
      <c r="E199" s="9" t="n">
        <f aca="false">ROUND(D199*ASM!$B$8*IF(A199="10K",ASM!$B$11,IF(A199="14K",ASM!$B$12,ASM!$B$13))*(1+ASM!$B$3)+ASM!$B$16+ASM!$B$5+ASM!$B$6,2)</f>
        <v>489.99</v>
      </c>
      <c r="F199" s="7" t="n">
        <f aca="false">ROUND((D199*ASM!$B$8*IF(A199="10K",ASM!$B$11,IF(A199="14K",ASM!$B$12,ASM!$B$13))*(1+ASM!$B$3)+ASM!$B$16+ASM!$B$5+ASM!$B$6)*IF(B199&lt;=7,ASM!$B$7,ASM!$B$17),0)</f>
        <v>759</v>
      </c>
      <c r="G199" s="10" t="n">
        <f aca="false">CEILING(F199/0.75,5)</f>
        <v>1015</v>
      </c>
      <c r="H199" s="9" t="n">
        <f aca="false">G199*0.75</f>
        <v>761.25</v>
      </c>
      <c r="I199" s="7" t="n">
        <f aca="false">ROUND((E199+0.45)/(1-ASM!$B$9),0)</f>
        <v>548</v>
      </c>
      <c r="J199" s="7" t="n">
        <f aca="false">ROUND((E199+0.45)/(1-ASM!$B$9-ASM!$B$10),0)</f>
        <v>658</v>
      </c>
      <c r="K199" s="7" t="str">
        <f aca="false">IF(H199&gt;=I199,"OK","FLOOR ALTI")</f>
        <v>OK</v>
      </c>
    </row>
    <row r="200" customFormat="false" ht="15" hidden="false" customHeight="false" outlineLevel="0" collapsed="false">
      <c r="A200" s="7" t="s">
        <v>49</v>
      </c>
      <c r="B200" s="7" t="n">
        <v>6</v>
      </c>
      <c r="C200" s="7" t="n">
        <v>7</v>
      </c>
      <c r="D200" s="8" t="n">
        <v>5.34</v>
      </c>
      <c r="E200" s="9" t="n">
        <f aca="false">ROUND(D200*ASM!$B$8*IF(A200="10K",ASM!$B$11,IF(A200="14K",ASM!$B$12,ASM!$B$13))*(1+ASM!$B$3)+ASM!$B$16+ASM!$B$5+ASM!$B$6,2)</f>
        <v>508.03</v>
      </c>
      <c r="F200" s="7" t="n">
        <f aca="false">ROUND((D200*ASM!$B$8*IF(A200="10K",ASM!$B$11,IF(A200="14K",ASM!$B$12,ASM!$B$13))*(1+ASM!$B$3)+ASM!$B$16+ASM!$B$5+ASM!$B$6)*IF(B200&lt;=7,ASM!$B$7,ASM!$B$17),0)</f>
        <v>787</v>
      </c>
      <c r="G200" s="10" t="n">
        <f aca="false">CEILING(F200/0.75,5)</f>
        <v>1050</v>
      </c>
      <c r="H200" s="9" t="n">
        <f aca="false">G200*0.75</f>
        <v>787.5</v>
      </c>
      <c r="I200" s="7" t="n">
        <f aca="false">ROUND((E200+0.45)/(1-ASM!$B$9),0)</f>
        <v>568</v>
      </c>
      <c r="J200" s="7" t="n">
        <f aca="false">ROUND((E200+0.45)/(1-ASM!$B$9-ASM!$B$10),0)</f>
        <v>683</v>
      </c>
      <c r="K200" s="7" t="str">
        <f aca="false">IF(H200&gt;=I200,"OK","FLOOR ALTI")</f>
        <v>OK</v>
      </c>
    </row>
    <row r="201" customFormat="false" ht="15" hidden="false" customHeight="false" outlineLevel="0" collapsed="false">
      <c r="A201" s="7" t="s">
        <v>49</v>
      </c>
      <c r="B201" s="7" t="n">
        <v>6</v>
      </c>
      <c r="C201" s="7" t="n">
        <v>8</v>
      </c>
      <c r="D201" s="8" t="n">
        <v>5.57</v>
      </c>
      <c r="E201" s="9" t="n">
        <f aca="false">ROUND(D201*ASM!$B$8*IF(A201="10K",ASM!$B$11,IF(A201="14K",ASM!$B$12,ASM!$B$13))*(1+ASM!$B$3)+ASM!$B$16+ASM!$B$5+ASM!$B$6,2)</f>
        <v>526.9</v>
      </c>
      <c r="F201" s="7" t="n">
        <f aca="false">ROUND((D201*ASM!$B$8*IF(A201="10K",ASM!$B$11,IF(A201="14K",ASM!$B$12,ASM!$B$13))*(1+ASM!$B$3)+ASM!$B$16+ASM!$B$5+ASM!$B$6)*IF(B201&lt;=7,ASM!$B$7,ASM!$B$17),0)</f>
        <v>817</v>
      </c>
      <c r="G201" s="10" t="n">
        <f aca="false">CEILING(F201/0.75,5)</f>
        <v>1090</v>
      </c>
      <c r="H201" s="9" t="n">
        <f aca="false">G201*0.75</f>
        <v>817.5</v>
      </c>
      <c r="I201" s="7" t="n">
        <f aca="false">ROUND((E201+0.45)/(1-ASM!$B$9),0)</f>
        <v>589</v>
      </c>
      <c r="J201" s="7" t="n">
        <f aca="false">ROUND((E201+0.45)/(1-ASM!$B$9-ASM!$B$10),0)</f>
        <v>708</v>
      </c>
      <c r="K201" s="7" t="str">
        <f aca="false">IF(H201&gt;=I201,"OK","FLOOR ALTI")</f>
        <v>OK</v>
      </c>
    </row>
    <row r="202" customFormat="false" ht="15" hidden="false" customHeight="false" outlineLevel="0" collapsed="false">
      <c r="A202" s="7" t="s">
        <v>49</v>
      </c>
      <c r="B202" s="7" t="n">
        <v>6</v>
      </c>
      <c r="C202" s="7" t="n">
        <v>9</v>
      </c>
      <c r="D202" s="8" t="n">
        <v>5.8</v>
      </c>
      <c r="E202" s="9" t="n">
        <f aca="false">ROUND(D202*ASM!$B$8*IF(A202="10K",ASM!$B$11,IF(A202="14K",ASM!$B$12,ASM!$B$13))*(1+ASM!$B$3)+ASM!$B$16+ASM!$B$5+ASM!$B$6,2)</f>
        <v>545.77</v>
      </c>
      <c r="F202" s="7" t="n">
        <f aca="false">ROUND((D202*ASM!$B$8*IF(A202="10K",ASM!$B$11,IF(A202="14K",ASM!$B$12,ASM!$B$13))*(1+ASM!$B$3)+ASM!$B$16+ASM!$B$5+ASM!$B$6)*IF(B202&lt;=7,ASM!$B$7,ASM!$B$17),0)</f>
        <v>846</v>
      </c>
      <c r="G202" s="10" t="n">
        <f aca="false">CEILING(F202/0.75,5)</f>
        <v>1130</v>
      </c>
      <c r="H202" s="9" t="n">
        <f aca="false">G202*0.75</f>
        <v>847.5</v>
      </c>
      <c r="I202" s="7" t="n">
        <f aca="false">ROUND((E202+0.45)/(1-ASM!$B$9),0)</f>
        <v>610</v>
      </c>
      <c r="J202" s="7" t="n">
        <f aca="false">ROUND((E202+0.45)/(1-ASM!$B$9-ASM!$B$10),0)</f>
        <v>733</v>
      </c>
      <c r="K202" s="7" t="str">
        <f aca="false">IF(H202&gt;=I202,"OK","FLOOR ALTI")</f>
        <v>OK</v>
      </c>
    </row>
    <row r="203" customFormat="false" ht="15" hidden="false" customHeight="false" outlineLevel="0" collapsed="false">
      <c r="A203" s="7" t="s">
        <v>49</v>
      </c>
      <c r="B203" s="7" t="n">
        <v>6</v>
      </c>
      <c r="C203" s="7" t="n">
        <v>10</v>
      </c>
      <c r="D203" s="8" t="n">
        <v>6.02</v>
      </c>
      <c r="E203" s="9" t="n">
        <f aca="false">ROUND(D203*ASM!$B$8*IF(A203="10K",ASM!$B$11,IF(A203="14K",ASM!$B$12,ASM!$B$13))*(1+ASM!$B$3)+ASM!$B$16+ASM!$B$5+ASM!$B$6,2)</f>
        <v>563.81</v>
      </c>
      <c r="F203" s="7" t="n">
        <f aca="false">ROUND((D203*ASM!$B$8*IF(A203="10K",ASM!$B$11,IF(A203="14K",ASM!$B$12,ASM!$B$13))*(1+ASM!$B$3)+ASM!$B$16+ASM!$B$5+ASM!$B$6)*IF(B203&lt;=7,ASM!$B$7,ASM!$B$17),0)</f>
        <v>874</v>
      </c>
      <c r="G203" s="10" t="n">
        <f aca="false">CEILING(F203/0.75,5)</f>
        <v>1170</v>
      </c>
      <c r="H203" s="9" t="n">
        <f aca="false">G203*0.75</f>
        <v>877.5</v>
      </c>
      <c r="I203" s="7" t="n">
        <f aca="false">ROUND((E203+0.45)/(1-ASM!$B$9),0)</f>
        <v>630</v>
      </c>
      <c r="J203" s="7" t="n">
        <f aca="false">ROUND((E203+0.45)/(1-ASM!$B$9-ASM!$B$10),0)</f>
        <v>757</v>
      </c>
      <c r="K203" s="7" t="str">
        <f aca="false">IF(H203&gt;=I203,"OK","FLOOR ALTI")</f>
        <v>OK</v>
      </c>
    </row>
    <row r="204" customFormat="false" ht="15" hidden="false" customHeight="false" outlineLevel="0" collapsed="false">
      <c r="A204" s="7" t="s">
        <v>49</v>
      </c>
      <c r="B204" s="7" t="n">
        <v>6</v>
      </c>
      <c r="C204" s="7" t="n">
        <v>11</v>
      </c>
      <c r="D204" s="8" t="n">
        <v>6.25</v>
      </c>
      <c r="E204" s="9" t="n">
        <f aca="false">ROUND(D204*ASM!$B$8*IF(A204="10K",ASM!$B$11,IF(A204="14K",ASM!$B$12,ASM!$B$13))*(1+ASM!$B$3)+ASM!$B$16+ASM!$B$5+ASM!$B$6,2)</f>
        <v>582.68</v>
      </c>
      <c r="F204" s="7" t="n">
        <f aca="false">ROUND((D204*ASM!$B$8*IF(A204="10K",ASM!$B$11,IF(A204="14K",ASM!$B$12,ASM!$B$13))*(1+ASM!$B$3)+ASM!$B$16+ASM!$B$5+ASM!$B$6)*IF(B204&lt;=7,ASM!$B$7,ASM!$B$17),0)</f>
        <v>903</v>
      </c>
      <c r="G204" s="10" t="n">
        <f aca="false">CEILING(F204/0.75,5)</f>
        <v>1205</v>
      </c>
      <c r="H204" s="9" t="n">
        <f aca="false">G204*0.75</f>
        <v>903.75</v>
      </c>
      <c r="I204" s="7" t="n">
        <f aca="false">ROUND((E204+0.45)/(1-ASM!$B$9),0)</f>
        <v>652</v>
      </c>
      <c r="J204" s="7" t="n">
        <f aca="false">ROUND((E204+0.45)/(1-ASM!$B$9-ASM!$B$10),0)</f>
        <v>783</v>
      </c>
      <c r="K204" s="7" t="str">
        <f aca="false">IF(H204&gt;=I204,"OK","FLOOR ALTI")</f>
        <v>OK</v>
      </c>
    </row>
    <row r="205" customFormat="false" ht="15" hidden="false" customHeight="false" outlineLevel="0" collapsed="false">
      <c r="A205" s="7" t="s">
        <v>49</v>
      </c>
      <c r="B205" s="7" t="n">
        <v>6</v>
      </c>
      <c r="C205" s="7" t="n">
        <v>12</v>
      </c>
      <c r="D205" s="8" t="n">
        <v>6.47</v>
      </c>
      <c r="E205" s="9" t="n">
        <f aca="false">ROUND(D205*ASM!$B$8*IF(A205="10K",ASM!$B$11,IF(A205="14K",ASM!$B$12,ASM!$B$13))*(1+ASM!$B$3)+ASM!$B$16+ASM!$B$5+ASM!$B$6,2)</f>
        <v>600.73</v>
      </c>
      <c r="F205" s="7" t="n">
        <f aca="false">ROUND((D205*ASM!$B$8*IF(A205="10K",ASM!$B$11,IF(A205="14K",ASM!$B$12,ASM!$B$13))*(1+ASM!$B$3)+ASM!$B$16+ASM!$B$5+ASM!$B$6)*IF(B205&lt;=7,ASM!$B$7,ASM!$B$17),0)</f>
        <v>931</v>
      </c>
      <c r="G205" s="10" t="n">
        <f aca="false">CEILING(F205/0.75,5)</f>
        <v>1245</v>
      </c>
      <c r="H205" s="9" t="n">
        <f aca="false">G205*0.75</f>
        <v>933.75</v>
      </c>
      <c r="I205" s="7" t="n">
        <f aca="false">ROUND((E205+0.45)/(1-ASM!$B$9),0)</f>
        <v>672</v>
      </c>
      <c r="J205" s="7" t="n">
        <f aca="false">ROUND((E205+0.45)/(1-ASM!$B$9-ASM!$B$10),0)</f>
        <v>807</v>
      </c>
      <c r="K205" s="7" t="str">
        <f aca="false">IF(H205&gt;=I205,"OK","FLOOR ALTI")</f>
        <v>OK</v>
      </c>
    </row>
    <row r="206" customFormat="false" ht="15" hidden="false" customHeight="false" outlineLevel="0" collapsed="false">
      <c r="A206" s="7" t="s">
        <v>49</v>
      </c>
      <c r="B206" s="7" t="n">
        <v>6</v>
      </c>
      <c r="C206" s="7" t="n">
        <v>13</v>
      </c>
      <c r="D206" s="8" t="n">
        <v>6.7</v>
      </c>
      <c r="E206" s="9" t="n">
        <f aca="false">ROUND(D206*ASM!$B$8*IF(A206="10K",ASM!$B$11,IF(A206="14K",ASM!$B$12,ASM!$B$13))*(1+ASM!$B$3)+ASM!$B$16+ASM!$B$5+ASM!$B$6,2)</f>
        <v>619.59</v>
      </c>
      <c r="F206" s="7" t="n">
        <f aca="false">ROUND((D206*ASM!$B$8*IF(A206="10K",ASM!$B$11,IF(A206="14K",ASM!$B$12,ASM!$B$13))*(1+ASM!$B$3)+ASM!$B$16+ASM!$B$5+ASM!$B$6)*IF(B206&lt;=7,ASM!$B$7,ASM!$B$17),0)</f>
        <v>960</v>
      </c>
      <c r="G206" s="10" t="n">
        <f aca="false">CEILING(F206/0.75,5)</f>
        <v>1280</v>
      </c>
      <c r="H206" s="9" t="n">
        <f aca="false">G206*0.75</f>
        <v>960</v>
      </c>
      <c r="I206" s="7" t="n">
        <f aca="false">ROUND((E206+0.45)/(1-ASM!$B$9),0)</f>
        <v>693</v>
      </c>
      <c r="J206" s="7" t="n">
        <f aca="false">ROUND((E206+0.45)/(1-ASM!$B$9-ASM!$B$10),0)</f>
        <v>832</v>
      </c>
      <c r="K206" s="7" t="str">
        <f aca="false">IF(H206&gt;=I206,"OK","FLOOR ALTI")</f>
        <v>OK</v>
      </c>
    </row>
    <row r="207" customFormat="false" ht="15" hidden="false" customHeight="false" outlineLevel="0" collapsed="false">
      <c r="A207" s="7" t="s">
        <v>49</v>
      </c>
      <c r="B207" s="7" t="n">
        <v>6</v>
      </c>
      <c r="C207" s="7" t="n">
        <v>14</v>
      </c>
      <c r="D207" s="8" t="n">
        <v>6.93</v>
      </c>
      <c r="E207" s="9" t="n">
        <f aca="false">ROUND(D207*ASM!$B$8*IF(A207="10K",ASM!$B$11,IF(A207="14K",ASM!$B$12,ASM!$B$13))*(1+ASM!$B$3)+ASM!$B$16+ASM!$B$5+ASM!$B$6,2)</f>
        <v>638.46</v>
      </c>
      <c r="F207" s="7" t="n">
        <f aca="false">ROUND((D207*ASM!$B$8*IF(A207="10K",ASM!$B$11,IF(A207="14K",ASM!$B$12,ASM!$B$13))*(1+ASM!$B$3)+ASM!$B$16+ASM!$B$5+ASM!$B$6)*IF(B207&lt;=7,ASM!$B$7,ASM!$B$17),0)</f>
        <v>990</v>
      </c>
      <c r="G207" s="10" t="n">
        <f aca="false">CEILING(F207/0.75,5)</f>
        <v>1320</v>
      </c>
      <c r="H207" s="9" t="n">
        <f aca="false">G207*0.75</f>
        <v>990</v>
      </c>
      <c r="I207" s="7" t="n">
        <f aca="false">ROUND((E207+0.45)/(1-ASM!$B$9),0)</f>
        <v>714</v>
      </c>
      <c r="J207" s="7" t="n">
        <f aca="false">ROUND((E207+0.45)/(1-ASM!$B$9-ASM!$B$10),0)</f>
        <v>858</v>
      </c>
      <c r="K207" s="7" t="str">
        <f aca="false">IF(H207&gt;=I207,"OK","FLOOR ALTI")</f>
        <v>OK</v>
      </c>
    </row>
    <row r="208" customFormat="false" ht="15" hidden="false" customHeight="false" outlineLevel="0" collapsed="false">
      <c r="A208" s="7" t="s">
        <v>49</v>
      </c>
      <c r="B208" s="7" t="n">
        <v>6</v>
      </c>
      <c r="C208" s="7" t="n">
        <v>15</v>
      </c>
      <c r="D208" s="8" t="n">
        <v>7.15</v>
      </c>
      <c r="E208" s="9" t="n">
        <f aca="false">ROUND(D208*ASM!$B$8*IF(A208="10K",ASM!$B$11,IF(A208="14K",ASM!$B$12,ASM!$B$13))*(1+ASM!$B$3)+ASM!$B$16+ASM!$B$5+ASM!$B$6,2)</f>
        <v>656.51</v>
      </c>
      <c r="F208" s="7" t="n">
        <f aca="false">ROUND((D208*ASM!$B$8*IF(A208="10K",ASM!$B$11,IF(A208="14K",ASM!$B$12,ASM!$B$13))*(1+ASM!$B$3)+ASM!$B$16+ASM!$B$5+ASM!$B$6)*IF(B208&lt;=7,ASM!$B$7,ASM!$B$17),0)</f>
        <v>1018</v>
      </c>
      <c r="G208" s="10" t="n">
        <f aca="false">CEILING(F208/0.75,5)</f>
        <v>1360</v>
      </c>
      <c r="H208" s="9" t="n">
        <f aca="false">G208*0.75</f>
        <v>1020</v>
      </c>
      <c r="I208" s="7" t="n">
        <f aca="false">ROUND((E208+0.45)/(1-ASM!$B$9),0)</f>
        <v>734</v>
      </c>
      <c r="J208" s="7" t="n">
        <f aca="false">ROUND((E208+0.45)/(1-ASM!$B$9-ASM!$B$10),0)</f>
        <v>882</v>
      </c>
      <c r="K208" s="7" t="str">
        <f aca="false">IF(H208&gt;=I208,"OK","FLOOR ALTI")</f>
        <v>OK</v>
      </c>
    </row>
    <row r="209" customFormat="false" ht="15" hidden="false" customHeight="false" outlineLevel="0" collapsed="false">
      <c r="A209" s="7" t="s">
        <v>49</v>
      </c>
      <c r="B209" s="7" t="n">
        <v>6</v>
      </c>
      <c r="C209" s="7" t="n">
        <v>16</v>
      </c>
      <c r="D209" s="8" t="n">
        <v>7.38</v>
      </c>
      <c r="E209" s="9" t="n">
        <f aca="false">ROUND(D209*ASM!$B$8*IF(A209="10K",ASM!$B$11,IF(A209="14K",ASM!$B$12,ASM!$B$13))*(1+ASM!$B$3)+ASM!$B$16+ASM!$B$5+ASM!$B$6,2)</f>
        <v>675.37</v>
      </c>
      <c r="F209" s="7" t="n">
        <f aca="false">ROUND((D209*ASM!$B$8*IF(A209="10K",ASM!$B$11,IF(A209="14K",ASM!$B$12,ASM!$B$13))*(1+ASM!$B$3)+ASM!$B$16+ASM!$B$5+ASM!$B$6)*IF(B209&lt;=7,ASM!$B$7,ASM!$B$17),0)</f>
        <v>1047</v>
      </c>
      <c r="G209" s="10" t="n">
        <f aca="false">CEILING(F209/0.75,5)</f>
        <v>1400</v>
      </c>
      <c r="H209" s="9" t="n">
        <f aca="false">G209*0.75</f>
        <v>1050</v>
      </c>
      <c r="I209" s="7" t="n">
        <f aca="false">ROUND((E209+0.45)/(1-ASM!$B$9),0)</f>
        <v>755</v>
      </c>
      <c r="J209" s="7" t="n">
        <f aca="false">ROUND((E209+0.45)/(1-ASM!$B$9-ASM!$B$10),0)</f>
        <v>907</v>
      </c>
      <c r="K209" s="7" t="str">
        <f aca="false">IF(H209&gt;=I209,"OK","FLOOR ALTI")</f>
        <v>OK</v>
      </c>
    </row>
    <row r="210" customFormat="false" ht="15" hidden="false" customHeight="false" outlineLevel="0" collapsed="false">
      <c r="A210" s="7" t="s">
        <v>49</v>
      </c>
      <c r="B210" s="7" t="n">
        <v>7</v>
      </c>
      <c r="C210" s="7" t="n">
        <v>4</v>
      </c>
      <c r="D210" s="8" t="n">
        <v>5.44</v>
      </c>
      <c r="E210" s="9" t="n">
        <f aca="false">ROUND(D210*ASM!$B$8*IF(A210="10K",ASM!$B$11,IF(A210="14K",ASM!$B$12,ASM!$B$13))*(1+ASM!$B$3)+ASM!$B$16+ASM!$B$5+ASM!$B$6,2)</f>
        <v>516.24</v>
      </c>
      <c r="F210" s="7" t="n">
        <f aca="false">ROUND((D210*ASM!$B$8*IF(A210="10K",ASM!$B$11,IF(A210="14K",ASM!$B$12,ASM!$B$13))*(1+ASM!$B$3)+ASM!$B$16+ASM!$B$5+ASM!$B$6)*IF(B210&lt;=7,ASM!$B$7,ASM!$B$17),0)</f>
        <v>800</v>
      </c>
      <c r="G210" s="10" t="n">
        <f aca="false">CEILING(F210/0.75,5)</f>
        <v>1070</v>
      </c>
      <c r="H210" s="9" t="n">
        <f aca="false">G210*0.75</f>
        <v>802.5</v>
      </c>
      <c r="I210" s="7" t="n">
        <f aca="false">ROUND((E210+0.45)/(1-ASM!$B$9),0)</f>
        <v>577</v>
      </c>
      <c r="J210" s="7" t="n">
        <f aca="false">ROUND((E210+0.45)/(1-ASM!$B$9-ASM!$B$10),0)</f>
        <v>694</v>
      </c>
      <c r="K210" s="7" t="str">
        <f aca="false">IF(H210&gt;=I210,"OK","FLOOR ALTI")</f>
        <v>OK</v>
      </c>
    </row>
    <row r="211" customFormat="false" ht="15" hidden="false" customHeight="false" outlineLevel="0" collapsed="false">
      <c r="A211" s="7" t="s">
        <v>49</v>
      </c>
      <c r="B211" s="7" t="n">
        <v>7</v>
      </c>
      <c r="C211" s="7" t="n">
        <v>5</v>
      </c>
      <c r="D211" s="8" t="n">
        <v>5.71</v>
      </c>
      <c r="E211" s="9" t="n">
        <f aca="false">ROUND(D211*ASM!$B$8*IF(A211="10K",ASM!$B$11,IF(A211="14K",ASM!$B$12,ASM!$B$13))*(1+ASM!$B$3)+ASM!$B$16+ASM!$B$5+ASM!$B$6,2)</f>
        <v>538.38</v>
      </c>
      <c r="F211" s="7" t="n">
        <f aca="false">ROUND((D211*ASM!$B$8*IF(A211="10K",ASM!$B$11,IF(A211="14K",ASM!$B$12,ASM!$B$13))*(1+ASM!$B$3)+ASM!$B$16+ASM!$B$5+ASM!$B$6)*IF(B211&lt;=7,ASM!$B$7,ASM!$B$17),0)</f>
        <v>834</v>
      </c>
      <c r="G211" s="10" t="n">
        <f aca="false">CEILING(F211/0.75,5)</f>
        <v>1115</v>
      </c>
      <c r="H211" s="9" t="n">
        <f aca="false">G211*0.75</f>
        <v>836.25</v>
      </c>
      <c r="I211" s="7" t="n">
        <f aca="false">ROUND((E211+0.45)/(1-ASM!$B$9),0)</f>
        <v>602</v>
      </c>
      <c r="J211" s="7" t="n">
        <f aca="false">ROUND((E211+0.45)/(1-ASM!$B$9-ASM!$B$10),0)</f>
        <v>723</v>
      </c>
      <c r="K211" s="7" t="str">
        <f aca="false">IF(H211&gt;=I211,"OK","FLOOR ALTI")</f>
        <v>OK</v>
      </c>
    </row>
    <row r="212" customFormat="false" ht="15" hidden="false" customHeight="false" outlineLevel="0" collapsed="false">
      <c r="A212" s="7" t="s">
        <v>49</v>
      </c>
      <c r="B212" s="7" t="n">
        <v>7</v>
      </c>
      <c r="C212" s="7" t="n">
        <v>6</v>
      </c>
      <c r="D212" s="8" t="n">
        <v>5.97</v>
      </c>
      <c r="E212" s="9" t="n">
        <f aca="false">ROUND(D212*ASM!$B$8*IF(A212="10K",ASM!$B$11,IF(A212="14K",ASM!$B$12,ASM!$B$13))*(1+ASM!$B$3)+ASM!$B$16+ASM!$B$5+ASM!$B$6,2)</f>
        <v>559.71</v>
      </c>
      <c r="F212" s="7" t="n">
        <f aca="false">ROUND((D212*ASM!$B$8*IF(A212="10K",ASM!$B$11,IF(A212="14K",ASM!$B$12,ASM!$B$13))*(1+ASM!$B$3)+ASM!$B$16+ASM!$B$5+ASM!$B$6)*IF(B212&lt;=7,ASM!$B$7,ASM!$B$17),0)</f>
        <v>868</v>
      </c>
      <c r="G212" s="10" t="n">
        <f aca="false">CEILING(F212/0.75,5)</f>
        <v>1160</v>
      </c>
      <c r="H212" s="9" t="n">
        <f aca="false">G212*0.75</f>
        <v>870</v>
      </c>
      <c r="I212" s="7" t="n">
        <f aca="false">ROUND((E212+0.45)/(1-ASM!$B$9),0)</f>
        <v>626</v>
      </c>
      <c r="J212" s="7" t="n">
        <f aca="false">ROUND((E212+0.45)/(1-ASM!$B$9-ASM!$B$10),0)</f>
        <v>752</v>
      </c>
      <c r="K212" s="7" t="str">
        <f aca="false">IF(H212&gt;=I212,"OK","FLOOR ALTI")</f>
        <v>OK</v>
      </c>
    </row>
    <row r="213" customFormat="false" ht="15" hidden="false" customHeight="false" outlineLevel="0" collapsed="false">
      <c r="A213" s="7" t="s">
        <v>49</v>
      </c>
      <c r="B213" s="7" t="n">
        <v>7</v>
      </c>
      <c r="C213" s="7" t="n">
        <v>7</v>
      </c>
      <c r="D213" s="8" t="n">
        <v>6.23</v>
      </c>
      <c r="E213" s="9" t="n">
        <f aca="false">ROUND(D213*ASM!$B$8*IF(A213="10K",ASM!$B$11,IF(A213="14K",ASM!$B$12,ASM!$B$13))*(1+ASM!$B$3)+ASM!$B$16+ASM!$B$5+ASM!$B$6,2)</f>
        <v>581.04</v>
      </c>
      <c r="F213" s="7" t="n">
        <f aca="false">ROUND((D213*ASM!$B$8*IF(A213="10K",ASM!$B$11,IF(A213="14K",ASM!$B$12,ASM!$B$13))*(1+ASM!$B$3)+ASM!$B$16+ASM!$B$5+ASM!$B$6)*IF(B213&lt;=7,ASM!$B$7,ASM!$B$17),0)</f>
        <v>901</v>
      </c>
      <c r="G213" s="10" t="n">
        <f aca="false">CEILING(F213/0.75,5)</f>
        <v>1205</v>
      </c>
      <c r="H213" s="9" t="n">
        <f aca="false">G213*0.75</f>
        <v>903.75</v>
      </c>
      <c r="I213" s="7" t="n">
        <f aca="false">ROUND((E213+0.45)/(1-ASM!$B$9),0)</f>
        <v>650</v>
      </c>
      <c r="J213" s="7" t="n">
        <f aca="false">ROUND((E213+0.45)/(1-ASM!$B$9-ASM!$B$10),0)</f>
        <v>781</v>
      </c>
      <c r="K213" s="7" t="str">
        <f aca="false">IF(H213&gt;=I213,"OK","FLOOR ALTI")</f>
        <v>OK</v>
      </c>
    </row>
    <row r="214" customFormat="false" ht="15" hidden="false" customHeight="false" outlineLevel="0" collapsed="false">
      <c r="A214" s="7" t="s">
        <v>49</v>
      </c>
      <c r="B214" s="7" t="n">
        <v>7</v>
      </c>
      <c r="C214" s="7" t="n">
        <v>8</v>
      </c>
      <c r="D214" s="8" t="n">
        <v>6.5</v>
      </c>
      <c r="E214" s="9" t="n">
        <f aca="false">ROUND(D214*ASM!$B$8*IF(A214="10K",ASM!$B$11,IF(A214="14K",ASM!$B$12,ASM!$B$13))*(1+ASM!$B$3)+ASM!$B$16+ASM!$B$5+ASM!$B$6,2)</f>
        <v>603.19</v>
      </c>
      <c r="F214" s="7" t="n">
        <f aca="false">ROUND((D214*ASM!$B$8*IF(A214="10K",ASM!$B$11,IF(A214="14K",ASM!$B$12,ASM!$B$13))*(1+ASM!$B$3)+ASM!$B$16+ASM!$B$5+ASM!$B$6)*IF(B214&lt;=7,ASM!$B$7,ASM!$B$17),0)</f>
        <v>935</v>
      </c>
      <c r="G214" s="10" t="n">
        <f aca="false">CEILING(F214/0.75,5)</f>
        <v>1250</v>
      </c>
      <c r="H214" s="9" t="n">
        <f aca="false">G214*0.75</f>
        <v>937.5</v>
      </c>
      <c r="I214" s="7" t="n">
        <f aca="false">ROUND((E214+0.45)/(1-ASM!$B$9),0)</f>
        <v>674</v>
      </c>
      <c r="J214" s="7" t="n">
        <f aca="false">ROUND((E214+0.45)/(1-ASM!$B$9-ASM!$B$10),0)</f>
        <v>810</v>
      </c>
      <c r="K214" s="7" t="str">
        <f aca="false">IF(H214&gt;=I214,"OK","FLOOR ALTI")</f>
        <v>OK</v>
      </c>
    </row>
    <row r="215" customFormat="false" ht="15" hidden="false" customHeight="false" outlineLevel="0" collapsed="false">
      <c r="A215" s="7" t="s">
        <v>49</v>
      </c>
      <c r="B215" s="7" t="n">
        <v>7</v>
      </c>
      <c r="C215" s="7" t="n">
        <v>9</v>
      </c>
      <c r="D215" s="8" t="n">
        <v>6.76</v>
      </c>
      <c r="E215" s="9" t="n">
        <f aca="false">ROUND(D215*ASM!$B$8*IF(A215="10K",ASM!$B$11,IF(A215="14K",ASM!$B$12,ASM!$B$13))*(1+ASM!$B$3)+ASM!$B$16+ASM!$B$5+ASM!$B$6,2)</f>
        <v>624.51</v>
      </c>
      <c r="F215" s="7" t="n">
        <f aca="false">ROUND((D215*ASM!$B$8*IF(A215="10K",ASM!$B$11,IF(A215="14K",ASM!$B$12,ASM!$B$13))*(1+ASM!$B$3)+ASM!$B$16+ASM!$B$5+ASM!$B$6)*IF(B215&lt;=7,ASM!$B$7,ASM!$B$17),0)</f>
        <v>968</v>
      </c>
      <c r="G215" s="10" t="n">
        <f aca="false">CEILING(F215/0.75,5)</f>
        <v>1295</v>
      </c>
      <c r="H215" s="9" t="n">
        <f aca="false">G215*0.75</f>
        <v>971.25</v>
      </c>
      <c r="I215" s="7" t="n">
        <f aca="false">ROUND((E215+0.45)/(1-ASM!$B$9),0)</f>
        <v>698</v>
      </c>
      <c r="J215" s="7" t="n">
        <f aca="false">ROUND((E215+0.45)/(1-ASM!$B$9-ASM!$B$10),0)</f>
        <v>839</v>
      </c>
      <c r="K215" s="7" t="str">
        <f aca="false">IF(H215&gt;=I215,"OK","FLOOR ALTI")</f>
        <v>OK</v>
      </c>
    </row>
    <row r="216" customFormat="false" ht="15" hidden="false" customHeight="false" outlineLevel="0" collapsed="false">
      <c r="A216" s="7" t="s">
        <v>49</v>
      </c>
      <c r="B216" s="7" t="n">
        <v>7</v>
      </c>
      <c r="C216" s="7" t="n">
        <v>10</v>
      </c>
      <c r="D216" s="8" t="n">
        <v>7.03</v>
      </c>
      <c r="E216" s="9" t="n">
        <f aca="false">ROUND(D216*ASM!$B$8*IF(A216="10K",ASM!$B$11,IF(A216="14K",ASM!$B$12,ASM!$B$13))*(1+ASM!$B$3)+ASM!$B$16+ASM!$B$5+ASM!$B$6,2)</f>
        <v>646.66</v>
      </c>
      <c r="F216" s="7" t="n">
        <f aca="false">ROUND((D216*ASM!$B$8*IF(A216="10K",ASM!$B$11,IF(A216="14K",ASM!$B$12,ASM!$B$13))*(1+ASM!$B$3)+ASM!$B$16+ASM!$B$5+ASM!$B$6)*IF(B216&lt;=7,ASM!$B$7,ASM!$B$17),0)</f>
        <v>1002</v>
      </c>
      <c r="G216" s="10" t="n">
        <f aca="false">CEILING(F216/0.75,5)</f>
        <v>1340</v>
      </c>
      <c r="H216" s="9" t="n">
        <f aca="false">G216*0.75</f>
        <v>1005</v>
      </c>
      <c r="I216" s="7" t="n">
        <f aca="false">ROUND((E216+0.45)/(1-ASM!$B$9),0)</f>
        <v>723</v>
      </c>
      <c r="J216" s="7" t="n">
        <f aca="false">ROUND((E216+0.45)/(1-ASM!$B$9-ASM!$B$10),0)</f>
        <v>869</v>
      </c>
      <c r="K216" s="7" t="str">
        <f aca="false">IF(H216&gt;=I216,"OK","FLOOR ALTI")</f>
        <v>OK</v>
      </c>
    </row>
    <row r="217" customFormat="false" ht="15" hidden="false" customHeight="false" outlineLevel="0" collapsed="false">
      <c r="A217" s="7" t="s">
        <v>49</v>
      </c>
      <c r="B217" s="7" t="n">
        <v>7</v>
      </c>
      <c r="C217" s="7" t="n">
        <v>11</v>
      </c>
      <c r="D217" s="8" t="n">
        <v>7.29</v>
      </c>
      <c r="E217" s="9" t="n">
        <f aca="false">ROUND(D217*ASM!$B$8*IF(A217="10K",ASM!$B$11,IF(A217="14K",ASM!$B$12,ASM!$B$13))*(1+ASM!$B$3)+ASM!$B$16+ASM!$B$5+ASM!$B$6,2)</f>
        <v>667.99</v>
      </c>
      <c r="F217" s="7" t="n">
        <f aca="false">ROUND((D217*ASM!$B$8*IF(A217="10K",ASM!$B$11,IF(A217="14K",ASM!$B$12,ASM!$B$13))*(1+ASM!$B$3)+ASM!$B$16+ASM!$B$5+ASM!$B$6)*IF(B217&lt;=7,ASM!$B$7,ASM!$B$17),0)</f>
        <v>1035</v>
      </c>
      <c r="G217" s="10" t="n">
        <f aca="false">CEILING(F217/0.75,5)</f>
        <v>1380</v>
      </c>
      <c r="H217" s="9" t="n">
        <f aca="false">G217*0.75</f>
        <v>1035</v>
      </c>
      <c r="I217" s="7" t="n">
        <f aca="false">ROUND((E217+0.45)/(1-ASM!$B$9),0)</f>
        <v>747</v>
      </c>
      <c r="J217" s="7" t="n">
        <f aca="false">ROUND((E217+0.45)/(1-ASM!$B$9-ASM!$B$10),0)</f>
        <v>897</v>
      </c>
      <c r="K217" s="7" t="str">
        <f aca="false">IF(H217&gt;=I217,"OK","FLOOR ALTI")</f>
        <v>OK</v>
      </c>
    </row>
    <row r="218" customFormat="false" ht="15" hidden="false" customHeight="false" outlineLevel="0" collapsed="false">
      <c r="A218" s="7" t="s">
        <v>49</v>
      </c>
      <c r="B218" s="7" t="n">
        <v>7</v>
      </c>
      <c r="C218" s="7" t="n">
        <v>12</v>
      </c>
      <c r="D218" s="8" t="n">
        <v>7.55</v>
      </c>
      <c r="E218" s="9" t="n">
        <f aca="false">ROUND(D218*ASM!$B$8*IF(A218="10K",ASM!$B$11,IF(A218="14K",ASM!$B$12,ASM!$B$13))*(1+ASM!$B$3)+ASM!$B$16+ASM!$B$5+ASM!$B$6,2)</f>
        <v>689.32</v>
      </c>
      <c r="F218" s="7" t="n">
        <f aca="false">ROUND((D218*ASM!$B$8*IF(A218="10K",ASM!$B$11,IF(A218="14K",ASM!$B$12,ASM!$B$13))*(1+ASM!$B$3)+ASM!$B$16+ASM!$B$5+ASM!$B$6)*IF(B218&lt;=7,ASM!$B$7,ASM!$B$17),0)</f>
        <v>1068</v>
      </c>
      <c r="G218" s="10" t="n">
        <f aca="false">CEILING(F218/0.75,5)</f>
        <v>1425</v>
      </c>
      <c r="H218" s="9" t="n">
        <f aca="false">G218*0.75</f>
        <v>1068.75</v>
      </c>
      <c r="I218" s="7" t="n">
        <f aca="false">ROUND((E218+0.45)/(1-ASM!$B$9),0)</f>
        <v>771</v>
      </c>
      <c r="J218" s="7" t="n">
        <f aca="false">ROUND((E218+0.45)/(1-ASM!$B$9-ASM!$B$10),0)</f>
        <v>926</v>
      </c>
      <c r="K218" s="7" t="str">
        <f aca="false">IF(H218&gt;=I218,"OK","FLOOR ALTI")</f>
        <v>OK</v>
      </c>
    </row>
    <row r="219" customFormat="false" ht="15" hidden="false" customHeight="false" outlineLevel="0" collapsed="false">
      <c r="A219" s="7" t="s">
        <v>49</v>
      </c>
      <c r="B219" s="7" t="n">
        <v>7</v>
      </c>
      <c r="C219" s="7" t="n">
        <v>13</v>
      </c>
      <c r="D219" s="8" t="n">
        <v>7.82</v>
      </c>
      <c r="E219" s="9" t="n">
        <f aca="false">ROUND(D219*ASM!$B$8*IF(A219="10K",ASM!$B$11,IF(A219="14K",ASM!$B$12,ASM!$B$13))*(1+ASM!$B$3)+ASM!$B$16+ASM!$B$5+ASM!$B$6,2)</f>
        <v>711.47</v>
      </c>
      <c r="F219" s="7" t="n">
        <f aca="false">ROUND((D219*ASM!$B$8*IF(A219="10K",ASM!$B$11,IF(A219="14K",ASM!$B$12,ASM!$B$13))*(1+ASM!$B$3)+ASM!$B$16+ASM!$B$5+ASM!$B$6)*IF(B219&lt;=7,ASM!$B$7,ASM!$B$17),0)</f>
        <v>1103</v>
      </c>
      <c r="G219" s="10" t="n">
        <f aca="false">CEILING(F219/0.75,5)</f>
        <v>1475</v>
      </c>
      <c r="H219" s="9" t="n">
        <f aca="false">G219*0.75</f>
        <v>1106.25</v>
      </c>
      <c r="I219" s="7" t="n">
        <f aca="false">ROUND((E219+0.45)/(1-ASM!$B$9),0)</f>
        <v>795</v>
      </c>
      <c r="J219" s="7" t="n">
        <f aca="false">ROUND((E219+0.45)/(1-ASM!$B$9-ASM!$B$10),0)</f>
        <v>956</v>
      </c>
      <c r="K219" s="7" t="str">
        <f aca="false">IF(H219&gt;=I219,"OK","FLOOR ALTI")</f>
        <v>OK</v>
      </c>
    </row>
    <row r="220" customFormat="false" ht="15" hidden="false" customHeight="false" outlineLevel="0" collapsed="false">
      <c r="A220" s="7" t="s">
        <v>49</v>
      </c>
      <c r="B220" s="7" t="n">
        <v>7</v>
      </c>
      <c r="C220" s="7" t="n">
        <v>14</v>
      </c>
      <c r="D220" s="8" t="n">
        <v>8.08</v>
      </c>
      <c r="E220" s="9" t="n">
        <f aca="false">ROUND(D220*ASM!$B$8*IF(A220="10K",ASM!$B$11,IF(A220="14K",ASM!$B$12,ASM!$B$13))*(1+ASM!$B$3)+ASM!$B$16+ASM!$B$5+ASM!$B$6,2)</f>
        <v>732.79</v>
      </c>
      <c r="F220" s="7" t="n">
        <f aca="false">ROUND((D220*ASM!$B$8*IF(A220="10K",ASM!$B$11,IF(A220="14K",ASM!$B$12,ASM!$B$13))*(1+ASM!$B$3)+ASM!$B$16+ASM!$B$5+ASM!$B$6)*IF(B220&lt;=7,ASM!$B$7,ASM!$B$17),0)</f>
        <v>1136</v>
      </c>
      <c r="G220" s="10" t="n">
        <f aca="false">CEILING(F220/0.75,5)</f>
        <v>1515</v>
      </c>
      <c r="H220" s="9" t="n">
        <f aca="false">G220*0.75</f>
        <v>1136.25</v>
      </c>
      <c r="I220" s="7" t="n">
        <f aca="false">ROUND((E220+0.45)/(1-ASM!$B$9),0)</f>
        <v>819</v>
      </c>
      <c r="J220" s="7" t="n">
        <f aca="false">ROUND((E220+0.45)/(1-ASM!$B$9-ASM!$B$10),0)</f>
        <v>984</v>
      </c>
      <c r="K220" s="7" t="str">
        <f aca="false">IF(H220&gt;=I220,"OK","FLOOR ALTI")</f>
        <v>OK</v>
      </c>
    </row>
    <row r="221" customFormat="false" ht="15" hidden="false" customHeight="false" outlineLevel="0" collapsed="false">
      <c r="A221" s="7" t="s">
        <v>49</v>
      </c>
      <c r="B221" s="7" t="n">
        <v>7</v>
      </c>
      <c r="C221" s="7" t="n">
        <v>15</v>
      </c>
      <c r="D221" s="8" t="n">
        <v>8.35</v>
      </c>
      <c r="E221" s="9" t="n">
        <f aca="false">ROUND(D221*ASM!$B$8*IF(A221="10K",ASM!$B$11,IF(A221="14K",ASM!$B$12,ASM!$B$13))*(1+ASM!$B$3)+ASM!$B$16+ASM!$B$5+ASM!$B$6,2)</f>
        <v>754.94</v>
      </c>
      <c r="F221" s="7" t="n">
        <f aca="false">ROUND((D221*ASM!$B$8*IF(A221="10K",ASM!$B$11,IF(A221="14K",ASM!$B$12,ASM!$B$13))*(1+ASM!$B$3)+ASM!$B$16+ASM!$B$5+ASM!$B$6)*IF(B221&lt;=7,ASM!$B$7,ASM!$B$17),0)</f>
        <v>1170</v>
      </c>
      <c r="G221" s="10" t="n">
        <f aca="false">CEILING(F221/0.75,5)</f>
        <v>1560</v>
      </c>
      <c r="H221" s="9" t="n">
        <f aca="false">G221*0.75</f>
        <v>1170</v>
      </c>
      <c r="I221" s="7" t="n">
        <f aca="false">ROUND((E221+0.45)/(1-ASM!$B$9),0)</f>
        <v>844</v>
      </c>
      <c r="J221" s="7" t="n">
        <f aca="false">ROUND((E221+0.45)/(1-ASM!$B$9-ASM!$B$10),0)</f>
        <v>1014</v>
      </c>
      <c r="K221" s="7" t="str">
        <f aca="false">IF(H221&gt;=I221,"OK","FLOOR ALTI")</f>
        <v>OK</v>
      </c>
    </row>
    <row r="222" customFormat="false" ht="15" hidden="false" customHeight="false" outlineLevel="0" collapsed="false">
      <c r="A222" s="7" t="s">
        <v>49</v>
      </c>
      <c r="B222" s="7" t="n">
        <v>7</v>
      </c>
      <c r="C222" s="7" t="n">
        <v>16</v>
      </c>
      <c r="D222" s="8" t="n">
        <v>8.61</v>
      </c>
      <c r="E222" s="9" t="n">
        <f aca="false">ROUND(D222*ASM!$B$8*IF(A222="10K",ASM!$B$11,IF(A222="14K",ASM!$B$12,ASM!$B$13))*(1+ASM!$B$3)+ASM!$B$16+ASM!$B$5+ASM!$B$6,2)</f>
        <v>776.27</v>
      </c>
      <c r="F222" s="7" t="n">
        <f aca="false">ROUND((D222*ASM!$B$8*IF(A222="10K",ASM!$B$11,IF(A222="14K",ASM!$B$12,ASM!$B$13))*(1+ASM!$B$3)+ASM!$B$16+ASM!$B$5+ASM!$B$6)*IF(B222&lt;=7,ASM!$B$7,ASM!$B$17),0)</f>
        <v>1203</v>
      </c>
      <c r="G222" s="10" t="n">
        <f aca="false">CEILING(F222/0.75,5)</f>
        <v>1605</v>
      </c>
      <c r="H222" s="9" t="n">
        <f aca="false">G222*0.75</f>
        <v>1203.75</v>
      </c>
      <c r="I222" s="7" t="n">
        <f aca="false">ROUND((E222+0.45)/(1-ASM!$B$9),0)</f>
        <v>868</v>
      </c>
      <c r="J222" s="7" t="n">
        <f aca="false">ROUND((E222+0.45)/(1-ASM!$B$9-ASM!$B$10),0)</f>
        <v>1043</v>
      </c>
      <c r="K222" s="7" t="str">
        <f aca="false">IF(H222&gt;=I222,"OK","FLOOR ALTI")</f>
        <v>OK</v>
      </c>
    </row>
    <row r="223" customFormat="false" ht="15" hidden="false" customHeight="false" outlineLevel="0" collapsed="false">
      <c r="A223" s="7" t="s">
        <v>49</v>
      </c>
      <c r="B223" s="7" t="n">
        <v>8</v>
      </c>
      <c r="C223" s="7" t="n">
        <v>4</v>
      </c>
      <c r="D223" s="8" t="n">
        <v>6.22</v>
      </c>
      <c r="E223" s="9" t="n">
        <f aca="false">ROUND(D223*ASM!$B$8*IF(A223="10K",ASM!$B$11,IF(A223="14K",ASM!$B$12,ASM!$B$13))*(1+ASM!$B$3)+ASM!$B$16+ASM!$B$5+ASM!$B$6,2)</f>
        <v>580.22</v>
      </c>
      <c r="F223" s="7" t="n">
        <f aca="false">ROUND((D223*ASM!$B$8*IF(A223="10K",ASM!$B$11,IF(A223="14K",ASM!$B$12,ASM!$B$13))*(1+ASM!$B$3)+ASM!$B$16+ASM!$B$5+ASM!$B$6)*IF(B223&lt;=7,ASM!$B$7,ASM!$B$17),0)</f>
        <v>1160</v>
      </c>
      <c r="G223" s="10" t="n">
        <f aca="false">CEILING(F223/0.75,5)</f>
        <v>1550</v>
      </c>
      <c r="H223" s="9" t="n">
        <f aca="false">G223*0.75</f>
        <v>1162.5</v>
      </c>
      <c r="I223" s="7" t="n">
        <f aca="false">ROUND((E223+0.45)/(1-ASM!$B$9),0)</f>
        <v>649</v>
      </c>
      <c r="J223" s="7" t="n">
        <f aca="false">ROUND((E223+0.45)/(1-ASM!$B$9-ASM!$B$10),0)</f>
        <v>779</v>
      </c>
      <c r="K223" s="7" t="str">
        <f aca="false">IF(H223&gt;=I223,"OK","FLOOR ALTI")</f>
        <v>OK</v>
      </c>
    </row>
    <row r="224" customFormat="false" ht="15" hidden="false" customHeight="false" outlineLevel="0" collapsed="false">
      <c r="A224" s="7" t="s">
        <v>49</v>
      </c>
      <c r="B224" s="7" t="n">
        <v>8</v>
      </c>
      <c r="C224" s="7" t="n">
        <v>5</v>
      </c>
      <c r="D224" s="8" t="n">
        <v>6.52</v>
      </c>
      <c r="E224" s="9" t="n">
        <f aca="false">ROUND(D224*ASM!$B$8*IF(A224="10K",ASM!$B$11,IF(A224="14K",ASM!$B$12,ASM!$B$13))*(1+ASM!$B$3)+ASM!$B$16+ASM!$B$5+ASM!$B$6,2)</f>
        <v>604.83</v>
      </c>
      <c r="F224" s="7" t="n">
        <f aca="false">ROUND((D224*ASM!$B$8*IF(A224="10K",ASM!$B$11,IF(A224="14K",ASM!$B$12,ASM!$B$13))*(1+ASM!$B$3)+ASM!$B$16+ASM!$B$5+ASM!$B$6)*IF(B224&lt;=7,ASM!$B$7,ASM!$B$17),0)</f>
        <v>1210</v>
      </c>
      <c r="G224" s="10" t="n">
        <f aca="false">CEILING(F224/0.75,5)</f>
        <v>1615</v>
      </c>
      <c r="H224" s="9" t="n">
        <f aca="false">G224*0.75</f>
        <v>1211.25</v>
      </c>
      <c r="I224" s="7" t="n">
        <f aca="false">ROUND((E224+0.45)/(1-ASM!$B$9),0)</f>
        <v>676</v>
      </c>
      <c r="J224" s="7" t="n">
        <f aca="false">ROUND((E224+0.45)/(1-ASM!$B$9-ASM!$B$10),0)</f>
        <v>812</v>
      </c>
      <c r="K224" s="7" t="str">
        <f aca="false">IF(H224&gt;=I224,"OK","FLOOR ALTI")</f>
        <v>OK</v>
      </c>
    </row>
    <row r="225" customFormat="false" ht="15" hidden="false" customHeight="false" outlineLevel="0" collapsed="false">
      <c r="A225" s="7" t="s">
        <v>49</v>
      </c>
      <c r="B225" s="7" t="n">
        <v>8</v>
      </c>
      <c r="C225" s="7" t="n">
        <v>6</v>
      </c>
      <c r="D225" s="8" t="n">
        <v>6.82</v>
      </c>
      <c r="E225" s="9" t="n">
        <f aca="false">ROUND(D225*ASM!$B$8*IF(A225="10K",ASM!$B$11,IF(A225="14K",ASM!$B$12,ASM!$B$13))*(1+ASM!$B$3)+ASM!$B$16+ASM!$B$5+ASM!$B$6,2)</f>
        <v>629.44</v>
      </c>
      <c r="F225" s="7" t="n">
        <f aca="false">ROUND((D225*ASM!$B$8*IF(A225="10K",ASM!$B$11,IF(A225="14K",ASM!$B$12,ASM!$B$13))*(1+ASM!$B$3)+ASM!$B$16+ASM!$B$5+ASM!$B$6)*IF(B225&lt;=7,ASM!$B$7,ASM!$B$17),0)</f>
        <v>1259</v>
      </c>
      <c r="G225" s="10" t="n">
        <f aca="false">CEILING(F225/0.75,5)</f>
        <v>1680</v>
      </c>
      <c r="H225" s="9" t="n">
        <f aca="false">G225*0.75</f>
        <v>1260</v>
      </c>
      <c r="I225" s="7" t="n">
        <f aca="false">ROUND((E225+0.45)/(1-ASM!$B$9),0)</f>
        <v>704</v>
      </c>
      <c r="J225" s="7" t="n">
        <f aca="false">ROUND((E225+0.45)/(1-ASM!$B$9-ASM!$B$10),0)</f>
        <v>845</v>
      </c>
      <c r="K225" s="7" t="str">
        <f aca="false">IF(H225&gt;=I225,"OK","FLOOR ALTI")</f>
        <v>OK</v>
      </c>
    </row>
    <row r="226" customFormat="false" ht="15" hidden="false" customHeight="false" outlineLevel="0" collapsed="false">
      <c r="A226" s="7" t="s">
        <v>49</v>
      </c>
      <c r="B226" s="7" t="n">
        <v>8</v>
      </c>
      <c r="C226" s="7" t="n">
        <v>7</v>
      </c>
      <c r="D226" s="8" t="n">
        <v>7.13</v>
      </c>
      <c r="E226" s="9" t="n">
        <f aca="false">ROUND(D226*ASM!$B$8*IF(A226="10K",ASM!$B$11,IF(A226="14K",ASM!$B$12,ASM!$B$13))*(1+ASM!$B$3)+ASM!$B$16+ASM!$B$5+ASM!$B$6,2)</f>
        <v>654.87</v>
      </c>
      <c r="F226" s="7" t="n">
        <f aca="false">ROUND((D226*ASM!$B$8*IF(A226="10K",ASM!$B$11,IF(A226="14K",ASM!$B$12,ASM!$B$13))*(1+ASM!$B$3)+ASM!$B$16+ASM!$B$5+ASM!$B$6)*IF(B226&lt;=7,ASM!$B$7,ASM!$B$17),0)</f>
        <v>1310</v>
      </c>
      <c r="G226" s="10" t="n">
        <f aca="false">CEILING(F226/0.75,5)</f>
        <v>1750</v>
      </c>
      <c r="H226" s="9" t="n">
        <f aca="false">G226*0.75</f>
        <v>1312.5</v>
      </c>
      <c r="I226" s="7" t="n">
        <f aca="false">ROUND((E226+0.45)/(1-ASM!$B$9),0)</f>
        <v>732</v>
      </c>
      <c r="J226" s="7" t="n">
        <f aca="false">ROUND((E226+0.45)/(1-ASM!$B$9-ASM!$B$10),0)</f>
        <v>880</v>
      </c>
      <c r="K226" s="7" t="str">
        <f aca="false">IF(H226&gt;=I226,"OK","FLOOR ALTI")</f>
        <v>OK</v>
      </c>
    </row>
    <row r="227" customFormat="false" ht="15" hidden="false" customHeight="false" outlineLevel="0" collapsed="false">
      <c r="A227" s="7" t="s">
        <v>49</v>
      </c>
      <c r="B227" s="7" t="n">
        <v>8</v>
      </c>
      <c r="C227" s="7" t="n">
        <v>8</v>
      </c>
      <c r="D227" s="8" t="n">
        <v>7.43</v>
      </c>
      <c r="E227" s="9" t="n">
        <f aca="false">ROUND(D227*ASM!$B$8*IF(A227="10K",ASM!$B$11,IF(A227="14K",ASM!$B$12,ASM!$B$13))*(1+ASM!$B$3)+ASM!$B$16+ASM!$B$5+ASM!$B$6,2)</f>
        <v>679.47</v>
      </c>
      <c r="F227" s="7" t="n">
        <f aca="false">ROUND((D227*ASM!$B$8*IF(A227="10K",ASM!$B$11,IF(A227="14K",ASM!$B$12,ASM!$B$13))*(1+ASM!$B$3)+ASM!$B$16+ASM!$B$5+ASM!$B$6)*IF(B227&lt;=7,ASM!$B$7,ASM!$B$17),0)</f>
        <v>1359</v>
      </c>
      <c r="G227" s="10" t="n">
        <f aca="false">CEILING(F227/0.75,5)</f>
        <v>1815</v>
      </c>
      <c r="H227" s="9" t="n">
        <f aca="false">G227*0.75</f>
        <v>1361.25</v>
      </c>
      <c r="I227" s="7" t="n">
        <f aca="false">ROUND((E227+0.45)/(1-ASM!$B$9),0)</f>
        <v>760</v>
      </c>
      <c r="J227" s="7" t="n">
        <f aca="false">ROUND((E227+0.45)/(1-ASM!$B$9-ASM!$B$10),0)</f>
        <v>913</v>
      </c>
      <c r="K227" s="7" t="str">
        <f aca="false">IF(H227&gt;=I227,"OK","FLOOR ALTI")</f>
        <v>OK</v>
      </c>
    </row>
    <row r="228" customFormat="false" ht="15" hidden="false" customHeight="false" outlineLevel="0" collapsed="false">
      <c r="A228" s="7" t="s">
        <v>49</v>
      </c>
      <c r="B228" s="7" t="n">
        <v>8</v>
      </c>
      <c r="C228" s="7" t="n">
        <v>9</v>
      </c>
      <c r="D228" s="8" t="n">
        <v>7.73</v>
      </c>
      <c r="E228" s="9" t="n">
        <f aca="false">ROUND(D228*ASM!$B$8*IF(A228="10K",ASM!$B$11,IF(A228="14K",ASM!$B$12,ASM!$B$13))*(1+ASM!$B$3)+ASM!$B$16+ASM!$B$5+ASM!$B$6,2)</f>
        <v>704.08</v>
      </c>
      <c r="F228" s="7" t="n">
        <f aca="false">ROUND((D228*ASM!$B$8*IF(A228="10K",ASM!$B$11,IF(A228="14K",ASM!$B$12,ASM!$B$13))*(1+ASM!$B$3)+ASM!$B$16+ASM!$B$5+ASM!$B$6)*IF(B228&lt;=7,ASM!$B$7,ASM!$B$17),0)</f>
        <v>1408</v>
      </c>
      <c r="G228" s="10" t="n">
        <f aca="false">CEILING(F228/0.75,5)</f>
        <v>1880</v>
      </c>
      <c r="H228" s="9" t="n">
        <f aca="false">G228*0.75</f>
        <v>1410</v>
      </c>
      <c r="I228" s="7" t="n">
        <f aca="false">ROUND((E228+0.45)/(1-ASM!$B$9),0)</f>
        <v>787</v>
      </c>
      <c r="J228" s="7" t="n">
        <f aca="false">ROUND((E228+0.45)/(1-ASM!$B$9-ASM!$B$10),0)</f>
        <v>946</v>
      </c>
      <c r="K228" s="7" t="str">
        <f aca="false">IF(H228&gt;=I228,"OK","FLOOR ALTI")</f>
        <v>OK</v>
      </c>
    </row>
    <row r="229" customFormat="false" ht="15" hidden="false" customHeight="false" outlineLevel="0" collapsed="false">
      <c r="A229" s="7" t="s">
        <v>49</v>
      </c>
      <c r="B229" s="7" t="n">
        <v>8</v>
      </c>
      <c r="C229" s="7" t="n">
        <v>10</v>
      </c>
      <c r="D229" s="8" t="n">
        <v>8.03</v>
      </c>
      <c r="E229" s="9" t="n">
        <f aca="false">ROUND(D229*ASM!$B$8*IF(A229="10K",ASM!$B$11,IF(A229="14K",ASM!$B$12,ASM!$B$13))*(1+ASM!$B$3)+ASM!$B$16+ASM!$B$5+ASM!$B$6,2)</f>
        <v>728.69</v>
      </c>
      <c r="F229" s="7" t="n">
        <f aca="false">ROUND((D229*ASM!$B$8*IF(A229="10K",ASM!$B$11,IF(A229="14K",ASM!$B$12,ASM!$B$13))*(1+ASM!$B$3)+ASM!$B$16+ASM!$B$5+ASM!$B$6)*IF(B229&lt;=7,ASM!$B$7,ASM!$B$17),0)</f>
        <v>1457</v>
      </c>
      <c r="G229" s="10" t="n">
        <f aca="false">CEILING(F229/0.75,5)</f>
        <v>1945</v>
      </c>
      <c r="H229" s="9" t="n">
        <f aca="false">G229*0.75</f>
        <v>1458.75</v>
      </c>
      <c r="I229" s="7" t="n">
        <f aca="false">ROUND((E229+0.45)/(1-ASM!$B$9),0)</f>
        <v>815</v>
      </c>
      <c r="J229" s="7" t="n">
        <f aca="false">ROUND((E229+0.45)/(1-ASM!$B$9-ASM!$B$10),0)</f>
        <v>979</v>
      </c>
      <c r="K229" s="7" t="str">
        <f aca="false">IF(H229&gt;=I229,"OK","FLOOR ALTI")</f>
        <v>OK</v>
      </c>
    </row>
    <row r="230" customFormat="false" ht="15" hidden="false" customHeight="false" outlineLevel="0" collapsed="false">
      <c r="A230" s="7" t="s">
        <v>49</v>
      </c>
      <c r="B230" s="7" t="n">
        <v>8</v>
      </c>
      <c r="C230" s="7" t="n">
        <v>11</v>
      </c>
      <c r="D230" s="8" t="n">
        <v>8.33</v>
      </c>
      <c r="E230" s="9" t="n">
        <f aca="false">ROUND(D230*ASM!$B$8*IF(A230="10K",ASM!$B$11,IF(A230="14K",ASM!$B$12,ASM!$B$13))*(1+ASM!$B$3)+ASM!$B$16+ASM!$B$5+ASM!$B$6,2)</f>
        <v>753.3</v>
      </c>
      <c r="F230" s="7" t="n">
        <f aca="false">ROUND((D230*ASM!$B$8*IF(A230="10K",ASM!$B$11,IF(A230="14K",ASM!$B$12,ASM!$B$13))*(1+ASM!$B$3)+ASM!$B$16+ASM!$B$5+ASM!$B$6)*IF(B230&lt;=7,ASM!$B$7,ASM!$B$17),0)</f>
        <v>1507</v>
      </c>
      <c r="G230" s="10" t="n">
        <f aca="false">CEILING(F230/0.75,5)</f>
        <v>2010</v>
      </c>
      <c r="H230" s="9" t="n">
        <f aca="false">G230*0.75</f>
        <v>1507.5</v>
      </c>
      <c r="I230" s="7" t="n">
        <f aca="false">ROUND((E230+0.45)/(1-ASM!$B$9),0)</f>
        <v>842</v>
      </c>
      <c r="J230" s="7" t="n">
        <f aca="false">ROUND((E230+0.45)/(1-ASM!$B$9-ASM!$B$10),0)</f>
        <v>1012</v>
      </c>
      <c r="K230" s="7" t="str">
        <f aca="false">IF(H230&gt;=I230,"OK","FLOOR ALTI")</f>
        <v>OK</v>
      </c>
    </row>
    <row r="231" customFormat="false" ht="15" hidden="false" customHeight="false" outlineLevel="0" collapsed="false">
      <c r="A231" s="7" t="s">
        <v>49</v>
      </c>
      <c r="B231" s="7" t="n">
        <v>8</v>
      </c>
      <c r="C231" s="7" t="n">
        <v>12</v>
      </c>
      <c r="D231" s="8" t="n">
        <v>8.63</v>
      </c>
      <c r="E231" s="9" t="n">
        <f aca="false">ROUND(D231*ASM!$B$8*IF(A231="10K",ASM!$B$11,IF(A231="14K",ASM!$B$12,ASM!$B$13))*(1+ASM!$B$3)+ASM!$B$16+ASM!$B$5+ASM!$B$6,2)</f>
        <v>777.91</v>
      </c>
      <c r="F231" s="7" t="n">
        <f aca="false">ROUND((D231*ASM!$B$8*IF(A231="10K",ASM!$B$11,IF(A231="14K",ASM!$B$12,ASM!$B$13))*(1+ASM!$B$3)+ASM!$B$16+ASM!$B$5+ASM!$B$6)*IF(B231&lt;=7,ASM!$B$7,ASM!$B$17),0)</f>
        <v>1556</v>
      </c>
      <c r="G231" s="10" t="n">
        <f aca="false">CEILING(F231/0.75,5)</f>
        <v>2075</v>
      </c>
      <c r="H231" s="9" t="n">
        <f aca="false">G231*0.75</f>
        <v>1556.25</v>
      </c>
      <c r="I231" s="7" t="n">
        <f aca="false">ROUND((E231+0.45)/(1-ASM!$B$9),0)</f>
        <v>870</v>
      </c>
      <c r="J231" s="7" t="n">
        <f aca="false">ROUND((E231+0.45)/(1-ASM!$B$9-ASM!$B$10),0)</f>
        <v>1045</v>
      </c>
      <c r="K231" s="7" t="str">
        <f aca="false">IF(H231&gt;=I231,"OK","FLOOR ALTI")</f>
        <v>OK</v>
      </c>
    </row>
    <row r="232" customFormat="false" ht="15" hidden="false" customHeight="false" outlineLevel="0" collapsed="false">
      <c r="A232" s="7" t="s">
        <v>49</v>
      </c>
      <c r="B232" s="7" t="n">
        <v>8</v>
      </c>
      <c r="C232" s="7" t="n">
        <v>13</v>
      </c>
      <c r="D232" s="8" t="n">
        <v>8.93</v>
      </c>
      <c r="E232" s="9" t="n">
        <f aca="false">ROUND(D232*ASM!$B$8*IF(A232="10K",ASM!$B$11,IF(A232="14K",ASM!$B$12,ASM!$B$13))*(1+ASM!$B$3)+ASM!$B$16+ASM!$B$5+ASM!$B$6,2)</f>
        <v>802.52</v>
      </c>
      <c r="F232" s="7" t="n">
        <f aca="false">ROUND((D232*ASM!$B$8*IF(A232="10K",ASM!$B$11,IF(A232="14K",ASM!$B$12,ASM!$B$13))*(1+ASM!$B$3)+ASM!$B$16+ASM!$B$5+ASM!$B$6)*IF(B232&lt;=7,ASM!$B$7,ASM!$B$17),0)</f>
        <v>1605</v>
      </c>
      <c r="G232" s="10" t="n">
        <f aca="false">CEILING(F232/0.75,5)</f>
        <v>2140</v>
      </c>
      <c r="H232" s="9" t="n">
        <f aca="false">G232*0.75</f>
        <v>1605</v>
      </c>
      <c r="I232" s="7" t="n">
        <f aca="false">ROUND((E232+0.45)/(1-ASM!$B$9),0)</f>
        <v>897</v>
      </c>
      <c r="J232" s="7" t="n">
        <f aca="false">ROUND((E232+0.45)/(1-ASM!$B$9-ASM!$B$10),0)</f>
        <v>1078</v>
      </c>
      <c r="K232" s="7" t="str">
        <f aca="false">IF(H232&gt;=I232,"OK","FLOOR ALTI")</f>
        <v>OK</v>
      </c>
    </row>
    <row r="233" customFormat="false" ht="15" hidden="false" customHeight="false" outlineLevel="0" collapsed="false">
      <c r="A233" s="7" t="s">
        <v>49</v>
      </c>
      <c r="B233" s="7" t="n">
        <v>8</v>
      </c>
      <c r="C233" s="7" t="n">
        <v>14</v>
      </c>
      <c r="D233" s="8" t="n">
        <v>9.24</v>
      </c>
      <c r="E233" s="9" t="n">
        <f aca="false">ROUND(D233*ASM!$B$8*IF(A233="10K",ASM!$B$11,IF(A233="14K",ASM!$B$12,ASM!$B$13))*(1+ASM!$B$3)+ASM!$B$16+ASM!$B$5+ASM!$B$6,2)</f>
        <v>827.95</v>
      </c>
      <c r="F233" s="7" t="n">
        <f aca="false">ROUND((D233*ASM!$B$8*IF(A233="10K",ASM!$B$11,IF(A233="14K",ASM!$B$12,ASM!$B$13))*(1+ASM!$B$3)+ASM!$B$16+ASM!$B$5+ASM!$B$6)*IF(B233&lt;=7,ASM!$B$7,ASM!$B$17),0)</f>
        <v>1656</v>
      </c>
      <c r="G233" s="10" t="n">
        <f aca="false">CEILING(F233/0.75,5)</f>
        <v>2210</v>
      </c>
      <c r="H233" s="9" t="n">
        <f aca="false">G233*0.75</f>
        <v>1657.5</v>
      </c>
      <c r="I233" s="7" t="n">
        <f aca="false">ROUND((E233+0.45)/(1-ASM!$B$9),0)</f>
        <v>926</v>
      </c>
      <c r="J233" s="7" t="n">
        <f aca="false">ROUND((E233+0.45)/(1-ASM!$B$9-ASM!$B$10),0)</f>
        <v>1112</v>
      </c>
      <c r="K233" s="7" t="str">
        <f aca="false">IF(H233&gt;=I233,"OK","FLOOR ALTI")</f>
        <v>OK</v>
      </c>
    </row>
    <row r="234" customFormat="false" ht="15" hidden="false" customHeight="false" outlineLevel="0" collapsed="false">
      <c r="A234" s="7" t="s">
        <v>49</v>
      </c>
      <c r="B234" s="7" t="n">
        <v>8</v>
      </c>
      <c r="C234" s="7" t="n">
        <v>15</v>
      </c>
      <c r="D234" s="8" t="n">
        <v>9.54</v>
      </c>
      <c r="E234" s="9" t="n">
        <f aca="false">ROUND(D234*ASM!$B$8*IF(A234="10K",ASM!$B$11,IF(A234="14K",ASM!$B$12,ASM!$B$13))*(1+ASM!$B$3)+ASM!$B$16+ASM!$B$5+ASM!$B$6,2)</f>
        <v>852.55</v>
      </c>
      <c r="F234" s="7" t="n">
        <f aca="false">ROUND((D234*ASM!$B$8*IF(A234="10K",ASM!$B$11,IF(A234="14K",ASM!$B$12,ASM!$B$13))*(1+ASM!$B$3)+ASM!$B$16+ASM!$B$5+ASM!$B$6)*IF(B234&lt;=7,ASM!$B$7,ASM!$B$17),0)</f>
        <v>1705</v>
      </c>
      <c r="G234" s="10" t="n">
        <f aca="false">CEILING(F234/0.75,5)</f>
        <v>2275</v>
      </c>
      <c r="H234" s="9" t="n">
        <f aca="false">G234*0.75</f>
        <v>1706.25</v>
      </c>
      <c r="I234" s="7" t="n">
        <f aca="false">ROUND((E234+0.45)/(1-ASM!$B$9),0)</f>
        <v>953</v>
      </c>
      <c r="J234" s="7" t="n">
        <f aca="false">ROUND((E234+0.45)/(1-ASM!$B$9-ASM!$B$10),0)</f>
        <v>1145</v>
      </c>
      <c r="K234" s="7" t="str">
        <f aca="false">IF(H234&gt;=I234,"OK","FLOOR ALTI")</f>
        <v>OK</v>
      </c>
    </row>
    <row r="235" customFormat="false" ht="15" hidden="false" customHeight="false" outlineLevel="0" collapsed="false">
      <c r="A235" s="7" t="s">
        <v>49</v>
      </c>
      <c r="B235" s="7" t="n">
        <v>8</v>
      </c>
      <c r="C235" s="7" t="n">
        <v>16</v>
      </c>
      <c r="D235" s="8" t="n">
        <v>9.84</v>
      </c>
      <c r="E235" s="9" t="n">
        <f aca="false">ROUND(D235*ASM!$B$8*IF(A235="10K",ASM!$B$11,IF(A235="14K",ASM!$B$12,ASM!$B$13))*(1+ASM!$B$3)+ASM!$B$16+ASM!$B$5+ASM!$B$6,2)</f>
        <v>877.16</v>
      </c>
      <c r="F235" s="7" t="n">
        <f aca="false">ROUND((D235*ASM!$B$8*IF(A235="10K",ASM!$B$11,IF(A235="14K",ASM!$B$12,ASM!$B$13))*(1+ASM!$B$3)+ASM!$B$16+ASM!$B$5+ASM!$B$6)*IF(B235&lt;=7,ASM!$B$7,ASM!$B$17),0)</f>
        <v>1754</v>
      </c>
      <c r="G235" s="10" t="n">
        <f aca="false">CEILING(F235/0.75,5)</f>
        <v>2340</v>
      </c>
      <c r="H235" s="9" t="n">
        <f aca="false">G235*0.75</f>
        <v>1755</v>
      </c>
      <c r="I235" s="7" t="n">
        <f aca="false">ROUND((E235+0.45)/(1-ASM!$B$9),0)</f>
        <v>981</v>
      </c>
      <c r="J235" s="7" t="n">
        <f aca="false">ROUND((E235+0.45)/(1-ASM!$B$9-ASM!$B$10),0)</f>
        <v>1178</v>
      </c>
      <c r="K235" s="7" t="str">
        <f aca="false">IF(H235&gt;=I235,"OK","FLOOR ALTI")</f>
        <v>OK</v>
      </c>
    </row>
    <row r="236" customFormat="false" ht="15" hidden="false" customHeight="false" outlineLevel="0" collapsed="false">
      <c r="A236" s="7" t="s">
        <v>49</v>
      </c>
      <c r="B236" s="7" t="n">
        <v>9</v>
      </c>
      <c r="C236" s="7" t="n">
        <v>4</v>
      </c>
      <c r="D236" s="8" t="n">
        <v>7</v>
      </c>
      <c r="E236" s="9" t="n">
        <f aca="false">ROUND(D236*ASM!$B$8*IF(A236="10K",ASM!$B$11,IF(A236="14K",ASM!$B$12,ASM!$B$13))*(1+ASM!$B$3)+ASM!$B$16+ASM!$B$5+ASM!$B$6,2)</f>
        <v>644.2</v>
      </c>
      <c r="F236" s="7" t="n">
        <f aca="false">ROUND((D236*ASM!$B$8*IF(A236="10K",ASM!$B$11,IF(A236="14K",ASM!$B$12,ASM!$B$13))*(1+ASM!$B$3)+ASM!$B$16+ASM!$B$5+ASM!$B$6)*IF(B236&lt;=7,ASM!$B$7,ASM!$B$17),0)</f>
        <v>1288</v>
      </c>
      <c r="G236" s="10" t="n">
        <f aca="false">CEILING(F236/0.75,5)</f>
        <v>1720</v>
      </c>
      <c r="H236" s="9" t="n">
        <f aca="false">G236*0.75</f>
        <v>1290</v>
      </c>
      <c r="I236" s="7" t="n">
        <f aca="false">ROUND((E236+0.45)/(1-ASM!$B$9),0)</f>
        <v>720</v>
      </c>
      <c r="J236" s="7" t="n">
        <f aca="false">ROUND((E236+0.45)/(1-ASM!$B$9-ASM!$B$10),0)</f>
        <v>865</v>
      </c>
      <c r="K236" s="7" t="str">
        <f aca="false">IF(H236&gt;=I236,"OK","FLOOR ALTI")</f>
        <v>OK</v>
      </c>
    </row>
    <row r="237" customFormat="false" ht="15" hidden="false" customHeight="false" outlineLevel="0" collapsed="false">
      <c r="A237" s="7" t="s">
        <v>49</v>
      </c>
      <c r="B237" s="7" t="n">
        <v>9</v>
      </c>
      <c r="C237" s="7" t="n">
        <v>5</v>
      </c>
      <c r="D237" s="8" t="n">
        <v>7.34</v>
      </c>
      <c r="E237" s="9" t="n">
        <f aca="false">ROUND(D237*ASM!$B$8*IF(A237="10K",ASM!$B$11,IF(A237="14K",ASM!$B$12,ASM!$B$13))*(1+ASM!$B$3)+ASM!$B$16+ASM!$B$5+ASM!$B$6,2)</f>
        <v>672.09</v>
      </c>
      <c r="F237" s="7" t="n">
        <f aca="false">ROUND((D237*ASM!$B$8*IF(A237="10K",ASM!$B$11,IF(A237="14K",ASM!$B$12,ASM!$B$13))*(1+ASM!$B$3)+ASM!$B$16+ASM!$B$5+ASM!$B$6)*IF(B237&lt;=7,ASM!$B$7,ASM!$B$17),0)</f>
        <v>1344</v>
      </c>
      <c r="G237" s="10" t="n">
        <f aca="false">CEILING(F237/0.75,5)</f>
        <v>1795</v>
      </c>
      <c r="H237" s="9" t="n">
        <f aca="false">G237*0.75</f>
        <v>1346.25</v>
      </c>
      <c r="I237" s="7" t="n">
        <f aca="false">ROUND((E237+0.45)/(1-ASM!$B$9),0)</f>
        <v>751</v>
      </c>
      <c r="J237" s="7" t="n">
        <f aca="false">ROUND((E237+0.45)/(1-ASM!$B$9-ASM!$B$10),0)</f>
        <v>903</v>
      </c>
      <c r="K237" s="7" t="str">
        <f aca="false">IF(H237&gt;=I237,"OK","FLOOR ALTI")</f>
        <v>OK</v>
      </c>
    </row>
    <row r="238" customFormat="false" ht="15" hidden="false" customHeight="false" outlineLevel="0" collapsed="false">
      <c r="A238" s="7" t="s">
        <v>49</v>
      </c>
      <c r="B238" s="7" t="n">
        <v>9</v>
      </c>
      <c r="C238" s="7" t="n">
        <v>6</v>
      </c>
      <c r="D238" s="8" t="n">
        <v>7.68</v>
      </c>
      <c r="E238" s="9" t="n">
        <f aca="false">ROUND(D238*ASM!$B$8*IF(A238="10K",ASM!$B$11,IF(A238="14K",ASM!$B$12,ASM!$B$13))*(1+ASM!$B$3)+ASM!$B$16+ASM!$B$5+ASM!$B$6,2)</f>
        <v>699.98</v>
      </c>
      <c r="F238" s="7" t="n">
        <f aca="false">ROUND((D238*ASM!$B$8*IF(A238="10K",ASM!$B$11,IF(A238="14K",ASM!$B$12,ASM!$B$13))*(1+ASM!$B$3)+ASM!$B$16+ASM!$B$5+ASM!$B$6)*IF(B238&lt;=7,ASM!$B$7,ASM!$B$17),0)</f>
        <v>1400</v>
      </c>
      <c r="G238" s="10" t="n">
        <f aca="false">CEILING(F238/0.75,5)</f>
        <v>1870</v>
      </c>
      <c r="H238" s="9" t="n">
        <f aca="false">G238*0.75</f>
        <v>1402.5</v>
      </c>
      <c r="I238" s="7" t="n">
        <f aca="false">ROUND((E238+0.45)/(1-ASM!$B$9),0)</f>
        <v>783</v>
      </c>
      <c r="J238" s="7" t="n">
        <f aca="false">ROUND((E238+0.45)/(1-ASM!$B$9-ASM!$B$10),0)</f>
        <v>940</v>
      </c>
      <c r="K238" s="7" t="str">
        <f aca="false">IF(H238&gt;=I238,"OK","FLOOR ALTI")</f>
        <v>OK</v>
      </c>
    </row>
    <row r="239" customFormat="false" ht="15" hidden="false" customHeight="false" outlineLevel="0" collapsed="false">
      <c r="A239" s="7" t="s">
        <v>49</v>
      </c>
      <c r="B239" s="7" t="n">
        <v>9</v>
      </c>
      <c r="C239" s="7" t="n">
        <v>7</v>
      </c>
      <c r="D239" s="8" t="n">
        <v>8.02</v>
      </c>
      <c r="E239" s="9" t="n">
        <f aca="false">ROUND(D239*ASM!$B$8*IF(A239="10K",ASM!$B$11,IF(A239="14K",ASM!$B$12,ASM!$B$13))*(1+ASM!$B$3)+ASM!$B$16+ASM!$B$5+ASM!$B$6,2)</f>
        <v>727.87</v>
      </c>
      <c r="F239" s="7" t="n">
        <f aca="false">ROUND((D239*ASM!$B$8*IF(A239="10K",ASM!$B$11,IF(A239="14K",ASM!$B$12,ASM!$B$13))*(1+ASM!$B$3)+ASM!$B$16+ASM!$B$5+ASM!$B$6)*IF(B239&lt;=7,ASM!$B$7,ASM!$B$17),0)</f>
        <v>1456</v>
      </c>
      <c r="G239" s="10" t="n">
        <f aca="false">CEILING(F239/0.75,5)</f>
        <v>1945</v>
      </c>
      <c r="H239" s="9" t="n">
        <f aca="false">G239*0.75</f>
        <v>1458.75</v>
      </c>
      <c r="I239" s="7" t="n">
        <f aca="false">ROUND((E239+0.45)/(1-ASM!$B$9),0)</f>
        <v>814</v>
      </c>
      <c r="J239" s="7" t="n">
        <f aca="false">ROUND((E239+0.45)/(1-ASM!$B$9-ASM!$B$10),0)</f>
        <v>978</v>
      </c>
      <c r="K239" s="7" t="str">
        <f aca="false">IF(H239&gt;=I239,"OK","FLOOR ALTI")</f>
        <v>OK</v>
      </c>
    </row>
    <row r="240" customFormat="false" ht="15" hidden="false" customHeight="false" outlineLevel="0" collapsed="false">
      <c r="A240" s="7" t="s">
        <v>49</v>
      </c>
      <c r="B240" s="7" t="n">
        <v>9</v>
      </c>
      <c r="C240" s="7" t="n">
        <v>8</v>
      </c>
      <c r="D240" s="8" t="n">
        <v>8.36</v>
      </c>
      <c r="E240" s="9" t="n">
        <f aca="false">ROUND(D240*ASM!$B$8*IF(A240="10K",ASM!$B$11,IF(A240="14K",ASM!$B$12,ASM!$B$13))*(1+ASM!$B$3)+ASM!$B$16+ASM!$B$5+ASM!$B$6,2)</f>
        <v>755.76</v>
      </c>
      <c r="F240" s="7" t="n">
        <f aca="false">ROUND((D240*ASM!$B$8*IF(A240="10K",ASM!$B$11,IF(A240="14K",ASM!$B$12,ASM!$B$13))*(1+ASM!$B$3)+ASM!$B$16+ASM!$B$5+ASM!$B$6)*IF(B240&lt;=7,ASM!$B$7,ASM!$B$17),0)</f>
        <v>1512</v>
      </c>
      <c r="G240" s="10" t="n">
        <f aca="false">CEILING(F240/0.75,5)</f>
        <v>2020</v>
      </c>
      <c r="H240" s="9" t="n">
        <f aca="false">G240*0.75</f>
        <v>1515</v>
      </c>
      <c r="I240" s="7" t="n">
        <f aca="false">ROUND((E240+0.45)/(1-ASM!$B$9),0)</f>
        <v>845</v>
      </c>
      <c r="J240" s="7" t="n">
        <f aca="false">ROUND((E240+0.45)/(1-ASM!$B$9-ASM!$B$10),0)</f>
        <v>1015</v>
      </c>
      <c r="K240" s="7" t="str">
        <f aca="false">IF(H240&gt;=I240,"OK","FLOOR ALTI")</f>
        <v>OK</v>
      </c>
    </row>
    <row r="241" customFormat="false" ht="15" hidden="false" customHeight="false" outlineLevel="0" collapsed="false">
      <c r="A241" s="7" t="s">
        <v>49</v>
      </c>
      <c r="B241" s="7" t="n">
        <v>9</v>
      </c>
      <c r="C241" s="7" t="n">
        <v>9</v>
      </c>
      <c r="D241" s="8" t="n">
        <v>8.69</v>
      </c>
      <c r="E241" s="9" t="n">
        <f aca="false">ROUND(D241*ASM!$B$8*IF(A241="10K",ASM!$B$11,IF(A241="14K",ASM!$B$12,ASM!$B$13))*(1+ASM!$B$3)+ASM!$B$16+ASM!$B$5+ASM!$B$6,2)</f>
        <v>782.83</v>
      </c>
      <c r="F241" s="7" t="n">
        <f aca="false">ROUND((D241*ASM!$B$8*IF(A241="10K",ASM!$B$11,IF(A241="14K",ASM!$B$12,ASM!$B$13))*(1+ASM!$B$3)+ASM!$B$16+ASM!$B$5+ASM!$B$6)*IF(B241&lt;=7,ASM!$B$7,ASM!$B$17),0)</f>
        <v>1566</v>
      </c>
      <c r="G241" s="10" t="n">
        <f aca="false">CEILING(F241/0.75,5)</f>
        <v>2090</v>
      </c>
      <c r="H241" s="9" t="n">
        <f aca="false">G241*0.75</f>
        <v>1567.5</v>
      </c>
      <c r="I241" s="7" t="n">
        <f aca="false">ROUND((E241+0.45)/(1-ASM!$B$9),0)</f>
        <v>875</v>
      </c>
      <c r="J241" s="7" t="n">
        <f aca="false">ROUND((E241+0.45)/(1-ASM!$B$9-ASM!$B$10),0)</f>
        <v>1051</v>
      </c>
      <c r="K241" s="7" t="str">
        <f aca="false">IF(H241&gt;=I241,"OK","FLOOR ALTI")</f>
        <v>OK</v>
      </c>
    </row>
    <row r="242" customFormat="false" ht="15" hidden="false" customHeight="false" outlineLevel="0" collapsed="false">
      <c r="A242" s="7" t="s">
        <v>49</v>
      </c>
      <c r="B242" s="7" t="n">
        <v>9</v>
      </c>
      <c r="C242" s="7" t="n">
        <v>10</v>
      </c>
      <c r="D242" s="8" t="n">
        <v>9.03</v>
      </c>
      <c r="E242" s="9" t="n">
        <f aca="false">ROUND(D242*ASM!$B$8*IF(A242="10K",ASM!$B$11,IF(A242="14K",ASM!$B$12,ASM!$B$13))*(1+ASM!$B$3)+ASM!$B$16+ASM!$B$5+ASM!$B$6,2)</f>
        <v>810.72</v>
      </c>
      <c r="F242" s="7" t="n">
        <f aca="false">ROUND((D242*ASM!$B$8*IF(A242="10K",ASM!$B$11,IF(A242="14K",ASM!$B$12,ASM!$B$13))*(1+ASM!$B$3)+ASM!$B$16+ASM!$B$5+ASM!$B$6)*IF(B242&lt;=7,ASM!$B$7,ASM!$B$17),0)</f>
        <v>1621</v>
      </c>
      <c r="G242" s="10" t="n">
        <f aca="false">CEILING(F242/0.75,5)</f>
        <v>2165</v>
      </c>
      <c r="H242" s="9" t="n">
        <f aca="false">G242*0.75</f>
        <v>1623.75</v>
      </c>
      <c r="I242" s="7" t="n">
        <f aca="false">ROUND((E242+0.45)/(1-ASM!$B$9),0)</f>
        <v>906</v>
      </c>
      <c r="J242" s="7" t="n">
        <f aca="false">ROUND((E242+0.45)/(1-ASM!$B$9-ASM!$B$10),0)</f>
        <v>1089</v>
      </c>
      <c r="K242" s="7" t="str">
        <f aca="false">IF(H242&gt;=I242,"OK","FLOOR ALTI")</f>
        <v>OK</v>
      </c>
    </row>
    <row r="243" customFormat="false" ht="15" hidden="false" customHeight="false" outlineLevel="0" collapsed="false">
      <c r="A243" s="7" t="s">
        <v>49</v>
      </c>
      <c r="B243" s="7" t="n">
        <v>9</v>
      </c>
      <c r="C243" s="7" t="n">
        <v>11</v>
      </c>
      <c r="D243" s="8" t="n">
        <v>9.37</v>
      </c>
      <c r="E243" s="9" t="n">
        <f aca="false">ROUND(D243*ASM!$B$8*IF(A243="10K",ASM!$B$11,IF(A243="14K",ASM!$B$12,ASM!$B$13))*(1+ASM!$B$3)+ASM!$B$16+ASM!$B$5+ASM!$B$6,2)</f>
        <v>838.61</v>
      </c>
      <c r="F243" s="7" t="n">
        <f aca="false">ROUND((D243*ASM!$B$8*IF(A243="10K",ASM!$B$11,IF(A243="14K",ASM!$B$12,ASM!$B$13))*(1+ASM!$B$3)+ASM!$B$16+ASM!$B$5+ASM!$B$6)*IF(B243&lt;=7,ASM!$B$7,ASM!$B$17),0)</f>
        <v>1677</v>
      </c>
      <c r="G243" s="10" t="n">
        <f aca="false">CEILING(F243/0.75,5)</f>
        <v>2240</v>
      </c>
      <c r="H243" s="9" t="n">
        <f aca="false">G243*0.75</f>
        <v>1680</v>
      </c>
      <c r="I243" s="7" t="n">
        <f aca="false">ROUND((E243+0.45)/(1-ASM!$B$9),0)</f>
        <v>937</v>
      </c>
      <c r="J243" s="7" t="n">
        <f aca="false">ROUND((E243+0.45)/(1-ASM!$B$9-ASM!$B$10),0)</f>
        <v>1126</v>
      </c>
      <c r="K243" s="7" t="str">
        <f aca="false">IF(H243&gt;=I243,"OK","FLOOR ALTI")</f>
        <v>OK</v>
      </c>
    </row>
    <row r="244" customFormat="false" ht="15" hidden="false" customHeight="false" outlineLevel="0" collapsed="false">
      <c r="A244" s="7" t="s">
        <v>49</v>
      </c>
      <c r="B244" s="7" t="n">
        <v>9</v>
      </c>
      <c r="C244" s="7" t="n">
        <v>12</v>
      </c>
      <c r="D244" s="8" t="n">
        <v>9.71</v>
      </c>
      <c r="E244" s="9" t="n">
        <f aca="false">ROUND(D244*ASM!$B$8*IF(A244="10K",ASM!$B$11,IF(A244="14K",ASM!$B$12,ASM!$B$13))*(1+ASM!$B$3)+ASM!$B$16+ASM!$B$5+ASM!$B$6,2)</f>
        <v>866.5</v>
      </c>
      <c r="F244" s="7" t="n">
        <f aca="false">ROUND((D244*ASM!$B$8*IF(A244="10K",ASM!$B$11,IF(A244="14K",ASM!$B$12,ASM!$B$13))*(1+ASM!$B$3)+ASM!$B$16+ASM!$B$5+ASM!$B$6)*IF(B244&lt;=7,ASM!$B$7,ASM!$B$17),0)</f>
        <v>1733</v>
      </c>
      <c r="G244" s="10" t="n">
        <f aca="false">CEILING(F244/0.75,5)</f>
        <v>2315</v>
      </c>
      <c r="H244" s="9" t="n">
        <f aca="false">G244*0.75</f>
        <v>1736.25</v>
      </c>
      <c r="I244" s="7" t="n">
        <f aca="false">ROUND((E244+0.45)/(1-ASM!$B$9),0)</f>
        <v>969</v>
      </c>
      <c r="J244" s="7" t="n">
        <f aca="false">ROUND((E244+0.45)/(1-ASM!$B$9-ASM!$B$10),0)</f>
        <v>1164</v>
      </c>
      <c r="K244" s="7" t="str">
        <f aca="false">IF(H244&gt;=I244,"OK","FLOOR ALTI")</f>
        <v>OK</v>
      </c>
    </row>
    <row r="245" customFormat="false" ht="15" hidden="false" customHeight="false" outlineLevel="0" collapsed="false">
      <c r="A245" s="7" t="s">
        <v>49</v>
      </c>
      <c r="B245" s="7" t="n">
        <v>9</v>
      </c>
      <c r="C245" s="7" t="n">
        <v>13</v>
      </c>
      <c r="D245" s="8" t="n">
        <v>10.05</v>
      </c>
      <c r="E245" s="9" t="n">
        <f aca="false">ROUND(D245*ASM!$B$8*IF(A245="10K",ASM!$B$11,IF(A245="14K",ASM!$B$12,ASM!$B$13))*(1+ASM!$B$3)+ASM!$B$16+ASM!$B$5+ASM!$B$6,2)</f>
        <v>894.39</v>
      </c>
      <c r="F245" s="7" t="n">
        <f aca="false">ROUND((D245*ASM!$B$8*IF(A245="10K",ASM!$B$11,IF(A245="14K",ASM!$B$12,ASM!$B$13))*(1+ASM!$B$3)+ASM!$B$16+ASM!$B$5+ASM!$B$6)*IF(B245&lt;=7,ASM!$B$7,ASM!$B$17),0)</f>
        <v>1789</v>
      </c>
      <c r="G245" s="10" t="n">
        <f aca="false">CEILING(F245/0.75,5)</f>
        <v>2390</v>
      </c>
      <c r="H245" s="9" t="n">
        <f aca="false">G245*0.75</f>
        <v>1792.5</v>
      </c>
      <c r="I245" s="7" t="n">
        <f aca="false">ROUND((E245+0.45)/(1-ASM!$B$9),0)</f>
        <v>1000</v>
      </c>
      <c r="J245" s="7" t="n">
        <f aca="false">ROUND((E245+0.45)/(1-ASM!$B$9-ASM!$B$10),0)</f>
        <v>1201</v>
      </c>
      <c r="K245" s="7" t="str">
        <f aca="false">IF(H245&gt;=I245,"OK","FLOOR ALTI")</f>
        <v>OK</v>
      </c>
    </row>
    <row r="246" customFormat="false" ht="15" hidden="false" customHeight="false" outlineLevel="0" collapsed="false">
      <c r="A246" s="7" t="s">
        <v>49</v>
      </c>
      <c r="B246" s="7" t="n">
        <v>9</v>
      </c>
      <c r="C246" s="7" t="n">
        <v>14</v>
      </c>
      <c r="D246" s="8" t="n">
        <v>10.39</v>
      </c>
      <c r="E246" s="9" t="n">
        <f aca="false">ROUND(D246*ASM!$B$8*IF(A246="10K",ASM!$B$11,IF(A246="14K",ASM!$B$12,ASM!$B$13))*(1+ASM!$B$3)+ASM!$B$16+ASM!$B$5+ASM!$B$6,2)</f>
        <v>922.28</v>
      </c>
      <c r="F246" s="7" t="n">
        <f aca="false">ROUND((D246*ASM!$B$8*IF(A246="10K",ASM!$B$11,IF(A246="14K",ASM!$B$12,ASM!$B$13))*(1+ASM!$B$3)+ASM!$B$16+ASM!$B$5+ASM!$B$6)*IF(B246&lt;=7,ASM!$B$7,ASM!$B$17),0)</f>
        <v>1845</v>
      </c>
      <c r="G246" s="10" t="n">
        <f aca="false">CEILING(F246/0.75,5)</f>
        <v>2460</v>
      </c>
      <c r="H246" s="9" t="n">
        <f aca="false">G246*0.75</f>
        <v>1845</v>
      </c>
      <c r="I246" s="7" t="n">
        <f aca="false">ROUND((E246+0.45)/(1-ASM!$B$9),0)</f>
        <v>1031</v>
      </c>
      <c r="J246" s="7" t="n">
        <f aca="false">ROUND((E246+0.45)/(1-ASM!$B$9-ASM!$B$10),0)</f>
        <v>1239</v>
      </c>
      <c r="K246" s="7" t="str">
        <f aca="false">IF(H246&gt;=I246,"OK","FLOOR ALTI")</f>
        <v>OK</v>
      </c>
    </row>
    <row r="247" customFormat="false" ht="15" hidden="false" customHeight="false" outlineLevel="0" collapsed="false">
      <c r="A247" s="7" t="s">
        <v>49</v>
      </c>
      <c r="B247" s="7" t="n">
        <v>9</v>
      </c>
      <c r="C247" s="7" t="n">
        <v>15</v>
      </c>
      <c r="D247" s="8" t="n">
        <v>10.73</v>
      </c>
      <c r="E247" s="9" t="n">
        <f aca="false">ROUND(D247*ASM!$B$8*IF(A247="10K",ASM!$B$11,IF(A247="14K",ASM!$B$12,ASM!$B$13))*(1+ASM!$B$3)+ASM!$B$16+ASM!$B$5+ASM!$B$6,2)</f>
        <v>950.17</v>
      </c>
      <c r="F247" s="7" t="n">
        <f aca="false">ROUND((D247*ASM!$B$8*IF(A247="10K",ASM!$B$11,IF(A247="14K",ASM!$B$12,ASM!$B$13))*(1+ASM!$B$3)+ASM!$B$16+ASM!$B$5+ASM!$B$6)*IF(B247&lt;=7,ASM!$B$7,ASM!$B$17),0)</f>
        <v>1900</v>
      </c>
      <c r="G247" s="10" t="n">
        <f aca="false">CEILING(F247/0.75,5)</f>
        <v>2535</v>
      </c>
      <c r="H247" s="9" t="n">
        <f aca="false">G247*0.75</f>
        <v>1901.25</v>
      </c>
      <c r="I247" s="7" t="n">
        <f aca="false">ROUND((E247+0.45)/(1-ASM!$B$9),0)</f>
        <v>1062</v>
      </c>
      <c r="J247" s="7" t="n">
        <f aca="false">ROUND((E247+0.45)/(1-ASM!$B$9-ASM!$B$10),0)</f>
        <v>1276</v>
      </c>
      <c r="K247" s="7" t="str">
        <f aca="false">IF(H247&gt;=I247,"OK","FLOOR ALTI")</f>
        <v>OK</v>
      </c>
    </row>
    <row r="248" customFormat="false" ht="15" hidden="false" customHeight="false" outlineLevel="0" collapsed="false">
      <c r="A248" s="7" t="s">
        <v>49</v>
      </c>
      <c r="B248" s="7" t="n">
        <v>9</v>
      </c>
      <c r="C248" s="7" t="n">
        <v>16</v>
      </c>
      <c r="D248" s="8" t="n">
        <v>11.07</v>
      </c>
      <c r="E248" s="9" t="n">
        <f aca="false">ROUND(D248*ASM!$B$8*IF(A248="10K",ASM!$B$11,IF(A248="14K",ASM!$B$12,ASM!$B$13))*(1+ASM!$B$3)+ASM!$B$16+ASM!$B$5+ASM!$B$6,2)</f>
        <v>978.06</v>
      </c>
      <c r="F248" s="7" t="n">
        <f aca="false">ROUND((D248*ASM!$B$8*IF(A248="10K",ASM!$B$11,IF(A248="14K",ASM!$B$12,ASM!$B$13))*(1+ASM!$B$3)+ASM!$B$16+ASM!$B$5+ASM!$B$6)*IF(B248&lt;=7,ASM!$B$7,ASM!$B$17),0)</f>
        <v>1956</v>
      </c>
      <c r="G248" s="10" t="n">
        <f aca="false">CEILING(F248/0.75,5)</f>
        <v>2610</v>
      </c>
      <c r="H248" s="9" t="n">
        <f aca="false">G248*0.75</f>
        <v>1957.5</v>
      </c>
      <c r="I248" s="7" t="n">
        <f aca="false">ROUND((E248+0.45)/(1-ASM!$B$9),0)</f>
        <v>1093</v>
      </c>
      <c r="J248" s="7" t="n">
        <f aca="false">ROUND((E248+0.45)/(1-ASM!$B$9-ASM!$B$10),0)</f>
        <v>1313</v>
      </c>
      <c r="K248" s="7" t="str">
        <f aca="false">IF(H248&gt;=I248,"OK","FLOOR ALTI")</f>
        <v>OK</v>
      </c>
    </row>
    <row r="249" customFormat="false" ht="15" hidden="false" customHeight="false" outlineLevel="0" collapsed="false">
      <c r="A249" s="7" t="s">
        <v>49</v>
      </c>
      <c r="B249" s="7" t="n">
        <v>10</v>
      </c>
      <c r="C249" s="7" t="n">
        <v>4</v>
      </c>
      <c r="D249" s="8" t="n">
        <v>7.78</v>
      </c>
      <c r="E249" s="9" t="n">
        <f aca="false">ROUND(D249*ASM!$B$8*IF(A249="10K",ASM!$B$11,IF(A249="14K",ASM!$B$12,ASM!$B$13))*(1+ASM!$B$3)+ASM!$B$16+ASM!$B$5+ASM!$B$6,2)</f>
        <v>708.18</v>
      </c>
      <c r="F249" s="7" t="n">
        <f aca="false">ROUND((D249*ASM!$B$8*IF(A249="10K",ASM!$B$11,IF(A249="14K",ASM!$B$12,ASM!$B$13))*(1+ASM!$B$3)+ASM!$B$16+ASM!$B$5+ASM!$B$6)*IF(B249&lt;=7,ASM!$B$7,ASM!$B$17),0)</f>
        <v>1416</v>
      </c>
      <c r="G249" s="10" t="n">
        <f aca="false">CEILING(F249/0.75,5)</f>
        <v>1890</v>
      </c>
      <c r="H249" s="9" t="n">
        <f aca="false">G249*0.75</f>
        <v>1417.5</v>
      </c>
      <c r="I249" s="7" t="n">
        <f aca="false">ROUND((E249+0.45)/(1-ASM!$B$9),0)</f>
        <v>792</v>
      </c>
      <c r="J249" s="7" t="n">
        <f aca="false">ROUND((E249+0.45)/(1-ASM!$B$9-ASM!$B$10),0)</f>
        <v>951</v>
      </c>
      <c r="K249" s="7" t="str">
        <f aca="false">IF(H249&gt;=I249,"OK","FLOOR ALTI")</f>
        <v>OK</v>
      </c>
    </row>
    <row r="250" customFormat="false" ht="15" hidden="false" customHeight="false" outlineLevel="0" collapsed="false">
      <c r="A250" s="7" t="s">
        <v>49</v>
      </c>
      <c r="B250" s="7" t="n">
        <v>10</v>
      </c>
      <c r="C250" s="7" t="n">
        <v>5</v>
      </c>
      <c r="D250" s="8" t="n">
        <v>8.15</v>
      </c>
      <c r="E250" s="9" t="n">
        <f aca="false">ROUND(D250*ASM!$B$8*IF(A250="10K",ASM!$B$11,IF(A250="14K",ASM!$B$12,ASM!$B$13))*(1+ASM!$B$3)+ASM!$B$16+ASM!$B$5+ASM!$B$6,2)</f>
        <v>738.53</v>
      </c>
      <c r="F250" s="7" t="n">
        <f aca="false">ROUND((D250*ASM!$B$8*IF(A250="10K",ASM!$B$11,IF(A250="14K",ASM!$B$12,ASM!$B$13))*(1+ASM!$B$3)+ASM!$B$16+ASM!$B$5+ASM!$B$6)*IF(B250&lt;=7,ASM!$B$7,ASM!$B$17),0)</f>
        <v>1477</v>
      </c>
      <c r="G250" s="10" t="n">
        <f aca="false">CEILING(F250/0.75,5)</f>
        <v>1970</v>
      </c>
      <c r="H250" s="9" t="n">
        <f aca="false">G250*0.75</f>
        <v>1477.5</v>
      </c>
      <c r="I250" s="7" t="n">
        <f aca="false">ROUND((E250+0.45)/(1-ASM!$B$9),0)</f>
        <v>826</v>
      </c>
      <c r="J250" s="7" t="n">
        <f aca="false">ROUND((E250+0.45)/(1-ASM!$B$9-ASM!$B$10),0)</f>
        <v>992</v>
      </c>
      <c r="K250" s="7" t="str">
        <f aca="false">IF(H250&gt;=I250,"OK","FLOOR ALTI")</f>
        <v>OK</v>
      </c>
    </row>
    <row r="251" customFormat="false" ht="15" hidden="false" customHeight="false" outlineLevel="0" collapsed="false">
      <c r="A251" s="7" t="s">
        <v>49</v>
      </c>
      <c r="B251" s="7" t="n">
        <v>10</v>
      </c>
      <c r="C251" s="7" t="n">
        <v>6</v>
      </c>
      <c r="D251" s="8" t="n">
        <v>8.53</v>
      </c>
      <c r="E251" s="9" t="n">
        <f aca="false">ROUND(D251*ASM!$B$8*IF(A251="10K",ASM!$B$11,IF(A251="14K",ASM!$B$12,ASM!$B$13))*(1+ASM!$B$3)+ASM!$B$16+ASM!$B$5+ASM!$B$6,2)</f>
        <v>769.71</v>
      </c>
      <c r="F251" s="7" t="n">
        <f aca="false">ROUND((D251*ASM!$B$8*IF(A251="10K",ASM!$B$11,IF(A251="14K",ASM!$B$12,ASM!$B$13))*(1+ASM!$B$3)+ASM!$B$16+ASM!$B$5+ASM!$B$6)*IF(B251&lt;=7,ASM!$B$7,ASM!$B$17),0)</f>
        <v>1539</v>
      </c>
      <c r="G251" s="10" t="n">
        <f aca="false">CEILING(F251/0.75,5)</f>
        <v>2055</v>
      </c>
      <c r="H251" s="9" t="n">
        <f aca="false">G251*0.75</f>
        <v>1541.25</v>
      </c>
      <c r="I251" s="7" t="n">
        <f aca="false">ROUND((E251+0.45)/(1-ASM!$B$9),0)</f>
        <v>861</v>
      </c>
      <c r="J251" s="7" t="n">
        <f aca="false">ROUND((E251+0.45)/(1-ASM!$B$9-ASM!$B$10),0)</f>
        <v>1034</v>
      </c>
      <c r="K251" s="7" t="str">
        <f aca="false">IF(H251&gt;=I251,"OK","FLOOR ALTI")</f>
        <v>OK</v>
      </c>
    </row>
    <row r="252" customFormat="false" ht="15" hidden="false" customHeight="false" outlineLevel="0" collapsed="false">
      <c r="A252" s="7" t="s">
        <v>49</v>
      </c>
      <c r="B252" s="7" t="n">
        <v>10</v>
      </c>
      <c r="C252" s="7" t="n">
        <v>7</v>
      </c>
      <c r="D252" s="8" t="n">
        <v>8.91</v>
      </c>
      <c r="E252" s="9" t="n">
        <f aca="false">ROUND(D252*ASM!$B$8*IF(A252="10K",ASM!$B$11,IF(A252="14K",ASM!$B$12,ASM!$B$13))*(1+ASM!$B$3)+ASM!$B$16+ASM!$B$5+ASM!$B$6,2)</f>
        <v>800.88</v>
      </c>
      <c r="F252" s="7" t="n">
        <f aca="false">ROUND((D252*ASM!$B$8*IF(A252="10K",ASM!$B$11,IF(A252="14K",ASM!$B$12,ASM!$B$13))*(1+ASM!$B$3)+ASM!$B$16+ASM!$B$5+ASM!$B$6)*IF(B252&lt;=7,ASM!$B$7,ASM!$B$17),0)</f>
        <v>1602</v>
      </c>
      <c r="G252" s="10" t="n">
        <f aca="false">CEILING(F252/0.75,5)</f>
        <v>2140</v>
      </c>
      <c r="H252" s="9" t="n">
        <f aca="false">G252*0.75</f>
        <v>1605</v>
      </c>
      <c r="I252" s="7" t="n">
        <f aca="false">ROUND((E252+0.45)/(1-ASM!$B$9),0)</f>
        <v>895</v>
      </c>
      <c r="J252" s="7" t="n">
        <f aca="false">ROUND((E252+0.45)/(1-ASM!$B$9-ASM!$B$10),0)</f>
        <v>1076</v>
      </c>
      <c r="K252" s="7" t="str">
        <f aca="false">IF(H252&gt;=I252,"OK","FLOOR ALTI")</f>
        <v>OK</v>
      </c>
    </row>
    <row r="253" customFormat="false" ht="15" hidden="false" customHeight="false" outlineLevel="0" collapsed="false">
      <c r="A253" s="7" t="s">
        <v>49</v>
      </c>
      <c r="B253" s="7" t="n">
        <v>10</v>
      </c>
      <c r="C253" s="7" t="n">
        <v>8</v>
      </c>
      <c r="D253" s="8" t="n">
        <v>9.28</v>
      </c>
      <c r="E253" s="9" t="n">
        <f aca="false">ROUND(D253*ASM!$B$8*IF(A253="10K",ASM!$B$11,IF(A253="14K",ASM!$B$12,ASM!$B$13))*(1+ASM!$B$3)+ASM!$B$16+ASM!$B$5+ASM!$B$6,2)</f>
        <v>831.23</v>
      </c>
      <c r="F253" s="7" t="n">
        <f aca="false">ROUND((D253*ASM!$B$8*IF(A253="10K",ASM!$B$11,IF(A253="14K",ASM!$B$12,ASM!$B$13))*(1+ASM!$B$3)+ASM!$B$16+ASM!$B$5+ASM!$B$6)*IF(B253&lt;=7,ASM!$B$7,ASM!$B$17),0)</f>
        <v>1662</v>
      </c>
      <c r="G253" s="10" t="n">
        <f aca="false">CEILING(F253/0.75,5)</f>
        <v>2220</v>
      </c>
      <c r="H253" s="9" t="n">
        <f aca="false">G253*0.75</f>
        <v>1665</v>
      </c>
      <c r="I253" s="7" t="n">
        <f aca="false">ROUND((E253+0.45)/(1-ASM!$B$9),0)</f>
        <v>929</v>
      </c>
      <c r="J253" s="7" t="n">
        <f aca="false">ROUND((E253+0.45)/(1-ASM!$B$9-ASM!$B$10),0)</f>
        <v>1116</v>
      </c>
      <c r="K253" s="7" t="str">
        <f aca="false">IF(H253&gt;=I253,"OK","FLOOR ALTI")</f>
        <v>OK</v>
      </c>
    </row>
    <row r="254" customFormat="false" ht="15" hidden="false" customHeight="false" outlineLevel="0" collapsed="false">
      <c r="A254" s="7" t="s">
        <v>49</v>
      </c>
      <c r="B254" s="7" t="n">
        <v>10</v>
      </c>
      <c r="C254" s="7" t="n">
        <v>9</v>
      </c>
      <c r="D254" s="8" t="n">
        <v>9.66</v>
      </c>
      <c r="E254" s="9" t="n">
        <f aca="false">ROUND(D254*ASM!$B$8*IF(A254="10K",ASM!$B$11,IF(A254="14K",ASM!$B$12,ASM!$B$13))*(1+ASM!$B$3)+ASM!$B$16+ASM!$B$5+ASM!$B$6,2)</f>
        <v>862.4</v>
      </c>
      <c r="F254" s="7" t="n">
        <f aca="false">ROUND((D254*ASM!$B$8*IF(A254="10K",ASM!$B$11,IF(A254="14K",ASM!$B$12,ASM!$B$13))*(1+ASM!$B$3)+ASM!$B$16+ASM!$B$5+ASM!$B$6)*IF(B254&lt;=7,ASM!$B$7,ASM!$B$17),0)</f>
        <v>1725</v>
      </c>
      <c r="G254" s="10" t="n">
        <f aca="false">CEILING(F254/0.75,5)</f>
        <v>2300</v>
      </c>
      <c r="H254" s="9" t="n">
        <f aca="false">G254*0.75</f>
        <v>1725</v>
      </c>
      <c r="I254" s="7" t="n">
        <f aca="false">ROUND((E254+0.45)/(1-ASM!$B$9),0)</f>
        <v>964</v>
      </c>
      <c r="J254" s="7" t="n">
        <f aca="false">ROUND((E254+0.45)/(1-ASM!$B$9-ASM!$B$10),0)</f>
        <v>1158</v>
      </c>
      <c r="K254" s="7" t="str">
        <f aca="false">IF(H254&gt;=I254,"OK","FLOOR ALTI")</f>
        <v>OK</v>
      </c>
    </row>
    <row r="255" customFormat="false" ht="15" hidden="false" customHeight="false" outlineLevel="0" collapsed="false">
      <c r="A255" s="7" t="s">
        <v>49</v>
      </c>
      <c r="B255" s="7" t="n">
        <v>10</v>
      </c>
      <c r="C255" s="7" t="n">
        <v>10</v>
      </c>
      <c r="D255" s="8" t="n">
        <v>10.04</v>
      </c>
      <c r="E255" s="9" t="n">
        <f aca="false">ROUND(D255*ASM!$B$8*IF(A255="10K",ASM!$B$11,IF(A255="14K",ASM!$B$12,ASM!$B$13))*(1+ASM!$B$3)+ASM!$B$16+ASM!$B$5+ASM!$B$6,2)</f>
        <v>893.57</v>
      </c>
      <c r="F255" s="7" t="n">
        <f aca="false">ROUND((D255*ASM!$B$8*IF(A255="10K",ASM!$B$11,IF(A255="14K",ASM!$B$12,ASM!$B$13))*(1+ASM!$B$3)+ASM!$B$16+ASM!$B$5+ASM!$B$6)*IF(B255&lt;=7,ASM!$B$7,ASM!$B$17),0)</f>
        <v>1787</v>
      </c>
      <c r="G255" s="10" t="n">
        <f aca="false">CEILING(F255/0.75,5)</f>
        <v>2385</v>
      </c>
      <c r="H255" s="9" t="n">
        <f aca="false">G255*0.75</f>
        <v>1788.75</v>
      </c>
      <c r="I255" s="7" t="n">
        <f aca="false">ROUND((E255+0.45)/(1-ASM!$B$9),0)</f>
        <v>999</v>
      </c>
      <c r="J255" s="7" t="n">
        <f aca="false">ROUND((E255+0.45)/(1-ASM!$B$9-ASM!$B$10),0)</f>
        <v>1200</v>
      </c>
      <c r="K255" s="7" t="str">
        <f aca="false">IF(H255&gt;=I255,"OK","FLOOR ALTI")</f>
        <v>OK</v>
      </c>
    </row>
    <row r="256" customFormat="false" ht="15" hidden="false" customHeight="false" outlineLevel="0" collapsed="false">
      <c r="A256" s="7" t="s">
        <v>49</v>
      </c>
      <c r="B256" s="7" t="n">
        <v>10</v>
      </c>
      <c r="C256" s="7" t="n">
        <v>11</v>
      </c>
      <c r="D256" s="8" t="n">
        <v>10.41</v>
      </c>
      <c r="E256" s="9" t="n">
        <f aca="false">ROUND(D256*ASM!$B$8*IF(A256="10K",ASM!$B$11,IF(A256="14K",ASM!$B$12,ASM!$B$13))*(1+ASM!$B$3)+ASM!$B$16+ASM!$B$5+ASM!$B$6,2)</f>
        <v>923.92</v>
      </c>
      <c r="F256" s="7" t="n">
        <f aca="false">ROUND((D256*ASM!$B$8*IF(A256="10K",ASM!$B$11,IF(A256="14K",ASM!$B$12,ASM!$B$13))*(1+ASM!$B$3)+ASM!$B$16+ASM!$B$5+ASM!$B$6)*IF(B256&lt;=7,ASM!$B$7,ASM!$B$17),0)</f>
        <v>1848</v>
      </c>
      <c r="G256" s="10" t="n">
        <f aca="false">CEILING(F256/0.75,5)</f>
        <v>2465</v>
      </c>
      <c r="H256" s="9" t="n">
        <f aca="false">G256*0.75</f>
        <v>1848.75</v>
      </c>
      <c r="I256" s="7" t="n">
        <f aca="false">ROUND((E256+0.45)/(1-ASM!$B$9),0)</f>
        <v>1033</v>
      </c>
      <c r="J256" s="7" t="n">
        <f aca="false">ROUND((E256+0.45)/(1-ASM!$B$9-ASM!$B$10),0)</f>
        <v>1241</v>
      </c>
      <c r="K256" s="7" t="str">
        <f aca="false">IF(H256&gt;=I256,"OK","FLOOR ALTI")</f>
        <v>OK</v>
      </c>
    </row>
    <row r="257" customFormat="false" ht="15" hidden="false" customHeight="false" outlineLevel="0" collapsed="false">
      <c r="A257" s="7" t="s">
        <v>49</v>
      </c>
      <c r="B257" s="7" t="n">
        <v>10</v>
      </c>
      <c r="C257" s="7" t="n">
        <v>12</v>
      </c>
      <c r="D257" s="8" t="n">
        <v>10.79</v>
      </c>
      <c r="E257" s="9" t="n">
        <f aca="false">ROUND(D257*ASM!$B$8*IF(A257="10K",ASM!$B$11,IF(A257="14K",ASM!$B$12,ASM!$B$13))*(1+ASM!$B$3)+ASM!$B$16+ASM!$B$5+ASM!$B$6,2)</f>
        <v>955.09</v>
      </c>
      <c r="F257" s="7" t="n">
        <f aca="false">ROUND((D257*ASM!$B$8*IF(A257="10K",ASM!$B$11,IF(A257="14K",ASM!$B$12,ASM!$B$13))*(1+ASM!$B$3)+ASM!$B$16+ASM!$B$5+ASM!$B$6)*IF(B257&lt;=7,ASM!$B$7,ASM!$B$17),0)</f>
        <v>1910</v>
      </c>
      <c r="G257" s="10" t="n">
        <f aca="false">CEILING(F257/0.75,5)</f>
        <v>2550</v>
      </c>
      <c r="H257" s="9" t="n">
        <f aca="false">G257*0.75</f>
        <v>1912.5</v>
      </c>
      <c r="I257" s="7" t="n">
        <f aca="false">ROUND((E257+0.45)/(1-ASM!$B$9),0)</f>
        <v>1068</v>
      </c>
      <c r="J257" s="7" t="n">
        <f aca="false">ROUND((E257+0.45)/(1-ASM!$B$9-ASM!$B$10),0)</f>
        <v>1283</v>
      </c>
      <c r="K257" s="7" t="str">
        <f aca="false">IF(H257&gt;=I257,"OK","FLOOR ALTI")</f>
        <v>OK</v>
      </c>
    </row>
    <row r="258" customFormat="false" ht="15" hidden="false" customHeight="false" outlineLevel="0" collapsed="false">
      <c r="A258" s="7" t="s">
        <v>49</v>
      </c>
      <c r="B258" s="7" t="n">
        <v>10</v>
      </c>
      <c r="C258" s="7" t="n">
        <v>13</v>
      </c>
      <c r="D258" s="8" t="n">
        <v>11.17</v>
      </c>
      <c r="E258" s="9" t="n">
        <f aca="false">ROUND(D258*ASM!$B$8*IF(A258="10K",ASM!$B$11,IF(A258="14K",ASM!$B$12,ASM!$B$13))*(1+ASM!$B$3)+ASM!$B$16+ASM!$B$5+ASM!$B$6,2)</f>
        <v>986.26</v>
      </c>
      <c r="F258" s="7" t="n">
        <f aca="false">ROUND((D258*ASM!$B$8*IF(A258="10K",ASM!$B$11,IF(A258="14K",ASM!$B$12,ASM!$B$13))*(1+ASM!$B$3)+ASM!$B$16+ASM!$B$5+ASM!$B$6)*IF(B258&lt;=7,ASM!$B$7,ASM!$B$17),0)</f>
        <v>1973</v>
      </c>
      <c r="G258" s="10" t="n">
        <f aca="false">CEILING(F258/0.75,5)</f>
        <v>2635</v>
      </c>
      <c r="H258" s="9" t="n">
        <f aca="false">G258*0.75</f>
        <v>1976.25</v>
      </c>
      <c r="I258" s="7" t="n">
        <f aca="false">ROUND((E258+0.45)/(1-ASM!$B$9),0)</f>
        <v>1102</v>
      </c>
      <c r="J258" s="7" t="n">
        <f aca="false">ROUND((E258+0.45)/(1-ASM!$B$9-ASM!$B$10),0)</f>
        <v>1324</v>
      </c>
      <c r="K258" s="7" t="str">
        <f aca="false">IF(H258&gt;=I258,"OK","FLOOR ALTI")</f>
        <v>OK</v>
      </c>
    </row>
    <row r="259" customFormat="false" ht="15" hidden="false" customHeight="false" outlineLevel="0" collapsed="false">
      <c r="A259" s="7" t="s">
        <v>49</v>
      </c>
      <c r="B259" s="7" t="n">
        <v>10</v>
      </c>
      <c r="C259" s="7" t="n">
        <v>14</v>
      </c>
      <c r="D259" s="8" t="n">
        <v>11.55</v>
      </c>
      <c r="E259" s="9" t="n">
        <f aca="false">ROUND(D259*ASM!$B$8*IF(A259="10K",ASM!$B$11,IF(A259="14K",ASM!$B$12,ASM!$B$13))*(1+ASM!$B$3)+ASM!$B$16+ASM!$B$5+ASM!$B$6,2)</f>
        <v>1017.43</v>
      </c>
      <c r="F259" s="7" t="n">
        <f aca="false">ROUND((D259*ASM!$B$8*IF(A259="10K",ASM!$B$11,IF(A259="14K",ASM!$B$12,ASM!$B$13))*(1+ASM!$B$3)+ASM!$B$16+ASM!$B$5+ASM!$B$6)*IF(B259&lt;=7,ASM!$B$7,ASM!$B$17),0)</f>
        <v>2035</v>
      </c>
      <c r="G259" s="10" t="n">
        <f aca="false">CEILING(F259/0.75,5)</f>
        <v>2715</v>
      </c>
      <c r="H259" s="9" t="n">
        <f aca="false">G259*0.75</f>
        <v>2036.25</v>
      </c>
      <c r="I259" s="7" t="n">
        <f aca="false">ROUND((E259+0.45)/(1-ASM!$B$9),0)</f>
        <v>1137</v>
      </c>
      <c r="J259" s="7" t="n">
        <f aca="false">ROUND((E259+0.45)/(1-ASM!$B$9-ASM!$B$10),0)</f>
        <v>1366</v>
      </c>
      <c r="K259" s="7" t="str">
        <f aca="false">IF(H259&gt;=I259,"OK","FLOOR ALTI")</f>
        <v>OK</v>
      </c>
    </row>
    <row r="260" customFormat="false" ht="15" hidden="false" customHeight="false" outlineLevel="0" collapsed="false">
      <c r="A260" s="7" t="s">
        <v>49</v>
      </c>
      <c r="B260" s="7" t="n">
        <v>10</v>
      </c>
      <c r="C260" s="7" t="n">
        <v>15</v>
      </c>
      <c r="D260" s="8" t="n">
        <v>11.92</v>
      </c>
      <c r="E260" s="9" t="n">
        <f aca="false">ROUND(D260*ASM!$B$8*IF(A260="10K",ASM!$B$11,IF(A260="14K",ASM!$B$12,ASM!$B$13))*(1+ASM!$B$3)+ASM!$B$16+ASM!$B$5+ASM!$B$6,2)</f>
        <v>1047.78</v>
      </c>
      <c r="F260" s="7" t="n">
        <f aca="false">ROUND((D260*ASM!$B$8*IF(A260="10K",ASM!$B$11,IF(A260="14K",ASM!$B$12,ASM!$B$13))*(1+ASM!$B$3)+ASM!$B$16+ASM!$B$5+ASM!$B$6)*IF(B260&lt;=7,ASM!$B$7,ASM!$B$17),0)</f>
        <v>2096</v>
      </c>
      <c r="G260" s="10" t="n">
        <f aca="false">CEILING(F260/0.75,5)</f>
        <v>2795</v>
      </c>
      <c r="H260" s="9" t="n">
        <f aca="false">G260*0.75</f>
        <v>2096.25</v>
      </c>
      <c r="I260" s="7" t="n">
        <f aca="false">ROUND((E260+0.45)/(1-ASM!$B$9),0)</f>
        <v>1171</v>
      </c>
      <c r="J260" s="7" t="n">
        <f aca="false">ROUND((E260+0.45)/(1-ASM!$B$9-ASM!$B$10),0)</f>
        <v>1407</v>
      </c>
      <c r="K260" s="7" t="str">
        <f aca="false">IF(H260&gt;=I260,"OK","FLOOR ALTI")</f>
        <v>OK</v>
      </c>
    </row>
    <row r="261" customFormat="false" ht="15" hidden="false" customHeight="false" outlineLevel="0" collapsed="false">
      <c r="A261" s="7" t="s">
        <v>49</v>
      </c>
      <c r="B261" s="7" t="n">
        <v>10</v>
      </c>
      <c r="C261" s="7" t="n">
        <v>16</v>
      </c>
      <c r="D261" s="8" t="n">
        <v>12.3</v>
      </c>
      <c r="E261" s="9" t="n">
        <f aca="false">ROUND(D261*ASM!$B$8*IF(A261="10K",ASM!$B$11,IF(A261="14K",ASM!$B$12,ASM!$B$13))*(1+ASM!$B$3)+ASM!$B$16+ASM!$B$5+ASM!$B$6,2)</f>
        <v>1078.95</v>
      </c>
      <c r="F261" s="7" t="n">
        <f aca="false">ROUND((D261*ASM!$B$8*IF(A261="10K",ASM!$B$11,IF(A261="14K",ASM!$B$12,ASM!$B$13))*(1+ASM!$B$3)+ASM!$B$16+ASM!$B$5+ASM!$B$6)*IF(B261&lt;=7,ASM!$B$7,ASM!$B$17),0)</f>
        <v>2158</v>
      </c>
      <c r="G261" s="10" t="n">
        <f aca="false">CEILING(F261/0.75,5)</f>
        <v>2880</v>
      </c>
      <c r="H261" s="9" t="n">
        <f aca="false">G261*0.75</f>
        <v>2160</v>
      </c>
      <c r="I261" s="7" t="n">
        <f aca="false">ROUND((E261+0.45)/(1-ASM!$B$9),0)</f>
        <v>1206</v>
      </c>
      <c r="J261" s="7" t="n">
        <f aca="false">ROUND((E261+0.45)/(1-ASM!$B$9-ASM!$B$10),0)</f>
        <v>1449</v>
      </c>
      <c r="K261" s="7" t="str">
        <f aca="false">IF(H261&gt;=I261,"OK","FLOOR ALTI")</f>
        <v>OK</v>
      </c>
    </row>
    <row r="262" customFormat="false" ht="15" hidden="false" customHeight="false" outlineLevel="0" collapsed="false">
      <c r="A262" s="7" t="s">
        <v>49</v>
      </c>
      <c r="B262" s="7" t="n">
        <v>11</v>
      </c>
      <c r="C262" s="7" t="n">
        <v>4</v>
      </c>
      <c r="D262" s="8" t="n">
        <v>8.55</v>
      </c>
      <c r="E262" s="9" t="n">
        <f aca="false">ROUND(D262*ASM!$B$8*IF(A262="10K",ASM!$B$11,IF(A262="14K",ASM!$B$12,ASM!$B$13))*(1+ASM!$B$3)+ASM!$B$16+ASM!$B$5+ASM!$B$6,2)</f>
        <v>771.35</v>
      </c>
      <c r="F262" s="7" t="n">
        <f aca="false">ROUND((D262*ASM!$B$8*IF(A262="10K",ASM!$B$11,IF(A262="14K",ASM!$B$12,ASM!$B$13))*(1+ASM!$B$3)+ASM!$B$16+ASM!$B$5+ASM!$B$6)*IF(B262&lt;=7,ASM!$B$7,ASM!$B$17),0)</f>
        <v>1543</v>
      </c>
      <c r="G262" s="10" t="n">
        <f aca="false">CEILING(F262/0.75,5)</f>
        <v>2060</v>
      </c>
      <c r="H262" s="9" t="n">
        <f aca="false">G262*0.75</f>
        <v>1545</v>
      </c>
      <c r="I262" s="7" t="n">
        <f aca="false">ROUND((E262+0.45)/(1-ASM!$B$9),0)</f>
        <v>862</v>
      </c>
      <c r="J262" s="7" t="n">
        <f aca="false">ROUND((E262+0.45)/(1-ASM!$B$9-ASM!$B$10),0)</f>
        <v>1036</v>
      </c>
      <c r="K262" s="7" t="str">
        <f aca="false">IF(H262&gt;=I262,"OK","FLOOR ALTI")</f>
        <v>OK</v>
      </c>
    </row>
    <row r="263" customFormat="false" ht="15" hidden="false" customHeight="false" outlineLevel="0" collapsed="false">
      <c r="A263" s="7" t="s">
        <v>49</v>
      </c>
      <c r="B263" s="7" t="n">
        <v>11</v>
      </c>
      <c r="C263" s="7" t="n">
        <v>5</v>
      </c>
      <c r="D263" s="8" t="n">
        <v>8.97</v>
      </c>
      <c r="E263" s="9" t="n">
        <f aca="false">ROUND(D263*ASM!$B$8*IF(A263="10K",ASM!$B$11,IF(A263="14K",ASM!$B$12,ASM!$B$13))*(1+ASM!$B$3)+ASM!$B$16+ASM!$B$5+ASM!$B$6,2)</f>
        <v>805.8</v>
      </c>
      <c r="F263" s="7" t="n">
        <f aca="false">ROUND((D263*ASM!$B$8*IF(A263="10K",ASM!$B$11,IF(A263="14K",ASM!$B$12,ASM!$B$13))*(1+ASM!$B$3)+ASM!$B$16+ASM!$B$5+ASM!$B$6)*IF(B263&lt;=7,ASM!$B$7,ASM!$B$17),0)</f>
        <v>1612</v>
      </c>
      <c r="G263" s="10" t="n">
        <f aca="false">CEILING(F263/0.75,5)</f>
        <v>2150</v>
      </c>
      <c r="H263" s="9" t="n">
        <f aca="false">G263*0.75</f>
        <v>1612.5</v>
      </c>
      <c r="I263" s="7" t="n">
        <f aca="false">ROUND((E263+0.45)/(1-ASM!$B$9),0)</f>
        <v>901</v>
      </c>
      <c r="J263" s="7" t="n">
        <f aca="false">ROUND((E263+0.45)/(1-ASM!$B$9-ASM!$B$10),0)</f>
        <v>1082</v>
      </c>
      <c r="K263" s="7" t="str">
        <f aca="false">IF(H263&gt;=I263,"OK","FLOOR ALTI")</f>
        <v>OK</v>
      </c>
    </row>
    <row r="264" customFormat="false" ht="15" hidden="false" customHeight="false" outlineLevel="0" collapsed="false">
      <c r="A264" s="7" t="s">
        <v>49</v>
      </c>
      <c r="B264" s="7" t="n">
        <v>11</v>
      </c>
      <c r="C264" s="7" t="n">
        <v>6</v>
      </c>
      <c r="D264" s="8" t="n">
        <v>9.38</v>
      </c>
      <c r="E264" s="9" t="n">
        <f aca="false">ROUND(D264*ASM!$B$8*IF(A264="10K",ASM!$B$11,IF(A264="14K",ASM!$B$12,ASM!$B$13))*(1+ASM!$B$3)+ASM!$B$16+ASM!$B$5+ASM!$B$6,2)</f>
        <v>839.43</v>
      </c>
      <c r="F264" s="7" t="n">
        <f aca="false">ROUND((D264*ASM!$B$8*IF(A264="10K",ASM!$B$11,IF(A264="14K",ASM!$B$12,ASM!$B$13))*(1+ASM!$B$3)+ASM!$B$16+ASM!$B$5+ASM!$B$6)*IF(B264&lt;=7,ASM!$B$7,ASM!$B$17),0)</f>
        <v>1679</v>
      </c>
      <c r="G264" s="10" t="n">
        <f aca="false">CEILING(F264/0.75,5)</f>
        <v>2240</v>
      </c>
      <c r="H264" s="9" t="n">
        <f aca="false">G264*0.75</f>
        <v>1680</v>
      </c>
      <c r="I264" s="7" t="n">
        <f aca="false">ROUND((E264+0.45)/(1-ASM!$B$9),0)</f>
        <v>938</v>
      </c>
      <c r="J264" s="7" t="n">
        <f aca="false">ROUND((E264+0.45)/(1-ASM!$B$9-ASM!$B$10),0)</f>
        <v>1127</v>
      </c>
      <c r="K264" s="7" t="str">
        <f aca="false">IF(H264&gt;=I264,"OK","FLOOR ALTI")</f>
        <v>OK</v>
      </c>
    </row>
    <row r="265" customFormat="false" ht="15" hidden="false" customHeight="false" outlineLevel="0" collapsed="false">
      <c r="A265" s="7" t="s">
        <v>49</v>
      </c>
      <c r="B265" s="7" t="n">
        <v>11</v>
      </c>
      <c r="C265" s="7" t="n">
        <v>7</v>
      </c>
      <c r="D265" s="8" t="n">
        <v>9.8</v>
      </c>
      <c r="E265" s="9" t="n">
        <f aca="false">ROUND(D265*ASM!$B$8*IF(A265="10K",ASM!$B$11,IF(A265="14K",ASM!$B$12,ASM!$B$13))*(1+ASM!$B$3)+ASM!$B$16+ASM!$B$5+ASM!$B$6,2)</f>
        <v>873.88</v>
      </c>
      <c r="F265" s="7" t="n">
        <f aca="false">ROUND((D265*ASM!$B$8*IF(A265="10K",ASM!$B$11,IF(A265="14K",ASM!$B$12,ASM!$B$13))*(1+ASM!$B$3)+ASM!$B$16+ASM!$B$5+ASM!$B$6)*IF(B265&lt;=7,ASM!$B$7,ASM!$B$17),0)</f>
        <v>1748</v>
      </c>
      <c r="G265" s="10" t="n">
        <f aca="false">CEILING(F265/0.75,5)</f>
        <v>2335</v>
      </c>
      <c r="H265" s="9" t="n">
        <f aca="false">G265*0.75</f>
        <v>1751.25</v>
      </c>
      <c r="I265" s="7" t="n">
        <f aca="false">ROUND((E265+0.45)/(1-ASM!$B$9),0)</f>
        <v>977</v>
      </c>
      <c r="J265" s="7" t="n">
        <f aca="false">ROUND((E265+0.45)/(1-ASM!$B$9-ASM!$B$10),0)</f>
        <v>1174</v>
      </c>
      <c r="K265" s="7" t="str">
        <f aca="false">IF(H265&gt;=I265,"OK","FLOOR ALTI")</f>
        <v>OK</v>
      </c>
    </row>
    <row r="266" customFormat="false" ht="15" hidden="false" customHeight="false" outlineLevel="0" collapsed="false">
      <c r="A266" s="7" t="s">
        <v>49</v>
      </c>
      <c r="B266" s="7" t="n">
        <v>11</v>
      </c>
      <c r="C266" s="7" t="n">
        <v>8</v>
      </c>
      <c r="D266" s="8" t="n">
        <v>10.21</v>
      </c>
      <c r="E266" s="9" t="n">
        <f aca="false">ROUND(D266*ASM!$B$8*IF(A266="10K",ASM!$B$11,IF(A266="14K",ASM!$B$12,ASM!$B$13))*(1+ASM!$B$3)+ASM!$B$16+ASM!$B$5+ASM!$B$6,2)</f>
        <v>907.51</v>
      </c>
      <c r="F266" s="7" t="n">
        <f aca="false">ROUND((D266*ASM!$B$8*IF(A266="10K",ASM!$B$11,IF(A266="14K",ASM!$B$12,ASM!$B$13))*(1+ASM!$B$3)+ASM!$B$16+ASM!$B$5+ASM!$B$6)*IF(B266&lt;=7,ASM!$B$7,ASM!$B$17),0)</f>
        <v>1815</v>
      </c>
      <c r="G266" s="10" t="n">
        <f aca="false">CEILING(F266/0.75,5)</f>
        <v>2420</v>
      </c>
      <c r="H266" s="9" t="n">
        <f aca="false">G266*0.75</f>
        <v>1815</v>
      </c>
      <c r="I266" s="7" t="n">
        <f aca="false">ROUND((E266+0.45)/(1-ASM!$B$9),0)</f>
        <v>1014</v>
      </c>
      <c r="J266" s="7" t="n">
        <f aca="false">ROUND((E266+0.45)/(1-ASM!$B$9-ASM!$B$10),0)</f>
        <v>1219</v>
      </c>
      <c r="K266" s="7" t="str">
        <f aca="false">IF(H266&gt;=I266,"OK","FLOOR ALTI")</f>
        <v>OK</v>
      </c>
    </row>
    <row r="267" customFormat="false" ht="15" hidden="false" customHeight="false" outlineLevel="0" collapsed="false">
      <c r="A267" s="7" t="s">
        <v>49</v>
      </c>
      <c r="B267" s="7" t="n">
        <v>11</v>
      </c>
      <c r="C267" s="7" t="n">
        <v>9</v>
      </c>
      <c r="D267" s="8" t="n">
        <v>10.63</v>
      </c>
      <c r="E267" s="9" t="n">
        <f aca="false">ROUND(D267*ASM!$B$8*IF(A267="10K",ASM!$B$11,IF(A267="14K",ASM!$B$12,ASM!$B$13))*(1+ASM!$B$3)+ASM!$B$16+ASM!$B$5+ASM!$B$6,2)</f>
        <v>941.97</v>
      </c>
      <c r="F267" s="7" t="n">
        <f aca="false">ROUND((D267*ASM!$B$8*IF(A267="10K",ASM!$B$11,IF(A267="14K",ASM!$B$12,ASM!$B$13))*(1+ASM!$B$3)+ASM!$B$16+ASM!$B$5+ASM!$B$6)*IF(B267&lt;=7,ASM!$B$7,ASM!$B$17),0)</f>
        <v>1884</v>
      </c>
      <c r="G267" s="10" t="n">
        <f aca="false">CEILING(F267/0.75,5)</f>
        <v>2515</v>
      </c>
      <c r="H267" s="9" t="n">
        <f aca="false">G267*0.75</f>
        <v>1886.25</v>
      </c>
      <c r="I267" s="7" t="n">
        <f aca="false">ROUND((E267+0.45)/(1-ASM!$B$9),0)</f>
        <v>1053</v>
      </c>
      <c r="J267" s="7" t="n">
        <f aca="false">ROUND((E267+0.45)/(1-ASM!$B$9-ASM!$B$10),0)</f>
        <v>1265</v>
      </c>
      <c r="K267" s="7" t="str">
        <f aca="false">IF(H267&gt;=I267,"OK","FLOOR ALTI")</f>
        <v>OK</v>
      </c>
    </row>
    <row r="268" customFormat="false" ht="15" hidden="false" customHeight="false" outlineLevel="0" collapsed="false">
      <c r="A268" s="7" t="s">
        <v>49</v>
      </c>
      <c r="B268" s="7" t="n">
        <v>11</v>
      </c>
      <c r="C268" s="7" t="n">
        <v>10</v>
      </c>
      <c r="D268" s="8" t="n">
        <v>11.04</v>
      </c>
      <c r="E268" s="9" t="n">
        <f aca="false">ROUND(D268*ASM!$B$8*IF(A268="10K",ASM!$B$11,IF(A268="14K",ASM!$B$12,ASM!$B$13))*(1+ASM!$B$3)+ASM!$B$16+ASM!$B$5+ASM!$B$6,2)</f>
        <v>975.6</v>
      </c>
      <c r="F268" s="7" t="n">
        <f aca="false">ROUND((D268*ASM!$B$8*IF(A268="10K",ASM!$B$11,IF(A268="14K",ASM!$B$12,ASM!$B$13))*(1+ASM!$B$3)+ASM!$B$16+ASM!$B$5+ASM!$B$6)*IF(B268&lt;=7,ASM!$B$7,ASM!$B$17),0)</f>
        <v>1951</v>
      </c>
      <c r="G268" s="10" t="n">
        <f aca="false">CEILING(F268/0.75,5)</f>
        <v>2605</v>
      </c>
      <c r="H268" s="9" t="n">
        <f aca="false">G268*0.75</f>
        <v>1953.75</v>
      </c>
      <c r="I268" s="7" t="n">
        <f aca="false">ROUND((E268+0.45)/(1-ASM!$B$9),0)</f>
        <v>1091</v>
      </c>
      <c r="J268" s="7" t="n">
        <f aca="false">ROUND((E268+0.45)/(1-ASM!$B$9-ASM!$B$10),0)</f>
        <v>1310</v>
      </c>
      <c r="K268" s="7" t="str">
        <f aca="false">IF(H268&gt;=I268,"OK","FLOOR ALTI")</f>
        <v>OK</v>
      </c>
    </row>
    <row r="269" customFormat="false" ht="15" hidden="false" customHeight="false" outlineLevel="0" collapsed="false">
      <c r="A269" s="7" t="s">
        <v>49</v>
      </c>
      <c r="B269" s="7" t="n">
        <v>11</v>
      </c>
      <c r="C269" s="7" t="n">
        <v>11</v>
      </c>
      <c r="D269" s="8" t="n">
        <v>11.46</v>
      </c>
      <c r="E269" s="9" t="n">
        <f aca="false">ROUND(D269*ASM!$B$8*IF(A269="10K",ASM!$B$11,IF(A269="14K",ASM!$B$12,ASM!$B$13))*(1+ASM!$B$3)+ASM!$B$16+ASM!$B$5+ASM!$B$6,2)</f>
        <v>1010.05</v>
      </c>
      <c r="F269" s="7" t="n">
        <f aca="false">ROUND((D269*ASM!$B$8*IF(A269="10K",ASM!$B$11,IF(A269="14K",ASM!$B$12,ASM!$B$13))*(1+ASM!$B$3)+ASM!$B$16+ASM!$B$5+ASM!$B$6)*IF(B269&lt;=7,ASM!$B$7,ASM!$B$17),0)</f>
        <v>2020</v>
      </c>
      <c r="G269" s="10" t="n">
        <f aca="false">CEILING(F269/0.75,5)</f>
        <v>2695</v>
      </c>
      <c r="H269" s="9" t="n">
        <f aca="false">G269*0.75</f>
        <v>2021.25</v>
      </c>
      <c r="I269" s="7" t="n">
        <f aca="false">ROUND((E269+0.45)/(1-ASM!$B$9),0)</f>
        <v>1129</v>
      </c>
      <c r="J269" s="7" t="n">
        <f aca="false">ROUND((E269+0.45)/(1-ASM!$B$9-ASM!$B$10),0)</f>
        <v>1356</v>
      </c>
      <c r="K269" s="7" t="str">
        <f aca="false">IF(H269&gt;=I269,"OK","FLOOR ALTI")</f>
        <v>OK</v>
      </c>
    </row>
    <row r="270" customFormat="false" ht="15" hidden="false" customHeight="false" outlineLevel="0" collapsed="false">
      <c r="A270" s="7" t="s">
        <v>49</v>
      </c>
      <c r="B270" s="7" t="n">
        <v>11</v>
      </c>
      <c r="C270" s="7" t="n">
        <v>12</v>
      </c>
      <c r="D270" s="8" t="n">
        <v>11.87</v>
      </c>
      <c r="E270" s="9" t="n">
        <f aca="false">ROUND(D270*ASM!$B$8*IF(A270="10K",ASM!$B$11,IF(A270="14K",ASM!$B$12,ASM!$B$13))*(1+ASM!$B$3)+ASM!$B$16+ASM!$B$5+ASM!$B$6,2)</f>
        <v>1043.68</v>
      </c>
      <c r="F270" s="7" t="n">
        <f aca="false">ROUND((D270*ASM!$B$8*IF(A270="10K",ASM!$B$11,IF(A270="14K",ASM!$B$12,ASM!$B$13))*(1+ASM!$B$3)+ASM!$B$16+ASM!$B$5+ASM!$B$6)*IF(B270&lt;=7,ASM!$B$7,ASM!$B$17),0)</f>
        <v>2087</v>
      </c>
      <c r="G270" s="10" t="n">
        <f aca="false">CEILING(F270/0.75,5)</f>
        <v>2785</v>
      </c>
      <c r="H270" s="9" t="n">
        <f aca="false">G270*0.75</f>
        <v>2088.75</v>
      </c>
      <c r="I270" s="7" t="n">
        <f aca="false">ROUND((E270+0.45)/(1-ASM!$B$9),0)</f>
        <v>1167</v>
      </c>
      <c r="J270" s="7" t="n">
        <f aca="false">ROUND((E270+0.45)/(1-ASM!$B$9-ASM!$B$10),0)</f>
        <v>1402</v>
      </c>
      <c r="K270" s="7" t="str">
        <f aca="false">IF(H270&gt;=I270,"OK","FLOOR ALTI")</f>
        <v>OK</v>
      </c>
    </row>
    <row r="271" customFormat="false" ht="15" hidden="false" customHeight="false" outlineLevel="0" collapsed="false">
      <c r="A271" s="7" t="s">
        <v>49</v>
      </c>
      <c r="B271" s="7" t="n">
        <v>11</v>
      </c>
      <c r="C271" s="7" t="n">
        <v>13</v>
      </c>
      <c r="D271" s="8" t="n">
        <v>12.29</v>
      </c>
      <c r="E271" s="9" t="n">
        <f aca="false">ROUND(D271*ASM!$B$8*IF(A271="10K",ASM!$B$11,IF(A271="14K",ASM!$B$12,ASM!$B$13))*(1+ASM!$B$3)+ASM!$B$16+ASM!$B$5+ASM!$B$6,2)</f>
        <v>1078.13</v>
      </c>
      <c r="F271" s="7" t="n">
        <f aca="false">ROUND((D271*ASM!$B$8*IF(A271="10K",ASM!$B$11,IF(A271="14K",ASM!$B$12,ASM!$B$13))*(1+ASM!$B$3)+ASM!$B$16+ASM!$B$5+ASM!$B$6)*IF(B271&lt;=7,ASM!$B$7,ASM!$B$17),0)</f>
        <v>2156</v>
      </c>
      <c r="G271" s="10" t="n">
        <f aca="false">CEILING(F271/0.75,5)</f>
        <v>2875</v>
      </c>
      <c r="H271" s="9" t="n">
        <f aca="false">G271*0.75</f>
        <v>2156.25</v>
      </c>
      <c r="I271" s="7" t="n">
        <f aca="false">ROUND((E271+0.45)/(1-ASM!$B$9),0)</f>
        <v>1205</v>
      </c>
      <c r="J271" s="7" t="n">
        <f aca="false">ROUND((E271+0.45)/(1-ASM!$B$9-ASM!$B$10),0)</f>
        <v>1448</v>
      </c>
      <c r="K271" s="7" t="str">
        <f aca="false">IF(H271&gt;=I271,"OK","FLOOR ALTI")</f>
        <v>OK</v>
      </c>
    </row>
    <row r="272" customFormat="false" ht="15" hidden="false" customHeight="false" outlineLevel="0" collapsed="false">
      <c r="A272" s="7" t="s">
        <v>49</v>
      </c>
      <c r="B272" s="7" t="n">
        <v>11</v>
      </c>
      <c r="C272" s="7" t="n">
        <v>14</v>
      </c>
      <c r="D272" s="8" t="n">
        <v>12.7</v>
      </c>
      <c r="E272" s="9" t="n">
        <f aca="false">ROUND(D272*ASM!$B$8*IF(A272="10K",ASM!$B$11,IF(A272="14K",ASM!$B$12,ASM!$B$13))*(1+ASM!$B$3)+ASM!$B$16+ASM!$B$5+ASM!$B$6,2)</f>
        <v>1111.77</v>
      </c>
      <c r="F272" s="7" t="n">
        <f aca="false">ROUND((D272*ASM!$B$8*IF(A272="10K",ASM!$B$11,IF(A272="14K",ASM!$B$12,ASM!$B$13))*(1+ASM!$B$3)+ASM!$B$16+ASM!$B$5+ASM!$B$6)*IF(B272&lt;=7,ASM!$B$7,ASM!$B$17),0)</f>
        <v>2224</v>
      </c>
      <c r="G272" s="10" t="n">
        <f aca="false">CEILING(F272/0.75,5)</f>
        <v>2970</v>
      </c>
      <c r="H272" s="9" t="n">
        <f aca="false">G272*0.75</f>
        <v>2227.5</v>
      </c>
      <c r="I272" s="7" t="n">
        <f aca="false">ROUND((E272+0.45)/(1-ASM!$B$9),0)</f>
        <v>1243</v>
      </c>
      <c r="J272" s="7" t="n">
        <f aca="false">ROUND((E272+0.45)/(1-ASM!$B$9-ASM!$B$10),0)</f>
        <v>1493</v>
      </c>
      <c r="K272" s="7" t="str">
        <f aca="false">IF(H272&gt;=I272,"OK","FLOOR ALTI")</f>
        <v>OK</v>
      </c>
    </row>
    <row r="273" customFormat="false" ht="15" hidden="false" customHeight="false" outlineLevel="0" collapsed="false">
      <c r="A273" s="7" t="s">
        <v>49</v>
      </c>
      <c r="B273" s="7" t="n">
        <v>11</v>
      </c>
      <c r="C273" s="7" t="n">
        <v>15</v>
      </c>
      <c r="D273" s="8" t="n">
        <v>13.11</v>
      </c>
      <c r="E273" s="9" t="n">
        <f aca="false">ROUND(D273*ASM!$B$8*IF(A273="10K",ASM!$B$11,IF(A273="14K",ASM!$B$12,ASM!$B$13))*(1+ASM!$B$3)+ASM!$B$16+ASM!$B$5+ASM!$B$6,2)</f>
        <v>1145.4</v>
      </c>
      <c r="F273" s="7" t="n">
        <f aca="false">ROUND((D273*ASM!$B$8*IF(A273="10K",ASM!$B$11,IF(A273="14K",ASM!$B$12,ASM!$B$13))*(1+ASM!$B$3)+ASM!$B$16+ASM!$B$5+ASM!$B$6)*IF(B273&lt;=7,ASM!$B$7,ASM!$B$17),0)</f>
        <v>2291</v>
      </c>
      <c r="G273" s="10" t="n">
        <f aca="false">CEILING(F273/0.75,5)</f>
        <v>3055</v>
      </c>
      <c r="H273" s="9" t="n">
        <f aca="false">G273*0.75</f>
        <v>2291.25</v>
      </c>
      <c r="I273" s="7" t="n">
        <f aca="false">ROUND((E273+0.45)/(1-ASM!$B$9),0)</f>
        <v>1280</v>
      </c>
      <c r="J273" s="7" t="n">
        <f aca="false">ROUND((E273+0.45)/(1-ASM!$B$9-ASM!$B$10),0)</f>
        <v>1538</v>
      </c>
      <c r="K273" s="7" t="str">
        <f aca="false">IF(H273&gt;=I273,"OK","FLOOR ALTI")</f>
        <v>OK</v>
      </c>
    </row>
    <row r="274" customFormat="false" ht="15" hidden="false" customHeight="false" outlineLevel="0" collapsed="false">
      <c r="A274" s="7" t="s">
        <v>49</v>
      </c>
      <c r="B274" s="7" t="n">
        <v>11</v>
      </c>
      <c r="C274" s="7" t="n">
        <v>16</v>
      </c>
      <c r="D274" s="8" t="n">
        <v>13.53</v>
      </c>
      <c r="E274" s="9" t="n">
        <f aca="false">ROUND(D274*ASM!$B$8*IF(A274="10K",ASM!$B$11,IF(A274="14K",ASM!$B$12,ASM!$B$13))*(1+ASM!$B$3)+ASM!$B$16+ASM!$B$5+ASM!$B$6,2)</f>
        <v>1179.85</v>
      </c>
      <c r="F274" s="7" t="n">
        <f aca="false">ROUND((D274*ASM!$B$8*IF(A274="10K",ASM!$B$11,IF(A274="14K",ASM!$B$12,ASM!$B$13))*(1+ASM!$B$3)+ASM!$B$16+ASM!$B$5+ASM!$B$6)*IF(B274&lt;=7,ASM!$B$7,ASM!$B$17),0)</f>
        <v>2360</v>
      </c>
      <c r="G274" s="10" t="n">
        <f aca="false">CEILING(F274/0.75,5)</f>
        <v>3150</v>
      </c>
      <c r="H274" s="9" t="n">
        <f aca="false">G274*0.75</f>
        <v>2362.5</v>
      </c>
      <c r="I274" s="7" t="n">
        <f aca="false">ROUND((E274+0.45)/(1-ASM!$B$9),0)</f>
        <v>1319</v>
      </c>
      <c r="J274" s="7" t="n">
        <f aca="false">ROUND((E274+0.45)/(1-ASM!$B$9-ASM!$B$10),0)</f>
        <v>1584</v>
      </c>
      <c r="K274" s="7" t="str">
        <f aca="false">IF(H274&gt;=I274,"OK","FLOOR ALTI")</f>
        <v>OK</v>
      </c>
    </row>
    <row r="275" customFormat="false" ht="15" hidden="false" customHeight="false" outlineLevel="0" collapsed="false">
      <c r="A275" s="7" t="s">
        <v>49</v>
      </c>
      <c r="B275" s="7" t="n">
        <v>12</v>
      </c>
      <c r="C275" s="7" t="n">
        <v>4</v>
      </c>
      <c r="D275" s="8" t="n">
        <v>9.33</v>
      </c>
      <c r="E275" s="9" t="n">
        <f aca="false">ROUND(D275*ASM!$B$8*IF(A275="10K",ASM!$B$11,IF(A275="14K",ASM!$B$12,ASM!$B$13))*(1+ASM!$B$3)+ASM!$B$16+ASM!$B$5+ASM!$B$6,2)</f>
        <v>835.33</v>
      </c>
      <c r="F275" s="7" t="n">
        <f aca="false">ROUND((D275*ASM!$B$8*IF(A275="10K",ASM!$B$11,IF(A275="14K",ASM!$B$12,ASM!$B$13))*(1+ASM!$B$3)+ASM!$B$16+ASM!$B$5+ASM!$B$6)*IF(B275&lt;=7,ASM!$B$7,ASM!$B$17),0)</f>
        <v>1671</v>
      </c>
      <c r="G275" s="10" t="n">
        <f aca="false">CEILING(F275/0.75,5)</f>
        <v>2230</v>
      </c>
      <c r="H275" s="9" t="n">
        <f aca="false">G275*0.75</f>
        <v>1672.5</v>
      </c>
      <c r="I275" s="7" t="n">
        <f aca="false">ROUND((E275+0.45)/(1-ASM!$B$9),0)</f>
        <v>934</v>
      </c>
      <c r="J275" s="7" t="n">
        <f aca="false">ROUND((E275+0.45)/(1-ASM!$B$9-ASM!$B$10),0)</f>
        <v>1122</v>
      </c>
      <c r="K275" s="7" t="str">
        <f aca="false">IF(H275&gt;=I275,"OK","FLOOR ALTI")</f>
        <v>OK</v>
      </c>
    </row>
    <row r="276" customFormat="false" ht="15" hidden="false" customHeight="false" outlineLevel="0" collapsed="false">
      <c r="A276" s="7" t="s">
        <v>49</v>
      </c>
      <c r="B276" s="7" t="n">
        <v>12</v>
      </c>
      <c r="C276" s="7" t="n">
        <v>5</v>
      </c>
      <c r="D276" s="8" t="n">
        <v>9.78</v>
      </c>
      <c r="E276" s="9" t="n">
        <f aca="false">ROUND(D276*ASM!$B$8*IF(A276="10K",ASM!$B$11,IF(A276="14K",ASM!$B$12,ASM!$B$13))*(1+ASM!$B$3)+ASM!$B$16+ASM!$B$5+ASM!$B$6,2)</f>
        <v>872.24</v>
      </c>
      <c r="F276" s="7" t="n">
        <f aca="false">ROUND((D276*ASM!$B$8*IF(A276="10K",ASM!$B$11,IF(A276="14K",ASM!$B$12,ASM!$B$13))*(1+ASM!$B$3)+ASM!$B$16+ASM!$B$5+ASM!$B$6)*IF(B276&lt;=7,ASM!$B$7,ASM!$B$17),0)</f>
        <v>1744</v>
      </c>
      <c r="G276" s="10" t="n">
        <f aca="false">CEILING(F276/0.75,5)</f>
        <v>2330</v>
      </c>
      <c r="H276" s="9" t="n">
        <f aca="false">G276*0.75</f>
        <v>1747.5</v>
      </c>
      <c r="I276" s="7" t="n">
        <f aca="false">ROUND((E276+0.45)/(1-ASM!$B$9),0)</f>
        <v>975</v>
      </c>
      <c r="J276" s="7" t="n">
        <f aca="false">ROUND((E276+0.45)/(1-ASM!$B$9-ASM!$B$10),0)</f>
        <v>1171</v>
      </c>
      <c r="K276" s="7" t="str">
        <f aca="false">IF(H276&gt;=I276,"OK","FLOOR ALTI")</f>
        <v>OK</v>
      </c>
    </row>
    <row r="277" customFormat="false" ht="15" hidden="false" customHeight="false" outlineLevel="0" collapsed="false">
      <c r="A277" s="7" t="s">
        <v>49</v>
      </c>
      <c r="B277" s="7" t="n">
        <v>12</v>
      </c>
      <c r="C277" s="7" t="n">
        <v>6</v>
      </c>
      <c r="D277" s="8" t="n">
        <v>10.24</v>
      </c>
      <c r="E277" s="9" t="n">
        <f aca="false">ROUND(D277*ASM!$B$8*IF(A277="10K",ASM!$B$11,IF(A277="14K",ASM!$B$12,ASM!$B$13))*(1+ASM!$B$3)+ASM!$B$16+ASM!$B$5+ASM!$B$6,2)</f>
        <v>909.97</v>
      </c>
      <c r="F277" s="7" t="n">
        <f aca="false">ROUND((D277*ASM!$B$8*IF(A277="10K",ASM!$B$11,IF(A277="14K",ASM!$B$12,ASM!$B$13))*(1+ASM!$B$3)+ASM!$B$16+ASM!$B$5+ASM!$B$6)*IF(B277&lt;=7,ASM!$B$7,ASM!$B$17),0)</f>
        <v>1820</v>
      </c>
      <c r="G277" s="10" t="n">
        <f aca="false">CEILING(F277/0.75,5)</f>
        <v>2430</v>
      </c>
      <c r="H277" s="9" t="n">
        <f aca="false">G277*0.75</f>
        <v>1822.5</v>
      </c>
      <c r="I277" s="7" t="n">
        <f aca="false">ROUND((E277+0.45)/(1-ASM!$B$9),0)</f>
        <v>1017</v>
      </c>
      <c r="J277" s="7" t="n">
        <f aca="false">ROUND((E277+0.45)/(1-ASM!$B$9-ASM!$B$10),0)</f>
        <v>1222</v>
      </c>
      <c r="K277" s="7" t="str">
        <f aca="false">IF(H277&gt;=I277,"OK","FLOOR ALTI")</f>
        <v>OK</v>
      </c>
    </row>
    <row r="278" customFormat="false" ht="15" hidden="false" customHeight="false" outlineLevel="0" collapsed="false">
      <c r="A278" s="7" t="s">
        <v>49</v>
      </c>
      <c r="B278" s="7" t="n">
        <v>12</v>
      </c>
      <c r="C278" s="7" t="n">
        <v>7</v>
      </c>
      <c r="D278" s="8" t="n">
        <v>10.69</v>
      </c>
      <c r="E278" s="9" t="n">
        <f aca="false">ROUND(D278*ASM!$B$8*IF(A278="10K",ASM!$B$11,IF(A278="14K",ASM!$B$12,ASM!$B$13))*(1+ASM!$B$3)+ASM!$B$16+ASM!$B$5+ASM!$B$6,2)</f>
        <v>946.89</v>
      </c>
      <c r="F278" s="7" t="n">
        <f aca="false">ROUND((D278*ASM!$B$8*IF(A278="10K",ASM!$B$11,IF(A278="14K",ASM!$B$12,ASM!$B$13))*(1+ASM!$B$3)+ASM!$B$16+ASM!$B$5+ASM!$B$6)*IF(B278&lt;=7,ASM!$B$7,ASM!$B$17),0)</f>
        <v>1894</v>
      </c>
      <c r="G278" s="10" t="n">
        <f aca="false">CEILING(F278/0.75,5)</f>
        <v>2530</v>
      </c>
      <c r="H278" s="9" t="n">
        <f aca="false">G278*0.75</f>
        <v>1897.5</v>
      </c>
      <c r="I278" s="7" t="n">
        <f aca="false">ROUND((E278+0.45)/(1-ASM!$B$9),0)</f>
        <v>1058</v>
      </c>
      <c r="J278" s="7" t="n">
        <f aca="false">ROUND((E278+0.45)/(1-ASM!$B$9-ASM!$B$10),0)</f>
        <v>1272</v>
      </c>
      <c r="K278" s="7" t="str">
        <f aca="false">IF(H278&gt;=I278,"OK","FLOOR ALTI")</f>
        <v>OK</v>
      </c>
    </row>
    <row r="279" customFormat="false" ht="15" hidden="false" customHeight="false" outlineLevel="0" collapsed="false">
      <c r="A279" s="7" t="s">
        <v>49</v>
      </c>
      <c r="B279" s="7" t="n">
        <v>12</v>
      </c>
      <c r="C279" s="7" t="n">
        <v>8</v>
      </c>
      <c r="D279" s="8" t="n">
        <v>11.14</v>
      </c>
      <c r="E279" s="9" t="n">
        <f aca="false">ROUND(D279*ASM!$B$8*IF(A279="10K",ASM!$B$11,IF(A279="14K",ASM!$B$12,ASM!$B$13))*(1+ASM!$B$3)+ASM!$B$16+ASM!$B$5+ASM!$B$6,2)</f>
        <v>983.8</v>
      </c>
      <c r="F279" s="7" t="n">
        <f aca="false">ROUND((D279*ASM!$B$8*IF(A279="10K",ASM!$B$11,IF(A279="14K",ASM!$B$12,ASM!$B$13))*(1+ASM!$B$3)+ASM!$B$16+ASM!$B$5+ASM!$B$6)*IF(B279&lt;=7,ASM!$B$7,ASM!$B$17),0)</f>
        <v>1968</v>
      </c>
      <c r="G279" s="10" t="n">
        <f aca="false">CEILING(F279/0.75,5)</f>
        <v>2625</v>
      </c>
      <c r="H279" s="9" t="n">
        <f aca="false">G279*0.75</f>
        <v>1968.75</v>
      </c>
      <c r="I279" s="7" t="n">
        <f aca="false">ROUND((E279+0.45)/(1-ASM!$B$9),0)</f>
        <v>1100</v>
      </c>
      <c r="J279" s="7" t="n">
        <f aca="false">ROUND((E279+0.45)/(1-ASM!$B$9-ASM!$B$10),0)</f>
        <v>1321</v>
      </c>
      <c r="K279" s="7" t="str">
        <f aca="false">IF(H279&gt;=I279,"OK","FLOOR ALTI")</f>
        <v>OK</v>
      </c>
    </row>
    <row r="280" customFormat="false" ht="15" hidden="false" customHeight="false" outlineLevel="0" collapsed="false">
      <c r="A280" s="7" t="s">
        <v>49</v>
      </c>
      <c r="B280" s="7" t="n">
        <v>12</v>
      </c>
      <c r="C280" s="7" t="n">
        <v>9</v>
      </c>
      <c r="D280" s="8" t="n">
        <v>11.59</v>
      </c>
      <c r="E280" s="9" t="n">
        <f aca="false">ROUND(D280*ASM!$B$8*IF(A280="10K",ASM!$B$11,IF(A280="14K",ASM!$B$12,ASM!$B$13))*(1+ASM!$B$3)+ASM!$B$16+ASM!$B$5+ASM!$B$6,2)</f>
        <v>1020.71</v>
      </c>
      <c r="F280" s="7" t="n">
        <f aca="false">ROUND((D280*ASM!$B$8*IF(A280="10K",ASM!$B$11,IF(A280="14K",ASM!$B$12,ASM!$B$13))*(1+ASM!$B$3)+ASM!$B$16+ASM!$B$5+ASM!$B$6)*IF(B280&lt;=7,ASM!$B$7,ASM!$B$17),0)</f>
        <v>2041</v>
      </c>
      <c r="G280" s="10" t="n">
        <f aca="false">CEILING(F280/0.75,5)</f>
        <v>2725</v>
      </c>
      <c r="H280" s="9" t="n">
        <f aca="false">G280*0.75</f>
        <v>2043.75</v>
      </c>
      <c r="I280" s="7" t="n">
        <f aca="false">ROUND((E280+0.45)/(1-ASM!$B$9),0)</f>
        <v>1141</v>
      </c>
      <c r="J280" s="7" t="n">
        <f aca="false">ROUND((E280+0.45)/(1-ASM!$B$9-ASM!$B$10),0)</f>
        <v>1371</v>
      </c>
      <c r="K280" s="7" t="str">
        <f aca="false">IF(H280&gt;=I280,"OK","FLOOR ALTI")</f>
        <v>OK</v>
      </c>
    </row>
    <row r="281" customFormat="false" ht="15" hidden="false" customHeight="false" outlineLevel="0" collapsed="false">
      <c r="A281" s="7" t="s">
        <v>49</v>
      </c>
      <c r="B281" s="7" t="n">
        <v>12</v>
      </c>
      <c r="C281" s="7" t="n">
        <v>10</v>
      </c>
      <c r="D281" s="8" t="n">
        <v>12.04</v>
      </c>
      <c r="E281" s="9" t="n">
        <f aca="false">ROUND(D281*ASM!$B$8*IF(A281="10K",ASM!$B$11,IF(A281="14K",ASM!$B$12,ASM!$B$13))*(1+ASM!$B$3)+ASM!$B$16+ASM!$B$5+ASM!$B$6,2)</f>
        <v>1057.63</v>
      </c>
      <c r="F281" s="7" t="n">
        <f aca="false">ROUND((D281*ASM!$B$8*IF(A281="10K",ASM!$B$11,IF(A281="14K",ASM!$B$12,ASM!$B$13))*(1+ASM!$B$3)+ASM!$B$16+ASM!$B$5+ASM!$B$6)*IF(B281&lt;=7,ASM!$B$7,ASM!$B$17),0)</f>
        <v>2115</v>
      </c>
      <c r="G281" s="10" t="n">
        <f aca="false">CEILING(F281/0.75,5)</f>
        <v>2820</v>
      </c>
      <c r="H281" s="9" t="n">
        <f aca="false">G281*0.75</f>
        <v>2115</v>
      </c>
      <c r="I281" s="7" t="n">
        <f aca="false">ROUND((E281+0.45)/(1-ASM!$B$9),0)</f>
        <v>1182</v>
      </c>
      <c r="J281" s="7" t="n">
        <f aca="false">ROUND((E281+0.45)/(1-ASM!$B$9-ASM!$B$10),0)</f>
        <v>1420</v>
      </c>
      <c r="K281" s="7" t="str">
        <f aca="false">IF(H281&gt;=I281,"OK","FLOOR ALTI")</f>
        <v>OK</v>
      </c>
    </row>
    <row r="282" customFormat="false" ht="15" hidden="false" customHeight="false" outlineLevel="0" collapsed="false">
      <c r="A282" s="7" t="s">
        <v>49</v>
      </c>
      <c r="B282" s="7" t="n">
        <v>12</v>
      </c>
      <c r="C282" s="7" t="n">
        <v>11</v>
      </c>
      <c r="D282" s="8" t="n">
        <v>12.5</v>
      </c>
      <c r="E282" s="9" t="n">
        <f aca="false">ROUND(D282*ASM!$B$8*IF(A282="10K",ASM!$B$11,IF(A282="14K",ASM!$B$12,ASM!$B$13))*(1+ASM!$B$3)+ASM!$B$16+ASM!$B$5+ASM!$B$6,2)</f>
        <v>1095.36</v>
      </c>
      <c r="F282" s="7" t="n">
        <f aca="false">ROUND((D282*ASM!$B$8*IF(A282="10K",ASM!$B$11,IF(A282="14K",ASM!$B$12,ASM!$B$13))*(1+ASM!$B$3)+ASM!$B$16+ASM!$B$5+ASM!$B$6)*IF(B282&lt;=7,ASM!$B$7,ASM!$B$17),0)</f>
        <v>2191</v>
      </c>
      <c r="G282" s="10" t="n">
        <f aca="false">CEILING(F282/0.75,5)</f>
        <v>2925</v>
      </c>
      <c r="H282" s="9" t="n">
        <f aca="false">G282*0.75</f>
        <v>2193.75</v>
      </c>
      <c r="I282" s="7" t="n">
        <f aca="false">ROUND((E282+0.45)/(1-ASM!$B$9),0)</f>
        <v>1224</v>
      </c>
      <c r="J282" s="7" t="n">
        <f aca="false">ROUND((E282+0.45)/(1-ASM!$B$9-ASM!$B$10),0)</f>
        <v>1471</v>
      </c>
      <c r="K282" s="7" t="str">
        <f aca="false">IF(H282&gt;=I282,"OK","FLOOR ALTI")</f>
        <v>OK</v>
      </c>
    </row>
    <row r="283" customFormat="false" ht="15" hidden="false" customHeight="false" outlineLevel="0" collapsed="false">
      <c r="A283" s="7" t="s">
        <v>49</v>
      </c>
      <c r="B283" s="7" t="n">
        <v>12</v>
      </c>
      <c r="C283" s="7" t="n">
        <v>12</v>
      </c>
      <c r="D283" s="8" t="n">
        <v>12.95</v>
      </c>
      <c r="E283" s="9" t="n">
        <f aca="false">ROUND(D283*ASM!$B$8*IF(A283="10K",ASM!$B$11,IF(A283="14K",ASM!$B$12,ASM!$B$13))*(1+ASM!$B$3)+ASM!$B$16+ASM!$B$5+ASM!$B$6,2)</f>
        <v>1132.27</v>
      </c>
      <c r="F283" s="7" t="n">
        <f aca="false">ROUND((D283*ASM!$B$8*IF(A283="10K",ASM!$B$11,IF(A283="14K",ASM!$B$12,ASM!$B$13))*(1+ASM!$B$3)+ASM!$B$16+ASM!$B$5+ASM!$B$6)*IF(B283&lt;=7,ASM!$B$7,ASM!$B$17),0)</f>
        <v>2265</v>
      </c>
      <c r="G283" s="10" t="n">
        <f aca="false">CEILING(F283/0.75,5)</f>
        <v>3020</v>
      </c>
      <c r="H283" s="9" t="n">
        <f aca="false">G283*0.75</f>
        <v>2265</v>
      </c>
      <c r="I283" s="7" t="n">
        <f aca="false">ROUND((E283+0.45)/(1-ASM!$B$9),0)</f>
        <v>1266</v>
      </c>
      <c r="J283" s="7" t="n">
        <f aca="false">ROUND((E283+0.45)/(1-ASM!$B$9-ASM!$B$10),0)</f>
        <v>1520</v>
      </c>
      <c r="K283" s="7" t="str">
        <f aca="false">IF(H283&gt;=I283,"OK","FLOOR ALTI")</f>
        <v>OK</v>
      </c>
    </row>
    <row r="284" customFormat="false" ht="15" hidden="false" customHeight="false" outlineLevel="0" collapsed="false">
      <c r="A284" s="7" t="s">
        <v>49</v>
      </c>
      <c r="B284" s="7" t="n">
        <v>12</v>
      </c>
      <c r="C284" s="7" t="n">
        <v>13</v>
      </c>
      <c r="D284" s="8" t="n">
        <v>13.4</v>
      </c>
      <c r="E284" s="9" t="n">
        <f aca="false">ROUND(D284*ASM!$B$8*IF(A284="10K",ASM!$B$11,IF(A284="14K",ASM!$B$12,ASM!$B$13))*(1+ASM!$B$3)+ASM!$B$16+ASM!$B$5+ASM!$B$6,2)</f>
        <v>1169.19</v>
      </c>
      <c r="F284" s="7" t="n">
        <f aca="false">ROUND((D284*ASM!$B$8*IF(A284="10K",ASM!$B$11,IF(A284="14K",ASM!$B$12,ASM!$B$13))*(1+ASM!$B$3)+ASM!$B$16+ASM!$B$5+ASM!$B$6)*IF(B284&lt;=7,ASM!$B$7,ASM!$B$17),0)</f>
        <v>2338</v>
      </c>
      <c r="G284" s="10" t="n">
        <f aca="false">CEILING(F284/0.75,5)</f>
        <v>3120</v>
      </c>
      <c r="H284" s="9" t="n">
        <f aca="false">G284*0.75</f>
        <v>2340</v>
      </c>
      <c r="I284" s="7" t="n">
        <f aca="false">ROUND((E284+0.45)/(1-ASM!$B$9),0)</f>
        <v>1307</v>
      </c>
      <c r="J284" s="7" t="n">
        <f aca="false">ROUND((E284+0.45)/(1-ASM!$B$9-ASM!$B$10),0)</f>
        <v>1570</v>
      </c>
      <c r="K284" s="7" t="str">
        <f aca="false">IF(H284&gt;=I284,"OK","FLOOR ALTI")</f>
        <v>OK</v>
      </c>
    </row>
    <row r="285" customFormat="false" ht="15" hidden="false" customHeight="false" outlineLevel="0" collapsed="false">
      <c r="A285" s="7" t="s">
        <v>49</v>
      </c>
      <c r="B285" s="7" t="n">
        <v>12</v>
      </c>
      <c r="C285" s="7" t="n">
        <v>14</v>
      </c>
      <c r="D285" s="8" t="n">
        <v>13.85</v>
      </c>
      <c r="E285" s="9" t="n">
        <f aca="false">ROUND(D285*ASM!$B$8*IF(A285="10K",ASM!$B$11,IF(A285="14K",ASM!$B$12,ASM!$B$13))*(1+ASM!$B$3)+ASM!$B$16+ASM!$B$5+ASM!$B$6,2)</f>
        <v>1206.1</v>
      </c>
      <c r="F285" s="7" t="n">
        <f aca="false">ROUND((D285*ASM!$B$8*IF(A285="10K",ASM!$B$11,IF(A285="14K",ASM!$B$12,ASM!$B$13))*(1+ASM!$B$3)+ASM!$B$16+ASM!$B$5+ASM!$B$6)*IF(B285&lt;=7,ASM!$B$7,ASM!$B$17),0)</f>
        <v>2412</v>
      </c>
      <c r="G285" s="10" t="n">
        <f aca="false">CEILING(F285/0.75,5)</f>
        <v>3220</v>
      </c>
      <c r="H285" s="9" t="n">
        <f aca="false">G285*0.75</f>
        <v>2415</v>
      </c>
      <c r="I285" s="7" t="n">
        <f aca="false">ROUND((E285+0.45)/(1-ASM!$B$9),0)</f>
        <v>1348</v>
      </c>
      <c r="J285" s="7" t="n">
        <f aca="false">ROUND((E285+0.45)/(1-ASM!$B$9-ASM!$B$10),0)</f>
        <v>1620</v>
      </c>
      <c r="K285" s="7" t="str">
        <f aca="false">IF(H285&gt;=I285,"OK","FLOOR ALTI")</f>
        <v>OK</v>
      </c>
    </row>
    <row r="286" customFormat="false" ht="15" hidden="false" customHeight="false" outlineLevel="0" collapsed="false">
      <c r="A286" s="7" t="s">
        <v>49</v>
      </c>
      <c r="B286" s="7" t="n">
        <v>12</v>
      </c>
      <c r="C286" s="7" t="n">
        <v>15</v>
      </c>
      <c r="D286" s="8" t="n">
        <v>14.31</v>
      </c>
      <c r="E286" s="9" t="n">
        <f aca="false">ROUND(D286*ASM!$B$8*IF(A286="10K",ASM!$B$11,IF(A286="14K",ASM!$B$12,ASM!$B$13))*(1+ASM!$B$3)+ASM!$B$16+ASM!$B$5+ASM!$B$6,2)</f>
        <v>1243.83</v>
      </c>
      <c r="F286" s="7" t="n">
        <f aca="false">ROUND((D286*ASM!$B$8*IF(A286="10K",ASM!$B$11,IF(A286="14K",ASM!$B$12,ASM!$B$13))*(1+ASM!$B$3)+ASM!$B$16+ASM!$B$5+ASM!$B$6)*IF(B286&lt;=7,ASM!$B$7,ASM!$B$17),0)</f>
        <v>2488</v>
      </c>
      <c r="G286" s="10" t="n">
        <f aca="false">CEILING(F286/0.75,5)</f>
        <v>3320</v>
      </c>
      <c r="H286" s="9" t="n">
        <f aca="false">G286*0.75</f>
        <v>2490</v>
      </c>
      <c r="I286" s="7" t="n">
        <f aca="false">ROUND((E286+0.45)/(1-ASM!$B$9),0)</f>
        <v>1390</v>
      </c>
      <c r="J286" s="7" t="n">
        <f aca="false">ROUND((E286+0.45)/(1-ASM!$B$9-ASM!$B$10),0)</f>
        <v>1670</v>
      </c>
      <c r="K286" s="7" t="str">
        <f aca="false">IF(H286&gt;=I286,"OK","FLOOR ALTI")</f>
        <v>OK</v>
      </c>
    </row>
    <row r="287" customFormat="false" ht="15" hidden="false" customHeight="false" outlineLevel="0" collapsed="false">
      <c r="A287" s="7" t="s">
        <v>49</v>
      </c>
      <c r="B287" s="7" t="n">
        <v>12</v>
      </c>
      <c r="C287" s="7" t="n">
        <v>16</v>
      </c>
      <c r="D287" s="8" t="n">
        <v>14.76</v>
      </c>
      <c r="E287" s="9" t="n">
        <f aca="false">ROUND(D287*ASM!$B$8*IF(A287="10K",ASM!$B$11,IF(A287="14K",ASM!$B$12,ASM!$B$13))*(1+ASM!$B$3)+ASM!$B$16+ASM!$B$5+ASM!$B$6,2)</f>
        <v>1280.75</v>
      </c>
      <c r="F287" s="7" t="n">
        <f aca="false">ROUND((D287*ASM!$B$8*IF(A287="10K",ASM!$B$11,IF(A287="14K",ASM!$B$12,ASM!$B$13))*(1+ASM!$B$3)+ASM!$B$16+ASM!$B$5+ASM!$B$6)*IF(B287&lt;=7,ASM!$B$7,ASM!$B$17),0)</f>
        <v>2561</v>
      </c>
      <c r="G287" s="10" t="n">
        <f aca="false">CEILING(F287/0.75,5)</f>
        <v>3415</v>
      </c>
      <c r="H287" s="9" t="n">
        <f aca="false">G287*0.75</f>
        <v>2561.25</v>
      </c>
      <c r="I287" s="7" t="n">
        <f aca="false">ROUND((E287+0.45)/(1-ASM!$B$9),0)</f>
        <v>1432</v>
      </c>
      <c r="J287" s="7" t="n">
        <f aca="false">ROUND((E287+0.45)/(1-ASM!$B$9-ASM!$B$10),0)</f>
        <v>1720</v>
      </c>
      <c r="K287" s="7" t="str">
        <f aca="false">IF(H287&gt;=I287,"OK","FLOOR ALTI")</f>
        <v>OK</v>
      </c>
    </row>
    <row r="288" customFormat="false" ht="15" hidden="false" customHeight="false" outlineLevel="0" collapsed="false">
      <c r="A288" s="7" t="s">
        <v>50</v>
      </c>
      <c r="B288" s="7" t="n">
        <v>2</v>
      </c>
      <c r="C288" s="7" t="n">
        <v>4</v>
      </c>
      <c r="D288" s="8" t="n">
        <v>2.04</v>
      </c>
      <c r="E288" s="9" t="n">
        <f aca="false">ROUND(D288*ASM!$B$8*IF(A288="10K",ASM!$B$11,IF(A288="14K",ASM!$B$12,ASM!$B$13))*(1+ASM!$B$3)+ASM!$B$16+ASM!$B$5+ASM!$B$6,2)</f>
        <v>285.27</v>
      </c>
      <c r="F288" s="7" t="n">
        <f aca="false">ROUND((D288*ASM!$B$8*IF(A288="10K",ASM!$B$11,IF(A288="14K",ASM!$B$12,ASM!$B$13))*(1+ASM!$B$3)+ASM!$B$16+ASM!$B$5+ASM!$B$6)*IF(B288&lt;=7,ASM!$B$7,ASM!$B$17),0)</f>
        <v>442</v>
      </c>
      <c r="G288" s="10" t="n">
        <f aca="false">CEILING(F288/0.75,5)</f>
        <v>590</v>
      </c>
      <c r="H288" s="9" t="n">
        <f aca="false">G288*0.75</f>
        <v>442.5</v>
      </c>
      <c r="I288" s="7" t="n">
        <f aca="false">ROUND((E288+0.45)/(1-ASM!$B$9),0)</f>
        <v>319</v>
      </c>
      <c r="J288" s="7" t="n">
        <f aca="false">ROUND((E288+0.45)/(1-ASM!$B$9-ASM!$B$10),0)</f>
        <v>384</v>
      </c>
      <c r="K288" s="7" t="str">
        <f aca="false">IF(H288&gt;=I288,"OK","FLOOR ALTI")</f>
        <v>OK</v>
      </c>
    </row>
    <row r="289" customFormat="false" ht="15" hidden="false" customHeight="false" outlineLevel="0" collapsed="false">
      <c r="A289" s="7" t="s">
        <v>50</v>
      </c>
      <c r="B289" s="7" t="n">
        <v>2</v>
      </c>
      <c r="C289" s="7" t="n">
        <v>5</v>
      </c>
      <c r="D289" s="8" t="n">
        <v>2.15</v>
      </c>
      <c r="E289" s="9" t="n">
        <f aca="false">ROUND(D289*ASM!$B$8*IF(A289="10K",ASM!$B$11,IF(A289="14K",ASM!$B$12,ASM!$B$13))*(1+ASM!$B$3)+ASM!$B$16+ASM!$B$5+ASM!$B$6,2)</f>
        <v>296.88</v>
      </c>
      <c r="F289" s="7" t="n">
        <f aca="false">ROUND((D289*ASM!$B$8*IF(A289="10K",ASM!$B$11,IF(A289="14K",ASM!$B$12,ASM!$B$13))*(1+ASM!$B$3)+ASM!$B$16+ASM!$B$5+ASM!$B$6)*IF(B289&lt;=7,ASM!$B$7,ASM!$B$17),0)</f>
        <v>460</v>
      </c>
      <c r="G289" s="10" t="n">
        <f aca="false">CEILING(F289/0.75,5)</f>
        <v>615</v>
      </c>
      <c r="H289" s="9" t="n">
        <f aca="false">G289*0.75</f>
        <v>461.25</v>
      </c>
      <c r="I289" s="7" t="n">
        <f aca="false">ROUND((E289+0.45)/(1-ASM!$B$9),0)</f>
        <v>332</v>
      </c>
      <c r="J289" s="7" t="n">
        <f aca="false">ROUND((E289+0.45)/(1-ASM!$B$9-ASM!$B$10),0)</f>
        <v>399</v>
      </c>
      <c r="K289" s="7" t="str">
        <f aca="false">IF(H289&gt;=I289,"OK","FLOOR ALTI")</f>
        <v>OK</v>
      </c>
    </row>
    <row r="290" customFormat="false" ht="15" hidden="false" customHeight="false" outlineLevel="0" collapsed="false">
      <c r="A290" s="7" t="s">
        <v>50</v>
      </c>
      <c r="B290" s="7" t="n">
        <v>2</v>
      </c>
      <c r="C290" s="7" t="n">
        <v>6</v>
      </c>
      <c r="D290" s="8" t="n">
        <v>2.26</v>
      </c>
      <c r="E290" s="9" t="n">
        <f aca="false">ROUND(D290*ASM!$B$8*IF(A290="10K",ASM!$B$11,IF(A290="14K",ASM!$B$12,ASM!$B$13))*(1+ASM!$B$3)+ASM!$B$16+ASM!$B$5+ASM!$B$6,2)</f>
        <v>308.49</v>
      </c>
      <c r="F290" s="7" t="n">
        <f aca="false">ROUND((D290*ASM!$B$8*IF(A290="10K",ASM!$B$11,IF(A290="14K",ASM!$B$12,ASM!$B$13))*(1+ASM!$B$3)+ASM!$B$16+ASM!$B$5+ASM!$B$6)*IF(B290&lt;=7,ASM!$B$7,ASM!$B$17),0)</f>
        <v>478</v>
      </c>
      <c r="G290" s="10" t="n">
        <f aca="false">CEILING(F290/0.75,5)</f>
        <v>640</v>
      </c>
      <c r="H290" s="9" t="n">
        <f aca="false">G290*0.75</f>
        <v>480</v>
      </c>
      <c r="I290" s="7" t="n">
        <f aca="false">ROUND((E290+0.45)/(1-ASM!$B$9),0)</f>
        <v>345</v>
      </c>
      <c r="J290" s="7" t="n">
        <f aca="false">ROUND((E290+0.45)/(1-ASM!$B$9-ASM!$B$10),0)</f>
        <v>415</v>
      </c>
      <c r="K290" s="7" t="str">
        <f aca="false">IF(H290&gt;=I290,"OK","FLOOR ALTI")</f>
        <v>OK</v>
      </c>
    </row>
    <row r="291" customFormat="false" ht="15" hidden="false" customHeight="false" outlineLevel="0" collapsed="false">
      <c r="A291" s="7" t="s">
        <v>50</v>
      </c>
      <c r="B291" s="7" t="n">
        <v>2</v>
      </c>
      <c r="C291" s="7" t="n">
        <v>7</v>
      </c>
      <c r="D291" s="8" t="n">
        <v>2.36</v>
      </c>
      <c r="E291" s="9" t="n">
        <f aca="false">ROUND(D291*ASM!$B$8*IF(A291="10K",ASM!$B$11,IF(A291="14K",ASM!$B$12,ASM!$B$13))*(1+ASM!$B$3)+ASM!$B$16+ASM!$B$5+ASM!$B$6,2)</f>
        <v>319.04</v>
      </c>
      <c r="F291" s="7" t="n">
        <f aca="false">ROUND((D291*ASM!$B$8*IF(A291="10K",ASM!$B$11,IF(A291="14K",ASM!$B$12,ASM!$B$13))*(1+ASM!$B$3)+ASM!$B$16+ASM!$B$5+ASM!$B$6)*IF(B291&lt;=7,ASM!$B$7,ASM!$B$17),0)</f>
        <v>495</v>
      </c>
      <c r="G291" s="10" t="n">
        <f aca="false">CEILING(F291/0.75,5)</f>
        <v>660</v>
      </c>
      <c r="H291" s="9" t="n">
        <f aca="false">G291*0.75</f>
        <v>495</v>
      </c>
      <c r="I291" s="7" t="n">
        <f aca="false">ROUND((E291+0.45)/(1-ASM!$B$9),0)</f>
        <v>357</v>
      </c>
      <c r="J291" s="7" t="n">
        <f aca="false">ROUND((E291+0.45)/(1-ASM!$B$9-ASM!$B$10),0)</f>
        <v>429</v>
      </c>
      <c r="K291" s="7" t="str">
        <f aca="false">IF(H291&gt;=I291,"OK","FLOOR ALTI")</f>
        <v>OK</v>
      </c>
    </row>
    <row r="292" customFormat="false" ht="15" hidden="false" customHeight="false" outlineLevel="0" collapsed="false">
      <c r="A292" s="7" t="s">
        <v>50</v>
      </c>
      <c r="B292" s="7" t="n">
        <v>2</v>
      </c>
      <c r="C292" s="7" t="n">
        <v>8</v>
      </c>
      <c r="D292" s="8" t="n">
        <v>2.47</v>
      </c>
      <c r="E292" s="9" t="n">
        <f aca="false">ROUND(D292*ASM!$B$8*IF(A292="10K",ASM!$B$11,IF(A292="14K",ASM!$B$12,ASM!$B$13))*(1+ASM!$B$3)+ASM!$B$16+ASM!$B$5+ASM!$B$6,2)</f>
        <v>330.65</v>
      </c>
      <c r="F292" s="7" t="n">
        <f aca="false">ROUND((D292*ASM!$B$8*IF(A292="10K",ASM!$B$11,IF(A292="14K",ASM!$B$12,ASM!$B$13))*(1+ASM!$B$3)+ASM!$B$16+ASM!$B$5+ASM!$B$6)*IF(B292&lt;=7,ASM!$B$7,ASM!$B$17),0)</f>
        <v>513</v>
      </c>
      <c r="G292" s="10" t="n">
        <f aca="false">CEILING(F292/0.75,5)</f>
        <v>685</v>
      </c>
      <c r="H292" s="9" t="n">
        <f aca="false">G292*0.75</f>
        <v>513.75</v>
      </c>
      <c r="I292" s="7" t="n">
        <f aca="false">ROUND((E292+0.45)/(1-ASM!$B$9),0)</f>
        <v>370</v>
      </c>
      <c r="J292" s="7" t="n">
        <f aca="false">ROUND((E292+0.45)/(1-ASM!$B$9-ASM!$B$10),0)</f>
        <v>444</v>
      </c>
      <c r="K292" s="7" t="str">
        <f aca="false">IF(H292&gt;=I292,"OK","FLOOR ALTI")</f>
        <v>OK</v>
      </c>
    </row>
    <row r="293" customFormat="false" ht="15" hidden="false" customHeight="false" outlineLevel="0" collapsed="false">
      <c r="A293" s="7" t="s">
        <v>50</v>
      </c>
      <c r="B293" s="7" t="n">
        <v>2</v>
      </c>
      <c r="C293" s="7" t="n">
        <v>9</v>
      </c>
      <c r="D293" s="8" t="n">
        <v>2.57</v>
      </c>
      <c r="E293" s="9" t="n">
        <f aca="false">ROUND(D293*ASM!$B$8*IF(A293="10K",ASM!$B$11,IF(A293="14K",ASM!$B$12,ASM!$B$13))*(1+ASM!$B$3)+ASM!$B$16+ASM!$B$5+ASM!$B$6,2)</f>
        <v>341.2</v>
      </c>
      <c r="F293" s="7" t="n">
        <f aca="false">ROUND((D293*ASM!$B$8*IF(A293="10K",ASM!$B$11,IF(A293="14K",ASM!$B$12,ASM!$B$13))*(1+ASM!$B$3)+ASM!$B$16+ASM!$B$5+ASM!$B$6)*IF(B293&lt;=7,ASM!$B$7,ASM!$B$17),0)</f>
        <v>529</v>
      </c>
      <c r="G293" s="10" t="n">
        <f aca="false">CEILING(F293/0.75,5)</f>
        <v>710</v>
      </c>
      <c r="H293" s="9" t="n">
        <f aca="false">G293*0.75</f>
        <v>532.5</v>
      </c>
      <c r="I293" s="7" t="n">
        <f aca="false">ROUND((E293+0.45)/(1-ASM!$B$9),0)</f>
        <v>382</v>
      </c>
      <c r="J293" s="7" t="n">
        <f aca="false">ROUND((E293+0.45)/(1-ASM!$B$9-ASM!$B$10),0)</f>
        <v>459</v>
      </c>
      <c r="K293" s="7" t="str">
        <f aca="false">IF(H293&gt;=I293,"OK","FLOOR ALTI")</f>
        <v>OK</v>
      </c>
    </row>
    <row r="294" customFormat="false" ht="15" hidden="false" customHeight="false" outlineLevel="0" collapsed="false">
      <c r="A294" s="7" t="s">
        <v>50</v>
      </c>
      <c r="B294" s="7" t="n">
        <v>2</v>
      </c>
      <c r="C294" s="7" t="n">
        <v>10</v>
      </c>
      <c r="D294" s="8" t="n">
        <v>2.68</v>
      </c>
      <c r="E294" s="9" t="n">
        <f aca="false">ROUND(D294*ASM!$B$8*IF(A294="10K",ASM!$B$11,IF(A294="14K",ASM!$B$12,ASM!$B$13))*(1+ASM!$B$3)+ASM!$B$16+ASM!$B$5+ASM!$B$6,2)</f>
        <v>352.81</v>
      </c>
      <c r="F294" s="7" t="n">
        <f aca="false">ROUND((D294*ASM!$B$8*IF(A294="10K",ASM!$B$11,IF(A294="14K",ASM!$B$12,ASM!$B$13))*(1+ASM!$B$3)+ASM!$B$16+ASM!$B$5+ASM!$B$6)*IF(B294&lt;=7,ASM!$B$7,ASM!$B$17),0)</f>
        <v>547</v>
      </c>
      <c r="G294" s="10" t="n">
        <f aca="false">CEILING(F294/0.75,5)</f>
        <v>730</v>
      </c>
      <c r="H294" s="9" t="n">
        <f aca="false">G294*0.75</f>
        <v>547.5</v>
      </c>
      <c r="I294" s="7" t="n">
        <f aca="false">ROUND((E294+0.45)/(1-ASM!$B$9),0)</f>
        <v>395</v>
      </c>
      <c r="J294" s="7" t="n">
        <f aca="false">ROUND((E294+0.45)/(1-ASM!$B$9-ASM!$B$10),0)</f>
        <v>474</v>
      </c>
      <c r="K294" s="7" t="str">
        <f aca="false">IF(H294&gt;=I294,"OK","FLOOR ALTI")</f>
        <v>OK</v>
      </c>
    </row>
    <row r="295" customFormat="false" ht="15" hidden="false" customHeight="false" outlineLevel="0" collapsed="false">
      <c r="A295" s="7" t="s">
        <v>50</v>
      </c>
      <c r="B295" s="7" t="n">
        <v>2</v>
      </c>
      <c r="C295" s="7" t="n">
        <v>11</v>
      </c>
      <c r="D295" s="8" t="n">
        <v>2.78</v>
      </c>
      <c r="E295" s="9" t="n">
        <f aca="false">ROUND(D295*ASM!$B$8*IF(A295="10K",ASM!$B$11,IF(A295="14K",ASM!$B$12,ASM!$B$13))*(1+ASM!$B$3)+ASM!$B$16+ASM!$B$5+ASM!$B$6,2)</f>
        <v>363.36</v>
      </c>
      <c r="F295" s="7" t="n">
        <f aca="false">ROUND((D295*ASM!$B$8*IF(A295="10K",ASM!$B$11,IF(A295="14K",ASM!$B$12,ASM!$B$13))*(1+ASM!$B$3)+ASM!$B$16+ASM!$B$5+ASM!$B$6)*IF(B295&lt;=7,ASM!$B$7,ASM!$B$17),0)</f>
        <v>563</v>
      </c>
      <c r="G295" s="10" t="n">
        <f aca="false">CEILING(F295/0.75,5)</f>
        <v>755</v>
      </c>
      <c r="H295" s="9" t="n">
        <f aca="false">G295*0.75</f>
        <v>566.25</v>
      </c>
      <c r="I295" s="7" t="n">
        <f aca="false">ROUND((E295+0.45)/(1-ASM!$B$9),0)</f>
        <v>406</v>
      </c>
      <c r="J295" s="7" t="n">
        <f aca="false">ROUND((E295+0.45)/(1-ASM!$B$9-ASM!$B$10),0)</f>
        <v>488</v>
      </c>
      <c r="K295" s="7" t="str">
        <f aca="false">IF(H295&gt;=I295,"OK","FLOOR ALTI")</f>
        <v>OK</v>
      </c>
    </row>
    <row r="296" customFormat="false" ht="15" hidden="false" customHeight="false" outlineLevel="0" collapsed="false">
      <c r="A296" s="7" t="s">
        <v>50</v>
      </c>
      <c r="B296" s="7" t="n">
        <v>2</v>
      </c>
      <c r="C296" s="7" t="n">
        <v>12</v>
      </c>
      <c r="D296" s="8" t="n">
        <v>2.89</v>
      </c>
      <c r="E296" s="9" t="n">
        <f aca="false">ROUND(D296*ASM!$B$8*IF(A296="10K",ASM!$B$11,IF(A296="14K",ASM!$B$12,ASM!$B$13))*(1+ASM!$B$3)+ASM!$B$16+ASM!$B$5+ASM!$B$6,2)</f>
        <v>374.97</v>
      </c>
      <c r="F296" s="7" t="n">
        <f aca="false">ROUND((D296*ASM!$B$8*IF(A296="10K",ASM!$B$11,IF(A296="14K",ASM!$B$12,ASM!$B$13))*(1+ASM!$B$3)+ASM!$B$16+ASM!$B$5+ASM!$B$6)*IF(B296&lt;=7,ASM!$B$7,ASM!$B$17),0)</f>
        <v>581</v>
      </c>
      <c r="G296" s="10" t="n">
        <f aca="false">CEILING(F296/0.75,5)</f>
        <v>775</v>
      </c>
      <c r="H296" s="9" t="n">
        <f aca="false">G296*0.75</f>
        <v>581.25</v>
      </c>
      <c r="I296" s="7" t="n">
        <f aca="false">ROUND((E296+0.45)/(1-ASM!$B$9),0)</f>
        <v>419</v>
      </c>
      <c r="J296" s="7" t="n">
        <f aca="false">ROUND((E296+0.45)/(1-ASM!$B$9-ASM!$B$10),0)</f>
        <v>504</v>
      </c>
      <c r="K296" s="7" t="str">
        <f aca="false">IF(H296&gt;=I296,"OK","FLOOR ALTI")</f>
        <v>OK</v>
      </c>
    </row>
    <row r="297" customFormat="false" ht="15" hidden="false" customHeight="false" outlineLevel="0" collapsed="false">
      <c r="A297" s="7" t="s">
        <v>50</v>
      </c>
      <c r="B297" s="7" t="n">
        <v>2</v>
      </c>
      <c r="C297" s="7" t="n">
        <v>13</v>
      </c>
      <c r="D297" s="8" t="n">
        <v>3</v>
      </c>
      <c r="E297" s="9" t="n">
        <f aca="false">ROUND(D297*ASM!$B$8*IF(A297="10K",ASM!$B$11,IF(A297="14K",ASM!$B$12,ASM!$B$13))*(1+ASM!$B$3)+ASM!$B$16+ASM!$B$5+ASM!$B$6,2)</f>
        <v>386.58</v>
      </c>
      <c r="F297" s="7" t="n">
        <f aca="false">ROUND((D297*ASM!$B$8*IF(A297="10K",ASM!$B$11,IF(A297="14K",ASM!$B$12,ASM!$B$13))*(1+ASM!$B$3)+ASM!$B$16+ASM!$B$5+ASM!$B$6)*IF(B297&lt;=7,ASM!$B$7,ASM!$B$17),0)</f>
        <v>599</v>
      </c>
      <c r="G297" s="10" t="n">
        <f aca="false">CEILING(F297/0.75,5)</f>
        <v>800</v>
      </c>
      <c r="H297" s="9" t="n">
        <f aca="false">G297*0.75</f>
        <v>600</v>
      </c>
      <c r="I297" s="7" t="n">
        <f aca="false">ROUND((E297+0.45)/(1-ASM!$B$9),0)</f>
        <v>432</v>
      </c>
      <c r="J297" s="7" t="n">
        <f aca="false">ROUND((E297+0.45)/(1-ASM!$B$9-ASM!$B$10),0)</f>
        <v>520</v>
      </c>
      <c r="K297" s="7" t="str">
        <f aca="false">IF(H297&gt;=I297,"OK","FLOOR ALTI")</f>
        <v>OK</v>
      </c>
    </row>
    <row r="298" customFormat="false" ht="15" hidden="false" customHeight="false" outlineLevel="0" collapsed="false">
      <c r="A298" s="7" t="s">
        <v>50</v>
      </c>
      <c r="B298" s="7" t="n">
        <v>2</v>
      </c>
      <c r="C298" s="7" t="n">
        <v>14</v>
      </c>
      <c r="D298" s="8" t="n">
        <v>3.13</v>
      </c>
      <c r="E298" s="9" t="n">
        <f aca="false">ROUND(D298*ASM!$B$8*IF(A298="10K",ASM!$B$11,IF(A298="14K",ASM!$B$12,ASM!$B$13))*(1+ASM!$B$3)+ASM!$B$16+ASM!$B$5+ASM!$B$6,2)</f>
        <v>400.3</v>
      </c>
      <c r="F298" s="7" t="n">
        <f aca="false">ROUND((D298*ASM!$B$8*IF(A298="10K",ASM!$B$11,IF(A298="14K",ASM!$B$12,ASM!$B$13))*(1+ASM!$B$3)+ASM!$B$16+ASM!$B$5+ASM!$B$6)*IF(B298&lt;=7,ASM!$B$7,ASM!$B$17),0)</f>
        <v>620</v>
      </c>
      <c r="G298" s="10" t="n">
        <f aca="false">CEILING(F298/0.75,5)</f>
        <v>830</v>
      </c>
      <c r="H298" s="9" t="n">
        <f aca="false">G298*0.75</f>
        <v>622.5</v>
      </c>
      <c r="I298" s="7" t="n">
        <f aca="false">ROUND((E298+0.45)/(1-ASM!$B$9),0)</f>
        <v>448</v>
      </c>
      <c r="J298" s="7" t="n">
        <f aca="false">ROUND((E298+0.45)/(1-ASM!$B$9-ASM!$B$10),0)</f>
        <v>538</v>
      </c>
      <c r="K298" s="7" t="str">
        <f aca="false">IF(H298&gt;=I298,"OK","FLOOR ALTI")</f>
        <v>OK</v>
      </c>
    </row>
    <row r="299" customFormat="false" ht="15" hidden="false" customHeight="false" outlineLevel="0" collapsed="false">
      <c r="A299" s="7" t="s">
        <v>50</v>
      </c>
      <c r="B299" s="7" t="n">
        <v>2</v>
      </c>
      <c r="C299" s="7" t="n">
        <v>15</v>
      </c>
      <c r="D299" s="8" t="n">
        <v>3.26</v>
      </c>
      <c r="E299" s="9" t="n">
        <f aca="false">ROUND(D299*ASM!$B$8*IF(A299="10K",ASM!$B$11,IF(A299="14K",ASM!$B$12,ASM!$B$13))*(1+ASM!$B$3)+ASM!$B$16+ASM!$B$5+ASM!$B$6,2)</f>
        <v>414.01</v>
      </c>
      <c r="F299" s="7" t="n">
        <f aca="false">ROUND((D299*ASM!$B$8*IF(A299="10K",ASM!$B$11,IF(A299="14K",ASM!$B$12,ASM!$B$13))*(1+ASM!$B$3)+ASM!$B$16+ASM!$B$5+ASM!$B$6)*IF(B299&lt;=7,ASM!$B$7,ASM!$B$17),0)</f>
        <v>642</v>
      </c>
      <c r="G299" s="10" t="n">
        <f aca="false">CEILING(F299/0.75,5)</f>
        <v>860</v>
      </c>
      <c r="H299" s="9" t="n">
        <f aca="false">G299*0.75</f>
        <v>645</v>
      </c>
      <c r="I299" s="7" t="n">
        <f aca="false">ROUND((E299+0.45)/(1-ASM!$B$9),0)</f>
        <v>463</v>
      </c>
      <c r="J299" s="7" t="n">
        <f aca="false">ROUND((E299+0.45)/(1-ASM!$B$9-ASM!$B$10),0)</f>
        <v>556</v>
      </c>
      <c r="K299" s="7" t="str">
        <f aca="false">IF(H299&gt;=I299,"OK","FLOOR ALTI")</f>
        <v>OK</v>
      </c>
    </row>
    <row r="300" customFormat="false" ht="15" hidden="false" customHeight="false" outlineLevel="0" collapsed="false">
      <c r="A300" s="7" t="s">
        <v>50</v>
      </c>
      <c r="B300" s="7" t="n">
        <v>2</v>
      </c>
      <c r="C300" s="7" t="n">
        <v>16</v>
      </c>
      <c r="D300" s="8" t="n">
        <v>3.35</v>
      </c>
      <c r="E300" s="9" t="n">
        <f aca="false">ROUND(D300*ASM!$B$8*IF(A300="10K",ASM!$B$11,IF(A300="14K",ASM!$B$12,ASM!$B$13))*(1+ASM!$B$3)+ASM!$B$16+ASM!$B$5+ASM!$B$6,2)</f>
        <v>423.51</v>
      </c>
      <c r="F300" s="7" t="n">
        <f aca="false">ROUND((D300*ASM!$B$8*IF(A300="10K",ASM!$B$11,IF(A300="14K",ASM!$B$12,ASM!$B$13))*(1+ASM!$B$3)+ASM!$B$16+ASM!$B$5+ASM!$B$6)*IF(B300&lt;=7,ASM!$B$7,ASM!$B$17),0)</f>
        <v>656</v>
      </c>
      <c r="G300" s="10" t="n">
        <f aca="false">CEILING(F300/0.75,5)</f>
        <v>875</v>
      </c>
      <c r="H300" s="9" t="n">
        <f aca="false">G300*0.75</f>
        <v>656.25</v>
      </c>
      <c r="I300" s="7" t="n">
        <f aca="false">ROUND((E300+0.45)/(1-ASM!$B$9),0)</f>
        <v>474</v>
      </c>
      <c r="J300" s="7" t="n">
        <f aca="false">ROUND((E300+0.45)/(1-ASM!$B$9-ASM!$B$10),0)</f>
        <v>569</v>
      </c>
      <c r="K300" s="7" t="str">
        <f aca="false">IF(H300&gt;=I300,"OK","FLOOR ALTI")</f>
        <v>OK</v>
      </c>
    </row>
    <row r="301" customFormat="false" ht="15" hidden="false" customHeight="false" outlineLevel="0" collapsed="false">
      <c r="A301" s="7" t="s">
        <v>50</v>
      </c>
      <c r="B301" s="7" t="n">
        <v>3</v>
      </c>
      <c r="C301" s="7" t="n">
        <v>4</v>
      </c>
      <c r="D301" s="8" t="n">
        <v>2.64</v>
      </c>
      <c r="E301" s="9" t="n">
        <f aca="false">ROUND(D301*ASM!$B$8*IF(A301="10K",ASM!$B$11,IF(A301="14K",ASM!$B$12,ASM!$B$13))*(1+ASM!$B$3)+ASM!$B$16+ASM!$B$5+ASM!$B$6,2)</f>
        <v>348.59</v>
      </c>
      <c r="F301" s="7" t="n">
        <f aca="false">ROUND((D301*ASM!$B$8*IF(A301="10K",ASM!$B$11,IF(A301="14K",ASM!$B$12,ASM!$B$13))*(1+ASM!$B$3)+ASM!$B$16+ASM!$B$5+ASM!$B$6)*IF(B301&lt;=7,ASM!$B$7,ASM!$B$17),0)</f>
        <v>540</v>
      </c>
      <c r="G301" s="10" t="n">
        <f aca="false">CEILING(F301/0.75,5)</f>
        <v>720</v>
      </c>
      <c r="H301" s="9" t="n">
        <f aca="false">G301*0.75</f>
        <v>540</v>
      </c>
      <c r="I301" s="7" t="n">
        <f aca="false">ROUND((E301+0.45)/(1-ASM!$B$9),0)</f>
        <v>390</v>
      </c>
      <c r="J301" s="7" t="n">
        <f aca="false">ROUND((E301+0.45)/(1-ASM!$B$9-ASM!$B$10),0)</f>
        <v>469</v>
      </c>
      <c r="K301" s="7" t="str">
        <f aca="false">IF(H301&gt;=I301,"OK","FLOOR ALTI")</f>
        <v>OK</v>
      </c>
    </row>
    <row r="302" customFormat="false" ht="15" hidden="false" customHeight="false" outlineLevel="0" collapsed="false">
      <c r="A302" s="7" t="s">
        <v>50</v>
      </c>
      <c r="B302" s="7" t="n">
        <v>3</v>
      </c>
      <c r="C302" s="7" t="n">
        <v>5</v>
      </c>
      <c r="D302" s="8" t="n">
        <v>2.76</v>
      </c>
      <c r="E302" s="9" t="n">
        <f aca="false">ROUND(D302*ASM!$B$8*IF(A302="10K",ASM!$B$11,IF(A302="14K",ASM!$B$12,ASM!$B$13))*(1+ASM!$B$3)+ASM!$B$16+ASM!$B$5+ASM!$B$6,2)</f>
        <v>361.25</v>
      </c>
      <c r="F302" s="7" t="n">
        <f aca="false">ROUND((D302*ASM!$B$8*IF(A302="10K",ASM!$B$11,IF(A302="14K",ASM!$B$12,ASM!$B$13))*(1+ASM!$B$3)+ASM!$B$16+ASM!$B$5+ASM!$B$6)*IF(B302&lt;=7,ASM!$B$7,ASM!$B$17),0)</f>
        <v>560</v>
      </c>
      <c r="G302" s="10" t="n">
        <f aca="false">CEILING(F302/0.75,5)</f>
        <v>750</v>
      </c>
      <c r="H302" s="9" t="n">
        <f aca="false">G302*0.75</f>
        <v>562.5</v>
      </c>
      <c r="I302" s="7" t="n">
        <f aca="false">ROUND((E302+0.45)/(1-ASM!$B$9),0)</f>
        <v>404</v>
      </c>
      <c r="J302" s="7" t="n">
        <f aca="false">ROUND((E302+0.45)/(1-ASM!$B$9-ASM!$B$10),0)</f>
        <v>486</v>
      </c>
      <c r="K302" s="7" t="str">
        <f aca="false">IF(H302&gt;=I302,"OK","FLOOR ALTI")</f>
        <v>OK</v>
      </c>
    </row>
    <row r="303" customFormat="false" ht="15" hidden="false" customHeight="false" outlineLevel="0" collapsed="false">
      <c r="A303" s="7" t="s">
        <v>50</v>
      </c>
      <c r="B303" s="7" t="n">
        <v>3</v>
      </c>
      <c r="C303" s="7" t="n">
        <v>6</v>
      </c>
      <c r="D303" s="8" t="n">
        <v>2.88</v>
      </c>
      <c r="E303" s="9" t="n">
        <f aca="false">ROUND(D303*ASM!$B$8*IF(A303="10K",ASM!$B$11,IF(A303="14K",ASM!$B$12,ASM!$B$13))*(1+ASM!$B$3)+ASM!$B$16+ASM!$B$5+ASM!$B$6,2)</f>
        <v>373.91</v>
      </c>
      <c r="F303" s="7" t="n">
        <f aca="false">ROUND((D303*ASM!$B$8*IF(A303="10K",ASM!$B$11,IF(A303="14K",ASM!$B$12,ASM!$B$13))*(1+ASM!$B$3)+ASM!$B$16+ASM!$B$5+ASM!$B$6)*IF(B303&lt;=7,ASM!$B$7,ASM!$B$17),0)</f>
        <v>580</v>
      </c>
      <c r="G303" s="10" t="n">
        <f aca="false">CEILING(F303/0.75,5)</f>
        <v>775</v>
      </c>
      <c r="H303" s="9" t="n">
        <f aca="false">G303*0.75</f>
        <v>581.25</v>
      </c>
      <c r="I303" s="7" t="n">
        <f aca="false">ROUND((E303+0.45)/(1-ASM!$B$9),0)</f>
        <v>418</v>
      </c>
      <c r="J303" s="7" t="n">
        <f aca="false">ROUND((E303+0.45)/(1-ASM!$B$9-ASM!$B$10),0)</f>
        <v>502</v>
      </c>
      <c r="K303" s="7" t="str">
        <f aca="false">IF(H303&gt;=I303,"OK","FLOOR ALTI")</f>
        <v>OK</v>
      </c>
    </row>
    <row r="304" customFormat="false" ht="15" hidden="false" customHeight="false" outlineLevel="0" collapsed="false">
      <c r="A304" s="7" t="s">
        <v>50</v>
      </c>
      <c r="B304" s="7" t="n">
        <v>3</v>
      </c>
      <c r="C304" s="7" t="n">
        <v>7</v>
      </c>
      <c r="D304" s="8" t="n">
        <v>3</v>
      </c>
      <c r="E304" s="9" t="n">
        <f aca="false">ROUND(D304*ASM!$B$8*IF(A304="10K",ASM!$B$11,IF(A304="14K",ASM!$B$12,ASM!$B$13))*(1+ASM!$B$3)+ASM!$B$16+ASM!$B$5+ASM!$B$6,2)</f>
        <v>386.58</v>
      </c>
      <c r="F304" s="7" t="n">
        <f aca="false">ROUND((D304*ASM!$B$8*IF(A304="10K",ASM!$B$11,IF(A304="14K",ASM!$B$12,ASM!$B$13))*(1+ASM!$B$3)+ASM!$B$16+ASM!$B$5+ASM!$B$6)*IF(B304&lt;=7,ASM!$B$7,ASM!$B$17),0)</f>
        <v>599</v>
      </c>
      <c r="G304" s="10" t="n">
        <f aca="false">CEILING(F304/0.75,5)</f>
        <v>800</v>
      </c>
      <c r="H304" s="9" t="n">
        <f aca="false">G304*0.75</f>
        <v>600</v>
      </c>
      <c r="I304" s="7" t="n">
        <f aca="false">ROUND((E304+0.45)/(1-ASM!$B$9),0)</f>
        <v>432</v>
      </c>
      <c r="J304" s="7" t="n">
        <f aca="false">ROUND((E304+0.45)/(1-ASM!$B$9-ASM!$B$10),0)</f>
        <v>520</v>
      </c>
      <c r="K304" s="7" t="str">
        <f aca="false">IF(H304&gt;=I304,"OK","FLOOR ALTI")</f>
        <v>OK</v>
      </c>
    </row>
    <row r="305" customFormat="false" ht="15" hidden="false" customHeight="false" outlineLevel="0" collapsed="false">
      <c r="A305" s="7" t="s">
        <v>50</v>
      </c>
      <c r="B305" s="7" t="n">
        <v>3</v>
      </c>
      <c r="C305" s="7" t="n">
        <v>8</v>
      </c>
      <c r="D305" s="8" t="n">
        <v>3.12</v>
      </c>
      <c r="E305" s="9" t="n">
        <f aca="false">ROUND(D305*ASM!$B$8*IF(A305="10K",ASM!$B$11,IF(A305="14K",ASM!$B$12,ASM!$B$13))*(1+ASM!$B$3)+ASM!$B$16+ASM!$B$5+ASM!$B$6,2)</f>
        <v>399.24</v>
      </c>
      <c r="F305" s="7" t="n">
        <f aca="false">ROUND((D305*ASM!$B$8*IF(A305="10K",ASM!$B$11,IF(A305="14K",ASM!$B$12,ASM!$B$13))*(1+ASM!$B$3)+ASM!$B$16+ASM!$B$5+ASM!$B$6)*IF(B305&lt;=7,ASM!$B$7,ASM!$B$17),0)</f>
        <v>619</v>
      </c>
      <c r="G305" s="10" t="n">
        <f aca="false">CEILING(F305/0.75,5)</f>
        <v>830</v>
      </c>
      <c r="H305" s="9" t="n">
        <f aca="false">G305*0.75</f>
        <v>622.5</v>
      </c>
      <c r="I305" s="7" t="n">
        <f aca="false">ROUND((E305+0.45)/(1-ASM!$B$9),0)</f>
        <v>447</v>
      </c>
      <c r="J305" s="7" t="n">
        <f aca="false">ROUND((E305+0.45)/(1-ASM!$B$9-ASM!$B$10),0)</f>
        <v>536</v>
      </c>
      <c r="K305" s="7" t="str">
        <f aca="false">IF(H305&gt;=I305,"OK","FLOOR ALTI")</f>
        <v>OK</v>
      </c>
    </row>
    <row r="306" customFormat="false" ht="15" hidden="false" customHeight="false" outlineLevel="0" collapsed="false">
      <c r="A306" s="7" t="s">
        <v>50</v>
      </c>
      <c r="B306" s="7" t="n">
        <v>3</v>
      </c>
      <c r="C306" s="7" t="n">
        <v>9</v>
      </c>
      <c r="D306" s="8" t="n">
        <v>3.24</v>
      </c>
      <c r="E306" s="9" t="n">
        <f aca="false">ROUND(D306*ASM!$B$8*IF(A306="10K",ASM!$B$11,IF(A306="14K",ASM!$B$12,ASM!$B$13))*(1+ASM!$B$3)+ASM!$B$16+ASM!$B$5+ASM!$B$6,2)</f>
        <v>411.9</v>
      </c>
      <c r="F306" s="7" t="n">
        <f aca="false">ROUND((D306*ASM!$B$8*IF(A306="10K",ASM!$B$11,IF(A306="14K",ASM!$B$12,ASM!$B$13))*(1+ASM!$B$3)+ASM!$B$16+ASM!$B$5+ASM!$B$6)*IF(B306&lt;=7,ASM!$B$7,ASM!$B$17),0)</f>
        <v>638</v>
      </c>
      <c r="G306" s="10" t="n">
        <f aca="false">CEILING(F306/0.75,5)</f>
        <v>855</v>
      </c>
      <c r="H306" s="9" t="n">
        <f aca="false">G306*0.75</f>
        <v>641.25</v>
      </c>
      <c r="I306" s="7" t="n">
        <f aca="false">ROUND((E306+0.45)/(1-ASM!$B$9),0)</f>
        <v>461</v>
      </c>
      <c r="J306" s="7" t="n">
        <f aca="false">ROUND((E306+0.45)/(1-ASM!$B$9-ASM!$B$10),0)</f>
        <v>553</v>
      </c>
      <c r="K306" s="7" t="str">
        <f aca="false">IF(H306&gt;=I306,"OK","FLOOR ALTI")</f>
        <v>OK</v>
      </c>
    </row>
    <row r="307" customFormat="false" ht="15" hidden="false" customHeight="false" outlineLevel="0" collapsed="false">
      <c r="A307" s="7" t="s">
        <v>50</v>
      </c>
      <c r="B307" s="7" t="n">
        <v>3</v>
      </c>
      <c r="C307" s="7" t="n">
        <v>10</v>
      </c>
      <c r="D307" s="8" t="n">
        <v>3.36</v>
      </c>
      <c r="E307" s="9" t="n">
        <f aca="false">ROUND(D307*ASM!$B$8*IF(A307="10K",ASM!$B$11,IF(A307="14K",ASM!$B$12,ASM!$B$13))*(1+ASM!$B$3)+ASM!$B$16+ASM!$B$5+ASM!$B$6,2)</f>
        <v>424.57</v>
      </c>
      <c r="F307" s="7" t="n">
        <f aca="false">ROUND((D307*ASM!$B$8*IF(A307="10K",ASM!$B$11,IF(A307="14K",ASM!$B$12,ASM!$B$13))*(1+ASM!$B$3)+ASM!$B$16+ASM!$B$5+ASM!$B$6)*IF(B307&lt;=7,ASM!$B$7,ASM!$B$17),0)</f>
        <v>658</v>
      </c>
      <c r="G307" s="10" t="n">
        <f aca="false">CEILING(F307/0.75,5)</f>
        <v>880</v>
      </c>
      <c r="H307" s="9" t="n">
        <f aca="false">G307*0.75</f>
        <v>660</v>
      </c>
      <c r="I307" s="7" t="n">
        <f aca="false">ROUND((E307+0.45)/(1-ASM!$B$9),0)</f>
        <v>475</v>
      </c>
      <c r="J307" s="7" t="n">
        <f aca="false">ROUND((E307+0.45)/(1-ASM!$B$9-ASM!$B$10),0)</f>
        <v>570</v>
      </c>
      <c r="K307" s="7" t="str">
        <f aca="false">IF(H307&gt;=I307,"OK","FLOOR ALTI")</f>
        <v>OK</v>
      </c>
    </row>
    <row r="308" customFormat="false" ht="15" hidden="false" customHeight="false" outlineLevel="0" collapsed="false">
      <c r="A308" s="7" t="s">
        <v>50</v>
      </c>
      <c r="B308" s="7" t="n">
        <v>3</v>
      </c>
      <c r="C308" s="7" t="n">
        <v>11</v>
      </c>
      <c r="D308" s="8" t="n">
        <v>3.48</v>
      </c>
      <c r="E308" s="9" t="n">
        <f aca="false">ROUND(D308*ASM!$B$8*IF(A308="10K",ASM!$B$11,IF(A308="14K",ASM!$B$12,ASM!$B$13))*(1+ASM!$B$3)+ASM!$B$16+ASM!$B$5+ASM!$B$6,2)</f>
        <v>437.23</v>
      </c>
      <c r="F308" s="7" t="n">
        <f aca="false">ROUND((D308*ASM!$B$8*IF(A308="10K",ASM!$B$11,IF(A308="14K",ASM!$B$12,ASM!$B$13))*(1+ASM!$B$3)+ASM!$B$16+ASM!$B$5+ASM!$B$6)*IF(B308&lt;=7,ASM!$B$7,ASM!$B$17),0)</f>
        <v>678</v>
      </c>
      <c r="G308" s="10" t="n">
        <f aca="false">CEILING(F308/0.75,5)</f>
        <v>905</v>
      </c>
      <c r="H308" s="9" t="n">
        <f aca="false">G308*0.75</f>
        <v>678.75</v>
      </c>
      <c r="I308" s="7" t="n">
        <f aca="false">ROUND((E308+0.45)/(1-ASM!$B$9),0)</f>
        <v>489</v>
      </c>
      <c r="J308" s="7" t="n">
        <f aca="false">ROUND((E308+0.45)/(1-ASM!$B$9-ASM!$B$10),0)</f>
        <v>587</v>
      </c>
      <c r="K308" s="7" t="str">
        <f aca="false">IF(H308&gt;=I308,"OK","FLOOR ALTI")</f>
        <v>OK</v>
      </c>
    </row>
    <row r="309" customFormat="false" ht="15" hidden="false" customHeight="false" outlineLevel="0" collapsed="false">
      <c r="A309" s="7" t="s">
        <v>50</v>
      </c>
      <c r="B309" s="7" t="n">
        <v>3</v>
      </c>
      <c r="C309" s="7" t="n">
        <v>12</v>
      </c>
      <c r="D309" s="8" t="n">
        <v>3.6</v>
      </c>
      <c r="E309" s="9" t="n">
        <f aca="false">ROUND(D309*ASM!$B$8*IF(A309="10K",ASM!$B$11,IF(A309="14K",ASM!$B$12,ASM!$B$13))*(1+ASM!$B$3)+ASM!$B$16+ASM!$B$5+ASM!$B$6,2)</f>
        <v>449.89</v>
      </c>
      <c r="F309" s="7" t="n">
        <f aca="false">ROUND((D309*ASM!$B$8*IF(A309="10K",ASM!$B$11,IF(A309="14K",ASM!$B$12,ASM!$B$13))*(1+ASM!$B$3)+ASM!$B$16+ASM!$B$5+ASM!$B$6)*IF(B309&lt;=7,ASM!$B$7,ASM!$B$17),0)</f>
        <v>697</v>
      </c>
      <c r="G309" s="10" t="n">
        <f aca="false">CEILING(F309/0.75,5)</f>
        <v>930</v>
      </c>
      <c r="H309" s="9" t="n">
        <f aca="false">G309*0.75</f>
        <v>697.5</v>
      </c>
      <c r="I309" s="7" t="n">
        <f aca="false">ROUND((E309+0.45)/(1-ASM!$B$9),0)</f>
        <v>503</v>
      </c>
      <c r="J309" s="7" t="n">
        <f aca="false">ROUND((E309+0.45)/(1-ASM!$B$9-ASM!$B$10),0)</f>
        <v>604</v>
      </c>
      <c r="K309" s="7" t="str">
        <f aca="false">IF(H309&gt;=I309,"OK","FLOOR ALTI")</f>
        <v>OK</v>
      </c>
    </row>
    <row r="310" customFormat="false" ht="15" hidden="false" customHeight="false" outlineLevel="0" collapsed="false">
      <c r="A310" s="7" t="s">
        <v>50</v>
      </c>
      <c r="B310" s="7" t="n">
        <v>3</v>
      </c>
      <c r="C310" s="7" t="n">
        <v>13</v>
      </c>
      <c r="D310" s="8" t="n">
        <v>3.72</v>
      </c>
      <c r="E310" s="9" t="n">
        <f aca="false">ROUND(D310*ASM!$B$8*IF(A310="10K",ASM!$B$11,IF(A310="14K",ASM!$B$12,ASM!$B$13))*(1+ASM!$B$3)+ASM!$B$16+ASM!$B$5+ASM!$B$6,2)</f>
        <v>462.56</v>
      </c>
      <c r="F310" s="7" t="n">
        <f aca="false">ROUND((D310*ASM!$B$8*IF(A310="10K",ASM!$B$11,IF(A310="14K",ASM!$B$12,ASM!$B$13))*(1+ASM!$B$3)+ASM!$B$16+ASM!$B$5+ASM!$B$6)*IF(B310&lt;=7,ASM!$B$7,ASM!$B$17),0)</f>
        <v>717</v>
      </c>
      <c r="G310" s="10" t="n">
        <f aca="false">CEILING(F310/0.75,5)</f>
        <v>960</v>
      </c>
      <c r="H310" s="9" t="n">
        <f aca="false">G310*0.75</f>
        <v>720</v>
      </c>
      <c r="I310" s="7" t="n">
        <f aca="false">ROUND((E310+0.45)/(1-ASM!$B$9),0)</f>
        <v>517</v>
      </c>
      <c r="J310" s="7" t="n">
        <f aca="false">ROUND((E310+0.45)/(1-ASM!$B$9-ASM!$B$10),0)</f>
        <v>621</v>
      </c>
      <c r="K310" s="7" t="str">
        <f aca="false">IF(H310&gt;=I310,"OK","FLOOR ALTI")</f>
        <v>OK</v>
      </c>
    </row>
    <row r="311" customFormat="false" ht="15" hidden="false" customHeight="false" outlineLevel="0" collapsed="false">
      <c r="A311" s="7" t="s">
        <v>50</v>
      </c>
      <c r="B311" s="7" t="n">
        <v>3</v>
      </c>
      <c r="C311" s="7" t="n">
        <v>14</v>
      </c>
      <c r="D311" s="8" t="n">
        <v>3.85</v>
      </c>
      <c r="E311" s="9" t="n">
        <f aca="false">ROUND(D311*ASM!$B$8*IF(A311="10K",ASM!$B$11,IF(A311="14K",ASM!$B$12,ASM!$B$13))*(1+ASM!$B$3)+ASM!$B$16+ASM!$B$5+ASM!$B$6,2)</f>
        <v>476.27</v>
      </c>
      <c r="F311" s="7" t="n">
        <f aca="false">ROUND((D311*ASM!$B$8*IF(A311="10K",ASM!$B$11,IF(A311="14K",ASM!$B$12,ASM!$B$13))*(1+ASM!$B$3)+ASM!$B$16+ASM!$B$5+ASM!$B$6)*IF(B311&lt;=7,ASM!$B$7,ASM!$B$17),0)</f>
        <v>738</v>
      </c>
      <c r="G311" s="10" t="n">
        <f aca="false">CEILING(F311/0.75,5)</f>
        <v>985</v>
      </c>
      <c r="H311" s="9" t="n">
        <f aca="false">G311*0.75</f>
        <v>738.75</v>
      </c>
      <c r="I311" s="7" t="n">
        <f aca="false">ROUND((E311+0.45)/(1-ASM!$B$9),0)</f>
        <v>533</v>
      </c>
      <c r="J311" s="7" t="n">
        <f aca="false">ROUND((E311+0.45)/(1-ASM!$B$9-ASM!$B$10),0)</f>
        <v>640</v>
      </c>
      <c r="K311" s="7" t="str">
        <f aca="false">IF(H311&gt;=I311,"OK","FLOOR ALTI")</f>
        <v>OK</v>
      </c>
    </row>
    <row r="312" customFormat="false" ht="15" hidden="false" customHeight="false" outlineLevel="0" collapsed="false">
      <c r="A312" s="7" t="s">
        <v>50</v>
      </c>
      <c r="B312" s="7" t="n">
        <v>3</v>
      </c>
      <c r="C312" s="7" t="n">
        <v>15</v>
      </c>
      <c r="D312" s="8" t="n">
        <v>4.01</v>
      </c>
      <c r="E312" s="9" t="n">
        <f aca="false">ROUND(D312*ASM!$B$8*IF(A312="10K",ASM!$B$11,IF(A312="14K",ASM!$B$12,ASM!$B$13))*(1+ASM!$B$3)+ASM!$B$16+ASM!$B$5+ASM!$B$6,2)</f>
        <v>493.16</v>
      </c>
      <c r="F312" s="7" t="n">
        <f aca="false">ROUND((D312*ASM!$B$8*IF(A312="10K",ASM!$B$11,IF(A312="14K",ASM!$B$12,ASM!$B$13))*(1+ASM!$B$3)+ASM!$B$16+ASM!$B$5+ASM!$B$6)*IF(B312&lt;=7,ASM!$B$7,ASM!$B$17),0)</f>
        <v>764</v>
      </c>
      <c r="G312" s="10" t="n">
        <f aca="false">CEILING(F312/0.75,5)</f>
        <v>1020</v>
      </c>
      <c r="H312" s="9" t="n">
        <f aca="false">G312*0.75</f>
        <v>765</v>
      </c>
      <c r="I312" s="7" t="n">
        <f aca="false">ROUND((E312+0.45)/(1-ASM!$B$9),0)</f>
        <v>552</v>
      </c>
      <c r="J312" s="7" t="n">
        <f aca="false">ROUND((E312+0.45)/(1-ASM!$B$9-ASM!$B$10),0)</f>
        <v>663</v>
      </c>
      <c r="K312" s="7" t="str">
        <f aca="false">IF(H312&gt;=I312,"OK","FLOOR ALTI")</f>
        <v>OK</v>
      </c>
    </row>
    <row r="313" customFormat="false" ht="15" hidden="false" customHeight="false" outlineLevel="0" collapsed="false">
      <c r="A313" s="7" t="s">
        <v>50</v>
      </c>
      <c r="B313" s="7" t="n">
        <v>3</v>
      </c>
      <c r="C313" s="7" t="n">
        <v>16</v>
      </c>
      <c r="D313" s="8" t="n">
        <v>4.08</v>
      </c>
      <c r="E313" s="9" t="n">
        <f aca="false">ROUND(D313*ASM!$B$8*IF(A313="10K",ASM!$B$11,IF(A313="14K",ASM!$B$12,ASM!$B$13))*(1+ASM!$B$3)+ASM!$B$16+ASM!$B$5+ASM!$B$6,2)</f>
        <v>500.55</v>
      </c>
      <c r="F313" s="7" t="n">
        <f aca="false">ROUND((D313*ASM!$B$8*IF(A313="10K",ASM!$B$11,IF(A313="14K",ASM!$B$12,ASM!$B$13))*(1+ASM!$B$3)+ASM!$B$16+ASM!$B$5+ASM!$B$6)*IF(B313&lt;=7,ASM!$B$7,ASM!$B$17),0)</f>
        <v>776</v>
      </c>
      <c r="G313" s="10" t="n">
        <f aca="false">CEILING(F313/0.75,5)</f>
        <v>1035</v>
      </c>
      <c r="H313" s="9" t="n">
        <f aca="false">G313*0.75</f>
        <v>776.25</v>
      </c>
      <c r="I313" s="7" t="n">
        <f aca="false">ROUND((E313+0.45)/(1-ASM!$B$9),0)</f>
        <v>560</v>
      </c>
      <c r="J313" s="7" t="n">
        <f aca="false">ROUND((E313+0.45)/(1-ASM!$B$9-ASM!$B$10),0)</f>
        <v>672</v>
      </c>
      <c r="K313" s="7" t="str">
        <f aca="false">IF(H313&gt;=I313,"OK","FLOOR ALTI")</f>
        <v>OK</v>
      </c>
    </row>
    <row r="314" customFormat="false" ht="15" hidden="false" customHeight="false" outlineLevel="0" collapsed="false">
      <c r="A314" s="7" t="s">
        <v>50</v>
      </c>
      <c r="B314" s="7" t="n">
        <v>4</v>
      </c>
      <c r="C314" s="7" t="n">
        <v>4</v>
      </c>
      <c r="D314" s="8" t="n">
        <v>3.6</v>
      </c>
      <c r="E314" s="9" t="n">
        <f aca="false">ROUND(D314*ASM!$B$8*IF(A314="10K",ASM!$B$11,IF(A314="14K",ASM!$B$12,ASM!$B$13))*(1+ASM!$B$3)+ASM!$B$16+ASM!$B$5+ASM!$B$6,2)</f>
        <v>449.89</v>
      </c>
      <c r="F314" s="7" t="n">
        <f aca="false">ROUND((D314*ASM!$B$8*IF(A314="10K",ASM!$B$11,IF(A314="14K",ASM!$B$12,ASM!$B$13))*(1+ASM!$B$3)+ASM!$B$16+ASM!$B$5+ASM!$B$6)*IF(B314&lt;=7,ASM!$B$7,ASM!$B$17),0)</f>
        <v>697</v>
      </c>
      <c r="G314" s="10" t="n">
        <f aca="false">CEILING(F314/0.75,5)</f>
        <v>930</v>
      </c>
      <c r="H314" s="9" t="n">
        <f aca="false">G314*0.75</f>
        <v>697.5</v>
      </c>
      <c r="I314" s="7" t="n">
        <f aca="false">ROUND((E314+0.45)/(1-ASM!$B$9),0)</f>
        <v>503</v>
      </c>
      <c r="J314" s="7" t="n">
        <f aca="false">ROUND((E314+0.45)/(1-ASM!$B$9-ASM!$B$10),0)</f>
        <v>604</v>
      </c>
      <c r="K314" s="7" t="str">
        <f aca="false">IF(H314&gt;=I314,"OK","FLOOR ALTI")</f>
        <v>OK</v>
      </c>
    </row>
    <row r="315" customFormat="false" ht="15" hidden="false" customHeight="false" outlineLevel="0" collapsed="false">
      <c r="A315" s="7" t="s">
        <v>50</v>
      </c>
      <c r="B315" s="7" t="n">
        <v>4</v>
      </c>
      <c r="C315" s="7" t="n">
        <v>5</v>
      </c>
      <c r="D315" s="8" t="n">
        <v>3.74</v>
      </c>
      <c r="E315" s="9" t="n">
        <f aca="false">ROUND(D315*ASM!$B$8*IF(A315="10K",ASM!$B$11,IF(A315="14K",ASM!$B$12,ASM!$B$13))*(1+ASM!$B$3)+ASM!$B$16+ASM!$B$5+ASM!$B$6,2)</f>
        <v>464.67</v>
      </c>
      <c r="F315" s="7" t="n">
        <f aca="false">ROUND((D315*ASM!$B$8*IF(A315="10K",ASM!$B$11,IF(A315="14K",ASM!$B$12,ASM!$B$13))*(1+ASM!$B$3)+ASM!$B$16+ASM!$B$5+ASM!$B$6)*IF(B315&lt;=7,ASM!$B$7,ASM!$B$17),0)</f>
        <v>720</v>
      </c>
      <c r="G315" s="10" t="n">
        <f aca="false">CEILING(F315/0.75,5)</f>
        <v>960</v>
      </c>
      <c r="H315" s="9" t="n">
        <f aca="false">G315*0.75</f>
        <v>720</v>
      </c>
      <c r="I315" s="7" t="n">
        <f aca="false">ROUND((E315+0.45)/(1-ASM!$B$9),0)</f>
        <v>520</v>
      </c>
      <c r="J315" s="7" t="n">
        <f aca="false">ROUND((E315+0.45)/(1-ASM!$B$9-ASM!$B$10),0)</f>
        <v>624</v>
      </c>
      <c r="K315" s="7" t="str">
        <f aca="false">IF(H315&gt;=I315,"OK","FLOOR ALTI")</f>
        <v>OK</v>
      </c>
    </row>
    <row r="316" customFormat="false" ht="15" hidden="false" customHeight="false" outlineLevel="0" collapsed="false">
      <c r="A316" s="7" t="s">
        <v>50</v>
      </c>
      <c r="B316" s="7" t="n">
        <v>4</v>
      </c>
      <c r="C316" s="7" t="n">
        <v>6</v>
      </c>
      <c r="D316" s="8" t="n">
        <v>3.89</v>
      </c>
      <c r="E316" s="9" t="n">
        <f aca="false">ROUND(D316*ASM!$B$8*IF(A316="10K",ASM!$B$11,IF(A316="14K",ASM!$B$12,ASM!$B$13))*(1+ASM!$B$3)+ASM!$B$16+ASM!$B$5+ASM!$B$6,2)</f>
        <v>480.5</v>
      </c>
      <c r="F316" s="7" t="n">
        <f aca="false">ROUND((D316*ASM!$B$8*IF(A316="10K",ASM!$B$11,IF(A316="14K",ASM!$B$12,ASM!$B$13))*(1+ASM!$B$3)+ASM!$B$16+ASM!$B$5+ASM!$B$6)*IF(B316&lt;=7,ASM!$B$7,ASM!$B$17),0)</f>
        <v>745</v>
      </c>
      <c r="G316" s="10" t="n">
        <f aca="false">CEILING(F316/0.75,5)</f>
        <v>995</v>
      </c>
      <c r="H316" s="9" t="n">
        <f aca="false">G316*0.75</f>
        <v>746.25</v>
      </c>
      <c r="I316" s="7" t="n">
        <f aca="false">ROUND((E316+0.45)/(1-ASM!$B$9),0)</f>
        <v>537</v>
      </c>
      <c r="J316" s="7" t="n">
        <f aca="false">ROUND((E316+0.45)/(1-ASM!$B$9-ASM!$B$10),0)</f>
        <v>646</v>
      </c>
      <c r="K316" s="7" t="str">
        <f aca="false">IF(H316&gt;=I316,"OK","FLOOR ALTI")</f>
        <v>OK</v>
      </c>
    </row>
    <row r="317" customFormat="false" ht="15" hidden="false" customHeight="false" outlineLevel="0" collapsed="false">
      <c r="A317" s="7" t="s">
        <v>50</v>
      </c>
      <c r="B317" s="7" t="n">
        <v>4</v>
      </c>
      <c r="C317" s="7" t="n">
        <v>7</v>
      </c>
      <c r="D317" s="8" t="n">
        <v>4.04</v>
      </c>
      <c r="E317" s="9" t="n">
        <f aca="false">ROUND(D317*ASM!$B$8*IF(A317="10K",ASM!$B$11,IF(A317="14K",ASM!$B$12,ASM!$B$13))*(1+ASM!$B$3)+ASM!$B$16+ASM!$B$5+ASM!$B$6,2)</f>
        <v>496.32</v>
      </c>
      <c r="F317" s="7" t="n">
        <f aca="false">ROUND((D317*ASM!$B$8*IF(A317="10K",ASM!$B$11,IF(A317="14K",ASM!$B$12,ASM!$B$13))*(1+ASM!$B$3)+ASM!$B$16+ASM!$B$5+ASM!$B$6)*IF(B317&lt;=7,ASM!$B$7,ASM!$B$17),0)</f>
        <v>769</v>
      </c>
      <c r="G317" s="10" t="n">
        <f aca="false">CEILING(F317/0.75,5)</f>
        <v>1030</v>
      </c>
      <c r="H317" s="9" t="n">
        <f aca="false">G317*0.75</f>
        <v>772.5</v>
      </c>
      <c r="I317" s="7" t="n">
        <f aca="false">ROUND((E317+0.45)/(1-ASM!$B$9),0)</f>
        <v>555</v>
      </c>
      <c r="J317" s="7" t="n">
        <f aca="false">ROUND((E317+0.45)/(1-ASM!$B$9-ASM!$B$10),0)</f>
        <v>667</v>
      </c>
      <c r="K317" s="7" t="str">
        <f aca="false">IF(H317&gt;=I317,"OK","FLOOR ALTI")</f>
        <v>OK</v>
      </c>
    </row>
    <row r="318" customFormat="false" ht="15" hidden="false" customHeight="false" outlineLevel="0" collapsed="false">
      <c r="A318" s="7" t="s">
        <v>50</v>
      </c>
      <c r="B318" s="7" t="n">
        <v>4</v>
      </c>
      <c r="C318" s="7" t="n">
        <v>8</v>
      </c>
      <c r="D318" s="8" t="n">
        <v>4.19</v>
      </c>
      <c r="E318" s="9" t="n">
        <f aca="false">ROUND(D318*ASM!$B$8*IF(A318="10K",ASM!$B$11,IF(A318="14K",ASM!$B$12,ASM!$B$13))*(1+ASM!$B$3)+ASM!$B$16+ASM!$B$5+ASM!$B$6,2)</f>
        <v>512.15</v>
      </c>
      <c r="F318" s="7" t="n">
        <f aca="false">ROUND((D318*ASM!$B$8*IF(A318="10K",ASM!$B$11,IF(A318="14K",ASM!$B$12,ASM!$B$13))*(1+ASM!$B$3)+ASM!$B$16+ASM!$B$5+ASM!$B$6)*IF(B318&lt;=7,ASM!$B$7,ASM!$B$17),0)</f>
        <v>794</v>
      </c>
      <c r="G318" s="10" t="n">
        <f aca="false">CEILING(F318/0.75,5)</f>
        <v>1060</v>
      </c>
      <c r="H318" s="9" t="n">
        <f aca="false">G318*0.75</f>
        <v>795</v>
      </c>
      <c r="I318" s="7" t="n">
        <f aca="false">ROUND((E318+0.45)/(1-ASM!$B$9),0)</f>
        <v>573</v>
      </c>
      <c r="J318" s="7" t="n">
        <f aca="false">ROUND((E318+0.45)/(1-ASM!$B$9-ASM!$B$10),0)</f>
        <v>688</v>
      </c>
      <c r="K318" s="7" t="str">
        <f aca="false">IF(H318&gt;=I318,"OK","FLOOR ALTI")</f>
        <v>OK</v>
      </c>
    </row>
    <row r="319" customFormat="false" ht="15" hidden="false" customHeight="false" outlineLevel="0" collapsed="false">
      <c r="A319" s="7" t="s">
        <v>50</v>
      </c>
      <c r="B319" s="7" t="n">
        <v>4</v>
      </c>
      <c r="C319" s="7" t="n">
        <v>9</v>
      </c>
      <c r="D319" s="8" t="n">
        <v>4.33</v>
      </c>
      <c r="E319" s="9" t="n">
        <f aca="false">ROUND(D319*ASM!$B$8*IF(A319="10K",ASM!$B$11,IF(A319="14K",ASM!$B$12,ASM!$B$13))*(1+ASM!$B$3)+ASM!$B$16+ASM!$B$5+ASM!$B$6,2)</f>
        <v>526.93</v>
      </c>
      <c r="F319" s="7" t="n">
        <f aca="false">ROUND((D319*ASM!$B$8*IF(A319="10K",ASM!$B$11,IF(A319="14K",ASM!$B$12,ASM!$B$13))*(1+ASM!$B$3)+ASM!$B$16+ASM!$B$5+ASM!$B$6)*IF(B319&lt;=7,ASM!$B$7,ASM!$B$17),0)</f>
        <v>817</v>
      </c>
      <c r="G319" s="10" t="n">
        <f aca="false">CEILING(F319/0.75,5)</f>
        <v>1090</v>
      </c>
      <c r="H319" s="9" t="n">
        <f aca="false">G319*0.75</f>
        <v>817.5</v>
      </c>
      <c r="I319" s="7" t="n">
        <f aca="false">ROUND((E319+0.45)/(1-ASM!$B$9),0)</f>
        <v>589</v>
      </c>
      <c r="J319" s="7" t="n">
        <f aca="false">ROUND((E319+0.45)/(1-ASM!$B$9-ASM!$B$10),0)</f>
        <v>708</v>
      </c>
      <c r="K319" s="7" t="str">
        <f aca="false">IF(H319&gt;=I319,"OK","FLOOR ALTI")</f>
        <v>OK</v>
      </c>
    </row>
    <row r="320" customFormat="false" ht="15" hidden="false" customHeight="false" outlineLevel="0" collapsed="false">
      <c r="A320" s="7" t="s">
        <v>50</v>
      </c>
      <c r="B320" s="7" t="n">
        <v>4</v>
      </c>
      <c r="C320" s="7" t="n">
        <v>10</v>
      </c>
      <c r="D320" s="8" t="n">
        <v>4.48</v>
      </c>
      <c r="E320" s="9" t="n">
        <f aca="false">ROUND(D320*ASM!$B$8*IF(A320="10K",ASM!$B$11,IF(A320="14K",ASM!$B$12,ASM!$B$13))*(1+ASM!$B$3)+ASM!$B$16+ASM!$B$5+ASM!$B$6,2)</f>
        <v>542.76</v>
      </c>
      <c r="F320" s="7" t="n">
        <f aca="false">ROUND((D320*ASM!$B$8*IF(A320="10K",ASM!$B$11,IF(A320="14K",ASM!$B$12,ASM!$B$13))*(1+ASM!$B$3)+ASM!$B$16+ASM!$B$5+ASM!$B$6)*IF(B320&lt;=7,ASM!$B$7,ASM!$B$17),0)</f>
        <v>841</v>
      </c>
      <c r="G320" s="10" t="n">
        <f aca="false">CEILING(F320/0.75,5)</f>
        <v>1125</v>
      </c>
      <c r="H320" s="9" t="n">
        <f aca="false">G320*0.75</f>
        <v>843.75</v>
      </c>
      <c r="I320" s="7" t="n">
        <f aca="false">ROUND((E320+0.45)/(1-ASM!$B$9),0)</f>
        <v>607</v>
      </c>
      <c r="J320" s="7" t="n">
        <f aca="false">ROUND((E320+0.45)/(1-ASM!$B$9-ASM!$B$10),0)</f>
        <v>729</v>
      </c>
      <c r="K320" s="7" t="str">
        <f aca="false">IF(H320&gt;=I320,"OK","FLOOR ALTI")</f>
        <v>OK</v>
      </c>
    </row>
    <row r="321" customFormat="false" ht="15" hidden="false" customHeight="false" outlineLevel="0" collapsed="false">
      <c r="A321" s="7" t="s">
        <v>50</v>
      </c>
      <c r="B321" s="7" t="n">
        <v>4</v>
      </c>
      <c r="C321" s="7" t="n">
        <v>11</v>
      </c>
      <c r="D321" s="8" t="n">
        <v>4.63</v>
      </c>
      <c r="E321" s="9" t="n">
        <f aca="false">ROUND(D321*ASM!$B$8*IF(A321="10K",ASM!$B$11,IF(A321="14K",ASM!$B$12,ASM!$B$13))*(1+ASM!$B$3)+ASM!$B$16+ASM!$B$5+ASM!$B$6,2)</f>
        <v>558.58</v>
      </c>
      <c r="F321" s="7" t="n">
        <f aca="false">ROUND((D321*ASM!$B$8*IF(A321="10K",ASM!$B$11,IF(A321="14K",ASM!$B$12,ASM!$B$13))*(1+ASM!$B$3)+ASM!$B$16+ASM!$B$5+ASM!$B$6)*IF(B321&lt;=7,ASM!$B$7,ASM!$B$17),0)</f>
        <v>866</v>
      </c>
      <c r="G321" s="10" t="n">
        <f aca="false">CEILING(F321/0.75,5)</f>
        <v>1155</v>
      </c>
      <c r="H321" s="9" t="n">
        <f aca="false">G321*0.75</f>
        <v>866.25</v>
      </c>
      <c r="I321" s="7" t="n">
        <f aca="false">ROUND((E321+0.45)/(1-ASM!$B$9),0)</f>
        <v>625</v>
      </c>
      <c r="J321" s="7" t="n">
        <f aca="false">ROUND((E321+0.45)/(1-ASM!$B$9-ASM!$B$10),0)</f>
        <v>750</v>
      </c>
      <c r="K321" s="7" t="str">
        <f aca="false">IF(H321&gt;=I321,"OK","FLOOR ALTI")</f>
        <v>OK</v>
      </c>
    </row>
    <row r="322" customFormat="false" ht="15" hidden="false" customHeight="false" outlineLevel="0" collapsed="false">
      <c r="A322" s="7" t="s">
        <v>50</v>
      </c>
      <c r="B322" s="7" t="n">
        <v>4</v>
      </c>
      <c r="C322" s="7" t="n">
        <v>12</v>
      </c>
      <c r="D322" s="8" t="n">
        <v>4.78</v>
      </c>
      <c r="E322" s="9" t="n">
        <f aca="false">ROUND(D322*ASM!$B$8*IF(A322="10K",ASM!$B$11,IF(A322="14K",ASM!$B$12,ASM!$B$13))*(1+ASM!$B$3)+ASM!$B$16+ASM!$B$5+ASM!$B$6,2)</f>
        <v>574.41</v>
      </c>
      <c r="F322" s="7" t="n">
        <f aca="false">ROUND((D322*ASM!$B$8*IF(A322="10K",ASM!$B$11,IF(A322="14K",ASM!$B$12,ASM!$B$13))*(1+ASM!$B$3)+ASM!$B$16+ASM!$B$5+ASM!$B$6)*IF(B322&lt;=7,ASM!$B$7,ASM!$B$17),0)</f>
        <v>890</v>
      </c>
      <c r="G322" s="10" t="n">
        <f aca="false">CEILING(F322/0.75,5)</f>
        <v>1190</v>
      </c>
      <c r="H322" s="9" t="n">
        <f aca="false">G322*0.75</f>
        <v>892.5</v>
      </c>
      <c r="I322" s="7" t="n">
        <f aca="false">ROUND((E322+0.45)/(1-ASM!$B$9),0)</f>
        <v>642</v>
      </c>
      <c r="J322" s="7" t="n">
        <f aca="false">ROUND((E322+0.45)/(1-ASM!$B$9-ASM!$B$10),0)</f>
        <v>772</v>
      </c>
      <c r="K322" s="7" t="str">
        <f aca="false">IF(H322&gt;=I322,"OK","FLOOR ALTI")</f>
        <v>OK</v>
      </c>
    </row>
    <row r="323" customFormat="false" ht="15" hidden="false" customHeight="false" outlineLevel="0" collapsed="false">
      <c r="A323" s="7" t="s">
        <v>50</v>
      </c>
      <c r="B323" s="7" t="n">
        <v>4</v>
      </c>
      <c r="C323" s="7" t="n">
        <v>13</v>
      </c>
      <c r="D323" s="8" t="n">
        <v>4.92</v>
      </c>
      <c r="E323" s="9" t="n">
        <f aca="false">ROUND(D323*ASM!$B$8*IF(A323="10K",ASM!$B$11,IF(A323="14K",ASM!$B$12,ASM!$B$13))*(1+ASM!$B$3)+ASM!$B$16+ASM!$B$5+ASM!$B$6,2)</f>
        <v>589.19</v>
      </c>
      <c r="F323" s="7" t="n">
        <f aca="false">ROUND((D323*ASM!$B$8*IF(A323="10K",ASM!$B$11,IF(A323="14K",ASM!$B$12,ASM!$B$13))*(1+ASM!$B$3)+ASM!$B$16+ASM!$B$5+ASM!$B$6)*IF(B323&lt;=7,ASM!$B$7,ASM!$B$17),0)</f>
        <v>913</v>
      </c>
      <c r="G323" s="10" t="n">
        <f aca="false">CEILING(F323/0.75,5)</f>
        <v>1220</v>
      </c>
      <c r="H323" s="9" t="n">
        <f aca="false">G323*0.75</f>
        <v>915</v>
      </c>
      <c r="I323" s="7" t="n">
        <f aca="false">ROUND((E323+0.45)/(1-ASM!$B$9),0)</f>
        <v>659</v>
      </c>
      <c r="J323" s="7" t="n">
        <f aca="false">ROUND((E323+0.45)/(1-ASM!$B$9-ASM!$B$10),0)</f>
        <v>791</v>
      </c>
      <c r="K323" s="7" t="str">
        <f aca="false">IF(H323&gt;=I323,"OK","FLOOR ALTI")</f>
        <v>OK</v>
      </c>
    </row>
    <row r="324" customFormat="false" ht="15" hidden="false" customHeight="false" outlineLevel="0" collapsed="false">
      <c r="A324" s="7" t="s">
        <v>50</v>
      </c>
      <c r="B324" s="7" t="n">
        <v>4</v>
      </c>
      <c r="C324" s="7" t="n">
        <v>14</v>
      </c>
      <c r="D324" s="8" t="n">
        <v>5.04</v>
      </c>
      <c r="E324" s="9" t="n">
        <f aca="false">ROUND(D324*ASM!$B$8*IF(A324="10K",ASM!$B$11,IF(A324="14K",ASM!$B$12,ASM!$B$13))*(1+ASM!$B$3)+ASM!$B$16+ASM!$B$5+ASM!$B$6,2)</f>
        <v>601.85</v>
      </c>
      <c r="F324" s="7" t="n">
        <f aca="false">ROUND((D324*ASM!$B$8*IF(A324="10K",ASM!$B$11,IF(A324="14K",ASM!$B$12,ASM!$B$13))*(1+ASM!$B$3)+ASM!$B$16+ASM!$B$5+ASM!$B$6)*IF(B324&lt;=7,ASM!$B$7,ASM!$B$17),0)</f>
        <v>933</v>
      </c>
      <c r="G324" s="10" t="n">
        <f aca="false">CEILING(F324/0.75,5)</f>
        <v>1245</v>
      </c>
      <c r="H324" s="9" t="n">
        <f aca="false">G324*0.75</f>
        <v>933.75</v>
      </c>
      <c r="I324" s="7" t="n">
        <f aca="false">ROUND((E324+0.45)/(1-ASM!$B$9),0)</f>
        <v>673</v>
      </c>
      <c r="J324" s="7" t="n">
        <f aca="false">ROUND((E324+0.45)/(1-ASM!$B$9-ASM!$B$10),0)</f>
        <v>808</v>
      </c>
      <c r="K324" s="7" t="str">
        <f aca="false">IF(H324&gt;=I324,"OK","FLOOR ALTI")</f>
        <v>OK</v>
      </c>
    </row>
    <row r="325" customFormat="false" ht="15" hidden="false" customHeight="false" outlineLevel="0" collapsed="false">
      <c r="A325" s="7" t="s">
        <v>50</v>
      </c>
      <c r="B325" s="7" t="n">
        <v>4</v>
      </c>
      <c r="C325" s="7" t="n">
        <v>15</v>
      </c>
      <c r="D325" s="8" t="n">
        <v>5.17</v>
      </c>
      <c r="E325" s="9" t="n">
        <f aca="false">ROUND(D325*ASM!$B$8*IF(A325="10K",ASM!$B$11,IF(A325="14K",ASM!$B$12,ASM!$B$13))*(1+ASM!$B$3)+ASM!$B$16+ASM!$B$5+ASM!$B$6,2)</f>
        <v>615.57</v>
      </c>
      <c r="F325" s="7" t="n">
        <f aca="false">ROUND((D325*ASM!$B$8*IF(A325="10K",ASM!$B$11,IF(A325="14K",ASM!$B$12,ASM!$B$13))*(1+ASM!$B$3)+ASM!$B$16+ASM!$B$5+ASM!$B$6)*IF(B325&lt;=7,ASM!$B$7,ASM!$B$17),0)</f>
        <v>954</v>
      </c>
      <c r="G325" s="10" t="n">
        <f aca="false">CEILING(F325/0.75,5)</f>
        <v>1275</v>
      </c>
      <c r="H325" s="9" t="n">
        <f aca="false">G325*0.75</f>
        <v>956.25</v>
      </c>
      <c r="I325" s="7" t="n">
        <f aca="false">ROUND((E325+0.45)/(1-ASM!$B$9),0)</f>
        <v>688</v>
      </c>
      <c r="J325" s="7" t="n">
        <f aca="false">ROUND((E325+0.45)/(1-ASM!$B$9-ASM!$B$10),0)</f>
        <v>827</v>
      </c>
      <c r="K325" s="7" t="str">
        <f aca="false">IF(H325&gt;=I325,"OK","FLOOR ALTI")</f>
        <v>OK</v>
      </c>
    </row>
    <row r="326" customFormat="false" ht="15" hidden="false" customHeight="false" outlineLevel="0" collapsed="false">
      <c r="A326" s="7" t="s">
        <v>50</v>
      </c>
      <c r="B326" s="7" t="n">
        <v>4</v>
      </c>
      <c r="C326" s="7" t="n">
        <v>16</v>
      </c>
      <c r="D326" s="8" t="n">
        <v>5.38</v>
      </c>
      <c r="E326" s="9" t="n">
        <f aca="false">ROUND(D326*ASM!$B$8*IF(A326="10K",ASM!$B$11,IF(A326="14K",ASM!$B$12,ASM!$B$13))*(1+ASM!$B$3)+ASM!$B$16+ASM!$B$5+ASM!$B$6,2)</f>
        <v>637.73</v>
      </c>
      <c r="F326" s="7" t="n">
        <f aca="false">ROUND((D326*ASM!$B$8*IF(A326="10K",ASM!$B$11,IF(A326="14K",ASM!$B$12,ASM!$B$13))*(1+ASM!$B$3)+ASM!$B$16+ASM!$B$5+ASM!$B$6)*IF(B326&lt;=7,ASM!$B$7,ASM!$B$17),0)</f>
        <v>988</v>
      </c>
      <c r="G326" s="10" t="n">
        <f aca="false">CEILING(F326/0.75,5)</f>
        <v>1320</v>
      </c>
      <c r="H326" s="9" t="n">
        <f aca="false">G326*0.75</f>
        <v>990</v>
      </c>
      <c r="I326" s="7" t="n">
        <f aca="false">ROUND((E326+0.45)/(1-ASM!$B$9),0)</f>
        <v>713</v>
      </c>
      <c r="J326" s="7" t="n">
        <f aca="false">ROUND((E326+0.45)/(1-ASM!$B$9-ASM!$B$10),0)</f>
        <v>857</v>
      </c>
      <c r="K326" s="7" t="str">
        <f aca="false">IF(H326&gt;=I326,"OK","FLOOR ALTI")</f>
        <v>OK</v>
      </c>
    </row>
    <row r="327" customFormat="false" ht="15" hidden="false" customHeight="false" outlineLevel="0" collapsed="false">
      <c r="A327" s="7" t="s">
        <v>50</v>
      </c>
      <c r="B327" s="7" t="n">
        <v>5</v>
      </c>
      <c r="C327" s="7" t="n">
        <v>4</v>
      </c>
      <c r="D327" s="8" t="n">
        <v>4.56</v>
      </c>
      <c r="E327" s="9" t="n">
        <f aca="false">ROUND(D327*ASM!$B$8*IF(A327="10K",ASM!$B$11,IF(A327="14K",ASM!$B$12,ASM!$B$13))*(1+ASM!$B$3)+ASM!$B$16+ASM!$B$5+ASM!$B$6,2)</f>
        <v>551.2</v>
      </c>
      <c r="F327" s="7" t="n">
        <f aca="false">ROUND((D327*ASM!$B$8*IF(A327="10K",ASM!$B$11,IF(A327="14K",ASM!$B$12,ASM!$B$13))*(1+ASM!$B$3)+ASM!$B$16+ASM!$B$5+ASM!$B$6)*IF(B327&lt;=7,ASM!$B$7,ASM!$B$17),0)</f>
        <v>854</v>
      </c>
      <c r="G327" s="10" t="n">
        <f aca="false">CEILING(F327/0.75,5)</f>
        <v>1140</v>
      </c>
      <c r="H327" s="9" t="n">
        <f aca="false">G327*0.75</f>
        <v>855</v>
      </c>
      <c r="I327" s="7" t="n">
        <f aca="false">ROUND((E327+0.45)/(1-ASM!$B$9),0)</f>
        <v>616</v>
      </c>
      <c r="J327" s="7" t="n">
        <f aca="false">ROUND((E327+0.45)/(1-ASM!$B$9-ASM!$B$10),0)</f>
        <v>740</v>
      </c>
      <c r="K327" s="7" t="str">
        <f aca="false">IF(H327&gt;=I327,"OK","FLOOR ALTI")</f>
        <v>OK</v>
      </c>
    </row>
    <row r="328" customFormat="false" ht="15" hidden="false" customHeight="false" outlineLevel="0" collapsed="false">
      <c r="A328" s="7" t="s">
        <v>50</v>
      </c>
      <c r="B328" s="7" t="n">
        <v>5</v>
      </c>
      <c r="C328" s="7" t="n">
        <v>5</v>
      </c>
      <c r="D328" s="8" t="n">
        <v>4.75</v>
      </c>
      <c r="E328" s="9" t="n">
        <f aca="false">ROUND(D328*ASM!$B$8*IF(A328="10K",ASM!$B$11,IF(A328="14K",ASM!$B$12,ASM!$B$13))*(1+ASM!$B$3)+ASM!$B$16+ASM!$B$5+ASM!$B$6,2)</f>
        <v>571.25</v>
      </c>
      <c r="F328" s="7" t="n">
        <f aca="false">ROUND((D328*ASM!$B$8*IF(A328="10K",ASM!$B$11,IF(A328="14K",ASM!$B$12,ASM!$B$13))*(1+ASM!$B$3)+ASM!$B$16+ASM!$B$5+ASM!$B$6)*IF(B328&lt;=7,ASM!$B$7,ASM!$B$17),0)</f>
        <v>885</v>
      </c>
      <c r="G328" s="10" t="n">
        <f aca="false">CEILING(F328/0.75,5)</f>
        <v>1180</v>
      </c>
      <c r="H328" s="9" t="n">
        <f aca="false">G328*0.75</f>
        <v>885</v>
      </c>
      <c r="I328" s="7" t="n">
        <f aca="false">ROUND((E328+0.45)/(1-ASM!$B$9),0)</f>
        <v>639</v>
      </c>
      <c r="J328" s="7" t="n">
        <f aca="false">ROUND((E328+0.45)/(1-ASM!$B$9-ASM!$B$10),0)</f>
        <v>767</v>
      </c>
      <c r="K328" s="7" t="str">
        <f aca="false">IF(H328&gt;=I328,"OK","FLOOR ALTI")</f>
        <v>OK</v>
      </c>
    </row>
    <row r="329" customFormat="false" ht="15" hidden="false" customHeight="false" outlineLevel="0" collapsed="false">
      <c r="A329" s="7" t="s">
        <v>50</v>
      </c>
      <c r="B329" s="7" t="n">
        <v>5</v>
      </c>
      <c r="C329" s="7" t="n">
        <v>6</v>
      </c>
      <c r="D329" s="8" t="n">
        <v>4.93</v>
      </c>
      <c r="E329" s="9" t="n">
        <f aca="false">ROUND(D329*ASM!$B$8*IF(A329="10K",ASM!$B$11,IF(A329="14K",ASM!$B$12,ASM!$B$13))*(1+ASM!$B$3)+ASM!$B$16+ASM!$B$5+ASM!$B$6,2)</f>
        <v>590.24</v>
      </c>
      <c r="F329" s="7" t="n">
        <f aca="false">ROUND((D329*ASM!$B$8*IF(A329="10K",ASM!$B$11,IF(A329="14K",ASM!$B$12,ASM!$B$13))*(1+ASM!$B$3)+ASM!$B$16+ASM!$B$5+ASM!$B$6)*IF(B329&lt;=7,ASM!$B$7,ASM!$B$17),0)</f>
        <v>915</v>
      </c>
      <c r="G329" s="10" t="n">
        <f aca="false">CEILING(F329/0.75,5)</f>
        <v>1220</v>
      </c>
      <c r="H329" s="9" t="n">
        <f aca="false">G329*0.75</f>
        <v>915</v>
      </c>
      <c r="I329" s="7" t="n">
        <f aca="false">ROUND((E329+0.45)/(1-ASM!$B$9),0)</f>
        <v>660</v>
      </c>
      <c r="J329" s="7" t="n">
        <f aca="false">ROUND((E329+0.45)/(1-ASM!$B$9-ASM!$B$10),0)</f>
        <v>793</v>
      </c>
      <c r="K329" s="7" t="str">
        <f aca="false">IF(H329&gt;=I329,"OK","FLOOR ALTI")</f>
        <v>OK</v>
      </c>
    </row>
    <row r="330" customFormat="false" ht="15" hidden="false" customHeight="false" outlineLevel="0" collapsed="false">
      <c r="A330" s="7" t="s">
        <v>50</v>
      </c>
      <c r="B330" s="7" t="n">
        <v>5</v>
      </c>
      <c r="C330" s="7" t="n">
        <v>7</v>
      </c>
      <c r="D330" s="8" t="n">
        <v>5.12</v>
      </c>
      <c r="E330" s="9" t="n">
        <f aca="false">ROUND(D330*ASM!$B$8*IF(A330="10K",ASM!$B$11,IF(A330="14K",ASM!$B$12,ASM!$B$13))*(1+ASM!$B$3)+ASM!$B$16+ASM!$B$5+ASM!$B$6,2)</f>
        <v>610.29</v>
      </c>
      <c r="F330" s="7" t="n">
        <f aca="false">ROUND((D330*ASM!$B$8*IF(A330="10K",ASM!$B$11,IF(A330="14K",ASM!$B$12,ASM!$B$13))*(1+ASM!$B$3)+ASM!$B$16+ASM!$B$5+ASM!$B$6)*IF(B330&lt;=7,ASM!$B$7,ASM!$B$17),0)</f>
        <v>946</v>
      </c>
      <c r="G330" s="10" t="n">
        <f aca="false">CEILING(F330/0.75,5)</f>
        <v>1265</v>
      </c>
      <c r="H330" s="9" t="n">
        <f aca="false">G330*0.75</f>
        <v>948.75</v>
      </c>
      <c r="I330" s="7" t="n">
        <f aca="false">ROUND((E330+0.45)/(1-ASM!$B$9),0)</f>
        <v>682</v>
      </c>
      <c r="J330" s="7" t="n">
        <f aca="false">ROUND((E330+0.45)/(1-ASM!$B$9-ASM!$B$10),0)</f>
        <v>820</v>
      </c>
      <c r="K330" s="7" t="str">
        <f aca="false">IF(H330&gt;=I330,"OK","FLOOR ALTI")</f>
        <v>OK</v>
      </c>
    </row>
    <row r="331" customFormat="false" ht="15" hidden="false" customHeight="false" outlineLevel="0" collapsed="false">
      <c r="A331" s="7" t="s">
        <v>50</v>
      </c>
      <c r="B331" s="7" t="n">
        <v>5</v>
      </c>
      <c r="C331" s="7" t="n">
        <v>8</v>
      </c>
      <c r="D331" s="8" t="n">
        <v>5.3</v>
      </c>
      <c r="E331" s="9" t="n">
        <f aca="false">ROUND(D331*ASM!$B$8*IF(A331="10K",ASM!$B$11,IF(A331="14K",ASM!$B$12,ASM!$B$13))*(1+ASM!$B$3)+ASM!$B$16+ASM!$B$5+ASM!$B$6,2)</f>
        <v>629.29</v>
      </c>
      <c r="F331" s="7" t="n">
        <f aca="false">ROUND((D331*ASM!$B$8*IF(A331="10K",ASM!$B$11,IF(A331="14K",ASM!$B$12,ASM!$B$13))*(1+ASM!$B$3)+ASM!$B$16+ASM!$B$5+ASM!$B$6)*IF(B331&lt;=7,ASM!$B$7,ASM!$B$17),0)</f>
        <v>975</v>
      </c>
      <c r="G331" s="10" t="n">
        <f aca="false">CEILING(F331/0.75,5)</f>
        <v>1300</v>
      </c>
      <c r="H331" s="9" t="n">
        <f aca="false">G331*0.75</f>
        <v>975</v>
      </c>
      <c r="I331" s="7" t="n">
        <f aca="false">ROUND((E331+0.45)/(1-ASM!$B$9),0)</f>
        <v>704</v>
      </c>
      <c r="J331" s="7" t="n">
        <f aca="false">ROUND((E331+0.45)/(1-ASM!$B$9-ASM!$B$10),0)</f>
        <v>845</v>
      </c>
      <c r="K331" s="7" t="str">
        <f aca="false">IF(H331&gt;=I331,"OK","FLOOR ALTI")</f>
        <v>OK</v>
      </c>
    </row>
    <row r="332" customFormat="false" ht="15" hidden="false" customHeight="false" outlineLevel="0" collapsed="false">
      <c r="A332" s="7" t="s">
        <v>50</v>
      </c>
      <c r="B332" s="7" t="n">
        <v>5</v>
      </c>
      <c r="C332" s="7" t="n">
        <v>9</v>
      </c>
      <c r="D332" s="8" t="n">
        <v>5.5</v>
      </c>
      <c r="E332" s="9" t="n">
        <f aca="false">ROUND(D332*ASM!$B$8*IF(A332="10K",ASM!$B$11,IF(A332="14K",ASM!$B$12,ASM!$B$13))*(1+ASM!$B$3)+ASM!$B$16+ASM!$B$5+ASM!$B$6,2)</f>
        <v>650.39</v>
      </c>
      <c r="F332" s="7" t="n">
        <f aca="false">ROUND((D332*ASM!$B$8*IF(A332="10K",ASM!$B$11,IF(A332="14K",ASM!$B$12,ASM!$B$13))*(1+ASM!$B$3)+ASM!$B$16+ASM!$B$5+ASM!$B$6)*IF(B332&lt;=7,ASM!$B$7,ASM!$B$17),0)</f>
        <v>1008</v>
      </c>
      <c r="G332" s="10" t="n">
        <f aca="false">CEILING(F332/0.75,5)</f>
        <v>1345</v>
      </c>
      <c r="H332" s="9" t="n">
        <f aca="false">G332*0.75</f>
        <v>1008.75</v>
      </c>
      <c r="I332" s="7" t="n">
        <f aca="false">ROUND((E332+0.45)/(1-ASM!$B$9),0)</f>
        <v>727</v>
      </c>
      <c r="J332" s="7" t="n">
        <f aca="false">ROUND((E332+0.45)/(1-ASM!$B$9-ASM!$B$10),0)</f>
        <v>874</v>
      </c>
      <c r="K332" s="7" t="str">
        <f aca="false">IF(H332&gt;=I332,"OK","FLOOR ALTI")</f>
        <v>OK</v>
      </c>
    </row>
    <row r="333" customFormat="false" ht="15" hidden="false" customHeight="false" outlineLevel="0" collapsed="false">
      <c r="A333" s="7" t="s">
        <v>50</v>
      </c>
      <c r="B333" s="7" t="n">
        <v>5</v>
      </c>
      <c r="C333" s="7" t="n">
        <v>10</v>
      </c>
      <c r="D333" s="8" t="n">
        <v>5.68</v>
      </c>
      <c r="E333" s="9" t="n">
        <f aca="false">ROUND(D333*ASM!$B$8*IF(A333="10K",ASM!$B$11,IF(A333="14K",ASM!$B$12,ASM!$B$13))*(1+ASM!$B$3)+ASM!$B$16+ASM!$B$5+ASM!$B$6,2)</f>
        <v>669.39</v>
      </c>
      <c r="F333" s="7" t="n">
        <f aca="false">ROUND((D333*ASM!$B$8*IF(A333="10K",ASM!$B$11,IF(A333="14K",ASM!$B$12,ASM!$B$13))*(1+ASM!$B$3)+ASM!$B$16+ASM!$B$5+ASM!$B$6)*IF(B333&lt;=7,ASM!$B$7,ASM!$B$17),0)</f>
        <v>1038</v>
      </c>
      <c r="G333" s="10" t="n">
        <f aca="false">CEILING(F333/0.75,5)</f>
        <v>1385</v>
      </c>
      <c r="H333" s="9" t="n">
        <f aca="false">G333*0.75</f>
        <v>1038.75</v>
      </c>
      <c r="I333" s="7" t="n">
        <f aca="false">ROUND((E333+0.45)/(1-ASM!$B$9),0)</f>
        <v>748</v>
      </c>
      <c r="J333" s="7" t="n">
        <f aca="false">ROUND((E333+0.45)/(1-ASM!$B$9-ASM!$B$10),0)</f>
        <v>899</v>
      </c>
      <c r="K333" s="7" t="str">
        <f aca="false">IF(H333&gt;=I333,"OK","FLOOR ALTI")</f>
        <v>OK</v>
      </c>
    </row>
    <row r="334" customFormat="false" ht="15" hidden="false" customHeight="false" outlineLevel="0" collapsed="false">
      <c r="A334" s="7" t="s">
        <v>50</v>
      </c>
      <c r="B334" s="7" t="n">
        <v>5</v>
      </c>
      <c r="C334" s="7" t="n">
        <v>11</v>
      </c>
      <c r="D334" s="8" t="n">
        <v>5.87</v>
      </c>
      <c r="E334" s="9" t="n">
        <f aca="false">ROUND(D334*ASM!$B$8*IF(A334="10K",ASM!$B$11,IF(A334="14K",ASM!$B$12,ASM!$B$13))*(1+ASM!$B$3)+ASM!$B$16+ASM!$B$5+ASM!$B$6,2)</f>
        <v>689.44</v>
      </c>
      <c r="F334" s="7" t="n">
        <f aca="false">ROUND((D334*ASM!$B$8*IF(A334="10K",ASM!$B$11,IF(A334="14K",ASM!$B$12,ASM!$B$13))*(1+ASM!$B$3)+ASM!$B$16+ASM!$B$5+ASM!$B$6)*IF(B334&lt;=7,ASM!$B$7,ASM!$B$17),0)</f>
        <v>1069</v>
      </c>
      <c r="G334" s="10" t="n">
        <f aca="false">CEILING(F334/0.75,5)</f>
        <v>1430</v>
      </c>
      <c r="H334" s="9" t="n">
        <f aca="false">G334*0.75</f>
        <v>1072.5</v>
      </c>
      <c r="I334" s="7" t="n">
        <f aca="false">ROUND((E334+0.45)/(1-ASM!$B$9),0)</f>
        <v>771</v>
      </c>
      <c r="J334" s="7" t="n">
        <f aca="false">ROUND((E334+0.45)/(1-ASM!$B$9-ASM!$B$10),0)</f>
        <v>926</v>
      </c>
      <c r="K334" s="7" t="str">
        <f aca="false">IF(H334&gt;=I334,"OK","FLOOR ALTI")</f>
        <v>OK</v>
      </c>
    </row>
    <row r="335" customFormat="false" ht="15" hidden="false" customHeight="false" outlineLevel="0" collapsed="false">
      <c r="A335" s="7" t="s">
        <v>50</v>
      </c>
      <c r="B335" s="7" t="n">
        <v>5</v>
      </c>
      <c r="C335" s="7" t="n">
        <v>12</v>
      </c>
      <c r="D335" s="8" t="n">
        <v>6.05</v>
      </c>
      <c r="E335" s="9" t="n">
        <f aca="false">ROUND(D335*ASM!$B$8*IF(A335="10K",ASM!$B$11,IF(A335="14K",ASM!$B$12,ASM!$B$13))*(1+ASM!$B$3)+ASM!$B$16+ASM!$B$5+ASM!$B$6,2)</f>
        <v>708.43</v>
      </c>
      <c r="F335" s="7" t="n">
        <f aca="false">ROUND((D335*ASM!$B$8*IF(A335="10K",ASM!$B$11,IF(A335="14K",ASM!$B$12,ASM!$B$13))*(1+ASM!$B$3)+ASM!$B$16+ASM!$B$5+ASM!$B$6)*IF(B335&lt;=7,ASM!$B$7,ASM!$B$17),0)</f>
        <v>1098</v>
      </c>
      <c r="G335" s="10" t="n">
        <f aca="false">CEILING(F335/0.75,5)</f>
        <v>1465</v>
      </c>
      <c r="H335" s="9" t="n">
        <f aca="false">G335*0.75</f>
        <v>1098.75</v>
      </c>
      <c r="I335" s="7" t="n">
        <f aca="false">ROUND((E335+0.45)/(1-ASM!$B$9),0)</f>
        <v>792</v>
      </c>
      <c r="J335" s="7" t="n">
        <f aca="false">ROUND((E335+0.45)/(1-ASM!$B$9-ASM!$B$10),0)</f>
        <v>952</v>
      </c>
      <c r="K335" s="7" t="str">
        <f aca="false">IF(H335&gt;=I335,"OK","FLOOR ALTI")</f>
        <v>OK</v>
      </c>
    </row>
    <row r="336" customFormat="false" ht="15" hidden="false" customHeight="false" outlineLevel="0" collapsed="false">
      <c r="A336" s="7" t="s">
        <v>50</v>
      </c>
      <c r="B336" s="7" t="n">
        <v>5</v>
      </c>
      <c r="C336" s="7" t="n">
        <v>13</v>
      </c>
      <c r="D336" s="8" t="n">
        <v>6.24</v>
      </c>
      <c r="E336" s="9" t="n">
        <f aca="false">ROUND(D336*ASM!$B$8*IF(A336="10K",ASM!$B$11,IF(A336="14K",ASM!$B$12,ASM!$B$13))*(1+ASM!$B$3)+ASM!$B$16+ASM!$B$5+ASM!$B$6,2)</f>
        <v>728.48</v>
      </c>
      <c r="F336" s="7" t="n">
        <f aca="false">ROUND((D336*ASM!$B$8*IF(A336="10K",ASM!$B$11,IF(A336="14K",ASM!$B$12,ASM!$B$13))*(1+ASM!$B$3)+ASM!$B$16+ASM!$B$5+ASM!$B$6)*IF(B336&lt;=7,ASM!$B$7,ASM!$B$17),0)</f>
        <v>1129</v>
      </c>
      <c r="G336" s="10" t="n">
        <f aca="false">CEILING(F336/0.75,5)</f>
        <v>1510</v>
      </c>
      <c r="H336" s="9" t="n">
        <f aca="false">G336*0.75</f>
        <v>1132.5</v>
      </c>
      <c r="I336" s="7" t="n">
        <f aca="false">ROUND((E336+0.45)/(1-ASM!$B$9),0)</f>
        <v>814</v>
      </c>
      <c r="J336" s="7" t="n">
        <f aca="false">ROUND((E336+0.45)/(1-ASM!$B$9-ASM!$B$10),0)</f>
        <v>978</v>
      </c>
      <c r="K336" s="7" t="str">
        <f aca="false">IF(H336&gt;=I336,"OK","FLOOR ALTI")</f>
        <v>OK</v>
      </c>
    </row>
    <row r="337" customFormat="false" ht="15" hidden="false" customHeight="false" outlineLevel="0" collapsed="false">
      <c r="A337" s="7" t="s">
        <v>50</v>
      </c>
      <c r="B337" s="7" t="n">
        <v>5</v>
      </c>
      <c r="C337" s="7" t="n">
        <v>14</v>
      </c>
      <c r="D337" s="8" t="n">
        <v>6.37</v>
      </c>
      <c r="E337" s="9" t="n">
        <f aca="false">ROUND(D337*ASM!$B$8*IF(A337="10K",ASM!$B$11,IF(A337="14K",ASM!$B$12,ASM!$B$13))*(1+ASM!$B$3)+ASM!$B$16+ASM!$B$5+ASM!$B$6,2)</f>
        <v>742.2</v>
      </c>
      <c r="F337" s="7" t="n">
        <f aca="false">ROUND((D337*ASM!$B$8*IF(A337="10K",ASM!$B$11,IF(A337="14K",ASM!$B$12,ASM!$B$13))*(1+ASM!$B$3)+ASM!$B$16+ASM!$B$5+ASM!$B$6)*IF(B337&lt;=7,ASM!$B$7,ASM!$B$17),0)</f>
        <v>1150</v>
      </c>
      <c r="G337" s="10" t="n">
        <f aca="false">CEILING(F337/0.75,5)</f>
        <v>1535</v>
      </c>
      <c r="H337" s="9" t="n">
        <f aca="false">G337*0.75</f>
        <v>1151.25</v>
      </c>
      <c r="I337" s="7" t="n">
        <f aca="false">ROUND((E337+0.45)/(1-ASM!$B$9),0)</f>
        <v>830</v>
      </c>
      <c r="J337" s="7" t="n">
        <f aca="false">ROUND((E337+0.45)/(1-ASM!$B$9-ASM!$B$10),0)</f>
        <v>997</v>
      </c>
      <c r="K337" s="7" t="str">
        <f aca="false">IF(H337&gt;=I337,"OK","FLOOR ALTI")</f>
        <v>OK</v>
      </c>
    </row>
    <row r="338" customFormat="false" ht="15" hidden="false" customHeight="false" outlineLevel="0" collapsed="false">
      <c r="A338" s="7" t="s">
        <v>50</v>
      </c>
      <c r="B338" s="7" t="n">
        <v>5</v>
      </c>
      <c r="C338" s="7" t="n">
        <v>15</v>
      </c>
      <c r="D338" s="8" t="n">
        <v>6.5</v>
      </c>
      <c r="E338" s="9" t="n">
        <f aca="false">ROUND(D338*ASM!$B$8*IF(A338="10K",ASM!$B$11,IF(A338="14K",ASM!$B$12,ASM!$B$13))*(1+ASM!$B$3)+ASM!$B$16+ASM!$B$5+ASM!$B$6,2)</f>
        <v>755.92</v>
      </c>
      <c r="F338" s="7" t="n">
        <f aca="false">ROUND((D338*ASM!$B$8*IF(A338="10K",ASM!$B$11,IF(A338="14K",ASM!$B$12,ASM!$B$13))*(1+ASM!$B$3)+ASM!$B$16+ASM!$B$5+ASM!$B$6)*IF(B338&lt;=7,ASM!$B$7,ASM!$B$17),0)</f>
        <v>1172</v>
      </c>
      <c r="G338" s="10" t="n">
        <f aca="false">CEILING(F338/0.75,5)</f>
        <v>1565</v>
      </c>
      <c r="H338" s="9" t="n">
        <f aca="false">G338*0.75</f>
        <v>1173.75</v>
      </c>
      <c r="I338" s="7" t="n">
        <f aca="false">ROUND((E338+0.45)/(1-ASM!$B$9),0)</f>
        <v>845</v>
      </c>
      <c r="J338" s="7" t="n">
        <f aca="false">ROUND((E338+0.45)/(1-ASM!$B$9-ASM!$B$10),0)</f>
        <v>1015</v>
      </c>
      <c r="K338" s="7" t="str">
        <f aca="false">IF(H338&gt;=I338,"OK","FLOOR ALTI")</f>
        <v>OK</v>
      </c>
    </row>
    <row r="339" customFormat="false" ht="15" hidden="false" customHeight="false" outlineLevel="0" collapsed="false">
      <c r="A339" s="7" t="s">
        <v>50</v>
      </c>
      <c r="B339" s="7" t="n">
        <v>5</v>
      </c>
      <c r="C339" s="7" t="n">
        <v>16</v>
      </c>
      <c r="D339" s="8" t="n">
        <v>6.79</v>
      </c>
      <c r="E339" s="9" t="n">
        <f aca="false">ROUND(D339*ASM!$B$8*IF(A339="10K",ASM!$B$11,IF(A339="14K",ASM!$B$12,ASM!$B$13))*(1+ASM!$B$3)+ASM!$B$16+ASM!$B$5+ASM!$B$6,2)</f>
        <v>786.52</v>
      </c>
      <c r="F339" s="7" t="n">
        <f aca="false">ROUND((D339*ASM!$B$8*IF(A339="10K",ASM!$B$11,IF(A339="14K",ASM!$B$12,ASM!$B$13))*(1+ASM!$B$3)+ASM!$B$16+ASM!$B$5+ASM!$B$6)*IF(B339&lt;=7,ASM!$B$7,ASM!$B$17),0)</f>
        <v>1219</v>
      </c>
      <c r="G339" s="10" t="n">
        <f aca="false">CEILING(F339/0.75,5)</f>
        <v>1630</v>
      </c>
      <c r="H339" s="9" t="n">
        <f aca="false">G339*0.75</f>
        <v>1222.5</v>
      </c>
      <c r="I339" s="7" t="n">
        <f aca="false">ROUND((E339+0.45)/(1-ASM!$B$9),0)</f>
        <v>879</v>
      </c>
      <c r="J339" s="7" t="n">
        <f aca="false">ROUND((E339+0.45)/(1-ASM!$B$9-ASM!$B$10),0)</f>
        <v>1056</v>
      </c>
      <c r="K339" s="7" t="str">
        <f aca="false">IF(H339&gt;=I339,"OK","FLOOR ALTI")</f>
        <v>OK</v>
      </c>
    </row>
    <row r="340" customFormat="false" ht="15" hidden="false" customHeight="false" outlineLevel="0" collapsed="false">
      <c r="A340" s="7" t="s">
        <v>50</v>
      </c>
      <c r="B340" s="7" t="n">
        <v>6</v>
      </c>
      <c r="C340" s="7" t="n">
        <v>4</v>
      </c>
      <c r="D340" s="8" t="n">
        <v>5.4</v>
      </c>
      <c r="E340" s="9" t="n">
        <f aca="false">ROUND(D340*ASM!$B$8*IF(A340="10K",ASM!$B$11,IF(A340="14K",ASM!$B$12,ASM!$B$13))*(1+ASM!$B$3)+ASM!$B$16+ASM!$B$5+ASM!$B$6,2)</f>
        <v>639.84</v>
      </c>
      <c r="F340" s="7" t="n">
        <f aca="false">ROUND((D340*ASM!$B$8*IF(A340="10K",ASM!$B$11,IF(A340="14K",ASM!$B$12,ASM!$B$13))*(1+ASM!$B$3)+ASM!$B$16+ASM!$B$5+ASM!$B$6)*IF(B340&lt;=7,ASM!$B$7,ASM!$B$17),0)</f>
        <v>992</v>
      </c>
      <c r="G340" s="10" t="n">
        <f aca="false">CEILING(F340/0.75,5)</f>
        <v>1325</v>
      </c>
      <c r="H340" s="9" t="n">
        <f aca="false">G340*0.75</f>
        <v>993.75</v>
      </c>
      <c r="I340" s="7" t="n">
        <f aca="false">ROUND((E340+0.45)/(1-ASM!$B$9),0)</f>
        <v>715</v>
      </c>
      <c r="J340" s="7" t="n">
        <f aca="false">ROUND((E340+0.45)/(1-ASM!$B$9-ASM!$B$10),0)</f>
        <v>859</v>
      </c>
      <c r="K340" s="7" t="str">
        <f aca="false">IF(H340&gt;=I340,"OK","FLOOR ALTI")</f>
        <v>OK</v>
      </c>
    </row>
    <row r="341" customFormat="false" ht="15" hidden="false" customHeight="false" outlineLevel="0" collapsed="false">
      <c r="A341" s="7" t="s">
        <v>50</v>
      </c>
      <c r="B341" s="7" t="n">
        <v>6</v>
      </c>
      <c r="C341" s="7" t="n">
        <v>5</v>
      </c>
      <c r="D341" s="8" t="n">
        <v>5.63</v>
      </c>
      <c r="E341" s="9" t="n">
        <f aca="false">ROUND(D341*ASM!$B$8*IF(A341="10K",ASM!$B$11,IF(A341="14K",ASM!$B$12,ASM!$B$13))*(1+ASM!$B$3)+ASM!$B$16+ASM!$B$5+ASM!$B$6,2)</f>
        <v>664.11</v>
      </c>
      <c r="F341" s="7" t="n">
        <f aca="false">ROUND((D341*ASM!$B$8*IF(A341="10K",ASM!$B$11,IF(A341="14K",ASM!$B$12,ASM!$B$13))*(1+ASM!$B$3)+ASM!$B$16+ASM!$B$5+ASM!$B$6)*IF(B341&lt;=7,ASM!$B$7,ASM!$B$17),0)</f>
        <v>1029</v>
      </c>
      <c r="G341" s="10" t="n">
        <f aca="false">CEILING(F341/0.75,5)</f>
        <v>1375</v>
      </c>
      <c r="H341" s="9" t="n">
        <f aca="false">G341*0.75</f>
        <v>1031.25</v>
      </c>
      <c r="I341" s="7" t="n">
        <f aca="false">ROUND((E341+0.45)/(1-ASM!$B$9),0)</f>
        <v>743</v>
      </c>
      <c r="J341" s="7" t="n">
        <f aca="false">ROUND((E341+0.45)/(1-ASM!$B$9-ASM!$B$10),0)</f>
        <v>892</v>
      </c>
      <c r="K341" s="7" t="str">
        <f aca="false">IF(H341&gt;=I341,"OK","FLOOR ALTI")</f>
        <v>OK</v>
      </c>
    </row>
    <row r="342" customFormat="false" ht="15" hidden="false" customHeight="false" outlineLevel="0" collapsed="false">
      <c r="A342" s="7" t="s">
        <v>50</v>
      </c>
      <c r="B342" s="7" t="n">
        <v>6</v>
      </c>
      <c r="C342" s="7" t="n">
        <v>6</v>
      </c>
      <c r="D342" s="8" t="n">
        <v>5.86</v>
      </c>
      <c r="E342" s="9" t="n">
        <f aca="false">ROUND(D342*ASM!$B$8*IF(A342="10K",ASM!$B$11,IF(A342="14K",ASM!$B$12,ASM!$B$13))*(1+ASM!$B$3)+ASM!$B$16+ASM!$B$5+ASM!$B$6,2)</f>
        <v>688.38</v>
      </c>
      <c r="F342" s="7" t="n">
        <f aca="false">ROUND((D342*ASM!$B$8*IF(A342="10K",ASM!$B$11,IF(A342="14K",ASM!$B$12,ASM!$B$13))*(1+ASM!$B$3)+ASM!$B$16+ASM!$B$5+ASM!$B$6)*IF(B342&lt;=7,ASM!$B$7,ASM!$B$17),0)</f>
        <v>1067</v>
      </c>
      <c r="G342" s="10" t="n">
        <f aca="false">CEILING(F342/0.75,5)</f>
        <v>1425</v>
      </c>
      <c r="H342" s="9" t="n">
        <f aca="false">G342*0.75</f>
        <v>1068.75</v>
      </c>
      <c r="I342" s="7" t="n">
        <f aca="false">ROUND((E342+0.45)/(1-ASM!$B$9),0)</f>
        <v>770</v>
      </c>
      <c r="J342" s="7" t="n">
        <f aca="false">ROUND((E342+0.45)/(1-ASM!$B$9-ASM!$B$10),0)</f>
        <v>925</v>
      </c>
      <c r="K342" s="7" t="str">
        <f aca="false">IF(H342&gt;=I342,"OK","FLOOR ALTI")</f>
        <v>OK</v>
      </c>
    </row>
    <row r="343" customFormat="false" ht="15" hidden="false" customHeight="false" outlineLevel="0" collapsed="false">
      <c r="A343" s="7" t="s">
        <v>50</v>
      </c>
      <c r="B343" s="7" t="n">
        <v>6</v>
      </c>
      <c r="C343" s="7" t="n">
        <v>7</v>
      </c>
      <c r="D343" s="8" t="n">
        <v>6.08</v>
      </c>
      <c r="E343" s="9" t="n">
        <f aca="false">ROUND(D343*ASM!$B$8*IF(A343="10K",ASM!$B$11,IF(A343="14K",ASM!$B$12,ASM!$B$13))*(1+ASM!$B$3)+ASM!$B$16+ASM!$B$5+ASM!$B$6,2)</f>
        <v>711.6</v>
      </c>
      <c r="F343" s="7" t="n">
        <f aca="false">ROUND((D343*ASM!$B$8*IF(A343="10K",ASM!$B$11,IF(A343="14K",ASM!$B$12,ASM!$B$13))*(1+ASM!$B$3)+ASM!$B$16+ASM!$B$5+ASM!$B$6)*IF(B343&lt;=7,ASM!$B$7,ASM!$B$17),0)</f>
        <v>1103</v>
      </c>
      <c r="G343" s="10" t="n">
        <f aca="false">CEILING(F343/0.75,5)</f>
        <v>1475</v>
      </c>
      <c r="H343" s="9" t="n">
        <f aca="false">G343*0.75</f>
        <v>1106.25</v>
      </c>
      <c r="I343" s="7" t="n">
        <f aca="false">ROUND((E343+0.45)/(1-ASM!$B$9),0)</f>
        <v>796</v>
      </c>
      <c r="J343" s="7" t="n">
        <f aca="false">ROUND((E343+0.45)/(1-ASM!$B$9-ASM!$B$10),0)</f>
        <v>956</v>
      </c>
      <c r="K343" s="7" t="str">
        <f aca="false">IF(H343&gt;=I343,"OK","FLOOR ALTI")</f>
        <v>OK</v>
      </c>
    </row>
    <row r="344" customFormat="false" ht="15" hidden="false" customHeight="false" outlineLevel="0" collapsed="false">
      <c r="A344" s="7" t="s">
        <v>50</v>
      </c>
      <c r="B344" s="7" t="n">
        <v>6</v>
      </c>
      <c r="C344" s="7" t="n">
        <v>8</v>
      </c>
      <c r="D344" s="8" t="n">
        <v>6.31</v>
      </c>
      <c r="E344" s="9" t="n">
        <f aca="false">ROUND(D344*ASM!$B$8*IF(A344="10K",ASM!$B$11,IF(A344="14K",ASM!$B$12,ASM!$B$13))*(1+ASM!$B$3)+ASM!$B$16+ASM!$B$5+ASM!$B$6,2)</f>
        <v>735.87</v>
      </c>
      <c r="F344" s="7" t="n">
        <f aca="false">ROUND((D344*ASM!$B$8*IF(A344="10K",ASM!$B$11,IF(A344="14K",ASM!$B$12,ASM!$B$13))*(1+ASM!$B$3)+ASM!$B$16+ASM!$B$5+ASM!$B$6)*IF(B344&lt;=7,ASM!$B$7,ASM!$B$17),0)</f>
        <v>1141</v>
      </c>
      <c r="G344" s="10" t="n">
        <f aca="false">CEILING(F344/0.75,5)</f>
        <v>1525</v>
      </c>
      <c r="H344" s="9" t="n">
        <f aca="false">G344*0.75</f>
        <v>1143.75</v>
      </c>
      <c r="I344" s="7" t="n">
        <f aca="false">ROUND((E344+0.45)/(1-ASM!$B$9),0)</f>
        <v>823</v>
      </c>
      <c r="J344" s="7" t="n">
        <f aca="false">ROUND((E344+0.45)/(1-ASM!$B$9-ASM!$B$10),0)</f>
        <v>988</v>
      </c>
      <c r="K344" s="7" t="str">
        <f aca="false">IF(H344&gt;=I344,"OK","FLOOR ALTI")</f>
        <v>OK</v>
      </c>
    </row>
    <row r="345" customFormat="false" ht="15" hidden="false" customHeight="false" outlineLevel="0" collapsed="false">
      <c r="A345" s="7" t="s">
        <v>50</v>
      </c>
      <c r="B345" s="7" t="n">
        <v>6</v>
      </c>
      <c r="C345" s="7" t="n">
        <v>9</v>
      </c>
      <c r="D345" s="8" t="n">
        <v>6.53</v>
      </c>
      <c r="E345" s="9" t="n">
        <f aca="false">ROUND(D345*ASM!$B$8*IF(A345="10K",ASM!$B$11,IF(A345="14K",ASM!$B$12,ASM!$B$13))*(1+ASM!$B$3)+ASM!$B$16+ASM!$B$5+ASM!$B$6,2)</f>
        <v>759.08</v>
      </c>
      <c r="F345" s="7" t="n">
        <f aca="false">ROUND((D345*ASM!$B$8*IF(A345="10K",ASM!$B$11,IF(A345="14K",ASM!$B$12,ASM!$B$13))*(1+ASM!$B$3)+ASM!$B$16+ASM!$B$5+ASM!$B$6)*IF(B345&lt;=7,ASM!$B$7,ASM!$B$17),0)</f>
        <v>1177</v>
      </c>
      <c r="G345" s="10" t="n">
        <f aca="false">CEILING(F345/0.75,5)</f>
        <v>1570</v>
      </c>
      <c r="H345" s="9" t="n">
        <f aca="false">G345*0.75</f>
        <v>1177.5</v>
      </c>
      <c r="I345" s="7" t="n">
        <f aca="false">ROUND((E345+0.45)/(1-ASM!$B$9),0)</f>
        <v>849</v>
      </c>
      <c r="J345" s="7" t="n">
        <f aca="false">ROUND((E345+0.45)/(1-ASM!$B$9-ASM!$B$10),0)</f>
        <v>1020</v>
      </c>
      <c r="K345" s="7" t="str">
        <f aca="false">IF(H345&gt;=I345,"OK","FLOOR ALTI")</f>
        <v>OK</v>
      </c>
    </row>
    <row r="346" customFormat="false" ht="15" hidden="false" customHeight="false" outlineLevel="0" collapsed="false">
      <c r="A346" s="7" t="s">
        <v>50</v>
      </c>
      <c r="B346" s="7" t="n">
        <v>6</v>
      </c>
      <c r="C346" s="7" t="n">
        <v>10</v>
      </c>
      <c r="D346" s="8" t="n">
        <v>6.76</v>
      </c>
      <c r="E346" s="9" t="n">
        <f aca="false">ROUND(D346*ASM!$B$8*IF(A346="10K",ASM!$B$11,IF(A346="14K",ASM!$B$12,ASM!$B$13))*(1+ASM!$B$3)+ASM!$B$16+ASM!$B$5+ASM!$B$6,2)</f>
        <v>783.36</v>
      </c>
      <c r="F346" s="7" t="n">
        <f aca="false">ROUND((D346*ASM!$B$8*IF(A346="10K",ASM!$B$11,IF(A346="14K",ASM!$B$12,ASM!$B$13))*(1+ASM!$B$3)+ASM!$B$16+ASM!$B$5+ASM!$B$6)*IF(B346&lt;=7,ASM!$B$7,ASM!$B$17),0)</f>
        <v>1214</v>
      </c>
      <c r="G346" s="10" t="n">
        <f aca="false">CEILING(F346/0.75,5)</f>
        <v>1620</v>
      </c>
      <c r="H346" s="9" t="n">
        <f aca="false">G346*0.75</f>
        <v>1215</v>
      </c>
      <c r="I346" s="7" t="n">
        <f aca="false">ROUND((E346+0.45)/(1-ASM!$B$9),0)</f>
        <v>876</v>
      </c>
      <c r="J346" s="7" t="n">
        <f aca="false">ROUND((E346+0.45)/(1-ASM!$B$9-ASM!$B$10),0)</f>
        <v>1052</v>
      </c>
      <c r="K346" s="7" t="str">
        <f aca="false">IF(H346&gt;=I346,"OK","FLOOR ALTI")</f>
        <v>OK</v>
      </c>
    </row>
    <row r="347" customFormat="false" ht="15" hidden="false" customHeight="false" outlineLevel="0" collapsed="false">
      <c r="A347" s="7" t="s">
        <v>50</v>
      </c>
      <c r="B347" s="7" t="n">
        <v>6</v>
      </c>
      <c r="C347" s="7" t="n">
        <v>11</v>
      </c>
      <c r="D347" s="8" t="n">
        <v>6.98</v>
      </c>
      <c r="E347" s="9" t="n">
        <f aca="false">ROUND(D347*ASM!$B$8*IF(A347="10K",ASM!$B$11,IF(A347="14K",ASM!$B$12,ASM!$B$13))*(1+ASM!$B$3)+ASM!$B$16+ASM!$B$5+ASM!$B$6,2)</f>
        <v>806.57</v>
      </c>
      <c r="F347" s="7" t="n">
        <f aca="false">ROUND((D347*ASM!$B$8*IF(A347="10K",ASM!$B$11,IF(A347="14K",ASM!$B$12,ASM!$B$13))*(1+ASM!$B$3)+ASM!$B$16+ASM!$B$5+ASM!$B$6)*IF(B347&lt;=7,ASM!$B$7,ASM!$B$17),0)</f>
        <v>1250</v>
      </c>
      <c r="G347" s="10" t="n">
        <f aca="false">CEILING(F347/0.75,5)</f>
        <v>1670</v>
      </c>
      <c r="H347" s="9" t="n">
        <f aca="false">G347*0.75</f>
        <v>1252.5</v>
      </c>
      <c r="I347" s="7" t="n">
        <f aca="false">ROUND((E347+0.45)/(1-ASM!$B$9),0)</f>
        <v>902</v>
      </c>
      <c r="J347" s="7" t="n">
        <f aca="false">ROUND((E347+0.45)/(1-ASM!$B$9-ASM!$B$10),0)</f>
        <v>1083</v>
      </c>
      <c r="K347" s="7" t="str">
        <f aca="false">IF(H347&gt;=I347,"OK","FLOOR ALTI")</f>
        <v>OK</v>
      </c>
    </row>
    <row r="348" customFormat="false" ht="15" hidden="false" customHeight="false" outlineLevel="0" collapsed="false">
      <c r="A348" s="7" t="s">
        <v>50</v>
      </c>
      <c r="B348" s="7" t="n">
        <v>6</v>
      </c>
      <c r="C348" s="7" t="n">
        <v>12</v>
      </c>
      <c r="D348" s="8" t="n">
        <v>7.21</v>
      </c>
      <c r="E348" s="9" t="n">
        <f aca="false">ROUND(D348*ASM!$B$8*IF(A348="10K",ASM!$B$11,IF(A348="14K",ASM!$B$12,ASM!$B$13))*(1+ASM!$B$3)+ASM!$B$16+ASM!$B$5+ASM!$B$6,2)</f>
        <v>830.84</v>
      </c>
      <c r="F348" s="7" t="n">
        <f aca="false">ROUND((D348*ASM!$B$8*IF(A348="10K",ASM!$B$11,IF(A348="14K",ASM!$B$12,ASM!$B$13))*(1+ASM!$B$3)+ASM!$B$16+ASM!$B$5+ASM!$B$6)*IF(B348&lt;=7,ASM!$B$7,ASM!$B$17),0)</f>
        <v>1288</v>
      </c>
      <c r="G348" s="10" t="n">
        <f aca="false">CEILING(F348/0.75,5)</f>
        <v>1720</v>
      </c>
      <c r="H348" s="9" t="n">
        <f aca="false">G348*0.75</f>
        <v>1290</v>
      </c>
      <c r="I348" s="7" t="n">
        <f aca="false">ROUND((E348+0.45)/(1-ASM!$B$9),0)</f>
        <v>929</v>
      </c>
      <c r="J348" s="7" t="n">
        <f aca="false">ROUND((E348+0.45)/(1-ASM!$B$9-ASM!$B$10),0)</f>
        <v>1116</v>
      </c>
      <c r="K348" s="7" t="str">
        <f aca="false">IF(H348&gt;=I348,"OK","FLOOR ALTI")</f>
        <v>OK</v>
      </c>
    </row>
    <row r="349" customFormat="false" ht="15" hidden="false" customHeight="false" outlineLevel="0" collapsed="false">
      <c r="A349" s="7" t="s">
        <v>50</v>
      </c>
      <c r="B349" s="7" t="n">
        <v>6</v>
      </c>
      <c r="C349" s="7" t="n">
        <v>13</v>
      </c>
      <c r="D349" s="8" t="n">
        <v>7.44</v>
      </c>
      <c r="E349" s="9" t="n">
        <f aca="false">ROUND(D349*ASM!$B$8*IF(A349="10K",ASM!$B$11,IF(A349="14K",ASM!$B$12,ASM!$B$13))*(1+ASM!$B$3)+ASM!$B$16+ASM!$B$5+ASM!$B$6,2)</f>
        <v>855.11</v>
      </c>
      <c r="F349" s="7" t="n">
        <f aca="false">ROUND((D349*ASM!$B$8*IF(A349="10K",ASM!$B$11,IF(A349="14K",ASM!$B$12,ASM!$B$13))*(1+ASM!$B$3)+ASM!$B$16+ASM!$B$5+ASM!$B$6)*IF(B349&lt;=7,ASM!$B$7,ASM!$B$17),0)</f>
        <v>1325</v>
      </c>
      <c r="G349" s="10" t="n">
        <f aca="false">CEILING(F349/0.75,5)</f>
        <v>1770</v>
      </c>
      <c r="H349" s="9" t="n">
        <f aca="false">G349*0.75</f>
        <v>1327.5</v>
      </c>
      <c r="I349" s="7" t="n">
        <f aca="false">ROUND((E349+0.45)/(1-ASM!$B$9),0)</f>
        <v>956</v>
      </c>
      <c r="J349" s="7" t="n">
        <f aca="false">ROUND((E349+0.45)/(1-ASM!$B$9-ASM!$B$10),0)</f>
        <v>1148</v>
      </c>
      <c r="K349" s="7" t="str">
        <f aca="false">IF(H349&gt;=I349,"OK","FLOOR ALTI")</f>
        <v>OK</v>
      </c>
    </row>
    <row r="350" customFormat="false" ht="15" hidden="false" customHeight="false" outlineLevel="0" collapsed="false">
      <c r="A350" s="7" t="s">
        <v>50</v>
      </c>
      <c r="B350" s="7" t="n">
        <v>6</v>
      </c>
      <c r="C350" s="7" t="n">
        <v>14</v>
      </c>
      <c r="D350" s="8" t="n">
        <v>7.57</v>
      </c>
      <c r="E350" s="9" t="n">
        <f aca="false">ROUND(D350*ASM!$B$8*IF(A350="10K",ASM!$B$11,IF(A350="14K",ASM!$B$12,ASM!$B$13))*(1+ASM!$B$3)+ASM!$B$16+ASM!$B$5+ASM!$B$6,2)</f>
        <v>868.83</v>
      </c>
      <c r="F350" s="7" t="n">
        <f aca="false">ROUND((D350*ASM!$B$8*IF(A350="10K",ASM!$B$11,IF(A350="14K",ASM!$B$12,ASM!$B$13))*(1+ASM!$B$3)+ASM!$B$16+ASM!$B$5+ASM!$B$6)*IF(B350&lt;=7,ASM!$B$7,ASM!$B$17),0)</f>
        <v>1347</v>
      </c>
      <c r="G350" s="10" t="n">
        <f aca="false">CEILING(F350/0.75,5)</f>
        <v>1800</v>
      </c>
      <c r="H350" s="9" t="n">
        <f aca="false">G350*0.75</f>
        <v>1350</v>
      </c>
      <c r="I350" s="7" t="n">
        <f aca="false">ROUND((E350+0.45)/(1-ASM!$B$9),0)</f>
        <v>971</v>
      </c>
      <c r="J350" s="7" t="n">
        <f aca="false">ROUND((E350+0.45)/(1-ASM!$B$9-ASM!$B$10),0)</f>
        <v>1167</v>
      </c>
      <c r="K350" s="7" t="str">
        <f aca="false">IF(H350&gt;=I350,"OK","FLOOR ALTI")</f>
        <v>OK</v>
      </c>
    </row>
    <row r="351" customFormat="false" ht="15" hidden="false" customHeight="false" outlineLevel="0" collapsed="false">
      <c r="A351" s="7" t="s">
        <v>50</v>
      </c>
      <c r="B351" s="7" t="n">
        <v>6</v>
      </c>
      <c r="C351" s="7" t="n">
        <v>15</v>
      </c>
      <c r="D351" s="8" t="n">
        <v>7.91</v>
      </c>
      <c r="E351" s="9" t="n">
        <f aca="false">ROUND(D351*ASM!$B$8*IF(A351="10K",ASM!$B$11,IF(A351="14K",ASM!$B$12,ASM!$B$13))*(1+ASM!$B$3)+ASM!$B$16+ASM!$B$5+ASM!$B$6,2)</f>
        <v>904.71</v>
      </c>
      <c r="F351" s="7" t="n">
        <f aca="false">ROUND((D351*ASM!$B$8*IF(A351="10K",ASM!$B$11,IF(A351="14K",ASM!$B$12,ASM!$B$13))*(1+ASM!$B$3)+ASM!$B$16+ASM!$B$5+ASM!$B$6)*IF(B351&lt;=7,ASM!$B$7,ASM!$B$17),0)</f>
        <v>1402</v>
      </c>
      <c r="G351" s="10" t="n">
        <f aca="false">CEILING(F351/0.75,5)</f>
        <v>1870</v>
      </c>
      <c r="H351" s="9" t="n">
        <f aca="false">G351*0.75</f>
        <v>1402.5</v>
      </c>
      <c r="I351" s="7" t="n">
        <f aca="false">ROUND((E351+0.45)/(1-ASM!$B$9),0)</f>
        <v>1011</v>
      </c>
      <c r="J351" s="7" t="n">
        <f aca="false">ROUND((E351+0.45)/(1-ASM!$B$9-ASM!$B$10),0)</f>
        <v>1215</v>
      </c>
      <c r="K351" s="7" t="str">
        <f aca="false">IF(H351&gt;=I351,"OK","FLOOR ALTI")</f>
        <v>OK</v>
      </c>
    </row>
    <row r="352" customFormat="false" ht="15" hidden="false" customHeight="false" outlineLevel="0" collapsed="false">
      <c r="A352" s="7" t="s">
        <v>50</v>
      </c>
      <c r="B352" s="7" t="n">
        <v>6</v>
      </c>
      <c r="C352" s="7" t="n">
        <v>16</v>
      </c>
      <c r="D352" s="8" t="n">
        <v>8.14</v>
      </c>
      <c r="E352" s="9" t="n">
        <f aca="false">ROUND(D352*ASM!$B$8*IF(A352="10K",ASM!$B$11,IF(A352="14K",ASM!$B$12,ASM!$B$13))*(1+ASM!$B$3)+ASM!$B$16+ASM!$B$5+ASM!$B$6,2)</f>
        <v>928.98</v>
      </c>
      <c r="F352" s="7" t="n">
        <f aca="false">ROUND((D352*ASM!$B$8*IF(A352="10K",ASM!$B$11,IF(A352="14K",ASM!$B$12,ASM!$B$13))*(1+ASM!$B$3)+ASM!$B$16+ASM!$B$5+ASM!$B$6)*IF(B352&lt;=7,ASM!$B$7,ASM!$B$17),0)</f>
        <v>1440</v>
      </c>
      <c r="G352" s="10" t="n">
        <f aca="false">CEILING(F352/0.75,5)</f>
        <v>1920</v>
      </c>
      <c r="H352" s="9" t="n">
        <f aca="false">G352*0.75</f>
        <v>1440</v>
      </c>
      <c r="I352" s="7" t="n">
        <f aca="false">ROUND((E352+0.45)/(1-ASM!$B$9),0)</f>
        <v>1038</v>
      </c>
      <c r="J352" s="7" t="n">
        <f aca="false">ROUND((E352+0.45)/(1-ASM!$B$9-ASM!$B$10),0)</f>
        <v>1248</v>
      </c>
      <c r="K352" s="7" t="str">
        <f aca="false">IF(H352&gt;=I352,"OK","FLOOR ALTI")</f>
        <v>OK</v>
      </c>
    </row>
    <row r="353" customFormat="false" ht="15" hidden="false" customHeight="false" outlineLevel="0" collapsed="false">
      <c r="A353" s="7" t="s">
        <v>50</v>
      </c>
      <c r="B353" s="7" t="n">
        <v>7</v>
      </c>
      <c r="C353" s="7" t="n">
        <v>4</v>
      </c>
      <c r="D353" s="8" t="n">
        <v>5.88</v>
      </c>
      <c r="E353" s="9" t="n">
        <f aca="false">ROUND(D353*ASM!$B$8*IF(A353="10K",ASM!$B$11,IF(A353="14K",ASM!$B$12,ASM!$B$13))*(1+ASM!$B$3)+ASM!$B$16+ASM!$B$5+ASM!$B$6,2)</f>
        <v>690.49</v>
      </c>
      <c r="F353" s="7" t="n">
        <f aca="false">ROUND((D353*ASM!$B$8*IF(A353="10K",ASM!$B$11,IF(A353="14K",ASM!$B$12,ASM!$B$13))*(1+ASM!$B$3)+ASM!$B$16+ASM!$B$5+ASM!$B$6)*IF(B353&lt;=7,ASM!$B$7,ASM!$B$17),0)</f>
        <v>1070</v>
      </c>
      <c r="G353" s="10" t="n">
        <f aca="false">CEILING(F353/0.75,5)</f>
        <v>1430</v>
      </c>
      <c r="H353" s="9" t="n">
        <f aca="false">G353*0.75</f>
        <v>1072.5</v>
      </c>
      <c r="I353" s="7" t="n">
        <f aca="false">ROUND((E353+0.45)/(1-ASM!$B$9),0)</f>
        <v>772</v>
      </c>
      <c r="J353" s="7" t="n">
        <f aca="false">ROUND((E353+0.45)/(1-ASM!$B$9-ASM!$B$10),0)</f>
        <v>927</v>
      </c>
      <c r="K353" s="7" t="str">
        <f aca="false">IF(H353&gt;=I353,"OK","FLOOR ALTI")</f>
        <v>OK</v>
      </c>
    </row>
    <row r="354" customFormat="false" ht="15" hidden="false" customHeight="false" outlineLevel="0" collapsed="false">
      <c r="A354" s="7" t="s">
        <v>50</v>
      </c>
      <c r="B354" s="7" t="n">
        <v>7</v>
      </c>
      <c r="C354" s="7" t="n">
        <v>5</v>
      </c>
      <c r="D354" s="8" t="n">
        <v>6.14</v>
      </c>
      <c r="E354" s="9" t="n">
        <f aca="false">ROUND(D354*ASM!$B$8*IF(A354="10K",ASM!$B$11,IF(A354="14K",ASM!$B$12,ASM!$B$13))*(1+ASM!$B$3)+ASM!$B$16+ASM!$B$5+ASM!$B$6,2)</f>
        <v>717.93</v>
      </c>
      <c r="F354" s="7" t="n">
        <f aca="false">ROUND((D354*ASM!$B$8*IF(A354="10K",ASM!$B$11,IF(A354="14K",ASM!$B$12,ASM!$B$13))*(1+ASM!$B$3)+ASM!$B$16+ASM!$B$5+ASM!$B$6)*IF(B354&lt;=7,ASM!$B$7,ASM!$B$17),0)</f>
        <v>1113</v>
      </c>
      <c r="G354" s="10" t="n">
        <f aca="false">CEILING(F354/0.75,5)</f>
        <v>1485</v>
      </c>
      <c r="H354" s="9" t="n">
        <f aca="false">G354*0.75</f>
        <v>1113.75</v>
      </c>
      <c r="I354" s="7" t="n">
        <f aca="false">ROUND((E354+0.45)/(1-ASM!$B$9),0)</f>
        <v>803</v>
      </c>
      <c r="J354" s="7" t="n">
        <f aca="false">ROUND((E354+0.45)/(1-ASM!$B$9-ASM!$B$10),0)</f>
        <v>964</v>
      </c>
      <c r="K354" s="7" t="str">
        <f aca="false">IF(H354&gt;=I354,"OK","FLOOR ALTI")</f>
        <v>OK</v>
      </c>
    </row>
    <row r="355" customFormat="false" ht="15" hidden="false" customHeight="false" outlineLevel="0" collapsed="false">
      <c r="A355" s="7" t="s">
        <v>50</v>
      </c>
      <c r="B355" s="7" t="n">
        <v>7</v>
      </c>
      <c r="C355" s="7" t="n">
        <v>6</v>
      </c>
      <c r="D355" s="8" t="n">
        <v>6.41</v>
      </c>
      <c r="E355" s="9" t="n">
        <f aca="false">ROUND(D355*ASM!$B$8*IF(A355="10K",ASM!$B$11,IF(A355="14K",ASM!$B$12,ASM!$B$13))*(1+ASM!$B$3)+ASM!$B$16+ASM!$B$5+ASM!$B$6,2)</f>
        <v>746.42</v>
      </c>
      <c r="F355" s="7" t="n">
        <f aca="false">ROUND((D355*ASM!$B$8*IF(A355="10K",ASM!$B$11,IF(A355="14K",ASM!$B$12,ASM!$B$13))*(1+ASM!$B$3)+ASM!$B$16+ASM!$B$5+ASM!$B$6)*IF(B355&lt;=7,ASM!$B$7,ASM!$B$17),0)</f>
        <v>1157</v>
      </c>
      <c r="G355" s="10" t="n">
        <f aca="false">CEILING(F355/0.75,5)</f>
        <v>1545</v>
      </c>
      <c r="H355" s="9" t="n">
        <f aca="false">G355*0.75</f>
        <v>1158.75</v>
      </c>
      <c r="I355" s="7" t="n">
        <f aca="false">ROUND((E355+0.45)/(1-ASM!$B$9),0)</f>
        <v>834</v>
      </c>
      <c r="J355" s="7" t="n">
        <f aca="false">ROUND((E355+0.45)/(1-ASM!$B$9-ASM!$B$10),0)</f>
        <v>1003</v>
      </c>
      <c r="K355" s="7" t="str">
        <f aca="false">IF(H355&gt;=I355,"OK","FLOOR ALTI")</f>
        <v>OK</v>
      </c>
    </row>
    <row r="356" customFormat="false" ht="15" hidden="false" customHeight="false" outlineLevel="0" collapsed="false">
      <c r="A356" s="7" t="s">
        <v>50</v>
      </c>
      <c r="B356" s="7" t="n">
        <v>7</v>
      </c>
      <c r="C356" s="7" t="n">
        <v>7</v>
      </c>
      <c r="D356" s="8" t="n">
        <v>6.68</v>
      </c>
      <c r="E356" s="9" t="n">
        <f aca="false">ROUND(D356*ASM!$B$8*IF(A356="10K",ASM!$B$11,IF(A356="14K",ASM!$B$12,ASM!$B$13))*(1+ASM!$B$3)+ASM!$B$16+ASM!$B$5+ASM!$B$6,2)</f>
        <v>774.91</v>
      </c>
      <c r="F356" s="7" t="n">
        <f aca="false">ROUND((D356*ASM!$B$8*IF(A356="10K",ASM!$B$11,IF(A356="14K",ASM!$B$12,ASM!$B$13))*(1+ASM!$B$3)+ASM!$B$16+ASM!$B$5+ASM!$B$6)*IF(B356&lt;=7,ASM!$B$7,ASM!$B$17),0)</f>
        <v>1201</v>
      </c>
      <c r="G356" s="10" t="n">
        <f aca="false">CEILING(F356/0.75,5)</f>
        <v>1605</v>
      </c>
      <c r="H356" s="9" t="n">
        <f aca="false">G356*0.75</f>
        <v>1203.75</v>
      </c>
      <c r="I356" s="7" t="n">
        <f aca="false">ROUND((E356+0.45)/(1-ASM!$B$9),0)</f>
        <v>866</v>
      </c>
      <c r="J356" s="7" t="n">
        <f aca="false">ROUND((E356+0.45)/(1-ASM!$B$9-ASM!$B$10),0)</f>
        <v>1041</v>
      </c>
      <c r="K356" s="7" t="str">
        <f aca="false">IF(H356&gt;=I356,"OK","FLOOR ALTI")</f>
        <v>OK</v>
      </c>
    </row>
    <row r="357" customFormat="false" ht="15" hidden="false" customHeight="false" outlineLevel="0" collapsed="false">
      <c r="A357" s="7" t="s">
        <v>50</v>
      </c>
      <c r="B357" s="7" t="n">
        <v>7</v>
      </c>
      <c r="C357" s="7" t="n">
        <v>8</v>
      </c>
      <c r="D357" s="8" t="n">
        <v>6.95</v>
      </c>
      <c r="E357" s="9" t="n">
        <f aca="false">ROUND(D357*ASM!$B$8*IF(A357="10K",ASM!$B$11,IF(A357="14K",ASM!$B$12,ASM!$B$13))*(1+ASM!$B$3)+ASM!$B$16+ASM!$B$5+ASM!$B$6,2)</f>
        <v>803.41</v>
      </c>
      <c r="F357" s="7" t="n">
        <f aca="false">ROUND((D357*ASM!$B$8*IF(A357="10K",ASM!$B$11,IF(A357="14K",ASM!$B$12,ASM!$B$13))*(1+ASM!$B$3)+ASM!$B$16+ASM!$B$5+ASM!$B$6)*IF(B357&lt;=7,ASM!$B$7,ASM!$B$17),0)</f>
        <v>1245</v>
      </c>
      <c r="G357" s="10" t="n">
        <f aca="false">CEILING(F357/0.75,5)</f>
        <v>1660</v>
      </c>
      <c r="H357" s="9" t="n">
        <f aca="false">G357*0.75</f>
        <v>1245</v>
      </c>
      <c r="I357" s="7" t="n">
        <f aca="false">ROUND((E357+0.45)/(1-ASM!$B$9),0)</f>
        <v>898</v>
      </c>
      <c r="J357" s="7" t="n">
        <f aca="false">ROUND((E357+0.45)/(1-ASM!$B$9-ASM!$B$10),0)</f>
        <v>1079</v>
      </c>
      <c r="K357" s="7" t="str">
        <f aca="false">IF(H357&gt;=I357,"OK","FLOOR ALTI")</f>
        <v>OK</v>
      </c>
    </row>
    <row r="358" customFormat="false" ht="15" hidden="false" customHeight="false" outlineLevel="0" collapsed="false">
      <c r="A358" s="7" t="s">
        <v>50</v>
      </c>
      <c r="B358" s="7" t="n">
        <v>7</v>
      </c>
      <c r="C358" s="7" t="n">
        <v>9</v>
      </c>
      <c r="D358" s="8" t="n">
        <v>7.21</v>
      </c>
      <c r="E358" s="9" t="n">
        <f aca="false">ROUND(D358*ASM!$B$8*IF(A358="10K",ASM!$B$11,IF(A358="14K",ASM!$B$12,ASM!$B$13))*(1+ASM!$B$3)+ASM!$B$16+ASM!$B$5+ASM!$B$6,2)</f>
        <v>830.84</v>
      </c>
      <c r="F358" s="7" t="n">
        <f aca="false">ROUND((D358*ASM!$B$8*IF(A358="10K",ASM!$B$11,IF(A358="14K",ASM!$B$12,ASM!$B$13))*(1+ASM!$B$3)+ASM!$B$16+ASM!$B$5+ASM!$B$6)*IF(B358&lt;=7,ASM!$B$7,ASM!$B$17),0)</f>
        <v>1288</v>
      </c>
      <c r="G358" s="10" t="n">
        <f aca="false">CEILING(F358/0.75,5)</f>
        <v>1720</v>
      </c>
      <c r="H358" s="9" t="n">
        <f aca="false">G358*0.75</f>
        <v>1290</v>
      </c>
      <c r="I358" s="7" t="n">
        <f aca="false">ROUND((E358+0.45)/(1-ASM!$B$9),0)</f>
        <v>929</v>
      </c>
      <c r="J358" s="7" t="n">
        <f aca="false">ROUND((E358+0.45)/(1-ASM!$B$9-ASM!$B$10),0)</f>
        <v>1116</v>
      </c>
      <c r="K358" s="7" t="str">
        <f aca="false">IF(H358&gt;=I358,"OK","FLOOR ALTI")</f>
        <v>OK</v>
      </c>
    </row>
    <row r="359" customFormat="false" ht="15" hidden="false" customHeight="false" outlineLevel="0" collapsed="false">
      <c r="A359" s="7" t="s">
        <v>50</v>
      </c>
      <c r="B359" s="7" t="n">
        <v>7</v>
      </c>
      <c r="C359" s="7" t="n">
        <v>10</v>
      </c>
      <c r="D359" s="8" t="n">
        <v>7.48</v>
      </c>
      <c r="E359" s="9" t="n">
        <f aca="false">ROUND(D359*ASM!$B$8*IF(A359="10K",ASM!$B$11,IF(A359="14K",ASM!$B$12,ASM!$B$13))*(1+ASM!$B$3)+ASM!$B$16+ASM!$B$5+ASM!$B$6,2)</f>
        <v>859.33</v>
      </c>
      <c r="F359" s="7" t="n">
        <f aca="false">ROUND((D359*ASM!$B$8*IF(A359="10K",ASM!$B$11,IF(A359="14K",ASM!$B$12,ASM!$B$13))*(1+ASM!$B$3)+ASM!$B$16+ASM!$B$5+ASM!$B$6)*IF(B359&lt;=7,ASM!$B$7,ASM!$B$17),0)</f>
        <v>1332</v>
      </c>
      <c r="G359" s="10" t="n">
        <f aca="false">CEILING(F359/0.75,5)</f>
        <v>1780</v>
      </c>
      <c r="H359" s="9" t="n">
        <f aca="false">G359*0.75</f>
        <v>1335</v>
      </c>
      <c r="I359" s="7" t="n">
        <f aca="false">ROUND((E359+0.45)/(1-ASM!$B$9),0)</f>
        <v>961</v>
      </c>
      <c r="J359" s="7" t="n">
        <f aca="false">ROUND((E359+0.45)/(1-ASM!$B$9-ASM!$B$10),0)</f>
        <v>1154</v>
      </c>
      <c r="K359" s="7" t="str">
        <f aca="false">IF(H359&gt;=I359,"OK","FLOOR ALTI")</f>
        <v>OK</v>
      </c>
    </row>
    <row r="360" customFormat="false" ht="15" hidden="false" customHeight="false" outlineLevel="0" collapsed="false">
      <c r="A360" s="7" t="s">
        <v>50</v>
      </c>
      <c r="B360" s="7" t="n">
        <v>7</v>
      </c>
      <c r="C360" s="7" t="n">
        <v>11</v>
      </c>
      <c r="D360" s="8" t="n">
        <v>7.75</v>
      </c>
      <c r="E360" s="9" t="n">
        <f aca="false">ROUND(D360*ASM!$B$8*IF(A360="10K",ASM!$B$11,IF(A360="14K",ASM!$B$12,ASM!$B$13))*(1+ASM!$B$3)+ASM!$B$16+ASM!$B$5+ASM!$B$6,2)</f>
        <v>887.83</v>
      </c>
      <c r="F360" s="7" t="n">
        <f aca="false">ROUND((D360*ASM!$B$8*IF(A360="10K",ASM!$B$11,IF(A360="14K",ASM!$B$12,ASM!$B$13))*(1+ASM!$B$3)+ASM!$B$16+ASM!$B$5+ASM!$B$6)*IF(B360&lt;=7,ASM!$B$7,ASM!$B$17),0)</f>
        <v>1376</v>
      </c>
      <c r="G360" s="10" t="n">
        <f aca="false">CEILING(F360/0.75,5)</f>
        <v>1835</v>
      </c>
      <c r="H360" s="9" t="n">
        <f aca="false">G360*0.75</f>
        <v>1376.25</v>
      </c>
      <c r="I360" s="7" t="n">
        <f aca="false">ROUND((E360+0.45)/(1-ASM!$B$9),0)</f>
        <v>992</v>
      </c>
      <c r="J360" s="7" t="n">
        <f aca="false">ROUND((E360+0.45)/(1-ASM!$B$9-ASM!$B$10),0)</f>
        <v>1192</v>
      </c>
      <c r="K360" s="7" t="str">
        <f aca="false">IF(H360&gt;=I360,"OK","FLOOR ALTI")</f>
        <v>OK</v>
      </c>
    </row>
    <row r="361" customFormat="false" ht="15" hidden="false" customHeight="false" outlineLevel="0" collapsed="false">
      <c r="A361" s="7" t="s">
        <v>50</v>
      </c>
      <c r="B361" s="7" t="n">
        <v>7</v>
      </c>
      <c r="C361" s="7" t="n">
        <v>12</v>
      </c>
      <c r="D361" s="8" t="n">
        <v>8.02</v>
      </c>
      <c r="E361" s="9" t="n">
        <f aca="false">ROUND(D361*ASM!$B$8*IF(A361="10K",ASM!$B$11,IF(A361="14K",ASM!$B$12,ASM!$B$13))*(1+ASM!$B$3)+ASM!$B$16+ASM!$B$5+ASM!$B$6,2)</f>
        <v>916.32</v>
      </c>
      <c r="F361" s="7" t="n">
        <f aca="false">ROUND((D361*ASM!$B$8*IF(A361="10K",ASM!$B$11,IF(A361="14K",ASM!$B$12,ASM!$B$13))*(1+ASM!$B$3)+ASM!$B$16+ASM!$B$5+ASM!$B$6)*IF(B361&lt;=7,ASM!$B$7,ASM!$B$17),0)</f>
        <v>1420</v>
      </c>
      <c r="G361" s="10" t="n">
        <f aca="false">CEILING(F361/0.75,5)</f>
        <v>1895</v>
      </c>
      <c r="H361" s="9" t="n">
        <f aca="false">G361*0.75</f>
        <v>1421.25</v>
      </c>
      <c r="I361" s="7" t="n">
        <f aca="false">ROUND((E361+0.45)/(1-ASM!$B$9),0)</f>
        <v>1024</v>
      </c>
      <c r="J361" s="7" t="n">
        <f aca="false">ROUND((E361+0.45)/(1-ASM!$B$9-ASM!$B$10),0)</f>
        <v>1231</v>
      </c>
      <c r="K361" s="7" t="str">
        <f aca="false">IF(H361&gt;=I361,"OK","FLOOR ALTI")</f>
        <v>OK</v>
      </c>
    </row>
    <row r="362" customFormat="false" ht="15" hidden="false" customHeight="false" outlineLevel="0" collapsed="false">
      <c r="A362" s="7" t="s">
        <v>50</v>
      </c>
      <c r="B362" s="7" t="n">
        <v>7</v>
      </c>
      <c r="C362" s="7" t="n">
        <v>13</v>
      </c>
      <c r="D362" s="8" t="n">
        <v>8.28</v>
      </c>
      <c r="E362" s="9" t="n">
        <f aca="false">ROUND(D362*ASM!$B$8*IF(A362="10K",ASM!$B$11,IF(A362="14K",ASM!$B$12,ASM!$B$13))*(1+ASM!$B$3)+ASM!$B$16+ASM!$B$5+ASM!$B$6,2)</f>
        <v>943.75</v>
      </c>
      <c r="F362" s="7" t="n">
        <f aca="false">ROUND((D362*ASM!$B$8*IF(A362="10K",ASM!$B$11,IF(A362="14K",ASM!$B$12,ASM!$B$13))*(1+ASM!$B$3)+ASM!$B$16+ASM!$B$5+ASM!$B$6)*IF(B362&lt;=7,ASM!$B$7,ASM!$B$17),0)</f>
        <v>1463</v>
      </c>
      <c r="G362" s="10" t="n">
        <f aca="false">CEILING(F362/0.75,5)</f>
        <v>1955</v>
      </c>
      <c r="H362" s="9" t="n">
        <f aca="false">G362*0.75</f>
        <v>1466.25</v>
      </c>
      <c r="I362" s="7" t="n">
        <f aca="false">ROUND((E362+0.45)/(1-ASM!$B$9),0)</f>
        <v>1055</v>
      </c>
      <c r="J362" s="7" t="n">
        <f aca="false">ROUND((E362+0.45)/(1-ASM!$B$9-ASM!$B$10),0)</f>
        <v>1267</v>
      </c>
      <c r="K362" s="7" t="str">
        <f aca="false">IF(H362&gt;=I362,"OK","FLOOR ALTI")</f>
        <v>OK</v>
      </c>
    </row>
    <row r="363" customFormat="false" ht="15" hidden="false" customHeight="false" outlineLevel="0" collapsed="false">
      <c r="A363" s="7" t="s">
        <v>50</v>
      </c>
      <c r="B363" s="7" t="n">
        <v>7</v>
      </c>
      <c r="C363" s="7" t="n">
        <v>14</v>
      </c>
      <c r="D363" s="8" t="n">
        <v>8.56</v>
      </c>
      <c r="E363" s="9" t="n">
        <f aca="false">ROUND(D363*ASM!$B$8*IF(A363="10K",ASM!$B$11,IF(A363="14K",ASM!$B$12,ASM!$B$13))*(1+ASM!$B$3)+ASM!$B$16+ASM!$B$5+ASM!$B$6,2)</f>
        <v>973.3</v>
      </c>
      <c r="F363" s="7" t="n">
        <f aca="false">ROUND((D363*ASM!$B$8*IF(A363="10K",ASM!$B$11,IF(A363="14K",ASM!$B$12,ASM!$B$13))*(1+ASM!$B$3)+ASM!$B$16+ASM!$B$5+ASM!$B$6)*IF(B363&lt;=7,ASM!$B$7,ASM!$B$17),0)</f>
        <v>1509</v>
      </c>
      <c r="G363" s="10" t="n">
        <f aca="false">CEILING(F363/0.75,5)</f>
        <v>2015</v>
      </c>
      <c r="H363" s="9" t="n">
        <f aca="false">G363*0.75</f>
        <v>1511.25</v>
      </c>
      <c r="I363" s="7" t="n">
        <f aca="false">ROUND((E363+0.45)/(1-ASM!$B$9),0)</f>
        <v>1088</v>
      </c>
      <c r="J363" s="7" t="n">
        <f aca="false">ROUND((E363+0.45)/(1-ASM!$B$9-ASM!$B$10),0)</f>
        <v>1307</v>
      </c>
      <c r="K363" s="7" t="str">
        <f aca="false">IF(H363&gt;=I363,"OK","FLOOR ALTI")</f>
        <v>OK</v>
      </c>
    </row>
    <row r="364" customFormat="false" ht="15" hidden="false" customHeight="false" outlineLevel="0" collapsed="false">
      <c r="A364" s="7" t="s">
        <v>50</v>
      </c>
      <c r="B364" s="7" t="n">
        <v>7</v>
      </c>
      <c r="C364" s="7" t="n">
        <v>15</v>
      </c>
      <c r="D364" s="8" t="n">
        <v>8.83</v>
      </c>
      <c r="E364" s="9" t="n">
        <f aca="false">ROUND(D364*ASM!$B$8*IF(A364="10K",ASM!$B$11,IF(A364="14K",ASM!$B$12,ASM!$B$13))*(1+ASM!$B$3)+ASM!$B$16+ASM!$B$5+ASM!$B$6,2)</f>
        <v>1001.79</v>
      </c>
      <c r="F364" s="7" t="n">
        <f aca="false">ROUND((D364*ASM!$B$8*IF(A364="10K",ASM!$B$11,IF(A364="14K",ASM!$B$12,ASM!$B$13))*(1+ASM!$B$3)+ASM!$B$16+ASM!$B$5+ASM!$B$6)*IF(B364&lt;=7,ASM!$B$7,ASM!$B$17),0)</f>
        <v>1553</v>
      </c>
      <c r="G364" s="10" t="n">
        <f aca="false">CEILING(F364/0.75,5)</f>
        <v>2075</v>
      </c>
      <c r="H364" s="9" t="n">
        <f aca="false">G364*0.75</f>
        <v>1556.25</v>
      </c>
      <c r="I364" s="7" t="n">
        <f aca="false">ROUND((E364+0.45)/(1-ASM!$B$9),0)</f>
        <v>1120</v>
      </c>
      <c r="J364" s="7" t="n">
        <f aca="false">ROUND((E364+0.45)/(1-ASM!$B$9-ASM!$B$10),0)</f>
        <v>1345</v>
      </c>
      <c r="K364" s="7" t="str">
        <f aca="false">IF(H364&gt;=I364,"OK","FLOOR ALTI")</f>
        <v>OK</v>
      </c>
    </row>
    <row r="365" customFormat="false" ht="15" hidden="false" customHeight="false" outlineLevel="0" collapsed="false">
      <c r="A365" s="7" t="s">
        <v>50</v>
      </c>
      <c r="B365" s="7" t="n">
        <v>7</v>
      </c>
      <c r="C365" s="7" t="n">
        <v>16</v>
      </c>
      <c r="D365" s="8" t="n">
        <v>9.1</v>
      </c>
      <c r="E365" s="9" t="n">
        <f aca="false">ROUND(D365*ASM!$B$8*IF(A365="10K",ASM!$B$11,IF(A365="14K",ASM!$B$12,ASM!$B$13))*(1+ASM!$B$3)+ASM!$B$16+ASM!$B$5+ASM!$B$6,2)</f>
        <v>1030.29</v>
      </c>
      <c r="F365" s="7" t="n">
        <f aca="false">ROUND((D365*ASM!$B$8*IF(A365="10K",ASM!$B$11,IF(A365="14K",ASM!$B$12,ASM!$B$13))*(1+ASM!$B$3)+ASM!$B$16+ASM!$B$5+ASM!$B$6)*IF(B365&lt;=7,ASM!$B$7,ASM!$B$17),0)</f>
        <v>1597</v>
      </c>
      <c r="G365" s="10" t="n">
        <f aca="false">CEILING(F365/0.75,5)</f>
        <v>2130</v>
      </c>
      <c r="H365" s="9" t="n">
        <f aca="false">G365*0.75</f>
        <v>1597.5</v>
      </c>
      <c r="I365" s="7" t="n">
        <f aca="false">ROUND((E365+0.45)/(1-ASM!$B$9),0)</f>
        <v>1152</v>
      </c>
      <c r="J365" s="7" t="n">
        <f aca="false">ROUND((E365+0.45)/(1-ASM!$B$9-ASM!$B$10),0)</f>
        <v>1384</v>
      </c>
      <c r="K365" s="7" t="str">
        <f aca="false">IF(H365&gt;=I365,"OK","FLOOR ALTI")</f>
        <v>OK</v>
      </c>
    </row>
    <row r="366" customFormat="false" ht="15" hidden="false" customHeight="false" outlineLevel="0" collapsed="false">
      <c r="A366" s="7" t="s">
        <v>50</v>
      </c>
      <c r="B366" s="7" t="n">
        <v>8</v>
      </c>
      <c r="C366" s="7" t="n">
        <v>4</v>
      </c>
      <c r="D366" s="8" t="n">
        <v>6.48</v>
      </c>
      <c r="E366" s="9" t="n">
        <f aca="false">ROUND(D366*ASM!$B$8*IF(A366="10K",ASM!$B$11,IF(A366="14K",ASM!$B$12,ASM!$B$13))*(1+ASM!$B$3)+ASM!$B$16+ASM!$B$5+ASM!$B$6,2)</f>
        <v>753.81</v>
      </c>
      <c r="F366" s="7" t="n">
        <f aca="false">ROUND((D366*ASM!$B$8*IF(A366="10K",ASM!$B$11,IF(A366="14K",ASM!$B$12,ASM!$B$13))*(1+ASM!$B$3)+ASM!$B$16+ASM!$B$5+ASM!$B$6)*IF(B366&lt;=7,ASM!$B$7,ASM!$B$17),0)</f>
        <v>1508</v>
      </c>
      <c r="G366" s="10" t="n">
        <f aca="false">CEILING(F366/0.75,5)</f>
        <v>2015</v>
      </c>
      <c r="H366" s="9" t="n">
        <f aca="false">G366*0.75</f>
        <v>1511.25</v>
      </c>
      <c r="I366" s="7" t="n">
        <f aca="false">ROUND((E366+0.45)/(1-ASM!$B$9),0)</f>
        <v>843</v>
      </c>
      <c r="J366" s="7" t="n">
        <f aca="false">ROUND((E366+0.45)/(1-ASM!$B$9-ASM!$B$10),0)</f>
        <v>1012</v>
      </c>
      <c r="K366" s="7" t="str">
        <f aca="false">IF(H366&gt;=I366,"OK","FLOOR ALTI")</f>
        <v>OK</v>
      </c>
    </row>
    <row r="367" customFormat="false" ht="15" hidden="false" customHeight="false" outlineLevel="0" collapsed="false">
      <c r="A367" s="7" t="s">
        <v>50</v>
      </c>
      <c r="B367" s="7" t="n">
        <v>8</v>
      </c>
      <c r="C367" s="7" t="n">
        <v>5</v>
      </c>
      <c r="D367" s="8" t="n">
        <v>6.77</v>
      </c>
      <c r="E367" s="9" t="n">
        <f aca="false">ROUND(D367*ASM!$B$8*IF(A367="10K",ASM!$B$11,IF(A367="14K",ASM!$B$12,ASM!$B$13))*(1+ASM!$B$3)+ASM!$B$16+ASM!$B$5+ASM!$B$6,2)</f>
        <v>784.41</v>
      </c>
      <c r="F367" s="7" t="n">
        <f aca="false">ROUND((D367*ASM!$B$8*IF(A367="10K",ASM!$B$11,IF(A367="14K",ASM!$B$12,ASM!$B$13))*(1+ASM!$B$3)+ASM!$B$16+ASM!$B$5+ASM!$B$6)*IF(B367&lt;=7,ASM!$B$7,ASM!$B$17),0)</f>
        <v>1569</v>
      </c>
      <c r="G367" s="10" t="n">
        <f aca="false">CEILING(F367/0.75,5)</f>
        <v>2095</v>
      </c>
      <c r="H367" s="9" t="n">
        <f aca="false">G367*0.75</f>
        <v>1571.25</v>
      </c>
      <c r="I367" s="7" t="n">
        <f aca="false">ROUND((E367+0.45)/(1-ASM!$B$9),0)</f>
        <v>877</v>
      </c>
      <c r="J367" s="7" t="n">
        <f aca="false">ROUND((E367+0.45)/(1-ASM!$B$9-ASM!$B$10),0)</f>
        <v>1054</v>
      </c>
      <c r="K367" s="7" t="str">
        <f aca="false">IF(H367&gt;=I367,"OK","FLOOR ALTI")</f>
        <v>OK</v>
      </c>
    </row>
    <row r="368" customFormat="false" ht="15" hidden="false" customHeight="false" outlineLevel="0" collapsed="false">
      <c r="A368" s="7" t="s">
        <v>50</v>
      </c>
      <c r="B368" s="7" t="n">
        <v>8</v>
      </c>
      <c r="C368" s="7" t="n">
        <v>6</v>
      </c>
      <c r="D368" s="8" t="n">
        <v>7.07</v>
      </c>
      <c r="E368" s="9" t="n">
        <f aca="false">ROUND(D368*ASM!$B$8*IF(A368="10K",ASM!$B$11,IF(A368="14K",ASM!$B$12,ASM!$B$13))*(1+ASM!$B$3)+ASM!$B$16+ASM!$B$5+ASM!$B$6,2)</f>
        <v>816.07</v>
      </c>
      <c r="F368" s="7" t="n">
        <f aca="false">ROUND((D368*ASM!$B$8*IF(A368="10K",ASM!$B$11,IF(A368="14K",ASM!$B$12,ASM!$B$13))*(1+ASM!$B$3)+ASM!$B$16+ASM!$B$5+ASM!$B$6)*IF(B368&lt;=7,ASM!$B$7,ASM!$B$17),0)</f>
        <v>1632</v>
      </c>
      <c r="G368" s="10" t="n">
        <f aca="false">CEILING(F368/0.75,5)</f>
        <v>2180</v>
      </c>
      <c r="H368" s="9" t="n">
        <f aca="false">G368*0.75</f>
        <v>1635</v>
      </c>
      <c r="I368" s="7" t="n">
        <f aca="false">ROUND((E368+0.45)/(1-ASM!$B$9),0)</f>
        <v>912</v>
      </c>
      <c r="J368" s="7" t="n">
        <f aca="false">ROUND((E368+0.45)/(1-ASM!$B$9-ASM!$B$10),0)</f>
        <v>1096</v>
      </c>
      <c r="K368" s="7" t="str">
        <f aca="false">IF(H368&gt;=I368,"OK","FLOOR ALTI")</f>
        <v>OK</v>
      </c>
    </row>
    <row r="369" customFormat="false" ht="15" hidden="false" customHeight="false" outlineLevel="0" collapsed="false">
      <c r="A369" s="7" t="s">
        <v>50</v>
      </c>
      <c r="B369" s="7" t="n">
        <v>8</v>
      </c>
      <c r="C369" s="7" t="n">
        <v>7</v>
      </c>
      <c r="D369" s="8" t="n">
        <v>7.36</v>
      </c>
      <c r="E369" s="9" t="n">
        <f aca="false">ROUND(D369*ASM!$B$8*IF(A369="10K",ASM!$B$11,IF(A369="14K",ASM!$B$12,ASM!$B$13))*(1+ASM!$B$3)+ASM!$B$16+ASM!$B$5+ASM!$B$6,2)</f>
        <v>846.67</v>
      </c>
      <c r="F369" s="7" t="n">
        <f aca="false">ROUND((D369*ASM!$B$8*IF(A369="10K",ASM!$B$11,IF(A369="14K",ASM!$B$12,ASM!$B$13))*(1+ASM!$B$3)+ASM!$B$16+ASM!$B$5+ASM!$B$6)*IF(B369&lt;=7,ASM!$B$7,ASM!$B$17),0)</f>
        <v>1693</v>
      </c>
      <c r="G369" s="10" t="n">
        <f aca="false">CEILING(F369/0.75,5)</f>
        <v>2260</v>
      </c>
      <c r="H369" s="9" t="n">
        <f aca="false">G369*0.75</f>
        <v>1695</v>
      </c>
      <c r="I369" s="7" t="n">
        <f aca="false">ROUND((E369+0.45)/(1-ASM!$B$9),0)</f>
        <v>947</v>
      </c>
      <c r="J369" s="7" t="n">
        <f aca="false">ROUND((E369+0.45)/(1-ASM!$B$9-ASM!$B$10),0)</f>
        <v>1137</v>
      </c>
      <c r="K369" s="7" t="str">
        <f aca="false">IF(H369&gt;=I369,"OK","FLOOR ALTI")</f>
        <v>OK</v>
      </c>
    </row>
    <row r="370" customFormat="false" ht="15" hidden="false" customHeight="false" outlineLevel="0" collapsed="false">
      <c r="A370" s="7" t="s">
        <v>50</v>
      </c>
      <c r="B370" s="7" t="n">
        <v>8</v>
      </c>
      <c r="C370" s="7" t="n">
        <v>8</v>
      </c>
      <c r="D370" s="8" t="n">
        <v>7.66</v>
      </c>
      <c r="E370" s="9" t="n">
        <f aca="false">ROUND(D370*ASM!$B$8*IF(A370="10K",ASM!$B$11,IF(A370="14K",ASM!$B$12,ASM!$B$13))*(1+ASM!$B$3)+ASM!$B$16+ASM!$B$5+ASM!$B$6,2)</f>
        <v>878.33</v>
      </c>
      <c r="F370" s="7" t="n">
        <f aca="false">ROUND((D370*ASM!$B$8*IF(A370="10K",ASM!$B$11,IF(A370="14K",ASM!$B$12,ASM!$B$13))*(1+ASM!$B$3)+ASM!$B$16+ASM!$B$5+ASM!$B$6)*IF(B370&lt;=7,ASM!$B$7,ASM!$B$17),0)</f>
        <v>1757</v>
      </c>
      <c r="G370" s="10" t="n">
        <f aca="false">CEILING(F370/0.75,5)</f>
        <v>2345</v>
      </c>
      <c r="H370" s="9" t="n">
        <f aca="false">G370*0.75</f>
        <v>1758.75</v>
      </c>
      <c r="I370" s="7" t="n">
        <f aca="false">ROUND((E370+0.45)/(1-ASM!$B$9),0)</f>
        <v>982</v>
      </c>
      <c r="J370" s="7" t="n">
        <f aca="false">ROUND((E370+0.45)/(1-ASM!$B$9-ASM!$B$10),0)</f>
        <v>1180</v>
      </c>
      <c r="K370" s="7" t="str">
        <f aca="false">IF(H370&gt;=I370,"OK","FLOOR ALTI")</f>
        <v>OK</v>
      </c>
    </row>
    <row r="371" customFormat="false" ht="15" hidden="false" customHeight="false" outlineLevel="0" collapsed="false">
      <c r="A371" s="7" t="s">
        <v>50</v>
      </c>
      <c r="B371" s="7" t="n">
        <v>8</v>
      </c>
      <c r="C371" s="7" t="n">
        <v>9</v>
      </c>
      <c r="D371" s="8" t="n">
        <v>7.94</v>
      </c>
      <c r="E371" s="9" t="n">
        <f aca="false">ROUND(D371*ASM!$B$8*IF(A371="10K",ASM!$B$11,IF(A371="14K",ASM!$B$12,ASM!$B$13))*(1+ASM!$B$3)+ASM!$B$16+ASM!$B$5+ASM!$B$6,2)</f>
        <v>907.88</v>
      </c>
      <c r="F371" s="7" t="n">
        <f aca="false">ROUND((D371*ASM!$B$8*IF(A371="10K",ASM!$B$11,IF(A371="14K",ASM!$B$12,ASM!$B$13))*(1+ASM!$B$3)+ASM!$B$16+ASM!$B$5+ASM!$B$6)*IF(B371&lt;=7,ASM!$B$7,ASM!$B$17),0)</f>
        <v>1816</v>
      </c>
      <c r="G371" s="10" t="n">
        <f aca="false">CEILING(F371/0.75,5)</f>
        <v>2425</v>
      </c>
      <c r="H371" s="9" t="n">
        <f aca="false">G371*0.75</f>
        <v>1818.75</v>
      </c>
      <c r="I371" s="7" t="n">
        <f aca="false">ROUND((E371+0.45)/(1-ASM!$B$9),0)</f>
        <v>1015</v>
      </c>
      <c r="J371" s="7" t="n">
        <f aca="false">ROUND((E371+0.45)/(1-ASM!$B$9-ASM!$B$10),0)</f>
        <v>1219</v>
      </c>
      <c r="K371" s="7" t="str">
        <f aca="false">IF(H371&gt;=I371,"OK","FLOOR ALTI")</f>
        <v>OK</v>
      </c>
    </row>
    <row r="372" customFormat="false" ht="15" hidden="false" customHeight="false" outlineLevel="0" collapsed="false">
      <c r="A372" s="7" t="s">
        <v>50</v>
      </c>
      <c r="B372" s="7" t="n">
        <v>8</v>
      </c>
      <c r="C372" s="7" t="n">
        <v>10</v>
      </c>
      <c r="D372" s="8" t="n">
        <v>8.24</v>
      </c>
      <c r="E372" s="9" t="n">
        <f aca="false">ROUND(D372*ASM!$B$8*IF(A372="10K",ASM!$B$11,IF(A372="14K",ASM!$B$12,ASM!$B$13))*(1+ASM!$B$3)+ASM!$B$16+ASM!$B$5+ASM!$B$6,2)</f>
        <v>939.53</v>
      </c>
      <c r="F372" s="7" t="n">
        <f aca="false">ROUND((D372*ASM!$B$8*IF(A372="10K",ASM!$B$11,IF(A372="14K",ASM!$B$12,ASM!$B$13))*(1+ASM!$B$3)+ASM!$B$16+ASM!$B$5+ASM!$B$6)*IF(B372&lt;=7,ASM!$B$7,ASM!$B$17),0)</f>
        <v>1879</v>
      </c>
      <c r="G372" s="10" t="n">
        <f aca="false">CEILING(F372/0.75,5)</f>
        <v>2510</v>
      </c>
      <c r="H372" s="9" t="n">
        <f aca="false">G372*0.75</f>
        <v>1882.5</v>
      </c>
      <c r="I372" s="7" t="n">
        <f aca="false">ROUND((E372+0.45)/(1-ASM!$B$9),0)</f>
        <v>1050</v>
      </c>
      <c r="J372" s="7" t="n">
        <f aca="false">ROUND((E372+0.45)/(1-ASM!$B$9-ASM!$B$10),0)</f>
        <v>1262</v>
      </c>
      <c r="K372" s="7" t="str">
        <f aca="false">IF(H372&gt;=I372,"OK","FLOOR ALTI")</f>
        <v>OK</v>
      </c>
    </row>
    <row r="373" customFormat="false" ht="15" hidden="false" customHeight="false" outlineLevel="0" collapsed="false">
      <c r="A373" s="7" t="s">
        <v>50</v>
      </c>
      <c r="B373" s="7" t="n">
        <v>8</v>
      </c>
      <c r="C373" s="7" t="n">
        <v>11</v>
      </c>
      <c r="D373" s="8" t="n">
        <v>8.53</v>
      </c>
      <c r="E373" s="9" t="n">
        <f aca="false">ROUND(D373*ASM!$B$8*IF(A373="10K",ASM!$B$11,IF(A373="14K",ASM!$B$12,ASM!$B$13))*(1+ASM!$B$3)+ASM!$B$16+ASM!$B$5+ASM!$B$6,2)</f>
        <v>970.14</v>
      </c>
      <c r="F373" s="7" t="n">
        <f aca="false">ROUND((D373*ASM!$B$8*IF(A373="10K",ASM!$B$11,IF(A373="14K",ASM!$B$12,ASM!$B$13))*(1+ASM!$B$3)+ASM!$B$16+ASM!$B$5+ASM!$B$6)*IF(B373&lt;=7,ASM!$B$7,ASM!$B$17),0)</f>
        <v>1940</v>
      </c>
      <c r="G373" s="10" t="n">
        <f aca="false">CEILING(F373/0.75,5)</f>
        <v>2590</v>
      </c>
      <c r="H373" s="9" t="n">
        <f aca="false">G373*0.75</f>
        <v>1942.5</v>
      </c>
      <c r="I373" s="7" t="n">
        <f aca="false">ROUND((E373+0.45)/(1-ASM!$B$9),0)</f>
        <v>1084</v>
      </c>
      <c r="J373" s="7" t="n">
        <f aca="false">ROUND((E373+0.45)/(1-ASM!$B$9-ASM!$B$10),0)</f>
        <v>1303</v>
      </c>
      <c r="K373" s="7" t="str">
        <f aca="false">IF(H373&gt;=I373,"OK","FLOOR ALTI")</f>
        <v>OK</v>
      </c>
    </row>
    <row r="374" customFormat="false" ht="15" hidden="false" customHeight="false" outlineLevel="0" collapsed="false">
      <c r="A374" s="7" t="s">
        <v>50</v>
      </c>
      <c r="B374" s="7" t="n">
        <v>8</v>
      </c>
      <c r="C374" s="7" t="n">
        <v>12</v>
      </c>
      <c r="D374" s="8" t="n">
        <v>8.83</v>
      </c>
      <c r="E374" s="9" t="n">
        <f aca="false">ROUND(D374*ASM!$B$8*IF(A374="10K",ASM!$B$11,IF(A374="14K",ASM!$B$12,ASM!$B$13))*(1+ASM!$B$3)+ASM!$B$16+ASM!$B$5+ASM!$B$6,2)</f>
        <v>1001.79</v>
      </c>
      <c r="F374" s="7" t="n">
        <f aca="false">ROUND((D374*ASM!$B$8*IF(A374="10K",ASM!$B$11,IF(A374="14K",ASM!$B$12,ASM!$B$13))*(1+ASM!$B$3)+ASM!$B$16+ASM!$B$5+ASM!$B$6)*IF(B374&lt;=7,ASM!$B$7,ASM!$B$17),0)</f>
        <v>2004</v>
      </c>
      <c r="G374" s="10" t="n">
        <f aca="false">CEILING(F374/0.75,5)</f>
        <v>2675</v>
      </c>
      <c r="H374" s="9" t="n">
        <f aca="false">G374*0.75</f>
        <v>2006.25</v>
      </c>
      <c r="I374" s="7" t="n">
        <f aca="false">ROUND((E374+0.45)/(1-ASM!$B$9),0)</f>
        <v>1120</v>
      </c>
      <c r="J374" s="7" t="n">
        <f aca="false">ROUND((E374+0.45)/(1-ASM!$B$9-ASM!$B$10),0)</f>
        <v>1345</v>
      </c>
      <c r="K374" s="7" t="str">
        <f aca="false">IF(H374&gt;=I374,"OK","FLOOR ALTI")</f>
        <v>OK</v>
      </c>
    </row>
    <row r="375" customFormat="false" ht="15" hidden="false" customHeight="false" outlineLevel="0" collapsed="false">
      <c r="A375" s="7" t="s">
        <v>50</v>
      </c>
      <c r="B375" s="7" t="n">
        <v>8</v>
      </c>
      <c r="C375" s="7" t="n">
        <v>13</v>
      </c>
      <c r="D375" s="8" t="n">
        <v>9.12</v>
      </c>
      <c r="E375" s="9" t="n">
        <f aca="false">ROUND(D375*ASM!$B$8*IF(A375="10K",ASM!$B$11,IF(A375="14K",ASM!$B$12,ASM!$B$13))*(1+ASM!$B$3)+ASM!$B$16+ASM!$B$5+ASM!$B$6,2)</f>
        <v>1032.4</v>
      </c>
      <c r="F375" s="7" t="n">
        <f aca="false">ROUND((D375*ASM!$B$8*IF(A375="10K",ASM!$B$11,IF(A375="14K",ASM!$B$12,ASM!$B$13))*(1+ASM!$B$3)+ASM!$B$16+ASM!$B$5+ASM!$B$6)*IF(B375&lt;=7,ASM!$B$7,ASM!$B$17),0)</f>
        <v>2065</v>
      </c>
      <c r="G375" s="10" t="n">
        <f aca="false">CEILING(F375/0.75,5)</f>
        <v>2755</v>
      </c>
      <c r="H375" s="9" t="n">
        <f aca="false">G375*0.75</f>
        <v>2066.25</v>
      </c>
      <c r="I375" s="7" t="n">
        <f aca="false">ROUND((E375+0.45)/(1-ASM!$B$9),0)</f>
        <v>1154</v>
      </c>
      <c r="J375" s="7" t="n">
        <f aca="false">ROUND((E375+0.45)/(1-ASM!$B$9-ASM!$B$10),0)</f>
        <v>1386</v>
      </c>
      <c r="K375" s="7" t="str">
        <f aca="false">IF(H375&gt;=I375,"OK","FLOOR ALTI")</f>
        <v>OK</v>
      </c>
    </row>
    <row r="376" customFormat="false" ht="15" hidden="false" customHeight="false" outlineLevel="0" collapsed="false">
      <c r="A376" s="7" t="s">
        <v>50</v>
      </c>
      <c r="B376" s="7" t="n">
        <v>8</v>
      </c>
      <c r="C376" s="7" t="n">
        <v>14</v>
      </c>
      <c r="D376" s="8" t="n">
        <v>9.36</v>
      </c>
      <c r="E376" s="9" t="n">
        <f aca="false">ROUND(D376*ASM!$B$8*IF(A376="10K",ASM!$B$11,IF(A376="14K",ASM!$B$12,ASM!$B$13))*(1+ASM!$B$3)+ASM!$B$16+ASM!$B$5+ASM!$B$6,2)</f>
        <v>1057.72</v>
      </c>
      <c r="F376" s="7" t="n">
        <f aca="false">ROUND((D376*ASM!$B$8*IF(A376="10K",ASM!$B$11,IF(A376="14K",ASM!$B$12,ASM!$B$13))*(1+ASM!$B$3)+ASM!$B$16+ASM!$B$5+ASM!$B$6)*IF(B376&lt;=7,ASM!$B$7,ASM!$B$17),0)</f>
        <v>2115</v>
      </c>
      <c r="G376" s="10" t="n">
        <f aca="false">CEILING(F376/0.75,5)</f>
        <v>2820</v>
      </c>
      <c r="H376" s="9" t="n">
        <f aca="false">G376*0.75</f>
        <v>2115</v>
      </c>
      <c r="I376" s="7" t="n">
        <f aca="false">ROUND((E376+0.45)/(1-ASM!$B$9),0)</f>
        <v>1182</v>
      </c>
      <c r="J376" s="7" t="n">
        <f aca="false">ROUND((E376+0.45)/(1-ASM!$B$9-ASM!$B$10),0)</f>
        <v>1420</v>
      </c>
      <c r="K376" s="7" t="str">
        <f aca="false">IF(H376&gt;=I376,"OK","FLOOR ALTI")</f>
        <v>OK</v>
      </c>
    </row>
    <row r="377" customFormat="false" ht="15" hidden="false" customHeight="false" outlineLevel="0" collapsed="false">
      <c r="A377" s="7" t="s">
        <v>50</v>
      </c>
      <c r="B377" s="7" t="n">
        <v>8</v>
      </c>
      <c r="C377" s="7" t="n">
        <v>15</v>
      </c>
      <c r="D377" s="8" t="n">
        <v>9.6</v>
      </c>
      <c r="E377" s="9" t="n">
        <f aca="false">ROUND(D377*ASM!$B$8*IF(A377="10K",ASM!$B$11,IF(A377="14K",ASM!$B$12,ASM!$B$13))*(1+ASM!$B$3)+ASM!$B$16+ASM!$B$5+ASM!$B$6,2)</f>
        <v>1083.05</v>
      </c>
      <c r="F377" s="7" t="n">
        <f aca="false">ROUND((D377*ASM!$B$8*IF(A377="10K",ASM!$B$11,IF(A377="14K",ASM!$B$12,ASM!$B$13))*(1+ASM!$B$3)+ASM!$B$16+ASM!$B$5+ASM!$B$6)*IF(B377&lt;=7,ASM!$B$7,ASM!$B$17),0)</f>
        <v>2166</v>
      </c>
      <c r="G377" s="10" t="n">
        <f aca="false">CEILING(F377/0.75,5)</f>
        <v>2890</v>
      </c>
      <c r="H377" s="9" t="n">
        <f aca="false">G377*0.75</f>
        <v>2167.5</v>
      </c>
      <c r="I377" s="7" t="n">
        <f aca="false">ROUND((E377+0.45)/(1-ASM!$B$9),0)</f>
        <v>1211</v>
      </c>
      <c r="J377" s="7" t="n">
        <f aca="false">ROUND((E377+0.45)/(1-ASM!$B$9-ASM!$B$10),0)</f>
        <v>1454</v>
      </c>
      <c r="K377" s="7" t="str">
        <f aca="false">IF(H377&gt;=I377,"OK","FLOOR ALTI")</f>
        <v>OK</v>
      </c>
    </row>
    <row r="378" customFormat="false" ht="15" hidden="false" customHeight="false" outlineLevel="0" collapsed="false">
      <c r="A378" s="7" t="s">
        <v>50</v>
      </c>
      <c r="B378" s="7" t="n">
        <v>8</v>
      </c>
      <c r="C378" s="7" t="n">
        <v>16</v>
      </c>
      <c r="D378" s="8" t="n">
        <v>9.97</v>
      </c>
      <c r="E378" s="9" t="n">
        <f aca="false">ROUND(D378*ASM!$B$8*IF(A378="10K",ASM!$B$11,IF(A378="14K",ASM!$B$12,ASM!$B$13))*(1+ASM!$B$3)+ASM!$B$16+ASM!$B$5+ASM!$B$6,2)</f>
        <v>1122.09</v>
      </c>
      <c r="F378" s="7" t="n">
        <f aca="false">ROUND((D378*ASM!$B$8*IF(A378="10K",ASM!$B$11,IF(A378="14K",ASM!$B$12,ASM!$B$13))*(1+ASM!$B$3)+ASM!$B$16+ASM!$B$5+ASM!$B$6)*IF(B378&lt;=7,ASM!$B$7,ASM!$B$17),0)</f>
        <v>2244</v>
      </c>
      <c r="G378" s="10" t="n">
        <f aca="false">CEILING(F378/0.75,5)</f>
        <v>2995</v>
      </c>
      <c r="H378" s="9" t="n">
        <f aca="false">G378*0.75</f>
        <v>2246.25</v>
      </c>
      <c r="I378" s="7" t="n">
        <f aca="false">ROUND((E378+0.45)/(1-ASM!$B$9),0)</f>
        <v>1254</v>
      </c>
      <c r="J378" s="7" t="n">
        <f aca="false">ROUND((E378+0.45)/(1-ASM!$B$9-ASM!$B$10),0)</f>
        <v>1507</v>
      </c>
      <c r="K378" s="7" t="str">
        <f aca="false">IF(H378&gt;=I378,"OK","FLOOR ALTI")</f>
        <v>OK</v>
      </c>
    </row>
    <row r="379" customFormat="false" ht="15" hidden="false" customHeight="false" outlineLevel="0" collapsed="false">
      <c r="A379" s="7" t="s">
        <v>50</v>
      </c>
      <c r="B379" s="7" t="n">
        <v>9</v>
      </c>
      <c r="C379" s="7" t="n">
        <v>4</v>
      </c>
      <c r="D379" s="8" t="n">
        <v>7.98</v>
      </c>
      <c r="E379" s="9" t="n">
        <f aca="false">ROUND(D379*ASM!$B$8*IF(A379="10K",ASM!$B$11,IF(A379="14K",ASM!$B$12,ASM!$B$13))*(1+ASM!$B$3)+ASM!$B$16+ASM!$B$5+ASM!$B$6,2)</f>
        <v>912.1</v>
      </c>
      <c r="F379" s="7" t="n">
        <f aca="false">ROUND((D379*ASM!$B$8*IF(A379="10K",ASM!$B$11,IF(A379="14K",ASM!$B$12,ASM!$B$13))*(1+ASM!$B$3)+ASM!$B$16+ASM!$B$5+ASM!$B$6)*IF(B379&lt;=7,ASM!$B$7,ASM!$B$17),0)</f>
        <v>1824</v>
      </c>
      <c r="G379" s="10" t="n">
        <f aca="false">CEILING(F379/0.75,5)</f>
        <v>2435</v>
      </c>
      <c r="H379" s="9" t="n">
        <f aca="false">G379*0.75</f>
        <v>1826.25</v>
      </c>
      <c r="I379" s="7" t="n">
        <f aca="false">ROUND((E379+0.45)/(1-ASM!$B$9),0)</f>
        <v>1020</v>
      </c>
      <c r="J379" s="7" t="n">
        <f aca="false">ROUND((E379+0.45)/(1-ASM!$B$9-ASM!$B$10),0)</f>
        <v>1225</v>
      </c>
      <c r="K379" s="7" t="str">
        <f aca="false">IF(H379&gt;=I379,"OK","FLOOR ALTI")</f>
        <v>OK</v>
      </c>
    </row>
    <row r="380" customFormat="false" ht="15" hidden="false" customHeight="false" outlineLevel="0" collapsed="false">
      <c r="A380" s="7" t="s">
        <v>50</v>
      </c>
      <c r="B380" s="7" t="n">
        <v>9</v>
      </c>
      <c r="C380" s="7" t="n">
        <v>5</v>
      </c>
      <c r="D380" s="8" t="n">
        <v>8.36</v>
      </c>
      <c r="E380" s="9" t="n">
        <f aca="false">ROUND(D380*ASM!$B$8*IF(A380="10K",ASM!$B$11,IF(A380="14K",ASM!$B$12,ASM!$B$13))*(1+ASM!$B$3)+ASM!$B$16+ASM!$B$5+ASM!$B$6,2)</f>
        <v>952.2</v>
      </c>
      <c r="F380" s="7" t="n">
        <f aca="false">ROUND((D380*ASM!$B$8*IF(A380="10K",ASM!$B$11,IF(A380="14K",ASM!$B$12,ASM!$B$13))*(1+ASM!$B$3)+ASM!$B$16+ASM!$B$5+ASM!$B$6)*IF(B380&lt;=7,ASM!$B$7,ASM!$B$17),0)</f>
        <v>1904</v>
      </c>
      <c r="G380" s="10" t="n">
        <f aca="false">CEILING(F380/0.75,5)</f>
        <v>2540</v>
      </c>
      <c r="H380" s="9" t="n">
        <f aca="false">G380*0.75</f>
        <v>1905</v>
      </c>
      <c r="I380" s="7" t="n">
        <f aca="false">ROUND((E380+0.45)/(1-ASM!$B$9),0)</f>
        <v>1064</v>
      </c>
      <c r="J380" s="7" t="n">
        <f aca="false">ROUND((E380+0.45)/(1-ASM!$B$9-ASM!$B$10),0)</f>
        <v>1279</v>
      </c>
      <c r="K380" s="7" t="str">
        <f aca="false">IF(H380&gt;=I380,"OK","FLOOR ALTI")</f>
        <v>OK</v>
      </c>
    </row>
    <row r="381" customFormat="false" ht="15" hidden="false" customHeight="false" outlineLevel="0" collapsed="false">
      <c r="A381" s="7" t="s">
        <v>50</v>
      </c>
      <c r="B381" s="7" t="n">
        <v>9</v>
      </c>
      <c r="C381" s="7" t="n">
        <v>6</v>
      </c>
      <c r="D381" s="8" t="n">
        <v>8.75</v>
      </c>
      <c r="E381" s="9" t="n">
        <f aca="false">ROUND(D381*ASM!$B$8*IF(A381="10K",ASM!$B$11,IF(A381="14K",ASM!$B$12,ASM!$B$13))*(1+ASM!$B$3)+ASM!$B$16+ASM!$B$5+ASM!$B$6,2)</f>
        <v>993.35</v>
      </c>
      <c r="F381" s="7" t="n">
        <f aca="false">ROUND((D381*ASM!$B$8*IF(A381="10K",ASM!$B$11,IF(A381="14K",ASM!$B$12,ASM!$B$13))*(1+ASM!$B$3)+ASM!$B$16+ASM!$B$5+ASM!$B$6)*IF(B381&lt;=7,ASM!$B$7,ASM!$B$17),0)</f>
        <v>1987</v>
      </c>
      <c r="G381" s="10" t="n">
        <f aca="false">CEILING(F381/0.75,5)</f>
        <v>2650</v>
      </c>
      <c r="H381" s="9" t="n">
        <f aca="false">G381*0.75</f>
        <v>1987.5</v>
      </c>
      <c r="I381" s="7" t="n">
        <f aca="false">ROUND((E381+0.45)/(1-ASM!$B$9),0)</f>
        <v>1110</v>
      </c>
      <c r="J381" s="7" t="n">
        <f aca="false">ROUND((E381+0.45)/(1-ASM!$B$9-ASM!$B$10),0)</f>
        <v>1334</v>
      </c>
      <c r="K381" s="7" t="str">
        <f aca="false">IF(H381&gt;=I381,"OK","FLOOR ALTI")</f>
        <v>OK</v>
      </c>
    </row>
    <row r="382" customFormat="false" ht="15" hidden="false" customHeight="false" outlineLevel="0" collapsed="false">
      <c r="A382" s="7" t="s">
        <v>50</v>
      </c>
      <c r="B382" s="7" t="n">
        <v>9</v>
      </c>
      <c r="C382" s="7" t="n">
        <v>7</v>
      </c>
      <c r="D382" s="8" t="n">
        <v>9.14</v>
      </c>
      <c r="E382" s="9" t="n">
        <f aca="false">ROUND(D382*ASM!$B$8*IF(A382="10K",ASM!$B$11,IF(A382="14K",ASM!$B$12,ASM!$B$13))*(1+ASM!$B$3)+ASM!$B$16+ASM!$B$5+ASM!$B$6,2)</f>
        <v>1034.51</v>
      </c>
      <c r="F382" s="7" t="n">
        <f aca="false">ROUND((D382*ASM!$B$8*IF(A382="10K",ASM!$B$11,IF(A382="14K",ASM!$B$12,ASM!$B$13))*(1+ASM!$B$3)+ASM!$B$16+ASM!$B$5+ASM!$B$6)*IF(B382&lt;=7,ASM!$B$7,ASM!$B$17),0)</f>
        <v>2069</v>
      </c>
      <c r="G382" s="10" t="n">
        <f aca="false">CEILING(F382/0.75,5)</f>
        <v>2760</v>
      </c>
      <c r="H382" s="9" t="n">
        <f aca="false">G382*0.75</f>
        <v>2070</v>
      </c>
      <c r="I382" s="7" t="n">
        <f aca="false">ROUND((E382+0.45)/(1-ASM!$B$9),0)</f>
        <v>1156</v>
      </c>
      <c r="J382" s="7" t="n">
        <f aca="false">ROUND((E382+0.45)/(1-ASM!$B$9-ASM!$B$10),0)</f>
        <v>1389</v>
      </c>
      <c r="K382" s="7" t="str">
        <f aca="false">IF(H382&gt;=I382,"OK","FLOOR ALTI")</f>
        <v>OK</v>
      </c>
    </row>
    <row r="383" customFormat="false" ht="15" hidden="false" customHeight="false" outlineLevel="0" collapsed="false">
      <c r="A383" s="7" t="s">
        <v>50</v>
      </c>
      <c r="B383" s="7" t="n">
        <v>9</v>
      </c>
      <c r="C383" s="7" t="n">
        <v>8</v>
      </c>
      <c r="D383" s="8" t="n">
        <v>9.52</v>
      </c>
      <c r="E383" s="9" t="n">
        <f aca="false">ROUND(D383*ASM!$B$8*IF(A383="10K",ASM!$B$11,IF(A383="14K",ASM!$B$12,ASM!$B$13))*(1+ASM!$B$3)+ASM!$B$16+ASM!$B$5+ASM!$B$6,2)</f>
        <v>1074.61</v>
      </c>
      <c r="F383" s="7" t="n">
        <f aca="false">ROUND((D383*ASM!$B$8*IF(A383="10K",ASM!$B$11,IF(A383="14K",ASM!$B$12,ASM!$B$13))*(1+ASM!$B$3)+ASM!$B$16+ASM!$B$5+ASM!$B$6)*IF(B383&lt;=7,ASM!$B$7,ASM!$B$17),0)</f>
        <v>2149</v>
      </c>
      <c r="G383" s="10" t="n">
        <f aca="false">CEILING(F383/0.75,5)</f>
        <v>2870</v>
      </c>
      <c r="H383" s="9" t="n">
        <f aca="false">G383*0.75</f>
        <v>2152.5</v>
      </c>
      <c r="I383" s="7" t="n">
        <f aca="false">ROUND((E383+0.45)/(1-ASM!$B$9),0)</f>
        <v>1201</v>
      </c>
      <c r="J383" s="7" t="n">
        <f aca="false">ROUND((E383+0.45)/(1-ASM!$B$9-ASM!$B$10),0)</f>
        <v>1443</v>
      </c>
      <c r="K383" s="7" t="str">
        <f aca="false">IF(H383&gt;=I383,"OK","FLOOR ALTI")</f>
        <v>OK</v>
      </c>
    </row>
    <row r="384" customFormat="false" ht="15" hidden="false" customHeight="false" outlineLevel="0" collapsed="false">
      <c r="A384" s="7" t="s">
        <v>50</v>
      </c>
      <c r="B384" s="7" t="n">
        <v>9</v>
      </c>
      <c r="C384" s="7" t="n">
        <v>9</v>
      </c>
      <c r="D384" s="8" t="n">
        <v>9.91</v>
      </c>
      <c r="E384" s="9" t="n">
        <f aca="false">ROUND(D384*ASM!$B$8*IF(A384="10K",ASM!$B$11,IF(A384="14K",ASM!$B$12,ASM!$B$13))*(1+ASM!$B$3)+ASM!$B$16+ASM!$B$5+ASM!$B$6,2)</f>
        <v>1115.76</v>
      </c>
      <c r="F384" s="7" t="n">
        <f aca="false">ROUND((D384*ASM!$B$8*IF(A384="10K",ASM!$B$11,IF(A384="14K",ASM!$B$12,ASM!$B$13))*(1+ASM!$B$3)+ASM!$B$16+ASM!$B$5+ASM!$B$6)*IF(B384&lt;=7,ASM!$B$7,ASM!$B$17),0)</f>
        <v>2232</v>
      </c>
      <c r="G384" s="10" t="n">
        <f aca="false">CEILING(F384/0.75,5)</f>
        <v>2980</v>
      </c>
      <c r="H384" s="9" t="n">
        <f aca="false">G384*0.75</f>
        <v>2235</v>
      </c>
      <c r="I384" s="7" t="n">
        <f aca="false">ROUND((E384+0.45)/(1-ASM!$B$9),0)</f>
        <v>1247</v>
      </c>
      <c r="J384" s="7" t="n">
        <f aca="false">ROUND((E384+0.45)/(1-ASM!$B$9-ASM!$B$10),0)</f>
        <v>1498</v>
      </c>
      <c r="K384" s="7" t="str">
        <f aca="false">IF(H384&gt;=I384,"OK","FLOOR ALTI")</f>
        <v>OK</v>
      </c>
    </row>
    <row r="385" customFormat="false" ht="15" hidden="false" customHeight="false" outlineLevel="0" collapsed="false">
      <c r="A385" s="7" t="s">
        <v>50</v>
      </c>
      <c r="B385" s="7" t="n">
        <v>9</v>
      </c>
      <c r="C385" s="7" t="n">
        <v>10</v>
      </c>
      <c r="D385" s="8" t="n">
        <v>10.3</v>
      </c>
      <c r="E385" s="9" t="n">
        <f aca="false">ROUND(D385*ASM!$B$8*IF(A385="10K",ASM!$B$11,IF(A385="14K",ASM!$B$12,ASM!$B$13))*(1+ASM!$B$3)+ASM!$B$16+ASM!$B$5+ASM!$B$6,2)</f>
        <v>1156.92</v>
      </c>
      <c r="F385" s="7" t="n">
        <f aca="false">ROUND((D385*ASM!$B$8*IF(A385="10K",ASM!$B$11,IF(A385="14K",ASM!$B$12,ASM!$B$13))*(1+ASM!$B$3)+ASM!$B$16+ASM!$B$5+ASM!$B$6)*IF(B385&lt;=7,ASM!$B$7,ASM!$B$17),0)</f>
        <v>2314</v>
      </c>
      <c r="G385" s="10" t="n">
        <f aca="false">CEILING(F385/0.75,5)</f>
        <v>3090</v>
      </c>
      <c r="H385" s="9" t="n">
        <f aca="false">G385*0.75</f>
        <v>2317.5</v>
      </c>
      <c r="I385" s="7" t="n">
        <f aca="false">ROUND((E385+0.45)/(1-ASM!$B$9),0)</f>
        <v>1293</v>
      </c>
      <c r="J385" s="7" t="n">
        <f aca="false">ROUND((E385+0.45)/(1-ASM!$B$9-ASM!$B$10),0)</f>
        <v>1554</v>
      </c>
      <c r="K385" s="7" t="str">
        <f aca="false">IF(H385&gt;=I385,"OK","FLOOR ALTI")</f>
        <v>OK</v>
      </c>
    </row>
    <row r="386" customFormat="false" ht="15" hidden="false" customHeight="false" outlineLevel="0" collapsed="false">
      <c r="A386" s="7" t="s">
        <v>50</v>
      </c>
      <c r="B386" s="7" t="n">
        <v>9</v>
      </c>
      <c r="C386" s="7" t="n">
        <v>11</v>
      </c>
      <c r="D386" s="8" t="n">
        <v>10.69</v>
      </c>
      <c r="E386" s="9" t="n">
        <f aca="false">ROUND(D386*ASM!$B$8*IF(A386="10K",ASM!$B$11,IF(A386="14K",ASM!$B$12,ASM!$B$13))*(1+ASM!$B$3)+ASM!$B$16+ASM!$B$5+ASM!$B$6,2)</f>
        <v>1198.07</v>
      </c>
      <c r="F386" s="7" t="n">
        <f aca="false">ROUND((D386*ASM!$B$8*IF(A386="10K",ASM!$B$11,IF(A386="14K",ASM!$B$12,ASM!$B$13))*(1+ASM!$B$3)+ASM!$B$16+ASM!$B$5+ASM!$B$6)*IF(B386&lt;=7,ASM!$B$7,ASM!$B$17),0)</f>
        <v>2396</v>
      </c>
      <c r="G386" s="10" t="n">
        <f aca="false">CEILING(F386/0.75,5)</f>
        <v>3195</v>
      </c>
      <c r="H386" s="9" t="n">
        <f aca="false">G386*0.75</f>
        <v>2396.25</v>
      </c>
      <c r="I386" s="7" t="n">
        <f aca="false">ROUND((E386+0.45)/(1-ASM!$B$9),0)</f>
        <v>1339</v>
      </c>
      <c r="J386" s="7" t="n">
        <f aca="false">ROUND((E386+0.45)/(1-ASM!$B$9-ASM!$B$10),0)</f>
        <v>1609</v>
      </c>
      <c r="K386" s="7" t="str">
        <f aca="false">IF(H386&gt;=I386,"OK","FLOOR ALTI")</f>
        <v>OK</v>
      </c>
    </row>
    <row r="387" customFormat="false" ht="15" hidden="false" customHeight="false" outlineLevel="0" collapsed="false">
      <c r="A387" s="7" t="s">
        <v>50</v>
      </c>
      <c r="B387" s="7" t="n">
        <v>9</v>
      </c>
      <c r="C387" s="7" t="n">
        <v>12</v>
      </c>
      <c r="D387" s="8" t="n">
        <v>11.07</v>
      </c>
      <c r="E387" s="9" t="n">
        <f aca="false">ROUND(D387*ASM!$B$8*IF(A387="10K",ASM!$B$11,IF(A387="14K",ASM!$B$12,ASM!$B$13))*(1+ASM!$B$3)+ASM!$B$16+ASM!$B$5+ASM!$B$6,2)</f>
        <v>1238.17</v>
      </c>
      <c r="F387" s="7" t="n">
        <f aca="false">ROUND((D387*ASM!$B$8*IF(A387="10K",ASM!$B$11,IF(A387="14K",ASM!$B$12,ASM!$B$13))*(1+ASM!$B$3)+ASM!$B$16+ASM!$B$5+ASM!$B$6)*IF(B387&lt;=7,ASM!$B$7,ASM!$B$17),0)</f>
        <v>2476</v>
      </c>
      <c r="G387" s="10" t="n">
        <f aca="false">CEILING(F387/0.75,5)</f>
        <v>3305</v>
      </c>
      <c r="H387" s="9" t="n">
        <f aca="false">G387*0.75</f>
        <v>2478.75</v>
      </c>
      <c r="I387" s="7" t="n">
        <f aca="false">ROUND((E387+0.45)/(1-ASM!$B$9),0)</f>
        <v>1384</v>
      </c>
      <c r="J387" s="7" t="n">
        <f aca="false">ROUND((E387+0.45)/(1-ASM!$B$9-ASM!$B$10),0)</f>
        <v>1663</v>
      </c>
      <c r="K387" s="7" t="str">
        <f aca="false">IF(H387&gt;=I387,"OK","FLOOR ALTI")</f>
        <v>OK</v>
      </c>
    </row>
    <row r="388" customFormat="false" ht="15" hidden="false" customHeight="false" outlineLevel="0" collapsed="false">
      <c r="A388" s="7" t="s">
        <v>50</v>
      </c>
      <c r="B388" s="7" t="n">
        <v>9</v>
      </c>
      <c r="C388" s="7" t="n">
        <v>13</v>
      </c>
      <c r="D388" s="8" t="n">
        <v>11.46</v>
      </c>
      <c r="E388" s="9" t="n">
        <f aca="false">ROUND(D388*ASM!$B$8*IF(A388="10K",ASM!$B$11,IF(A388="14K",ASM!$B$12,ASM!$B$13))*(1+ASM!$B$3)+ASM!$B$16+ASM!$B$5+ASM!$B$6,2)</f>
        <v>1279.33</v>
      </c>
      <c r="F388" s="7" t="n">
        <f aca="false">ROUND((D388*ASM!$B$8*IF(A388="10K",ASM!$B$11,IF(A388="14K",ASM!$B$12,ASM!$B$13))*(1+ASM!$B$3)+ASM!$B$16+ASM!$B$5+ASM!$B$6)*IF(B388&lt;=7,ASM!$B$7,ASM!$B$17),0)</f>
        <v>2559</v>
      </c>
      <c r="G388" s="10" t="n">
        <f aca="false">CEILING(F388/0.75,5)</f>
        <v>3415</v>
      </c>
      <c r="H388" s="9" t="n">
        <f aca="false">G388*0.75</f>
        <v>2561.25</v>
      </c>
      <c r="I388" s="7" t="n">
        <f aca="false">ROUND((E388+0.45)/(1-ASM!$B$9),0)</f>
        <v>1430</v>
      </c>
      <c r="J388" s="7" t="n">
        <f aca="false">ROUND((E388+0.45)/(1-ASM!$B$9-ASM!$B$10),0)</f>
        <v>1718</v>
      </c>
      <c r="K388" s="7" t="str">
        <f aca="false">IF(H388&gt;=I388,"OK","FLOOR ALTI")</f>
        <v>OK</v>
      </c>
    </row>
    <row r="389" customFormat="false" ht="15" hidden="false" customHeight="false" outlineLevel="0" collapsed="false">
      <c r="A389" s="7" t="s">
        <v>50</v>
      </c>
      <c r="B389" s="7" t="n">
        <v>9</v>
      </c>
      <c r="C389" s="7" t="n">
        <v>14</v>
      </c>
      <c r="D389" s="8" t="n">
        <v>11.85</v>
      </c>
      <c r="E389" s="9" t="n">
        <f aca="false">ROUND(D389*ASM!$B$8*IF(A389="10K",ASM!$B$11,IF(A389="14K",ASM!$B$12,ASM!$B$13))*(1+ASM!$B$3)+ASM!$B$16+ASM!$B$5+ASM!$B$6,2)</f>
        <v>1320.48</v>
      </c>
      <c r="F389" s="7" t="n">
        <f aca="false">ROUND((D389*ASM!$B$8*IF(A389="10K",ASM!$B$11,IF(A389="14K",ASM!$B$12,ASM!$B$13))*(1+ASM!$B$3)+ASM!$B$16+ASM!$B$5+ASM!$B$6)*IF(B389&lt;=7,ASM!$B$7,ASM!$B$17),0)</f>
        <v>2641</v>
      </c>
      <c r="G389" s="10" t="n">
        <f aca="false">CEILING(F389/0.75,5)</f>
        <v>3525</v>
      </c>
      <c r="H389" s="9" t="n">
        <f aca="false">G389*0.75</f>
        <v>2643.75</v>
      </c>
      <c r="I389" s="7" t="n">
        <f aca="false">ROUND((E389+0.45)/(1-ASM!$B$9),0)</f>
        <v>1476</v>
      </c>
      <c r="J389" s="7" t="n">
        <f aca="false">ROUND((E389+0.45)/(1-ASM!$B$9-ASM!$B$10),0)</f>
        <v>1773</v>
      </c>
      <c r="K389" s="7" t="str">
        <f aca="false">IF(H389&gt;=I389,"OK","FLOOR ALTI")</f>
        <v>OK</v>
      </c>
    </row>
    <row r="390" customFormat="false" ht="15" hidden="false" customHeight="false" outlineLevel="0" collapsed="false">
      <c r="A390" s="7" t="s">
        <v>50</v>
      </c>
      <c r="B390" s="7" t="n">
        <v>9</v>
      </c>
      <c r="C390" s="7" t="n">
        <v>15</v>
      </c>
      <c r="D390" s="8" t="n">
        <v>12.23</v>
      </c>
      <c r="E390" s="9" t="n">
        <f aca="false">ROUND(D390*ASM!$B$8*IF(A390="10K",ASM!$B$11,IF(A390="14K",ASM!$B$12,ASM!$B$13))*(1+ASM!$B$3)+ASM!$B$16+ASM!$B$5+ASM!$B$6,2)</f>
        <v>1360.58</v>
      </c>
      <c r="F390" s="7" t="n">
        <f aca="false">ROUND((D390*ASM!$B$8*IF(A390="10K",ASM!$B$11,IF(A390="14K",ASM!$B$12,ASM!$B$13))*(1+ASM!$B$3)+ASM!$B$16+ASM!$B$5+ASM!$B$6)*IF(B390&lt;=7,ASM!$B$7,ASM!$B$17),0)</f>
        <v>2721</v>
      </c>
      <c r="G390" s="10" t="n">
        <f aca="false">CEILING(F390/0.75,5)</f>
        <v>3630</v>
      </c>
      <c r="H390" s="9" t="n">
        <f aca="false">G390*0.75</f>
        <v>2722.5</v>
      </c>
      <c r="I390" s="7" t="n">
        <f aca="false">ROUND((E390+0.45)/(1-ASM!$B$9),0)</f>
        <v>1521</v>
      </c>
      <c r="J390" s="7" t="n">
        <f aca="false">ROUND((E390+0.45)/(1-ASM!$B$9-ASM!$B$10),0)</f>
        <v>1827</v>
      </c>
      <c r="K390" s="7" t="str">
        <f aca="false">IF(H390&gt;=I390,"OK","FLOOR ALTI")</f>
        <v>OK</v>
      </c>
    </row>
    <row r="391" customFormat="false" ht="15" hidden="false" customHeight="false" outlineLevel="0" collapsed="false">
      <c r="A391" s="7" t="s">
        <v>50</v>
      </c>
      <c r="B391" s="7" t="n">
        <v>9</v>
      </c>
      <c r="C391" s="7" t="n">
        <v>16</v>
      </c>
      <c r="D391" s="8" t="n">
        <v>12.62</v>
      </c>
      <c r="E391" s="9" t="n">
        <f aca="false">ROUND(D391*ASM!$B$8*IF(A391="10K",ASM!$B$11,IF(A391="14K",ASM!$B$12,ASM!$B$13))*(1+ASM!$B$3)+ASM!$B$16+ASM!$B$5+ASM!$B$6,2)</f>
        <v>1401.74</v>
      </c>
      <c r="F391" s="7" t="n">
        <f aca="false">ROUND((D391*ASM!$B$8*IF(A391="10K",ASM!$B$11,IF(A391="14K",ASM!$B$12,ASM!$B$13))*(1+ASM!$B$3)+ASM!$B$16+ASM!$B$5+ASM!$B$6)*IF(B391&lt;=7,ASM!$B$7,ASM!$B$17),0)</f>
        <v>2803</v>
      </c>
      <c r="G391" s="10" t="n">
        <f aca="false">CEILING(F391/0.75,5)</f>
        <v>3740</v>
      </c>
      <c r="H391" s="9" t="n">
        <f aca="false">G391*0.75</f>
        <v>2805</v>
      </c>
      <c r="I391" s="7" t="n">
        <f aca="false">ROUND((E391+0.45)/(1-ASM!$B$9),0)</f>
        <v>1567</v>
      </c>
      <c r="J391" s="7" t="n">
        <f aca="false">ROUND((E391+0.45)/(1-ASM!$B$9-ASM!$B$10),0)</f>
        <v>1882</v>
      </c>
      <c r="K391" s="7" t="str">
        <f aca="false">IF(H391&gt;=I391,"OK","FLOOR ALTI")</f>
        <v>OK</v>
      </c>
    </row>
    <row r="392" customFormat="false" ht="15" hidden="false" customHeight="false" outlineLevel="0" collapsed="false">
      <c r="A392" s="7" t="s">
        <v>50</v>
      </c>
      <c r="B392" s="7" t="n">
        <v>10</v>
      </c>
      <c r="C392" s="7" t="n">
        <v>4</v>
      </c>
      <c r="D392" s="8" t="n">
        <v>8.86</v>
      </c>
      <c r="E392" s="9" t="n">
        <f aca="false">ROUND(D392*ASM!$B$8*IF(A392="10K",ASM!$B$11,IF(A392="14K",ASM!$B$12,ASM!$B$13))*(1+ASM!$B$3)+ASM!$B$16+ASM!$B$5+ASM!$B$6,2)</f>
        <v>1004.96</v>
      </c>
      <c r="F392" s="7" t="n">
        <f aca="false">ROUND((D392*ASM!$B$8*IF(A392="10K",ASM!$B$11,IF(A392="14K",ASM!$B$12,ASM!$B$13))*(1+ASM!$B$3)+ASM!$B$16+ASM!$B$5+ASM!$B$6)*IF(B392&lt;=7,ASM!$B$7,ASM!$B$17),0)</f>
        <v>2010</v>
      </c>
      <c r="G392" s="10" t="n">
        <f aca="false">CEILING(F392/0.75,5)</f>
        <v>2680</v>
      </c>
      <c r="H392" s="9" t="n">
        <f aca="false">G392*0.75</f>
        <v>2010</v>
      </c>
      <c r="I392" s="7" t="n">
        <f aca="false">ROUND((E392+0.45)/(1-ASM!$B$9),0)</f>
        <v>1123</v>
      </c>
      <c r="J392" s="7" t="n">
        <f aca="false">ROUND((E392+0.45)/(1-ASM!$B$9-ASM!$B$10),0)</f>
        <v>1350</v>
      </c>
      <c r="K392" s="7" t="str">
        <f aca="false">IF(H392&gt;=I392,"OK","FLOOR ALTI")</f>
        <v>OK</v>
      </c>
    </row>
    <row r="393" customFormat="false" ht="15" hidden="false" customHeight="false" outlineLevel="0" collapsed="false">
      <c r="A393" s="7" t="s">
        <v>50</v>
      </c>
      <c r="B393" s="7" t="n">
        <v>10</v>
      </c>
      <c r="C393" s="7" t="n">
        <v>5</v>
      </c>
      <c r="D393" s="8" t="n">
        <v>9.29</v>
      </c>
      <c r="E393" s="9" t="n">
        <f aca="false">ROUND(D393*ASM!$B$8*IF(A393="10K",ASM!$B$11,IF(A393="14K",ASM!$B$12,ASM!$B$13))*(1+ASM!$B$3)+ASM!$B$16+ASM!$B$5+ASM!$B$6,2)</f>
        <v>1050.34</v>
      </c>
      <c r="F393" s="7" t="n">
        <f aca="false">ROUND((D393*ASM!$B$8*IF(A393="10K",ASM!$B$11,IF(A393="14K",ASM!$B$12,ASM!$B$13))*(1+ASM!$B$3)+ASM!$B$16+ASM!$B$5+ASM!$B$6)*IF(B393&lt;=7,ASM!$B$7,ASM!$B$17),0)</f>
        <v>2101</v>
      </c>
      <c r="G393" s="10" t="n">
        <f aca="false">CEILING(F393/0.75,5)</f>
        <v>2805</v>
      </c>
      <c r="H393" s="9" t="n">
        <f aca="false">G393*0.75</f>
        <v>2103.75</v>
      </c>
      <c r="I393" s="7" t="n">
        <f aca="false">ROUND((E393+0.45)/(1-ASM!$B$9),0)</f>
        <v>1174</v>
      </c>
      <c r="J393" s="7" t="n">
        <f aca="false">ROUND((E393+0.45)/(1-ASM!$B$9-ASM!$B$10),0)</f>
        <v>1410</v>
      </c>
      <c r="K393" s="7" t="str">
        <f aca="false">IF(H393&gt;=I393,"OK","FLOOR ALTI")</f>
        <v>OK</v>
      </c>
    </row>
    <row r="394" customFormat="false" ht="15" hidden="false" customHeight="false" outlineLevel="0" collapsed="false">
      <c r="A394" s="7" t="s">
        <v>50</v>
      </c>
      <c r="B394" s="7" t="n">
        <v>10</v>
      </c>
      <c r="C394" s="7" t="n">
        <v>6</v>
      </c>
      <c r="D394" s="8" t="n">
        <v>9.72</v>
      </c>
      <c r="E394" s="9" t="n">
        <f aca="false">ROUND(D394*ASM!$B$8*IF(A394="10K",ASM!$B$11,IF(A394="14K",ASM!$B$12,ASM!$B$13))*(1+ASM!$B$3)+ASM!$B$16+ASM!$B$5+ASM!$B$6,2)</f>
        <v>1095.71</v>
      </c>
      <c r="F394" s="7" t="n">
        <f aca="false">ROUND((D394*ASM!$B$8*IF(A394="10K",ASM!$B$11,IF(A394="14K",ASM!$B$12,ASM!$B$13))*(1+ASM!$B$3)+ASM!$B$16+ASM!$B$5+ASM!$B$6)*IF(B394&lt;=7,ASM!$B$7,ASM!$B$17),0)</f>
        <v>2191</v>
      </c>
      <c r="G394" s="10" t="n">
        <f aca="false">CEILING(F394/0.75,5)</f>
        <v>2925</v>
      </c>
      <c r="H394" s="9" t="n">
        <f aca="false">G394*0.75</f>
        <v>2193.75</v>
      </c>
      <c r="I394" s="7" t="n">
        <f aca="false">ROUND((E394+0.45)/(1-ASM!$B$9),0)</f>
        <v>1225</v>
      </c>
      <c r="J394" s="7" t="n">
        <f aca="false">ROUND((E394+0.45)/(1-ASM!$B$9-ASM!$B$10),0)</f>
        <v>1471</v>
      </c>
      <c r="K394" s="7" t="str">
        <f aca="false">IF(H394&gt;=I394,"OK","FLOOR ALTI")</f>
        <v>OK</v>
      </c>
    </row>
    <row r="395" customFormat="false" ht="15" hidden="false" customHeight="false" outlineLevel="0" collapsed="false">
      <c r="A395" s="7" t="s">
        <v>50</v>
      </c>
      <c r="B395" s="7" t="n">
        <v>10</v>
      </c>
      <c r="C395" s="7" t="n">
        <v>7</v>
      </c>
      <c r="D395" s="8" t="n">
        <v>10.15</v>
      </c>
      <c r="E395" s="9" t="n">
        <f aca="false">ROUND(D395*ASM!$B$8*IF(A395="10K",ASM!$B$11,IF(A395="14K",ASM!$B$12,ASM!$B$13))*(1+ASM!$B$3)+ASM!$B$16+ASM!$B$5+ASM!$B$6,2)</f>
        <v>1141.09</v>
      </c>
      <c r="F395" s="7" t="n">
        <f aca="false">ROUND((D395*ASM!$B$8*IF(A395="10K",ASM!$B$11,IF(A395="14K",ASM!$B$12,ASM!$B$13))*(1+ASM!$B$3)+ASM!$B$16+ASM!$B$5+ASM!$B$6)*IF(B395&lt;=7,ASM!$B$7,ASM!$B$17),0)</f>
        <v>2282</v>
      </c>
      <c r="G395" s="10" t="n">
        <f aca="false">CEILING(F395/0.75,5)</f>
        <v>3045</v>
      </c>
      <c r="H395" s="9" t="n">
        <f aca="false">G395*0.75</f>
        <v>2283.75</v>
      </c>
      <c r="I395" s="7" t="n">
        <f aca="false">ROUND((E395+0.45)/(1-ASM!$B$9),0)</f>
        <v>1275</v>
      </c>
      <c r="J395" s="7" t="n">
        <f aca="false">ROUND((E395+0.45)/(1-ASM!$B$9-ASM!$B$10),0)</f>
        <v>1532</v>
      </c>
      <c r="K395" s="7" t="str">
        <f aca="false">IF(H395&gt;=I395,"OK","FLOOR ALTI")</f>
        <v>OK</v>
      </c>
    </row>
    <row r="396" customFormat="false" ht="15" hidden="false" customHeight="false" outlineLevel="0" collapsed="false">
      <c r="A396" s="7" t="s">
        <v>50</v>
      </c>
      <c r="B396" s="7" t="n">
        <v>10</v>
      </c>
      <c r="C396" s="7" t="n">
        <v>8</v>
      </c>
      <c r="D396" s="8" t="n">
        <v>10.58</v>
      </c>
      <c r="E396" s="9" t="n">
        <f aca="false">ROUND(D396*ASM!$B$8*IF(A396="10K",ASM!$B$11,IF(A396="14K",ASM!$B$12,ASM!$B$13))*(1+ASM!$B$3)+ASM!$B$16+ASM!$B$5+ASM!$B$6,2)</f>
        <v>1186.46</v>
      </c>
      <c r="F396" s="7" t="n">
        <f aca="false">ROUND((D396*ASM!$B$8*IF(A396="10K",ASM!$B$11,IF(A396="14K",ASM!$B$12,ASM!$B$13))*(1+ASM!$B$3)+ASM!$B$16+ASM!$B$5+ASM!$B$6)*IF(B396&lt;=7,ASM!$B$7,ASM!$B$17),0)</f>
        <v>2373</v>
      </c>
      <c r="G396" s="10" t="n">
        <f aca="false">CEILING(F396/0.75,5)</f>
        <v>3165</v>
      </c>
      <c r="H396" s="9" t="n">
        <f aca="false">G396*0.75</f>
        <v>2373.75</v>
      </c>
      <c r="I396" s="7" t="n">
        <f aca="false">ROUND((E396+0.45)/(1-ASM!$B$9),0)</f>
        <v>1326</v>
      </c>
      <c r="J396" s="7" t="n">
        <f aca="false">ROUND((E396+0.45)/(1-ASM!$B$9-ASM!$B$10),0)</f>
        <v>1593</v>
      </c>
      <c r="K396" s="7" t="str">
        <f aca="false">IF(H396&gt;=I396,"OK","FLOOR ALTI")</f>
        <v>OK</v>
      </c>
    </row>
    <row r="397" customFormat="false" ht="15" hidden="false" customHeight="false" outlineLevel="0" collapsed="false">
      <c r="A397" s="7" t="s">
        <v>50</v>
      </c>
      <c r="B397" s="7" t="n">
        <v>10</v>
      </c>
      <c r="C397" s="7" t="n">
        <v>9</v>
      </c>
      <c r="D397" s="8" t="n">
        <v>11.01</v>
      </c>
      <c r="E397" s="9" t="n">
        <f aca="false">ROUND(D397*ASM!$B$8*IF(A397="10K",ASM!$B$11,IF(A397="14K",ASM!$B$12,ASM!$B$13))*(1+ASM!$B$3)+ASM!$B$16+ASM!$B$5+ASM!$B$6,2)</f>
        <v>1231.84</v>
      </c>
      <c r="F397" s="7" t="n">
        <f aca="false">ROUND((D397*ASM!$B$8*IF(A397="10K",ASM!$B$11,IF(A397="14K",ASM!$B$12,ASM!$B$13))*(1+ASM!$B$3)+ASM!$B$16+ASM!$B$5+ASM!$B$6)*IF(B397&lt;=7,ASM!$B$7,ASM!$B$17),0)</f>
        <v>2464</v>
      </c>
      <c r="G397" s="10" t="n">
        <f aca="false">CEILING(F397/0.75,5)</f>
        <v>3290</v>
      </c>
      <c r="H397" s="9" t="n">
        <f aca="false">G397*0.75</f>
        <v>2467.5</v>
      </c>
      <c r="I397" s="7" t="n">
        <f aca="false">ROUND((E397+0.45)/(1-ASM!$B$9),0)</f>
        <v>1377</v>
      </c>
      <c r="J397" s="7" t="n">
        <f aca="false">ROUND((E397+0.45)/(1-ASM!$B$9-ASM!$B$10),0)</f>
        <v>1654</v>
      </c>
      <c r="K397" s="7" t="str">
        <f aca="false">IF(H397&gt;=I397,"OK","FLOOR ALTI")</f>
        <v>OK</v>
      </c>
    </row>
    <row r="398" customFormat="false" ht="15" hidden="false" customHeight="false" outlineLevel="0" collapsed="false">
      <c r="A398" s="7" t="s">
        <v>50</v>
      </c>
      <c r="B398" s="7" t="n">
        <v>10</v>
      </c>
      <c r="C398" s="7" t="n">
        <v>10</v>
      </c>
      <c r="D398" s="8" t="n">
        <v>11.44</v>
      </c>
      <c r="E398" s="9" t="n">
        <f aca="false">ROUND(D398*ASM!$B$8*IF(A398="10K",ASM!$B$11,IF(A398="14K",ASM!$B$12,ASM!$B$13))*(1+ASM!$B$3)+ASM!$B$16+ASM!$B$5+ASM!$B$6,2)</f>
        <v>1277.22</v>
      </c>
      <c r="F398" s="7" t="n">
        <f aca="false">ROUND((D398*ASM!$B$8*IF(A398="10K",ASM!$B$11,IF(A398="14K",ASM!$B$12,ASM!$B$13))*(1+ASM!$B$3)+ASM!$B$16+ASM!$B$5+ASM!$B$6)*IF(B398&lt;=7,ASM!$B$7,ASM!$B$17),0)</f>
        <v>2554</v>
      </c>
      <c r="G398" s="10" t="n">
        <f aca="false">CEILING(F398/0.75,5)</f>
        <v>3410</v>
      </c>
      <c r="H398" s="9" t="n">
        <f aca="false">G398*0.75</f>
        <v>2557.5</v>
      </c>
      <c r="I398" s="7" t="n">
        <f aca="false">ROUND((E398+0.45)/(1-ASM!$B$9),0)</f>
        <v>1428</v>
      </c>
      <c r="J398" s="7" t="n">
        <f aca="false">ROUND((E398+0.45)/(1-ASM!$B$9-ASM!$B$10),0)</f>
        <v>1715</v>
      </c>
      <c r="K398" s="7" t="str">
        <f aca="false">IF(H398&gt;=I398,"OK","FLOOR ALTI")</f>
        <v>OK</v>
      </c>
    </row>
    <row r="399" customFormat="false" ht="15" hidden="false" customHeight="false" outlineLevel="0" collapsed="false">
      <c r="A399" s="7" t="s">
        <v>50</v>
      </c>
      <c r="B399" s="7" t="n">
        <v>10</v>
      </c>
      <c r="C399" s="7" t="n">
        <v>11</v>
      </c>
      <c r="D399" s="8" t="n">
        <v>11.87</v>
      </c>
      <c r="E399" s="9" t="n">
        <f aca="false">ROUND(D399*ASM!$B$8*IF(A399="10K",ASM!$B$11,IF(A399="14K",ASM!$B$12,ASM!$B$13))*(1+ASM!$B$3)+ASM!$B$16+ASM!$B$5+ASM!$B$6,2)</f>
        <v>1322.59</v>
      </c>
      <c r="F399" s="7" t="n">
        <f aca="false">ROUND((D399*ASM!$B$8*IF(A399="10K",ASM!$B$11,IF(A399="14K",ASM!$B$12,ASM!$B$13))*(1+ASM!$B$3)+ASM!$B$16+ASM!$B$5+ASM!$B$6)*IF(B399&lt;=7,ASM!$B$7,ASM!$B$17),0)</f>
        <v>2645</v>
      </c>
      <c r="G399" s="10" t="n">
        <f aca="false">CEILING(F399/0.75,5)</f>
        <v>3530</v>
      </c>
      <c r="H399" s="9" t="n">
        <f aca="false">G399*0.75</f>
        <v>2647.5</v>
      </c>
      <c r="I399" s="7" t="n">
        <f aca="false">ROUND((E399+0.45)/(1-ASM!$B$9),0)</f>
        <v>1478</v>
      </c>
      <c r="J399" s="7" t="n">
        <f aca="false">ROUND((E399+0.45)/(1-ASM!$B$9-ASM!$B$10),0)</f>
        <v>1776</v>
      </c>
      <c r="K399" s="7" t="str">
        <f aca="false">IF(H399&gt;=I399,"OK","FLOOR ALTI")</f>
        <v>OK</v>
      </c>
    </row>
    <row r="400" customFormat="false" ht="15" hidden="false" customHeight="false" outlineLevel="0" collapsed="false">
      <c r="A400" s="7" t="s">
        <v>50</v>
      </c>
      <c r="B400" s="7" t="n">
        <v>10</v>
      </c>
      <c r="C400" s="7" t="n">
        <v>12</v>
      </c>
      <c r="D400" s="8" t="n">
        <v>12.3</v>
      </c>
      <c r="E400" s="9" t="n">
        <f aca="false">ROUND(D400*ASM!$B$8*IF(A400="10K",ASM!$B$11,IF(A400="14K",ASM!$B$12,ASM!$B$13))*(1+ASM!$B$3)+ASM!$B$16+ASM!$B$5+ASM!$B$6,2)</f>
        <v>1367.97</v>
      </c>
      <c r="F400" s="7" t="n">
        <f aca="false">ROUND((D400*ASM!$B$8*IF(A400="10K",ASM!$B$11,IF(A400="14K",ASM!$B$12,ASM!$B$13))*(1+ASM!$B$3)+ASM!$B$16+ASM!$B$5+ASM!$B$6)*IF(B400&lt;=7,ASM!$B$7,ASM!$B$17),0)</f>
        <v>2736</v>
      </c>
      <c r="G400" s="10" t="n">
        <f aca="false">CEILING(F400/0.75,5)</f>
        <v>3650</v>
      </c>
      <c r="H400" s="9" t="n">
        <f aca="false">G400*0.75</f>
        <v>2737.5</v>
      </c>
      <c r="I400" s="7" t="n">
        <f aca="false">ROUND((E400+0.45)/(1-ASM!$B$9),0)</f>
        <v>1529</v>
      </c>
      <c r="J400" s="7" t="n">
        <f aca="false">ROUND((E400+0.45)/(1-ASM!$B$9-ASM!$B$10),0)</f>
        <v>1837</v>
      </c>
      <c r="K400" s="7" t="str">
        <f aca="false">IF(H400&gt;=I400,"OK","FLOOR ALTI")</f>
        <v>OK</v>
      </c>
    </row>
    <row r="401" customFormat="false" ht="15" hidden="false" customHeight="false" outlineLevel="0" collapsed="false">
      <c r="A401" s="7" t="s">
        <v>50</v>
      </c>
      <c r="B401" s="7" t="n">
        <v>10</v>
      </c>
      <c r="C401" s="7" t="n">
        <v>13</v>
      </c>
      <c r="D401" s="8" t="n">
        <v>12.73</v>
      </c>
      <c r="E401" s="9" t="n">
        <f aca="false">ROUND(D401*ASM!$B$8*IF(A401="10K",ASM!$B$11,IF(A401="14K",ASM!$B$12,ASM!$B$13))*(1+ASM!$B$3)+ASM!$B$16+ASM!$B$5+ASM!$B$6,2)</f>
        <v>1413.34</v>
      </c>
      <c r="F401" s="7" t="n">
        <f aca="false">ROUND((D401*ASM!$B$8*IF(A401="10K",ASM!$B$11,IF(A401="14K",ASM!$B$12,ASM!$B$13))*(1+ASM!$B$3)+ASM!$B$16+ASM!$B$5+ASM!$B$6)*IF(B401&lt;=7,ASM!$B$7,ASM!$B$17),0)</f>
        <v>2827</v>
      </c>
      <c r="G401" s="10" t="n">
        <f aca="false">CEILING(F401/0.75,5)</f>
        <v>3770</v>
      </c>
      <c r="H401" s="9" t="n">
        <f aca="false">G401*0.75</f>
        <v>2827.5</v>
      </c>
      <c r="I401" s="7" t="n">
        <f aca="false">ROUND((E401+0.45)/(1-ASM!$B$9),0)</f>
        <v>1580</v>
      </c>
      <c r="J401" s="7" t="n">
        <f aca="false">ROUND((E401+0.45)/(1-ASM!$B$9-ASM!$B$10),0)</f>
        <v>1898</v>
      </c>
      <c r="K401" s="7" t="str">
        <f aca="false">IF(H401&gt;=I401,"OK","FLOOR ALTI")</f>
        <v>OK</v>
      </c>
    </row>
    <row r="402" customFormat="false" ht="15" hidden="false" customHeight="false" outlineLevel="0" collapsed="false">
      <c r="A402" s="7" t="s">
        <v>50</v>
      </c>
      <c r="B402" s="7" t="n">
        <v>10</v>
      </c>
      <c r="C402" s="7" t="n">
        <v>14</v>
      </c>
      <c r="D402" s="8" t="n">
        <v>13.16</v>
      </c>
      <c r="E402" s="9" t="n">
        <f aca="false">ROUND(D402*ASM!$B$8*IF(A402="10K",ASM!$B$11,IF(A402="14K",ASM!$B$12,ASM!$B$13))*(1+ASM!$B$3)+ASM!$B$16+ASM!$B$5+ASM!$B$6,2)</f>
        <v>1458.72</v>
      </c>
      <c r="F402" s="7" t="n">
        <f aca="false">ROUND((D402*ASM!$B$8*IF(A402="10K",ASM!$B$11,IF(A402="14K",ASM!$B$12,ASM!$B$13))*(1+ASM!$B$3)+ASM!$B$16+ASM!$B$5+ASM!$B$6)*IF(B402&lt;=7,ASM!$B$7,ASM!$B$17),0)</f>
        <v>2917</v>
      </c>
      <c r="G402" s="10" t="n">
        <f aca="false">CEILING(F402/0.75,5)</f>
        <v>3890</v>
      </c>
      <c r="H402" s="9" t="n">
        <f aca="false">G402*0.75</f>
        <v>2917.5</v>
      </c>
      <c r="I402" s="7" t="n">
        <f aca="false">ROUND((E402+0.45)/(1-ASM!$B$9),0)</f>
        <v>1630</v>
      </c>
      <c r="J402" s="7" t="n">
        <f aca="false">ROUND((E402+0.45)/(1-ASM!$B$9-ASM!$B$10),0)</f>
        <v>1959</v>
      </c>
      <c r="K402" s="7" t="str">
        <f aca="false">IF(H402&gt;=I402,"OK","FLOOR ALTI")</f>
        <v>OK</v>
      </c>
    </row>
    <row r="403" customFormat="false" ht="15" hidden="false" customHeight="false" outlineLevel="0" collapsed="false">
      <c r="A403" s="7" t="s">
        <v>50</v>
      </c>
      <c r="B403" s="7" t="n">
        <v>10</v>
      </c>
      <c r="C403" s="7" t="n">
        <v>15</v>
      </c>
      <c r="D403" s="8" t="n">
        <v>13.59</v>
      </c>
      <c r="E403" s="9" t="n">
        <f aca="false">ROUND(D403*ASM!$B$8*IF(A403="10K",ASM!$B$11,IF(A403="14K",ASM!$B$12,ASM!$B$13))*(1+ASM!$B$3)+ASM!$B$16+ASM!$B$5+ASM!$B$6,2)</f>
        <v>1504.1</v>
      </c>
      <c r="F403" s="7" t="n">
        <f aca="false">ROUND((D403*ASM!$B$8*IF(A403="10K",ASM!$B$11,IF(A403="14K",ASM!$B$12,ASM!$B$13))*(1+ASM!$B$3)+ASM!$B$16+ASM!$B$5+ASM!$B$6)*IF(B403&lt;=7,ASM!$B$7,ASM!$B$17),0)</f>
        <v>3008</v>
      </c>
      <c r="G403" s="10" t="n">
        <f aca="false">CEILING(F403/0.75,5)</f>
        <v>4015</v>
      </c>
      <c r="H403" s="9" t="n">
        <f aca="false">G403*0.75</f>
        <v>3011.25</v>
      </c>
      <c r="I403" s="7" t="n">
        <f aca="false">ROUND((E403+0.45)/(1-ASM!$B$9),0)</f>
        <v>1681</v>
      </c>
      <c r="J403" s="7" t="n">
        <f aca="false">ROUND((E403+0.45)/(1-ASM!$B$9-ASM!$B$10),0)</f>
        <v>2020</v>
      </c>
      <c r="K403" s="7" t="str">
        <f aca="false">IF(H403&gt;=I403,"OK","FLOOR ALTI")</f>
        <v>OK</v>
      </c>
    </row>
    <row r="404" customFormat="false" ht="15" hidden="false" customHeight="false" outlineLevel="0" collapsed="false">
      <c r="A404" s="7" t="s">
        <v>50</v>
      </c>
      <c r="B404" s="7" t="n">
        <v>10</v>
      </c>
      <c r="C404" s="7" t="n">
        <v>16</v>
      </c>
      <c r="D404" s="8" t="n">
        <v>14.02</v>
      </c>
      <c r="E404" s="9" t="n">
        <f aca="false">ROUND(D404*ASM!$B$8*IF(A404="10K",ASM!$B$11,IF(A404="14K",ASM!$B$12,ASM!$B$13))*(1+ASM!$B$3)+ASM!$B$16+ASM!$B$5+ASM!$B$6,2)</f>
        <v>1549.47</v>
      </c>
      <c r="F404" s="7" t="n">
        <f aca="false">ROUND((D404*ASM!$B$8*IF(A404="10K",ASM!$B$11,IF(A404="14K",ASM!$B$12,ASM!$B$13))*(1+ASM!$B$3)+ASM!$B$16+ASM!$B$5+ASM!$B$6)*IF(B404&lt;=7,ASM!$B$7,ASM!$B$17),0)</f>
        <v>3099</v>
      </c>
      <c r="G404" s="10" t="n">
        <f aca="false">CEILING(F404/0.75,5)</f>
        <v>4135</v>
      </c>
      <c r="H404" s="9" t="n">
        <f aca="false">G404*0.75</f>
        <v>3101.25</v>
      </c>
      <c r="I404" s="7" t="n">
        <f aca="false">ROUND((E404+0.45)/(1-ASM!$B$9),0)</f>
        <v>1732</v>
      </c>
      <c r="J404" s="7" t="n">
        <f aca="false">ROUND((E404+0.45)/(1-ASM!$B$9-ASM!$B$10),0)</f>
        <v>2080</v>
      </c>
      <c r="K404" s="7" t="str">
        <f aca="false">IF(H404&gt;=I404,"OK","FLOOR ALTI")</f>
        <v>OK</v>
      </c>
    </row>
    <row r="405" customFormat="false" ht="15" hidden="false" customHeight="false" outlineLevel="0" collapsed="false">
      <c r="A405" s="7" t="s">
        <v>50</v>
      </c>
      <c r="B405" s="7" t="n">
        <v>11</v>
      </c>
      <c r="C405" s="7" t="n">
        <v>4</v>
      </c>
      <c r="D405" s="8" t="n">
        <v>9.75</v>
      </c>
      <c r="E405" s="9" t="n">
        <f aca="false">ROUND(D405*ASM!$B$8*IF(A405="10K",ASM!$B$11,IF(A405="14K",ASM!$B$12,ASM!$B$13))*(1+ASM!$B$3)+ASM!$B$16+ASM!$B$5+ASM!$B$6,2)</f>
        <v>1098.88</v>
      </c>
      <c r="F405" s="7" t="n">
        <f aca="false">ROUND((D405*ASM!$B$8*IF(A405="10K",ASM!$B$11,IF(A405="14K",ASM!$B$12,ASM!$B$13))*(1+ASM!$B$3)+ASM!$B$16+ASM!$B$5+ASM!$B$6)*IF(B405&lt;=7,ASM!$B$7,ASM!$B$17),0)</f>
        <v>2198</v>
      </c>
      <c r="G405" s="10" t="n">
        <f aca="false">CEILING(F405/0.75,5)</f>
        <v>2935</v>
      </c>
      <c r="H405" s="9" t="n">
        <f aca="false">G405*0.75</f>
        <v>2201.25</v>
      </c>
      <c r="I405" s="7" t="n">
        <f aca="false">ROUND((E405+0.45)/(1-ASM!$B$9),0)</f>
        <v>1228</v>
      </c>
      <c r="J405" s="7" t="n">
        <f aca="false">ROUND((E405+0.45)/(1-ASM!$B$9-ASM!$B$10),0)</f>
        <v>1476</v>
      </c>
      <c r="K405" s="7" t="str">
        <f aca="false">IF(H405&gt;=I405,"OK","FLOOR ALTI")</f>
        <v>OK</v>
      </c>
    </row>
    <row r="406" customFormat="false" ht="15" hidden="false" customHeight="false" outlineLevel="0" collapsed="false">
      <c r="A406" s="7" t="s">
        <v>50</v>
      </c>
      <c r="B406" s="7" t="n">
        <v>11</v>
      </c>
      <c r="C406" s="7" t="n">
        <v>5</v>
      </c>
      <c r="D406" s="8" t="n">
        <v>10.22</v>
      </c>
      <c r="E406" s="9" t="n">
        <f aca="false">ROUND(D406*ASM!$B$8*IF(A406="10K",ASM!$B$11,IF(A406="14K",ASM!$B$12,ASM!$B$13))*(1+ASM!$B$3)+ASM!$B$16+ASM!$B$5+ASM!$B$6,2)</f>
        <v>1148.47</v>
      </c>
      <c r="F406" s="7" t="n">
        <f aca="false">ROUND((D406*ASM!$B$8*IF(A406="10K",ASM!$B$11,IF(A406="14K",ASM!$B$12,ASM!$B$13))*(1+ASM!$B$3)+ASM!$B$16+ASM!$B$5+ASM!$B$6)*IF(B406&lt;=7,ASM!$B$7,ASM!$B$17),0)</f>
        <v>2297</v>
      </c>
      <c r="G406" s="10" t="n">
        <f aca="false">CEILING(F406/0.75,5)</f>
        <v>3065</v>
      </c>
      <c r="H406" s="9" t="n">
        <f aca="false">G406*0.75</f>
        <v>2298.75</v>
      </c>
      <c r="I406" s="7" t="n">
        <f aca="false">ROUND((E406+0.45)/(1-ASM!$B$9),0)</f>
        <v>1284</v>
      </c>
      <c r="J406" s="7" t="n">
        <f aca="false">ROUND((E406+0.45)/(1-ASM!$B$9-ASM!$B$10),0)</f>
        <v>1542</v>
      </c>
      <c r="K406" s="7" t="str">
        <f aca="false">IF(H406&gt;=I406,"OK","FLOOR ALTI")</f>
        <v>OK</v>
      </c>
    </row>
    <row r="407" customFormat="false" ht="15" hidden="false" customHeight="false" outlineLevel="0" collapsed="false">
      <c r="A407" s="7" t="s">
        <v>50</v>
      </c>
      <c r="B407" s="7" t="n">
        <v>11</v>
      </c>
      <c r="C407" s="7" t="n">
        <v>6</v>
      </c>
      <c r="D407" s="8" t="n">
        <v>10.7</v>
      </c>
      <c r="E407" s="9" t="n">
        <f aca="false">ROUND(D407*ASM!$B$8*IF(A407="10K",ASM!$B$11,IF(A407="14K",ASM!$B$12,ASM!$B$13))*(1+ASM!$B$3)+ASM!$B$16+ASM!$B$5+ASM!$B$6,2)</f>
        <v>1199.13</v>
      </c>
      <c r="F407" s="7" t="n">
        <f aca="false">ROUND((D407*ASM!$B$8*IF(A407="10K",ASM!$B$11,IF(A407="14K",ASM!$B$12,ASM!$B$13))*(1+ASM!$B$3)+ASM!$B$16+ASM!$B$5+ASM!$B$6)*IF(B407&lt;=7,ASM!$B$7,ASM!$B$17),0)</f>
        <v>2398</v>
      </c>
      <c r="G407" s="10" t="n">
        <f aca="false">CEILING(F407/0.75,5)</f>
        <v>3200</v>
      </c>
      <c r="H407" s="9" t="n">
        <f aca="false">G407*0.75</f>
        <v>2400</v>
      </c>
      <c r="I407" s="7" t="n">
        <f aca="false">ROUND((E407+0.45)/(1-ASM!$B$9),0)</f>
        <v>1340</v>
      </c>
      <c r="J407" s="7" t="n">
        <f aca="false">ROUND((E407+0.45)/(1-ASM!$B$9-ASM!$B$10),0)</f>
        <v>1610</v>
      </c>
      <c r="K407" s="7" t="str">
        <f aca="false">IF(H407&gt;=I407,"OK","FLOOR ALTI")</f>
        <v>OK</v>
      </c>
    </row>
    <row r="408" customFormat="false" ht="15" hidden="false" customHeight="false" outlineLevel="0" collapsed="false">
      <c r="A408" s="7" t="s">
        <v>50</v>
      </c>
      <c r="B408" s="7" t="n">
        <v>11</v>
      </c>
      <c r="C408" s="7" t="n">
        <v>7</v>
      </c>
      <c r="D408" s="8" t="n">
        <v>11.17</v>
      </c>
      <c r="E408" s="9" t="n">
        <f aca="false">ROUND(D408*ASM!$B$8*IF(A408="10K",ASM!$B$11,IF(A408="14K",ASM!$B$12,ASM!$B$13))*(1+ASM!$B$3)+ASM!$B$16+ASM!$B$5+ASM!$B$6,2)</f>
        <v>1248.72</v>
      </c>
      <c r="F408" s="7" t="n">
        <f aca="false">ROUND((D408*ASM!$B$8*IF(A408="10K",ASM!$B$11,IF(A408="14K",ASM!$B$12,ASM!$B$13))*(1+ASM!$B$3)+ASM!$B$16+ASM!$B$5+ASM!$B$6)*IF(B408&lt;=7,ASM!$B$7,ASM!$B$17),0)</f>
        <v>2497</v>
      </c>
      <c r="G408" s="10" t="n">
        <f aca="false">CEILING(F408/0.75,5)</f>
        <v>3330</v>
      </c>
      <c r="H408" s="9" t="n">
        <f aca="false">G408*0.75</f>
        <v>2497.5</v>
      </c>
      <c r="I408" s="7" t="n">
        <f aca="false">ROUND((E408+0.45)/(1-ASM!$B$9),0)</f>
        <v>1396</v>
      </c>
      <c r="J408" s="7" t="n">
        <f aca="false">ROUND((E408+0.45)/(1-ASM!$B$9-ASM!$B$10),0)</f>
        <v>1677</v>
      </c>
      <c r="K408" s="7" t="str">
        <f aca="false">IF(H408&gt;=I408,"OK","FLOOR ALTI")</f>
        <v>OK</v>
      </c>
    </row>
    <row r="409" customFormat="false" ht="15" hidden="false" customHeight="false" outlineLevel="0" collapsed="false">
      <c r="A409" s="7" t="s">
        <v>50</v>
      </c>
      <c r="B409" s="7" t="n">
        <v>11</v>
      </c>
      <c r="C409" s="7" t="n">
        <v>8</v>
      </c>
      <c r="D409" s="8" t="n">
        <v>11.64</v>
      </c>
      <c r="E409" s="9" t="n">
        <f aca="false">ROUND(D409*ASM!$B$8*IF(A409="10K",ASM!$B$11,IF(A409="14K",ASM!$B$12,ASM!$B$13))*(1+ASM!$B$3)+ASM!$B$16+ASM!$B$5+ASM!$B$6,2)</f>
        <v>1298.32</v>
      </c>
      <c r="F409" s="7" t="n">
        <f aca="false">ROUND((D409*ASM!$B$8*IF(A409="10K",ASM!$B$11,IF(A409="14K",ASM!$B$12,ASM!$B$13))*(1+ASM!$B$3)+ASM!$B$16+ASM!$B$5+ASM!$B$6)*IF(B409&lt;=7,ASM!$B$7,ASM!$B$17),0)</f>
        <v>2597</v>
      </c>
      <c r="G409" s="10" t="n">
        <f aca="false">CEILING(F409/0.75,5)</f>
        <v>3465</v>
      </c>
      <c r="H409" s="9" t="n">
        <f aca="false">G409*0.75</f>
        <v>2598.75</v>
      </c>
      <c r="I409" s="7" t="n">
        <f aca="false">ROUND((E409+0.45)/(1-ASM!$B$9),0)</f>
        <v>1451</v>
      </c>
      <c r="J409" s="7" t="n">
        <f aca="false">ROUND((E409+0.45)/(1-ASM!$B$9-ASM!$B$10),0)</f>
        <v>1743</v>
      </c>
      <c r="K409" s="7" t="str">
        <f aca="false">IF(H409&gt;=I409,"OK","FLOOR ALTI")</f>
        <v>OK</v>
      </c>
    </row>
    <row r="410" customFormat="false" ht="15" hidden="false" customHeight="false" outlineLevel="0" collapsed="false">
      <c r="A410" s="7" t="s">
        <v>50</v>
      </c>
      <c r="B410" s="7" t="n">
        <v>11</v>
      </c>
      <c r="C410" s="7" t="n">
        <v>9</v>
      </c>
      <c r="D410" s="8" t="n">
        <v>12.11</v>
      </c>
      <c r="E410" s="9" t="n">
        <f aca="false">ROUND(D410*ASM!$B$8*IF(A410="10K",ASM!$B$11,IF(A410="14K",ASM!$B$12,ASM!$B$13))*(1+ASM!$B$3)+ASM!$B$16+ASM!$B$5+ASM!$B$6,2)</f>
        <v>1347.92</v>
      </c>
      <c r="F410" s="7" t="n">
        <f aca="false">ROUND((D410*ASM!$B$8*IF(A410="10K",ASM!$B$11,IF(A410="14K",ASM!$B$12,ASM!$B$13))*(1+ASM!$B$3)+ASM!$B$16+ASM!$B$5+ASM!$B$6)*IF(B410&lt;=7,ASM!$B$7,ASM!$B$17),0)</f>
        <v>2696</v>
      </c>
      <c r="G410" s="10" t="n">
        <f aca="false">CEILING(F410/0.75,5)</f>
        <v>3595</v>
      </c>
      <c r="H410" s="9" t="n">
        <f aca="false">G410*0.75</f>
        <v>2696.25</v>
      </c>
      <c r="I410" s="7" t="n">
        <f aca="false">ROUND((E410+0.45)/(1-ASM!$B$9),0)</f>
        <v>1507</v>
      </c>
      <c r="J410" s="7" t="n">
        <f aca="false">ROUND((E410+0.45)/(1-ASM!$B$9-ASM!$B$10),0)</f>
        <v>1810</v>
      </c>
      <c r="K410" s="7" t="str">
        <f aca="false">IF(H410&gt;=I410,"OK","FLOOR ALTI")</f>
        <v>OK</v>
      </c>
    </row>
    <row r="411" customFormat="false" ht="15" hidden="false" customHeight="false" outlineLevel="0" collapsed="false">
      <c r="A411" s="7" t="s">
        <v>50</v>
      </c>
      <c r="B411" s="7" t="n">
        <v>11</v>
      </c>
      <c r="C411" s="7" t="n">
        <v>10</v>
      </c>
      <c r="D411" s="8" t="n">
        <v>12.59</v>
      </c>
      <c r="E411" s="9" t="n">
        <f aca="false">ROUND(D411*ASM!$B$8*IF(A411="10K",ASM!$B$11,IF(A411="14K",ASM!$B$12,ASM!$B$13))*(1+ASM!$B$3)+ASM!$B$16+ASM!$B$5+ASM!$B$6,2)</f>
        <v>1398.57</v>
      </c>
      <c r="F411" s="7" t="n">
        <f aca="false">ROUND((D411*ASM!$B$8*IF(A411="10K",ASM!$B$11,IF(A411="14K",ASM!$B$12,ASM!$B$13))*(1+ASM!$B$3)+ASM!$B$16+ASM!$B$5+ASM!$B$6)*IF(B411&lt;=7,ASM!$B$7,ASM!$B$17),0)</f>
        <v>2797</v>
      </c>
      <c r="G411" s="10" t="n">
        <f aca="false">CEILING(F411/0.75,5)</f>
        <v>3730</v>
      </c>
      <c r="H411" s="9" t="n">
        <f aca="false">G411*0.75</f>
        <v>2797.5</v>
      </c>
      <c r="I411" s="7" t="n">
        <f aca="false">ROUND((E411+0.45)/(1-ASM!$B$9),0)</f>
        <v>1563</v>
      </c>
      <c r="J411" s="7" t="n">
        <f aca="false">ROUND((E411+0.45)/(1-ASM!$B$9-ASM!$B$10),0)</f>
        <v>1878</v>
      </c>
      <c r="K411" s="7" t="str">
        <f aca="false">IF(H411&gt;=I411,"OK","FLOOR ALTI")</f>
        <v>OK</v>
      </c>
    </row>
    <row r="412" customFormat="false" ht="15" hidden="false" customHeight="false" outlineLevel="0" collapsed="false">
      <c r="A412" s="7" t="s">
        <v>50</v>
      </c>
      <c r="B412" s="7" t="n">
        <v>11</v>
      </c>
      <c r="C412" s="7" t="n">
        <v>11</v>
      </c>
      <c r="D412" s="8" t="n">
        <v>13.06</v>
      </c>
      <c r="E412" s="9" t="n">
        <f aca="false">ROUND(D412*ASM!$B$8*IF(A412="10K",ASM!$B$11,IF(A412="14K",ASM!$B$12,ASM!$B$13))*(1+ASM!$B$3)+ASM!$B$16+ASM!$B$5+ASM!$B$6,2)</f>
        <v>1448.17</v>
      </c>
      <c r="F412" s="7" t="n">
        <f aca="false">ROUND((D412*ASM!$B$8*IF(A412="10K",ASM!$B$11,IF(A412="14K",ASM!$B$12,ASM!$B$13))*(1+ASM!$B$3)+ASM!$B$16+ASM!$B$5+ASM!$B$6)*IF(B412&lt;=7,ASM!$B$7,ASM!$B$17),0)</f>
        <v>2896</v>
      </c>
      <c r="G412" s="10" t="n">
        <f aca="false">CEILING(F412/0.75,5)</f>
        <v>3865</v>
      </c>
      <c r="H412" s="9" t="n">
        <f aca="false">G412*0.75</f>
        <v>2898.75</v>
      </c>
      <c r="I412" s="7" t="n">
        <f aca="false">ROUND((E412+0.45)/(1-ASM!$B$9),0)</f>
        <v>1619</v>
      </c>
      <c r="J412" s="7" t="n">
        <f aca="false">ROUND((E412+0.45)/(1-ASM!$B$9-ASM!$B$10),0)</f>
        <v>1944</v>
      </c>
      <c r="K412" s="7" t="str">
        <f aca="false">IF(H412&gt;=I412,"OK","FLOOR ALTI")</f>
        <v>OK</v>
      </c>
    </row>
    <row r="413" customFormat="false" ht="15" hidden="false" customHeight="false" outlineLevel="0" collapsed="false">
      <c r="A413" s="7" t="s">
        <v>50</v>
      </c>
      <c r="B413" s="7" t="n">
        <v>11</v>
      </c>
      <c r="C413" s="7" t="n">
        <v>12</v>
      </c>
      <c r="D413" s="8" t="n">
        <v>13.53</v>
      </c>
      <c r="E413" s="9" t="n">
        <f aca="false">ROUND(D413*ASM!$B$8*IF(A413="10K",ASM!$B$11,IF(A413="14K",ASM!$B$12,ASM!$B$13))*(1+ASM!$B$3)+ASM!$B$16+ASM!$B$5+ASM!$B$6,2)</f>
        <v>1497.77</v>
      </c>
      <c r="F413" s="7" t="n">
        <f aca="false">ROUND((D413*ASM!$B$8*IF(A413="10K",ASM!$B$11,IF(A413="14K",ASM!$B$12,ASM!$B$13))*(1+ASM!$B$3)+ASM!$B$16+ASM!$B$5+ASM!$B$6)*IF(B413&lt;=7,ASM!$B$7,ASM!$B$17),0)</f>
        <v>2996</v>
      </c>
      <c r="G413" s="10" t="n">
        <f aca="false">CEILING(F413/0.75,5)</f>
        <v>3995</v>
      </c>
      <c r="H413" s="9" t="n">
        <f aca="false">G413*0.75</f>
        <v>2996.25</v>
      </c>
      <c r="I413" s="7" t="n">
        <f aca="false">ROUND((E413+0.45)/(1-ASM!$B$9),0)</f>
        <v>1674</v>
      </c>
      <c r="J413" s="7" t="n">
        <f aca="false">ROUND((E413+0.45)/(1-ASM!$B$9-ASM!$B$10),0)</f>
        <v>2011</v>
      </c>
      <c r="K413" s="7" t="str">
        <f aca="false">IF(H413&gt;=I413,"OK","FLOOR ALTI")</f>
        <v>OK</v>
      </c>
    </row>
    <row r="414" customFormat="false" ht="15" hidden="false" customHeight="false" outlineLevel="0" collapsed="false">
      <c r="A414" s="7" t="s">
        <v>50</v>
      </c>
      <c r="B414" s="7" t="n">
        <v>11</v>
      </c>
      <c r="C414" s="7" t="n">
        <v>13</v>
      </c>
      <c r="D414" s="8" t="n">
        <v>14.01</v>
      </c>
      <c r="E414" s="9" t="n">
        <f aca="false">ROUND(D414*ASM!$B$8*IF(A414="10K",ASM!$B$11,IF(A414="14K",ASM!$B$12,ASM!$B$13))*(1+ASM!$B$3)+ASM!$B$16+ASM!$B$5+ASM!$B$6,2)</f>
        <v>1548.42</v>
      </c>
      <c r="F414" s="7" t="n">
        <f aca="false">ROUND((D414*ASM!$B$8*IF(A414="10K",ASM!$B$11,IF(A414="14K",ASM!$B$12,ASM!$B$13))*(1+ASM!$B$3)+ASM!$B$16+ASM!$B$5+ASM!$B$6)*IF(B414&lt;=7,ASM!$B$7,ASM!$B$17),0)</f>
        <v>3097</v>
      </c>
      <c r="G414" s="10" t="n">
        <f aca="false">CEILING(F414/0.75,5)</f>
        <v>4130</v>
      </c>
      <c r="H414" s="9" t="n">
        <f aca="false">G414*0.75</f>
        <v>3097.5</v>
      </c>
      <c r="I414" s="7" t="n">
        <f aca="false">ROUND((E414+0.45)/(1-ASM!$B$9),0)</f>
        <v>1731</v>
      </c>
      <c r="J414" s="7" t="n">
        <f aca="false">ROUND((E414+0.45)/(1-ASM!$B$9-ASM!$B$10),0)</f>
        <v>2079</v>
      </c>
      <c r="K414" s="7" t="str">
        <f aca="false">IF(H414&gt;=I414,"OK","FLOOR ALTI")</f>
        <v>OK</v>
      </c>
    </row>
    <row r="415" customFormat="false" ht="15" hidden="false" customHeight="false" outlineLevel="0" collapsed="false">
      <c r="A415" s="7" t="s">
        <v>50</v>
      </c>
      <c r="B415" s="7" t="n">
        <v>11</v>
      </c>
      <c r="C415" s="7" t="n">
        <v>14</v>
      </c>
      <c r="D415" s="8" t="n">
        <v>14.48</v>
      </c>
      <c r="E415" s="9" t="n">
        <f aca="false">ROUND(D415*ASM!$B$8*IF(A415="10K",ASM!$B$11,IF(A415="14K",ASM!$B$12,ASM!$B$13))*(1+ASM!$B$3)+ASM!$B$16+ASM!$B$5+ASM!$B$6,2)</f>
        <v>1598.02</v>
      </c>
      <c r="F415" s="7" t="n">
        <f aca="false">ROUND((D415*ASM!$B$8*IF(A415="10K",ASM!$B$11,IF(A415="14K",ASM!$B$12,ASM!$B$13))*(1+ASM!$B$3)+ASM!$B$16+ASM!$B$5+ASM!$B$6)*IF(B415&lt;=7,ASM!$B$7,ASM!$B$17),0)</f>
        <v>3196</v>
      </c>
      <c r="G415" s="10" t="n">
        <f aca="false">CEILING(F415/0.75,5)</f>
        <v>4265</v>
      </c>
      <c r="H415" s="9" t="n">
        <f aca="false">G415*0.75</f>
        <v>3198.75</v>
      </c>
      <c r="I415" s="7" t="n">
        <f aca="false">ROUND((E415+0.45)/(1-ASM!$B$9),0)</f>
        <v>1786</v>
      </c>
      <c r="J415" s="7" t="n">
        <f aca="false">ROUND((E415+0.45)/(1-ASM!$B$9-ASM!$B$10),0)</f>
        <v>2146</v>
      </c>
      <c r="K415" s="7" t="str">
        <f aca="false">IF(H415&gt;=I415,"OK","FLOOR ALTI")</f>
        <v>OK</v>
      </c>
    </row>
    <row r="416" customFormat="false" ht="15" hidden="false" customHeight="false" outlineLevel="0" collapsed="false">
      <c r="A416" s="7" t="s">
        <v>50</v>
      </c>
      <c r="B416" s="7" t="n">
        <v>11</v>
      </c>
      <c r="C416" s="7" t="n">
        <v>15</v>
      </c>
      <c r="D416" s="8" t="n">
        <v>14.95</v>
      </c>
      <c r="E416" s="9" t="n">
        <f aca="false">ROUND(D416*ASM!$B$8*IF(A416="10K",ASM!$B$11,IF(A416="14K",ASM!$B$12,ASM!$B$13))*(1+ASM!$B$3)+ASM!$B$16+ASM!$B$5+ASM!$B$6,2)</f>
        <v>1647.61</v>
      </c>
      <c r="F416" s="7" t="n">
        <f aca="false">ROUND((D416*ASM!$B$8*IF(A416="10K",ASM!$B$11,IF(A416="14K",ASM!$B$12,ASM!$B$13))*(1+ASM!$B$3)+ASM!$B$16+ASM!$B$5+ASM!$B$6)*IF(B416&lt;=7,ASM!$B$7,ASM!$B$17),0)</f>
        <v>3295</v>
      </c>
      <c r="G416" s="10" t="n">
        <f aca="false">CEILING(F416/0.75,5)</f>
        <v>4395</v>
      </c>
      <c r="H416" s="9" t="n">
        <f aca="false">G416*0.75</f>
        <v>3296.25</v>
      </c>
      <c r="I416" s="7" t="n">
        <f aca="false">ROUND((E416+0.45)/(1-ASM!$B$9),0)</f>
        <v>1841</v>
      </c>
      <c r="J416" s="7" t="n">
        <f aca="false">ROUND((E416+0.45)/(1-ASM!$B$9-ASM!$B$10),0)</f>
        <v>2212</v>
      </c>
      <c r="K416" s="7" t="str">
        <f aca="false">IF(H416&gt;=I416,"OK","FLOOR ALTI")</f>
        <v>OK</v>
      </c>
    </row>
    <row r="417" customFormat="false" ht="15" hidden="false" customHeight="false" outlineLevel="0" collapsed="false">
      <c r="A417" s="7" t="s">
        <v>50</v>
      </c>
      <c r="B417" s="7" t="n">
        <v>11</v>
      </c>
      <c r="C417" s="7" t="n">
        <v>16</v>
      </c>
      <c r="D417" s="8" t="n">
        <v>15.42</v>
      </c>
      <c r="E417" s="9" t="n">
        <f aca="false">ROUND(D417*ASM!$B$8*IF(A417="10K",ASM!$B$11,IF(A417="14K",ASM!$B$12,ASM!$B$13))*(1+ASM!$B$3)+ASM!$B$16+ASM!$B$5+ASM!$B$6,2)</f>
        <v>1697.21</v>
      </c>
      <c r="F417" s="7" t="n">
        <f aca="false">ROUND((D417*ASM!$B$8*IF(A417="10K",ASM!$B$11,IF(A417="14K",ASM!$B$12,ASM!$B$13))*(1+ASM!$B$3)+ASM!$B$16+ASM!$B$5+ASM!$B$6)*IF(B417&lt;=7,ASM!$B$7,ASM!$B$17),0)</f>
        <v>3394</v>
      </c>
      <c r="G417" s="10" t="n">
        <f aca="false">CEILING(F417/0.75,5)</f>
        <v>4530</v>
      </c>
      <c r="H417" s="9" t="n">
        <f aca="false">G417*0.75</f>
        <v>3397.5</v>
      </c>
      <c r="I417" s="7" t="n">
        <f aca="false">ROUND((E417+0.45)/(1-ASM!$B$9),0)</f>
        <v>1897</v>
      </c>
      <c r="J417" s="7" t="n">
        <f aca="false">ROUND((E417+0.45)/(1-ASM!$B$9-ASM!$B$10),0)</f>
        <v>2279</v>
      </c>
      <c r="K417" s="7" t="str">
        <f aca="false">IF(H417&gt;=I417,"OK","FLOOR ALTI")</f>
        <v>OK</v>
      </c>
    </row>
    <row r="418" customFormat="false" ht="15" hidden="false" customHeight="false" outlineLevel="0" collapsed="false">
      <c r="A418" s="7" t="s">
        <v>50</v>
      </c>
      <c r="B418" s="7" t="n">
        <v>12</v>
      </c>
      <c r="C418" s="7" t="n">
        <v>4</v>
      </c>
      <c r="D418" s="8" t="n">
        <v>10.64</v>
      </c>
      <c r="E418" s="9" t="n">
        <f aca="false">ROUND(D418*ASM!$B$8*IF(A418="10K",ASM!$B$11,IF(A418="14K",ASM!$B$12,ASM!$B$13))*(1+ASM!$B$3)+ASM!$B$16+ASM!$B$5+ASM!$B$6,2)</f>
        <v>1192.8</v>
      </c>
      <c r="F418" s="7" t="n">
        <f aca="false">ROUND((D418*ASM!$B$8*IF(A418="10K",ASM!$B$11,IF(A418="14K",ASM!$B$12,ASM!$B$13))*(1+ASM!$B$3)+ASM!$B$16+ASM!$B$5+ASM!$B$6)*IF(B418&lt;=7,ASM!$B$7,ASM!$B$17),0)</f>
        <v>2386</v>
      </c>
      <c r="G418" s="10" t="n">
        <f aca="false">CEILING(F418/0.75,5)</f>
        <v>3185</v>
      </c>
      <c r="H418" s="9" t="n">
        <f aca="false">G418*0.75</f>
        <v>2388.75</v>
      </c>
      <c r="I418" s="7" t="n">
        <f aca="false">ROUND((E418+0.45)/(1-ASM!$B$9),0)</f>
        <v>1333</v>
      </c>
      <c r="J418" s="7" t="n">
        <f aca="false">ROUND((E418+0.45)/(1-ASM!$B$9-ASM!$B$10),0)</f>
        <v>1602</v>
      </c>
      <c r="K418" s="7" t="str">
        <f aca="false">IF(H418&gt;=I418,"OK","FLOOR ALTI")</f>
        <v>OK</v>
      </c>
    </row>
    <row r="419" customFormat="false" ht="15" hidden="false" customHeight="false" outlineLevel="0" collapsed="false">
      <c r="A419" s="7" t="s">
        <v>50</v>
      </c>
      <c r="B419" s="7" t="n">
        <v>12</v>
      </c>
      <c r="C419" s="7" t="n">
        <v>5</v>
      </c>
      <c r="D419" s="8" t="n">
        <v>11.15</v>
      </c>
      <c r="E419" s="9" t="n">
        <f aca="false">ROUND(D419*ASM!$B$8*IF(A419="10K",ASM!$B$11,IF(A419="14K",ASM!$B$12,ASM!$B$13))*(1+ASM!$B$3)+ASM!$B$16+ASM!$B$5+ASM!$B$6,2)</f>
        <v>1246.61</v>
      </c>
      <c r="F419" s="7" t="n">
        <f aca="false">ROUND((D419*ASM!$B$8*IF(A419="10K",ASM!$B$11,IF(A419="14K",ASM!$B$12,ASM!$B$13))*(1+ASM!$B$3)+ASM!$B$16+ASM!$B$5+ASM!$B$6)*IF(B419&lt;=7,ASM!$B$7,ASM!$B$17),0)</f>
        <v>2493</v>
      </c>
      <c r="G419" s="10" t="n">
        <f aca="false">CEILING(F419/0.75,5)</f>
        <v>3325</v>
      </c>
      <c r="H419" s="9" t="n">
        <f aca="false">G419*0.75</f>
        <v>2493.75</v>
      </c>
      <c r="I419" s="7" t="n">
        <f aca="false">ROUND((E419+0.45)/(1-ASM!$B$9),0)</f>
        <v>1393</v>
      </c>
      <c r="J419" s="7" t="n">
        <f aca="false">ROUND((E419+0.45)/(1-ASM!$B$9-ASM!$B$10),0)</f>
        <v>1674</v>
      </c>
      <c r="K419" s="7" t="str">
        <f aca="false">IF(H419&gt;=I419,"OK","FLOOR ALTI")</f>
        <v>OK</v>
      </c>
    </row>
    <row r="420" customFormat="false" ht="15" hidden="false" customHeight="false" outlineLevel="0" collapsed="false">
      <c r="A420" s="7" t="s">
        <v>50</v>
      </c>
      <c r="B420" s="7" t="n">
        <v>12</v>
      </c>
      <c r="C420" s="7" t="n">
        <v>6</v>
      </c>
      <c r="D420" s="8" t="n">
        <v>11.67</v>
      </c>
      <c r="E420" s="9" t="n">
        <f aca="false">ROUND(D420*ASM!$B$8*IF(A420="10K",ASM!$B$11,IF(A420="14K",ASM!$B$12,ASM!$B$13))*(1+ASM!$B$3)+ASM!$B$16+ASM!$B$5+ASM!$B$6,2)</f>
        <v>1301.49</v>
      </c>
      <c r="F420" s="7" t="n">
        <f aca="false">ROUND((D420*ASM!$B$8*IF(A420="10K",ASM!$B$11,IF(A420="14K",ASM!$B$12,ASM!$B$13))*(1+ASM!$B$3)+ASM!$B$16+ASM!$B$5+ASM!$B$6)*IF(B420&lt;=7,ASM!$B$7,ASM!$B$17),0)</f>
        <v>2603</v>
      </c>
      <c r="G420" s="10" t="n">
        <f aca="false">CEILING(F420/0.75,5)</f>
        <v>3475</v>
      </c>
      <c r="H420" s="9" t="n">
        <f aca="false">G420*0.75</f>
        <v>2606.25</v>
      </c>
      <c r="I420" s="7" t="n">
        <f aca="false">ROUND((E420+0.45)/(1-ASM!$B$9),0)</f>
        <v>1455</v>
      </c>
      <c r="J420" s="7" t="n">
        <f aca="false">ROUND((E420+0.45)/(1-ASM!$B$9-ASM!$B$10),0)</f>
        <v>1748</v>
      </c>
      <c r="K420" s="7" t="str">
        <f aca="false">IF(H420&gt;=I420,"OK","FLOOR ALTI")</f>
        <v>OK</v>
      </c>
    </row>
    <row r="421" customFormat="false" ht="15" hidden="false" customHeight="false" outlineLevel="0" collapsed="false">
      <c r="A421" s="7" t="s">
        <v>50</v>
      </c>
      <c r="B421" s="7" t="n">
        <v>12</v>
      </c>
      <c r="C421" s="7" t="n">
        <v>7</v>
      </c>
      <c r="D421" s="8" t="n">
        <v>12.18</v>
      </c>
      <c r="E421" s="9" t="n">
        <f aca="false">ROUND(D421*ASM!$B$8*IF(A421="10K",ASM!$B$11,IF(A421="14K",ASM!$B$12,ASM!$B$13))*(1+ASM!$B$3)+ASM!$B$16+ASM!$B$5+ASM!$B$6,2)</f>
        <v>1355.31</v>
      </c>
      <c r="F421" s="7" t="n">
        <f aca="false">ROUND((D421*ASM!$B$8*IF(A421="10K",ASM!$B$11,IF(A421="14K",ASM!$B$12,ASM!$B$13))*(1+ASM!$B$3)+ASM!$B$16+ASM!$B$5+ASM!$B$6)*IF(B421&lt;=7,ASM!$B$7,ASM!$B$17),0)</f>
        <v>2711</v>
      </c>
      <c r="G421" s="10" t="n">
        <f aca="false">CEILING(F421/0.75,5)</f>
        <v>3615</v>
      </c>
      <c r="H421" s="9" t="n">
        <f aca="false">G421*0.75</f>
        <v>2711.25</v>
      </c>
      <c r="I421" s="7" t="n">
        <f aca="false">ROUND((E421+0.45)/(1-ASM!$B$9),0)</f>
        <v>1515</v>
      </c>
      <c r="J421" s="7" t="n">
        <f aca="false">ROUND((E421+0.45)/(1-ASM!$B$9-ASM!$B$10),0)</f>
        <v>1820</v>
      </c>
      <c r="K421" s="7" t="str">
        <f aca="false">IF(H421&gt;=I421,"OK","FLOOR ALTI")</f>
        <v>OK</v>
      </c>
    </row>
    <row r="422" customFormat="false" ht="15" hidden="false" customHeight="false" outlineLevel="0" collapsed="false">
      <c r="A422" s="7" t="s">
        <v>50</v>
      </c>
      <c r="B422" s="7" t="n">
        <v>12</v>
      </c>
      <c r="C422" s="7" t="n">
        <v>8</v>
      </c>
      <c r="D422" s="8" t="n">
        <v>12.7</v>
      </c>
      <c r="E422" s="9" t="n">
        <f aca="false">ROUND(D422*ASM!$B$8*IF(A422="10K",ASM!$B$11,IF(A422="14K",ASM!$B$12,ASM!$B$13))*(1+ASM!$B$3)+ASM!$B$16+ASM!$B$5+ASM!$B$6,2)</f>
        <v>1410.18</v>
      </c>
      <c r="F422" s="7" t="n">
        <f aca="false">ROUND((D422*ASM!$B$8*IF(A422="10K",ASM!$B$11,IF(A422="14K",ASM!$B$12,ASM!$B$13))*(1+ASM!$B$3)+ASM!$B$16+ASM!$B$5+ASM!$B$6)*IF(B422&lt;=7,ASM!$B$7,ASM!$B$17),0)</f>
        <v>2820</v>
      </c>
      <c r="G422" s="10" t="n">
        <f aca="false">CEILING(F422/0.75,5)</f>
        <v>3760</v>
      </c>
      <c r="H422" s="9" t="n">
        <f aca="false">G422*0.75</f>
        <v>2820</v>
      </c>
      <c r="I422" s="7" t="n">
        <f aca="false">ROUND((E422+0.45)/(1-ASM!$B$9),0)</f>
        <v>1576</v>
      </c>
      <c r="J422" s="7" t="n">
        <f aca="false">ROUND((E422+0.45)/(1-ASM!$B$9-ASM!$B$10),0)</f>
        <v>1893</v>
      </c>
      <c r="K422" s="7" t="str">
        <f aca="false">IF(H422&gt;=I422,"OK","FLOOR ALTI")</f>
        <v>OK</v>
      </c>
    </row>
    <row r="423" customFormat="false" ht="15" hidden="false" customHeight="false" outlineLevel="0" collapsed="false">
      <c r="A423" s="7" t="s">
        <v>50</v>
      </c>
      <c r="B423" s="7" t="n">
        <v>12</v>
      </c>
      <c r="C423" s="7" t="n">
        <v>9</v>
      </c>
      <c r="D423" s="8" t="n">
        <v>13.22</v>
      </c>
      <c r="E423" s="9" t="n">
        <f aca="false">ROUND(D423*ASM!$B$8*IF(A423="10K",ASM!$B$11,IF(A423="14K",ASM!$B$12,ASM!$B$13))*(1+ASM!$B$3)+ASM!$B$16+ASM!$B$5+ASM!$B$6,2)</f>
        <v>1465.05</v>
      </c>
      <c r="F423" s="7" t="n">
        <f aca="false">ROUND((D423*ASM!$B$8*IF(A423="10K",ASM!$B$11,IF(A423="14K",ASM!$B$12,ASM!$B$13))*(1+ASM!$B$3)+ASM!$B$16+ASM!$B$5+ASM!$B$6)*IF(B423&lt;=7,ASM!$B$7,ASM!$B$17),0)</f>
        <v>2930</v>
      </c>
      <c r="G423" s="10" t="n">
        <f aca="false">CEILING(F423/0.75,5)</f>
        <v>3910</v>
      </c>
      <c r="H423" s="9" t="n">
        <f aca="false">G423*0.75</f>
        <v>2932.5</v>
      </c>
      <c r="I423" s="7" t="n">
        <f aca="false">ROUND((E423+0.45)/(1-ASM!$B$9),0)</f>
        <v>1637</v>
      </c>
      <c r="J423" s="7" t="n">
        <f aca="false">ROUND((E423+0.45)/(1-ASM!$B$9-ASM!$B$10),0)</f>
        <v>1967</v>
      </c>
      <c r="K423" s="7" t="str">
        <f aca="false">IF(H423&gt;=I423,"OK","FLOOR ALTI")</f>
        <v>OK</v>
      </c>
    </row>
    <row r="424" customFormat="false" ht="15" hidden="false" customHeight="false" outlineLevel="0" collapsed="false">
      <c r="A424" s="7" t="s">
        <v>50</v>
      </c>
      <c r="B424" s="7" t="n">
        <v>12</v>
      </c>
      <c r="C424" s="7" t="n">
        <v>10</v>
      </c>
      <c r="D424" s="8" t="n">
        <v>13.73</v>
      </c>
      <c r="E424" s="9" t="n">
        <f aca="false">ROUND(D424*ASM!$B$8*IF(A424="10K",ASM!$B$11,IF(A424="14K",ASM!$B$12,ASM!$B$13))*(1+ASM!$B$3)+ASM!$B$16+ASM!$B$5+ASM!$B$6,2)</f>
        <v>1518.87</v>
      </c>
      <c r="F424" s="7" t="n">
        <f aca="false">ROUND((D424*ASM!$B$8*IF(A424="10K",ASM!$B$11,IF(A424="14K",ASM!$B$12,ASM!$B$13))*(1+ASM!$B$3)+ASM!$B$16+ASM!$B$5+ASM!$B$6)*IF(B424&lt;=7,ASM!$B$7,ASM!$B$17),0)</f>
        <v>3038</v>
      </c>
      <c r="G424" s="10" t="n">
        <f aca="false">CEILING(F424/0.75,5)</f>
        <v>4055</v>
      </c>
      <c r="H424" s="9" t="n">
        <f aca="false">G424*0.75</f>
        <v>3041.25</v>
      </c>
      <c r="I424" s="7" t="n">
        <f aca="false">ROUND((E424+0.45)/(1-ASM!$B$9),0)</f>
        <v>1698</v>
      </c>
      <c r="J424" s="7" t="n">
        <f aca="false">ROUND((E424+0.45)/(1-ASM!$B$9-ASM!$B$10),0)</f>
        <v>2039</v>
      </c>
      <c r="K424" s="7" t="str">
        <f aca="false">IF(H424&gt;=I424,"OK","FLOOR ALTI")</f>
        <v>OK</v>
      </c>
    </row>
    <row r="425" customFormat="false" ht="15" hidden="false" customHeight="false" outlineLevel="0" collapsed="false">
      <c r="A425" s="7" t="s">
        <v>50</v>
      </c>
      <c r="B425" s="7" t="n">
        <v>12</v>
      </c>
      <c r="C425" s="7" t="n">
        <v>11</v>
      </c>
      <c r="D425" s="8" t="n">
        <v>14.24</v>
      </c>
      <c r="E425" s="9" t="n">
        <f aca="false">ROUND(D425*ASM!$B$8*IF(A425="10K",ASM!$B$11,IF(A425="14K",ASM!$B$12,ASM!$B$13))*(1+ASM!$B$3)+ASM!$B$16+ASM!$B$5+ASM!$B$6,2)</f>
        <v>1572.69</v>
      </c>
      <c r="F425" s="7" t="n">
        <f aca="false">ROUND((D425*ASM!$B$8*IF(A425="10K",ASM!$B$11,IF(A425="14K",ASM!$B$12,ASM!$B$13))*(1+ASM!$B$3)+ASM!$B$16+ASM!$B$5+ASM!$B$6)*IF(B425&lt;=7,ASM!$B$7,ASM!$B$17),0)</f>
        <v>3145</v>
      </c>
      <c r="G425" s="10" t="n">
        <f aca="false">CEILING(F425/0.75,5)</f>
        <v>4195</v>
      </c>
      <c r="H425" s="9" t="n">
        <f aca="false">G425*0.75</f>
        <v>3146.25</v>
      </c>
      <c r="I425" s="7" t="n">
        <f aca="false">ROUND((E425+0.45)/(1-ASM!$B$9),0)</f>
        <v>1758</v>
      </c>
      <c r="J425" s="7" t="n">
        <f aca="false">ROUND((E425+0.45)/(1-ASM!$B$9-ASM!$B$10),0)</f>
        <v>2112</v>
      </c>
      <c r="K425" s="7" t="str">
        <f aca="false">IF(H425&gt;=I425,"OK","FLOOR ALTI")</f>
        <v>OK</v>
      </c>
    </row>
    <row r="426" customFormat="false" ht="15" hidden="false" customHeight="false" outlineLevel="0" collapsed="false">
      <c r="A426" s="7" t="s">
        <v>50</v>
      </c>
      <c r="B426" s="7" t="n">
        <v>12</v>
      </c>
      <c r="C426" s="7" t="n">
        <v>12</v>
      </c>
      <c r="D426" s="8" t="n">
        <v>14.76</v>
      </c>
      <c r="E426" s="9" t="n">
        <f aca="false">ROUND(D426*ASM!$B$8*IF(A426="10K",ASM!$B$11,IF(A426="14K",ASM!$B$12,ASM!$B$13))*(1+ASM!$B$3)+ASM!$B$16+ASM!$B$5+ASM!$B$6,2)</f>
        <v>1627.56</v>
      </c>
      <c r="F426" s="7" t="n">
        <f aca="false">ROUND((D426*ASM!$B$8*IF(A426="10K",ASM!$B$11,IF(A426="14K",ASM!$B$12,ASM!$B$13))*(1+ASM!$B$3)+ASM!$B$16+ASM!$B$5+ASM!$B$6)*IF(B426&lt;=7,ASM!$B$7,ASM!$B$17),0)</f>
        <v>3255</v>
      </c>
      <c r="G426" s="10" t="n">
        <f aca="false">CEILING(F426/0.75,5)</f>
        <v>4340</v>
      </c>
      <c r="H426" s="9" t="n">
        <f aca="false">G426*0.75</f>
        <v>3255</v>
      </c>
      <c r="I426" s="7" t="n">
        <f aca="false">ROUND((E426+0.45)/(1-ASM!$B$9),0)</f>
        <v>1819</v>
      </c>
      <c r="J426" s="7" t="n">
        <f aca="false">ROUND((E426+0.45)/(1-ASM!$B$9-ASM!$B$10),0)</f>
        <v>2185</v>
      </c>
      <c r="K426" s="7" t="str">
        <f aca="false">IF(H426&gt;=I426,"OK","FLOOR ALTI")</f>
        <v>OK</v>
      </c>
    </row>
    <row r="427" customFormat="false" ht="15" hidden="false" customHeight="false" outlineLevel="0" collapsed="false">
      <c r="A427" s="7" t="s">
        <v>50</v>
      </c>
      <c r="B427" s="7" t="n">
        <v>12</v>
      </c>
      <c r="C427" s="7" t="n">
        <v>13</v>
      </c>
      <c r="D427" s="8" t="n">
        <v>15.28</v>
      </c>
      <c r="E427" s="9" t="n">
        <f aca="false">ROUND(D427*ASM!$B$8*IF(A427="10K",ASM!$B$11,IF(A427="14K",ASM!$B$12,ASM!$B$13))*(1+ASM!$B$3)+ASM!$B$16+ASM!$B$5+ASM!$B$6,2)</f>
        <v>1682.44</v>
      </c>
      <c r="F427" s="7" t="n">
        <f aca="false">ROUND((D427*ASM!$B$8*IF(A427="10K",ASM!$B$11,IF(A427="14K",ASM!$B$12,ASM!$B$13))*(1+ASM!$B$3)+ASM!$B$16+ASM!$B$5+ASM!$B$6)*IF(B427&lt;=7,ASM!$B$7,ASM!$B$17),0)</f>
        <v>3365</v>
      </c>
      <c r="G427" s="10" t="n">
        <f aca="false">CEILING(F427/0.75,5)</f>
        <v>4490</v>
      </c>
      <c r="H427" s="9" t="n">
        <f aca="false">G427*0.75</f>
        <v>3367.5</v>
      </c>
      <c r="I427" s="7" t="n">
        <f aca="false">ROUND((E427+0.45)/(1-ASM!$B$9),0)</f>
        <v>1880</v>
      </c>
      <c r="J427" s="7" t="n">
        <f aca="false">ROUND((E427+0.45)/(1-ASM!$B$9-ASM!$B$10),0)</f>
        <v>2259</v>
      </c>
      <c r="K427" s="7" t="str">
        <f aca="false">IF(H427&gt;=I427,"OK","FLOOR ALTI")</f>
        <v>OK</v>
      </c>
    </row>
    <row r="428" customFormat="false" ht="15" hidden="false" customHeight="false" outlineLevel="0" collapsed="false">
      <c r="A428" s="7" t="s">
        <v>50</v>
      </c>
      <c r="B428" s="7" t="n">
        <v>12</v>
      </c>
      <c r="C428" s="7" t="n">
        <v>14</v>
      </c>
      <c r="D428" s="8" t="n">
        <v>15.79</v>
      </c>
      <c r="E428" s="9" t="n">
        <f aca="false">ROUND(D428*ASM!$B$8*IF(A428="10K",ASM!$B$11,IF(A428="14K",ASM!$B$12,ASM!$B$13))*(1+ASM!$B$3)+ASM!$B$16+ASM!$B$5+ASM!$B$6,2)</f>
        <v>1736.25</v>
      </c>
      <c r="F428" s="7" t="n">
        <f aca="false">ROUND((D428*ASM!$B$8*IF(A428="10K",ASM!$B$11,IF(A428="14K",ASM!$B$12,ASM!$B$13))*(1+ASM!$B$3)+ASM!$B$16+ASM!$B$5+ASM!$B$6)*IF(B428&lt;=7,ASM!$B$7,ASM!$B$17),0)</f>
        <v>3473</v>
      </c>
      <c r="G428" s="10" t="n">
        <f aca="false">CEILING(F428/0.75,5)</f>
        <v>4635</v>
      </c>
      <c r="H428" s="9" t="n">
        <f aca="false">G428*0.75</f>
        <v>3476.25</v>
      </c>
      <c r="I428" s="7" t="n">
        <f aca="false">ROUND((E428+0.45)/(1-ASM!$B$9),0)</f>
        <v>1940</v>
      </c>
      <c r="J428" s="7" t="n">
        <f aca="false">ROUND((E428+0.45)/(1-ASM!$B$9-ASM!$B$10),0)</f>
        <v>2331</v>
      </c>
      <c r="K428" s="7" t="str">
        <f aca="false">IF(H428&gt;=I428,"OK","FLOOR ALTI")</f>
        <v>OK</v>
      </c>
    </row>
    <row r="429" customFormat="false" ht="15" hidden="false" customHeight="false" outlineLevel="0" collapsed="false">
      <c r="A429" s="7" t="s">
        <v>50</v>
      </c>
      <c r="B429" s="7" t="n">
        <v>12</v>
      </c>
      <c r="C429" s="7" t="n">
        <v>15</v>
      </c>
      <c r="D429" s="8" t="n">
        <v>16.31</v>
      </c>
      <c r="E429" s="9" t="n">
        <f aca="false">ROUND(D429*ASM!$B$8*IF(A429="10K",ASM!$B$11,IF(A429="14K",ASM!$B$12,ASM!$B$13))*(1+ASM!$B$3)+ASM!$B$16+ASM!$B$5+ASM!$B$6,2)</f>
        <v>1791.13</v>
      </c>
      <c r="F429" s="7" t="n">
        <f aca="false">ROUND((D429*ASM!$B$8*IF(A429="10K",ASM!$B$11,IF(A429="14K",ASM!$B$12,ASM!$B$13))*(1+ASM!$B$3)+ASM!$B$16+ASM!$B$5+ASM!$B$6)*IF(B429&lt;=7,ASM!$B$7,ASM!$B$17),0)</f>
        <v>3582</v>
      </c>
      <c r="G429" s="10" t="n">
        <f aca="false">CEILING(F429/0.75,5)</f>
        <v>4780</v>
      </c>
      <c r="H429" s="9" t="n">
        <f aca="false">G429*0.75</f>
        <v>3585</v>
      </c>
      <c r="I429" s="7" t="n">
        <f aca="false">ROUND((E429+0.45)/(1-ASM!$B$9),0)</f>
        <v>2002</v>
      </c>
      <c r="J429" s="7" t="n">
        <f aca="false">ROUND((E429+0.45)/(1-ASM!$B$9-ASM!$B$10),0)</f>
        <v>2405</v>
      </c>
      <c r="K429" s="7" t="str">
        <f aca="false">IF(H429&gt;=I429,"OK","FLOOR ALTI")</f>
        <v>OK</v>
      </c>
    </row>
    <row r="430" customFormat="false" ht="15" hidden="false" customHeight="false" outlineLevel="0" collapsed="false">
      <c r="A430" s="7" t="s">
        <v>50</v>
      </c>
      <c r="B430" s="7" t="n">
        <v>12</v>
      </c>
      <c r="C430" s="7" t="n">
        <v>16</v>
      </c>
      <c r="D430" s="8" t="n">
        <v>16.83</v>
      </c>
      <c r="E430" s="9" t="n">
        <f aca="false">ROUND(D430*ASM!$B$8*IF(A430="10K",ASM!$B$11,IF(A430="14K",ASM!$B$12,ASM!$B$13))*(1+ASM!$B$3)+ASM!$B$16+ASM!$B$5+ASM!$B$6,2)</f>
        <v>1846</v>
      </c>
      <c r="F430" s="7" t="n">
        <f aca="false">ROUND((D430*ASM!$B$8*IF(A430="10K",ASM!$B$11,IF(A430="14K",ASM!$B$12,ASM!$B$13))*(1+ASM!$B$3)+ASM!$B$16+ASM!$B$5+ASM!$B$6)*IF(B430&lt;=7,ASM!$B$7,ASM!$B$17),0)</f>
        <v>3692</v>
      </c>
      <c r="G430" s="10" t="n">
        <f aca="false">CEILING(F430/0.75,5)</f>
        <v>4925</v>
      </c>
      <c r="H430" s="9" t="n">
        <f aca="false">G430*0.75</f>
        <v>3693.75</v>
      </c>
      <c r="I430" s="7" t="n">
        <f aca="false">ROUND((E430+0.45)/(1-ASM!$B$9),0)</f>
        <v>2063</v>
      </c>
      <c r="J430" s="7" t="n">
        <f aca="false">ROUND((E430+0.45)/(1-ASM!$B$9-ASM!$B$10),0)</f>
        <v>2478</v>
      </c>
      <c r="K430" s="7" t="str">
        <f aca="false">IF(H430&gt;=I430,"OK","FLOOR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2026-07-29T19:33:59Z</dcterms:created>
  <dc:creator>openpyxl</dc:creator>
  <dc:description/>
  <dc:language>en-US</dc:language>
  <cp:lastModifiedBy/>
  <dcterms:modified xsi:type="dcterms:W3CDTF">2026-07-29T19:33:59Z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