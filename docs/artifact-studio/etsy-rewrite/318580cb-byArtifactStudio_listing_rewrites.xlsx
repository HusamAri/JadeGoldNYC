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writes" sheetId="2" state="visible" r:id="rId4"/>
    <sheet name="Fix checklist" sheetId="3" state="visible" r:id="rId5"/>
    <sheet name="Price ladder" sheetId="4" state="visible" r:id="rId6"/>
    <sheet name="Keywords eRank" sheetId="5" state="visible" r:id="rId7"/>
    <sheet name="Keywords Alura" sheetId="6" state="visible" r:id="rId8"/>
  </sheets>
  <definedNames>
    <definedName function="false" hidden="true" localSheetId="4" name="_xlnm._FilterDatabase" vbProcedure="false">'Keywords eRank'!$A$1:$J$171</definedName>
    <definedName function="false" hidden="true" localSheetId="1" name="_xlnm._FilterDatabase" vbProcedure="false">Rewrites!$A$1:$AL$42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<sst xmlns="http://schemas.openxmlformats.org/spreadsheetml/2006/main" count="2572" uniqueCount="985">
  <si>
    <t xml:space="preserve">byArtifactStudio listing rewrites, Step 4 of the Etsy turnaround</t>
  </si>
  <si>
    <t xml:space="preserve">Version 4, prepared 29 September 2026 from the listing editor extraction of 28 September, the public listing pages, eRank (170 terms, Etsy USA) and Alura (19 seeds, English). Version 1 passed a deterministic gate; version 2 applied the 143 findings of the first adversarial verification pass; version 3 applied the 95 findings of the second pass; version 4 drops the render sentence and the photo shoot, since the gallery is real photography (confirmed by Hüsam, 29 Sep 2026), and passes the gate with 0 errors. Nothing in this file has been changed on Etsy; every row is applied listing by listing with approval.</t>
  </si>
  <si>
    <t xml:space="preserve">How to use the Rewrites tab</t>
  </si>
  <si>
    <t xml:space="preserve">1. Open the listing in the Etsy editor (column 'Editor URL'). 2. Replace the title with 'New title'. 3. Delete all tags, paste 'Tags (paste into Etsy)' into the tag field; Etsy splits on commas. 4. Set the category and fill the attributes listed; a yellow cell holds a fact the workshop confirms first. 5. Replace the description with the 'Description' cell (keep the blank lines). 6. Apply the quantity, renewal, shipping profile, variation and personalization notes. 7. Keep the existing photos; 'Photo brief' only asks to check slot 1 and add a short video where one is missing.</t>
  </si>
  <si>
    <t xml:space="preserve">Columns marked 'formula' recompute if you edit a title or a tag: title length must stay at or under 140, tag count at 13, longest tag at or under 20.</t>
  </si>
  <si>
    <t xml:space="preserve">Blue text = values you may edit (titles, tags, notes). Black = data or formulas. Yellow fill = a fact the workshop must confirm before it goes into the copy.</t>
  </si>
  <si>
    <t xml:space="preserve">Rules the rewrites follow</t>
  </si>
  <si>
    <t xml:space="preserve">Title: the measured buyer phrase inside the first 40 characters, commas only, no design names first, no size lists, 90 to 134 characters. Tags: 13 tags of 20 characters or fewer, at least 4 measured (average 8.1), no dead tags (gift for her, personalized gift, meaningful gift, everyday jewelry, modern gold jewelry, modern fine jewelry and 40 more). Description: one buyer sentence, DETAILS in mm, SIZING, PERSONALIZATION where a field exists, MADE TO ORDER (3 to 5 business days, free US shipping from New Jersey, gift message), RETURNS (30 days), CARE. No development or render language, no claim the source does not support (no gift box, hallmark, nickel free, insured shipping, carat or gram weights).</t>
  </si>
  <si>
    <t xml:space="preserve">Sources</t>
  </si>
  <si>
    <t xml:space="preserve">Listing facts: Etsy Shop Manager listing editor, extracted 28 Sep 2026; public listing pages fetched 29 Sep 2026 (the Milgrain Band page returned HTTP 429 and its facts come from the editor). Keywords: eRank Bulk Keyword Tool and Keyword Tool, Etsy USA, 29 Sep 2026; Alura Keyword Research, English, 29 Sep 2026. Policy: Etsy Creativity Standards, https://www.etsy.com/legal/creativity/ (updated 10 Jun 2025).</t>
  </si>
  <si>
    <t xml:space="preserve">Listing ID</t>
  </si>
  <si>
    <t xml:space="preserve">Short name</t>
  </si>
  <si>
    <t xml:space="preserve">Group</t>
  </si>
  <si>
    <t xml:space="preserve">Current title</t>
  </si>
  <si>
    <t xml:space="preserve">New title</t>
  </si>
  <si>
    <t xml:space="preserve">Title length (formula)</t>
  </si>
  <si>
    <t xml:space="preserve">Tags (paste into Etsy) (formula)</t>
  </si>
  <si>
    <t xml:space="preserve">Tag count (formula)</t>
  </si>
  <si>
    <t xml:space="preserve">Longest tag (formula)</t>
  </si>
  <si>
    <t xml:space="preserve">Measured tags</t>
  </si>
  <si>
    <t xml:space="preserve">Tag 1</t>
  </si>
  <si>
    <t xml:space="preserve">Tag 2</t>
  </si>
  <si>
    <t xml:space="preserve">Tag 3</t>
  </si>
  <si>
    <t xml:space="preserve">Tag 4</t>
  </si>
  <si>
    <t xml:space="preserve">Tag 5</t>
  </si>
  <si>
    <t xml:space="preserve">Tag 6</t>
  </si>
  <si>
    <t xml:space="preserve">Tag 7</t>
  </si>
  <si>
    <t xml:space="preserve">Tag 8</t>
  </si>
  <si>
    <t xml:space="preserve">Tag 9</t>
  </si>
  <si>
    <t xml:space="preserve">Tag 10</t>
  </si>
  <si>
    <t xml:space="preserve">Tag 11</t>
  </si>
  <si>
    <t xml:space="preserve">Tag 12</t>
  </si>
  <si>
    <t xml:space="preserve">Tag 13</t>
  </si>
  <si>
    <t xml:space="preserve">Category</t>
  </si>
  <si>
    <t xml:space="preserve">Attributes to set</t>
  </si>
  <si>
    <t xml:space="preserve">Materials list</t>
  </si>
  <si>
    <t xml:space="preserve">Quantity</t>
  </si>
  <si>
    <t xml:space="preserve">Renewal</t>
  </si>
  <si>
    <t xml:space="preserve">Shipping profile</t>
  </si>
  <si>
    <t xml:space="preserve">Variations</t>
  </si>
  <si>
    <t xml:space="preserve">Personalization field</t>
  </si>
  <si>
    <t xml:space="preserve">Price note</t>
  </si>
  <si>
    <t xml:space="preserve">Description</t>
  </si>
  <si>
    <t xml:space="preserve">Photo brief</t>
  </si>
  <si>
    <t xml:space="preserve">Public URL</t>
  </si>
  <si>
    <t xml:space="preserve">Editor URL</t>
  </si>
  <si>
    <t xml:space="preserve">Attribute note (confirm with the workshop)</t>
  </si>
  <si>
    <t xml:space="preserve">Render line note</t>
  </si>
  <si>
    <t xml:space="preserve">4583766548</t>
  </si>
  <si>
    <t xml:space="preserve">Green Enamel Studs</t>
  </si>
  <si>
    <t xml:space="preserve">enamel_studs</t>
  </si>
  <si>
    <t xml:space="preserve">Green Enamel Studs, 14k Yellow Gold L Shape Earrings with Vitreous</t>
  </si>
  <si>
    <t xml:space="preserve">14K Gold Enamel Stud Earrings, Green Enamel L Shape in Solid Gold, Small Geometric Pair, Dainty Stud Earrings</t>
  </si>
  <si>
    <t xml:space="preserve">enamel stud earrings</t>
  </si>
  <si>
    <t xml:space="preserve">enamel earrings</t>
  </si>
  <si>
    <t xml:space="preserve">dainty stud earrings</t>
  </si>
  <si>
    <t xml:space="preserve">solid gold studs</t>
  </si>
  <si>
    <t xml:space="preserve">tiny gold studs</t>
  </si>
  <si>
    <t xml:space="preserve">small gold studs</t>
  </si>
  <si>
    <t xml:space="preserve">gold stud earrings</t>
  </si>
  <si>
    <t xml:space="preserve">14k gold earrings</t>
  </si>
  <si>
    <t xml:space="preserve">gold enamel studs</t>
  </si>
  <si>
    <t xml:space="preserve">green enamel studs</t>
  </si>
  <si>
    <t xml:space="preserve">geometric earrings</t>
  </si>
  <si>
    <t xml:space="preserve">l shape earrings</t>
  </si>
  <si>
    <t xml:space="preserve">green earrings gold</t>
  </si>
  <si>
    <t xml:space="preserve">Jewelry &gt; Earrings &gt; Stud Earrings</t>
  </si>
  <si>
    <t xml:space="preserve">Materials: Gold
Gold purity: 14k
Gold solidity: Solid gold
Primary color: Gold
Gemstone: none
Earring closure: Push back
Style: Minimalist
Occasion: Anniversary, Birthday, Everyday
Secondary color: Green</t>
  </si>
  <si>
    <t xml:space="preserve">Solid 14K yellow gold, Vitreous enamel</t>
  </si>
  <si>
    <t xml:space="preserve">set quantity to 20 (currently 1)</t>
  </si>
  <si>
    <t xml:space="preserve">Automatic</t>
  </si>
  <si>
    <t xml:space="preserve">already on the free US shipping profile; keep</t>
  </si>
  <si>
    <t xml:space="preserve">no variation needed, sold as a pair</t>
  </si>
  <si>
    <t xml:space="preserve">none</t>
  </si>
  <si>
    <t xml:space="preserve">keep 700 for the four week paid test; revisit with ad data, not before</t>
  </si>
  <si>
    <t xml:space="preserve">Green enamel stud earrings in solid 14K yellow gold, a soft L shape with a meadow green enamel channel, made to order and shipped from New Jersey.
Each stud is a soft rounded L of 14K yellow gold with one channel of kiln-fired green enamel, made as a mirrored left and right pair so the shapes frame both ears the same way. The color reads as a small, deliberate accent rather than a gemstone.
DETAILS
Metal: solid 14K yellow gold with opaque, kiln-fired vitreous enamel. The enamel is a flat glass-filled recess over a gold backing, not a gemstone or resin.
Backs: friction butterfly backs.
What arrives: one pair of stud earrings with friction backs.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</si>
  <si>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No new shoot (gallery is real photography). Check slot 1 shows the piece worn or at scale; add a 6 to 10 second video where the listing has none.</t>
  </si>
  <si>
    <t xml:space="preserve">https://www.etsy.com/listing/4583766548</t>
  </si>
  <si>
    <t xml:space="preserve">https://www.etsy.com/your/shops/me/listing-editor/edit/4583766548</t>
  </si>
  <si>
    <t xml:space="preserve">4583766496</t>
  </si>
  <si>
    <t xml:space="preserve">Pink Petal Studs</t>
  </si>
  <si>
    <t xml:space="preserve">14K Gold Pink Enamel Stud Earrings, Pink Petal Studs</t>
  </si>
  <si>
    <t xml:space="preserve">14K Gold Enamel Stud Earrings, Pink Enamel Petal in Solid Gold, Small Rounded Petal Pair, Dainty Stud Earrings</t>
  </si>
  <si>
    <t xml:space="preserve">pink enamel earrings</t>
  </si>
  <si>
    <t xml:space="preserve">petal earrings gold</t>
  </si>
  <si>
    <t xml:space="preserve">pink enamel studs</t>
  </si>
  <si>
    <t xml:space="preserve">pink petal earrings</t>
  </si>
  <si>
    <t xml:space="preserve">Materials: Gold
Gold purity: 14k
Gold solidity: Solid gold
Primary color: Gold
Gemstone: none
Earring closure: Push back
Style: Minimalist
Occasion: Anniversary, Birthday, Everyday
Secondary color: Pink</t>
  </si>
  <si>
    <t xml:space="preserve">Pink enamel stud earrings in solid 14K yellow gold, a single rounded petal with a pink enamel center, made to order and shipped from New Jersey.
Each petal is 6.5 x 4.5 mm, fuller on one side and rounded at both ends, with the pink enamel following the inner outline inside a continuous 0.7 mm gold border. The pair is made as mirror images for the left and right ear.
DETAILS
Metal: solid 14K yellow gold with opaque, kiln-fired vitreous enamel. The enamel is a flat glass-filled recess over a gold backing, not a gemstone or resin.
Size: 6.5 x 4.5 mm per stud; 0.8 x 10 mm posts.
Backs: friction butterfly backs.
What arrives: one pair of stud earrings with friction backs.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</si>
  <si>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https://www.etsy.com/listing/4583766496</t>
  </si>
  <si>
    <t xml:space="preserve">https://www.etsy.com/your/shops/me/listing-editor/edit/4583766496</t>
  </si>
  <si>
    <t xml:space="preserve">4583755983</t>
  </si>
  <si>
    <t xml:space="preserve">Orange Arc Studs</t>
  </si>
  <si>
    <t xml:space="preserve">14K Gold Orange Enamel Stud Earrings, Orange Arc</t>
  </si>
  <si>
    <t xml:space="preserve">14K Gold Enamel Stud Earrings, Orange Half Moon in Solid Gold, Small Half Disc Pair, Dainty Stud Earrings</t>
  </si>
  <si>
    <t xml:space="preserve">half moon earrings</t>
  </si>
  <si>
    <t xml:space="preserve">orange enamel studs</t>
  </si>
  <si>
    <t xml:space="preserve">half disc earrings</t>
  </si>
  <si>
    <t xml:space="preserve">Materials: Gold
Gold purity: 14k
Gold solidity: Solid gold
Primary color: Gold
Gemstone: none
Earring closure: Push back
Style: Minimalist
Occasion: Anniversary, Birthday, Everyday
Secondary color: Orange</t>
  </si>
  <si>
    <t xml:space="preserve">Orange enamel stud earrings in solid 14K yellow gold, a small half moon with a burnt orange enamel center, made to order and shipped from New Jersey.
Each stud is a 6 x 3.8 mm half disc with a flat top edge, softly rounded corners and a curved lower edge. One orange semicircle sits in the center inside a continuous 0.7 mm gold rim, so the color stays framed in gold.
DETAILS
Metal: solid 14K yellow gold with opaque, kiln-fired vitreous enamel. The enamel is a flat glass-filled recess over a gold backing, not a gemstone or resin.
Size: 6 mm wide x 3.8 mm high per stud; 0.8 x 10 mm posts.
Backs: friction butterfly backs.
What arrives: one pair of stud earrings with friction backs.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</si>
  <si>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https://www.etsy.com/listing/4583755983</t>
  </si>
  <si>
    <t xml:space="preserve">https://www.etsy.com/your/shops/me/listing-editor/edit/4583755983</t>
  </si>
  <si>
    <t xml:space="preserve">4583756145</t>
  </si>
  <si>
    <t xml:space="preserve">Comma Studs</t>
  </si>
  <si>
    <t xml:space="preserve">Clay Enamel Earrings Comma Stud 14k Yellow Gold with Terracotta Vitreous</t>
  </si>
  <si>
    <t xml:space="preserve">14K Gold Enamel Stud Earrings, Terracotta Comma Shape in Solid Gold, Small Sculptural Pair, Dainty Stud Earrings</t>
  </si>
  <si>
    <t xml:space="preserve">terracotta earrings</t>
  </si>
  <si>
    <t xml:space="preserve">comma earrings</t>
  </si>
  <si>
    <t xml:space="preserve">sculptural earrings</t>
  </si>
  <si>
    <t xml:space="preserve">terracotta jewelry</t>
  </si>
  <si>
    <t xml:space="preserve">Materials: Gold
Gold purity: 14k
Gold solidity: Solid gold
Primary color: Gold
Gemstone: none
Earring closure: Push back
Style: Minimalist
Occasion: Anniversary, Birthday, Everyday
Secondary color: Brown</t>
  </si>
  <si>
    <t xml:space="preserve">Terracotta enamel stud earrings in solid 14K yellow gold, a small comma shape with a muted terracotta enamel recess, made to order and shipped from New Jersey.
Each comma has a rounded upper lobe and a gently curved tail, made as a mirror-image pair so the tails point the same way on both ears. The terracotta enamel fills one recess and reads as a warm, quiet accent.
DETAILS
Metal: solid 14K yellow gold with opaque, kiln-fired vitreous enamel. The enamel is a flat glass-filled recess over a gold backing, not a gemstone or resin.
Backs: friction backs.
What arrives: one pair of stud earrings with friction backs.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</si>
  <si>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https://www.etsy.com/listing/4583756145</t>
  </si>
  <si>
    <t xml:space="preserve">https://www.etsy.com/your/shops/me/listing-editor/edit/4583756145</t>
  </si>
  <si>
    <t xml:space="preserve">4583755885</t>
  </si>
  <si>
    <t xml:space="preserve">Blue Offset Studs</t>
  </si>
  <si>
    <t xml:space="preserve">14K Gold Blue Enamel Stud Earrings, Blue Offset</t>
  </si>
  <si>
    <t xml:space="preserve">14K Gold Enamel Stud Earrings, Blue Enamel Rectangle in Solid Gold, Small Geometric Pair, Dainty Stud Earrings</t>
  </si>
  <si>
    <t xml:space="preserve">blue enamel earrings</t>
  </si>
  <si>
    <t xml:space="preserve">blue enamel studs</t>
  </si>
  <si>
    <t xml:space="preserve">rectangle studs</t>
  </si>
  <si>
    <t xml:space="preserve">Materials: Gold
Gold purity: 14k
Gold solidity: Solid gold
Primary color: Gold
Gemstone: none
Earring closure: Push back
Style: Minimalist
Occasion: Anniversary, Birthday, Everyday
Secondary color: Blue</t>
  </si>
  <si>
    <t xml:space="preserve">Blue enamel stud earrings in solid 14K yellow gold, a small rounded rectangle with one cobalt blue enamel bar, made to order and shipped from New Jersey.
Each stud is a 5.5 x 3.8 mm rounded rectangle worn vertically, with a thin 1.2 x 3.2 mm cobalt blue capsule set left of center and the rest left as plain warm gold. The pair matches.
DETAILS
Metal: solid 14K yellow gold with opaque, kiln-fired vitreous enamel. The enamel is a flat glass-filled recess over a gold backing, not a gemstone or resin.
Size: 5.5 x 3.8 mm per stud; enamel capsule 1.2 x 3.2 mm; 0.8 x 10 mm posts.
Backs: friction butterfly backs.
What arrives: one pair of stud earrings with friction backs.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</si>
  <si>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https://www.etsy.com/listing/4583755885</t>
  </si>
  <si>
    <t xml:space="preserve">https://www.etsy.com/your/shops/me/listing-editor/edit/4583755885</t>
  </si>
  <si>
    <t xml:space="preserve">4583755785</t>
  </si>
  <si>
    <t xml:space="preserve">Clay Tide Bracelet</t>
  </si>
  <si>
    <t xml:space="preserve">enamel_bracelets</t>
  </si>
  <si>
    <t xml:space="preserve">14K Gold Clay Enamel Chain Bracelet, Clay Tide</t>
  </si>
  <si>
    <t xml:space="preserve">Solid Gold Bracelet 14K with Terracotta Enamel Bar, Gold Enamel Bracelet on Cable Chain, Adjustable</t>
  </si>
  <si>
    <t xml:space="preserve">solid gold bracelet</t>
  </si>
  <si>
    <t xml:space="preserve">gold enamel bracelet</t>
  </si>
  <si>
    <t xml:space="preserve">enamel gold bracelet</t>
  </si>
  <si>
    <t xml:space="preserve">cable chain bracelet</t>
  </si>
  <si>
    <t xml:space="preserve">enamel link bracelet</t>
  </si>
  <si>
    <t xml:space="preserve">gold plaque bracelet</t>
  </si>
  <si>
    <t xml:space="preserve">14k gold bracelet</t>
  </si>
  <si>
    <t xml:space="preserve">push present</t>
  </si>
  <si>
    <t xml:space="preserve">terracotta bracelet</t>
  </si>
  <si>
    <t xml:space="preserve">enamel bar bracelet</t>
  </si>
  <si>
    <t xml:space="preserve">adjustable bracelet</t>
  </si>
  <si>
    <t xml:space="preserve">wave bracelet gold</t>
  </si>
  <si>
    <t xml:space="preserve">Jewelry &gt; Bracelets &gt; Chain &amp; Link Bracelets</t>
  </si>
  <si>
    <t xml:space="preserve">Materials: Gold
Gold purity: 14k
Gold solidity: Solid gold
Primary color: Gold
Gemstone: none
Chain style: Cable
Closure: Lobster claw
Bracelet length: 17 cm
Adjustable: Yes
Style: Minimalist
Occasion: Anniversary, Birthday, Everyday
Secondary color: Brown</t>
  </si>
  <si>
    <t xml:space="preserve">assign the free US shipping profile (currently Custom option, calculated)</t>
  </si>
  <si>
    <t xml:space="preserve">no length variation: the source states one adjustable length, 17 cm nominal, 15.5 to 18 cm on the extender</t>
  </si>
  <si>
    <t xml:space="preserve">keep 750; the chain is solid 14K and the title now sells the solid gold bracelet, not the colour name</t>
  </si>
  <si>
    <t xml:space="preserve">Solid 14K gold bracelet with a soft S-shaped bar and one terracotta enamel channel on a cable chain, made to order and shipped from New Jersey.
The 10.5 x 4.8 mm bar has blunt rounded ends and a single 6 x 1.2 mm channel of muted terracotta enamel, closed at both sides onto a 1.2 mm solid gold cable chain. It sits flat on the wrist and layers with plain chains. It also makes a quiet push present or anniversary gift that stays small enough for every day.
DETAILS
Metal: solid 14K yellow gold with opaque, kiln-fired vitreous enamel. The enamel is a flat glass-filled recess over a gold backing, not a gemstone or resin.
Bar: 10.5 x 4.8 mm with a 6 x 1.2 mm enamel channel.
Chain: 1.2 mm 14K yellow gold cable chain, 17 cm nominal, adjustable 15.5 to 18 cm with a short extender and lobster clasp.
What arrives: one chain bracelet with lobster clasp and extender.
SIZING
The bracelet adjusts from 15.5 to 18 cm (6.1 to 7.1 inches) on its extender chain, which covers most wrists. Measure your wrist snugly and add half an inch for a comfortable fit; if that total is over 18 cm (7.1 inches), message us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</si>
  <si>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https://www.etsy.com/listing/4583755785</t>
  </si>
  <si>
    <t xml:space="preserve">https://www.etsy.com/your/shops/me/listing-editor/edit/4583755785</t>
  </si>
  <si>
    <t xml:space="preserve">4583766198</t>
  </si>
  <si>
    <t xml:space="preserve">Pink Offset Bracelet</t>
  </si>
  <si>
    <t xml:space="preserve">14K Gold Pink Enamel Chain Bracelet, Pink Offset</t>
  </si>
  <si>
    <t xml:space="preserve">Solid Gold Bracelet 14K with Pink Enamel Lozenge, Gold Enamel Bracelet on Cable Chain, Adjustable</t>
  </si>
  <si>
    <t xml:space="preserve">pink enamel bracelet</t>
  </si>
  <si>
    <t xml:space="preserve">pink enamel jewelry</t>
  </si>
  <si>
    <t xml:space="preserve">lozenge bracelet</t>
  </si>
  <si>
    <t xml:space="preserve">geometric bracelet</t>
  </si>
  <si>
    <t xml:space="preserve">Materials: Gold
Gold purity: 14k
Gold solidity: Solid gold
Primary color: Gold
Gemstone: none
Chain style: Cable
Closure: Lobster claw
Bracelet length: 17 cm
Adjustable: Yes
Style: Minimalist
Occasion: Anniversary, Birthday, Everyday
Secondary color: Pink</t>
  </si>
  <si>
    <t xml:space="preserve">Solid 14K gold bracelet with a small tilted lozenge and one pink enamel recess on a cable chain, made to order and shipped from New Jersey.
The 7 x 5 mm rounded lozenge sits turned 15 degrees on the chain, with the pink enamel held inside a continuous 0.8 mm gold rim. It is bright enough to notice and light enough to forget you have it on. It also makes a quiet push present or anniversary gift that stays small enough for every day.
DETAILS
Metal: solid 14K yellow gold with opaque, kiln-fired vitreous enamel. The enamel is a flat glass-filled recess over a gold backing, not a gemstone or resin.
Plaque: 7 x 5 mm rounded lozenge with a 0.8 mm gold rim.
Chain: 1.2 mm 14K yellow gold cable chain, 17 cm nominal, adjustable 15.5 to 18 cm with a short extender and lobster clasp.
What arrives: one chain bracelet with lobster clasp and extender.
SIZING
The bracelet adjusts from 15.5 to 18 cm (6.1 to 7.1 inches) on its extender chain, which covers most wrists. Measure your wrist snugly and add half an inch for a comfortable fit; if that total is over 18 cm (7.1 inches), message us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</si>
  <si>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https://www.etsy.com/listing/4583766198</t>
  </si>
  <si>
    <t xml:space="preserve">https://www.etsy.com/your/shops/me/listing-editor/edit/4583766198</t>
  </si>
  <si>
    <t xml:space="preserve">4583755733</t>
  </si>
  <si>
    <t xml:space="preserve">Green Interval Bracelet</t>
  </si>
  <si>
    <t xml:space="preserve">14K Gold Green Enamel Chain Bracelet, Green Interval</t>
  </si>
  <si>
    <t xml:space="preserve">Solid Gold Bracelet 14K with Green Enamel Bar, Gold Enamel Bracelet on Cable Chain, Adjustable</t>
  </si>
  <si>
    <t xml:space="preserve">green enamel jewelry</t>
  </si>
  <si>
    <t xml:space="preserve">real gold bracelet</t>
  </si>
  <si>
    <t xml:space="preserve">gold bar bracelet</t>
  </si>
  <si>
    <t xml:space="preserve">Materials: Gold
Gold purity: 14k
Gold solidity: Solid gold
Primary color: Gold
Gemstone: none
Chain style: Cable
Closure: Lobster claw
Bracelet length: 17 cm
Adjustable: Yes
Style: Minimalist
Occasion: Anniversary, Birthday, Everyday
Secondary color: Green</t>
  </si>
  <si>
    <t xml:space="preserve">Solid 14K gold bracelet with a small bar holding two meadow green enamel capsules on a cable chain, made to order and shipped from New Jersey.
The 10 x 4.4 mm rounded bar carries two 3.3 x 2.2 mm green capsules separated by a 1 mm bridge of solid gold, a pause between two moments. Both ends close onto a 1.2 mm solid gold cable chain. It also makes a quiet push present or anniversary gift that stays small enough for every day.
DETAILS
Metal: solid 14K yellow gold with opaque, kiln-fired vitreous enamel. The enamel is a flat glass-filled recess over a gold backing, not a gemstone or resin.
Bar: 10 x 4.4 mm with two 3.3 x 2.2 mm enamel capsules.
Chain: 1.2 mm 14K yellow gold cable chain, 17 cm nominal, adjustable 15.5 to 18 cm with a short extender and lobster clasp.
What arrives: one chain bracelet with lobster clasp and extender.
SIZING
The bracelet adjusts from 15.5 to 18 cm (6.1 to 7.1 inches) on its extender chain, which covers most wrists. Measure your wrist snugly and add half an inch for a comfortable fit; if that total is over 18 cm (7.1 inches), message us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</si>
  <si>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https://www.etsy.com/listing/4583755733</t>
  </si>
  <si>
    <t xml:space="preserve">https://www.etsy.com/your/shops/me/listing-editor/edit/4583755733</t>
  </si>
  <si>
    <t xml:space="preserve">4583755619</t>
  </si>
  <si>
    <t xml:space="preserve">Orange Marker Bracelet</t>
  </si>
  <si>
    <t xml:space="preserve">14K Gold Orange Enamel Chain Bracelet, Orange Marker</t>
  </si>
  <si>
    <t xml:space="preserve">Solid Gold Bracelet 14K with Orange Enamel Dot, Gold Enamel Bracelet on Cable Chain, Adjustable</t>
  </si>
  <si>
    <t xml:space="preserve">orange disc bracelet</t>
  </si>
  <si>
    <t xml:space="preserve">enamel disc bracelet</t>
  </si>
  <si>
    <t xml:space="preserve">anniversary bracelet</t>
  </si>
  <si>
    <t xml:space="preserve">Materials: Gold
Gold purity: 14k
Gold solidity: Solid gold
Primary color: Gold
Gemstone: none
Chain style: Cable
Closure: Lobster claw
Bracelet length: 17 cm
Adjustable: Yes
Style: Minimalist
Occasion: Anniversary, Birthday, Everyday
Secondary color: Orange</t>
  </si>
  <si>
    <t xml:space="preserve">Solid 14K gold bracelet with a small round disc and one burnt orange enamel dot on a cable chain, made to order and shipped from New Jersey.
The 5.8 mm round disc holds a flat 3.8 mm circle of orange enamel, a single marker for a meaningful moment. Both sides close onto a 1.2 mm solid gold cable chain, so the disc stays centered on the wrist. It also makes a quiet push present or anniversary gift that stays small enough for every day.
DETAILS
Metal: solid 14K yellow gold with opaque, kiln-fired vitreous enamel. The enamel is a flat glass-filled recess over a gold backing, not a gemstone or resin.
Plaque: 5.8 mm round disc with a 3.8 mm enamel dot.
Chain: 1.2 mm 14K yellow gold cable chain, 17 cm nominal, adjustable 15.5 to 18 cm with a short extender and lobster clasp.
What arrives: one chain bracelet with lobster clasp and extender.
SIZING
The bracelet adjusts from 15.5 to 18 cm (6.1 to 7.1 inches) on its extender chain, which covers most wrists. Measure your wrist snugly and add half an inch for a comfortable fit; if that total is over 18 cm (7.1 inches), message us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</si>
  <si>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https://www.etsy.com/listing/4583755619</t>
  </si>
  <si>
    <t xml:space="preserve">https://www.etsy.com/your/shops/me/listing-editor/edit/4583755619</t>
  </si>
  <si>
    <t xml:space="preserve">4583755575</t>
  </si>
  <si>
    <t xml:space="preserve">Blue Horizon Bracelet</t>
  </si>
  <si>
    <t xml:space="preserve">14K Gold Blue Enamel Chain Bracelet, Blue Horizon</t>
  </si>
  <si>
    <t xml:space="preserve">Solid Gold Bracelet 14K with Blue Enamel Bar, Gold Enamel Bracelet on Cable Chain, Adjustable</t>
  </si>
  <si>
    <t xml:space="preserve">blue enamel bracelet</t>
  </si>
  <si>
    <t xml:space="preserve">blue enamel jewelry</t>
  </si>
  <si>
    <t xml:space="preserve">capsule bracelet</t>
  </si>
  <si>
    <t xml:space="preserve">Materials: Gold
Gold purity: 14k
Gold solidity: Solid gold
Primary color: Gold
Gemstone: none
Chain style: Cable
Closure: Lobster claw
Bracelet length: 17 cm
Adjustable: Yes
Style: Minimalist
Occasion: Anniversary, Birthday, Everyday
Secondary color: Blue</t>
  </si>
  <si>
    <t xml:space="preserve">Solid 14K gold bracelet with a slim capsule bar and one cobalt blue enamel line on a cable chain, made to order and shipped from New Jersey.
The 11.5 x 4.2 mm capsule carries a single 8.7 x 1.8 mm line of cobalt blue enamel, a calm horizon to return to. Both ends close onto a 1.2 mm solid gold cable chain and the bar lies flat against the wrist. It also makes a quiet push present or anniversary gift that stays small enough for every day.
DETAILS
Metal: solid 14K yellow gold with opaque, kiln-fired vitreous enamel. The enamel is a flat glass-filled recess over a gold backing, not a gemstone or resin.
Bar: 11.5 x 4.2 mm capsule with an 8.7 x 1.8 mm enamel line.
Chain: 1.2 mm 14K yellow gold cable chain, 17 cm nominal, adjustable 15.5 to 18 cm with a short extender and lobster clasp.
What arrives: one chain bracelet with lobster clasp and extender.
SIZING
The bracelet adjusts from 15.5 to 18 cm (6.1 to 7.1 inches) on its extender chain, which covers most wrists. Measure your wrist snugly and add half an inch for a comfortable fit; if that total is over 18 cm (7.1 inches), message us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</si>
  <si>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https://www.etsy.com/listing/4583755575</t>
  </si>
  <si>
    <t xml:space="preserve">https://www.etsy.com/your/shops/me/listing-editor/edit/4583755575</t>
  </si>
  <si>
    <t xml:space="preserve">4583766018</t>
  </si>
  <si>
    <t xml:space="preserve">Clay Turn Necklace</t>
  </si>
  <si>
    <t xml:space="preserve">enamel_necklaces</t>
  </si>
  <si>
    <t xml:space="preserve">14K Gold Clay Enamel Necklace, Clay Turn</t>
  </si>
  <si>
    <t xml:space="preserve">Solid Gold Necklace 14K with Terracotta Enamel Comma Pendant, Small Gold Enamel Necklace on Cable Chain</t>
  </si>
  <si>
    <t xml:space="preserve">solid gold necklace</t>
  </si>
  <si>
    <t xml:space="preserve">14k gold necklace</t>
  </si>
  <si>
    <t xml:space="preserve">gold enamel necklace</t>
  </si>
  <si>
    <t xml:space="preserve">enamel pendant</t>
  </si>
  <si>
    <t xml:space="preserve">terracotta necklace</t>
  </si>
  <si>
    <t xml:space="preserve">comma necklace</t>
  </si>
  <si>
    <t xml:space="preserve">comma pendant</t>
  </si>
  <si>
    <t xml:space="preserve">cable chain necklace</t>
  </si>
  <si>
    <t xml:space="preserve">small gold pendant</t>
  </si>
  <si>
    <t xml:space="preserve">terracotta pendant</t>
  </si>
  <si>
    <t xml:space="preserve">dainty gold necklace</t>
  </si>
  <si>
    <t xml:space="preserve">Jewelry &gt; Necklaces &gt; Pendant Necklaces</t>
  </si>
  <si>
    <t xml:space="preserve">Materials: Gold
Gold purity: 14k
Gold solidity: Solid gold
Primary color: Gold
Gemstone: none
Chain style: Cable
Closure: Lobster claw
Chain length: 16 or 18 inches (variation)
Style: Minimalist
Occasion: Anniversary, Birthday, Everyday
Secondary color: Brown</t>
  </si>
  <si>
    <t xml:space="preserve">add Chain Length variation 16 in and 18 in at one price (the source states no length)</t>
  </si>
  <si>
    <t xml:space="preserve">keep 760 for the four week paid test; Pinterest and ads channel</t>
  </si>
  <si>
    <t xml:space="preserve">Solid 14K gold necklace with a small comma pendant and one terracotta enamel dot on a cable chain, made to order and shipped from New Jersey.
The 8 x 11.5 mm comma has a rounded lobe about 7 mm across that runs into a short solid gold tail. One 4.4 mm circle of terracotta enamel sits off center on the lobe, a reminder that the story continues. It also makes a quiet push present or anniversary gift that stays small enough for every day.
DETAILS
Metal: solid 14K yellow gold with opaque, kiln-fired vitreous enamel. The enamel is a flat glass-filled recess over a gold backing, not a gemstone or resin.
Pendant: 8 x 11.5 mm comma with a 4.4 mm enamel circle; integrated bail with a 3 x 2 mm opening.
Chain: 14K gold cable chain with lobster clasp; choose 16 or 18 inches.
What arrives: one pendant necklace with cable chain and lobster clasp.
SIZING
16 inches sits at the collarbone and 18 inches sits just below 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</si>
  <si>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https://www.etsy.com/listing/4583766018</t>
  </si>
  <si>
    <t xml:space="preserve">https://www.etsy.com/your/shops/me/listing-editor/edit/4583766018</t>
  </si>
  <si>
    <t xml:space="preserve">4583765950</t>
  </si>
  <si>
    <t xml:space="preserve">Green Link Necklace</t>
  </si>
  <si>
    <t xml:space="preserve">14K Gold Green Enamel Necklace, Green Link</t>
  </si>
  <si>
    <t xml:space="preserve">Solid Gold Necklace 14K with Green Enamel Open Rectangle Pendant, Small Gold Enamel Necklace on Cable Chain</t>
  </si>
  <si>
    <t xml:space="preserve">green enamel pendant</t>
  </si>
  <si>
    <t xml:space="preserve">geometric necklace</t>
  </si>
  <si>
    <t xml:space="preserve">rectangle necklace</t>
  </si>
  <si>
    <t xml:space="preserve">open frame necklace</t>
  </si>
  <si>
    <t xml:space="preserve">minimalist necklace</t>
  </si>
  <si>
    <t xml:space="preserve">Materials: Gold
Gold purity: 14k
Gold solidity: Solid gold
Primary color: Gold
Gemstone: none
Chain style: Cable
Closure: Lobster claw
Chain length: 16 or 18 inches (variation)
Style: Minimalist
Occasion: Anniversary, Birthday, Everyday
Secondary color: Green</t>
  </si>
  <si>
    <t xml:space="preserve">Solid 14K gold necklace with an open rectangle pendant and one meadow green enamel line on a cable chain, made to order and shipped from New Jersey.
The 8 x 12.5 mm open frame has a 2.3 mm wide border around a 3.4 x 7.9 mm window, with a single 3.6 x 1 mm green enamel capsule set into the lower bar. It hangs light and flat, a connection to a person, place or daily ritual. It also makes a quiet push present or anniversary gift that stays small enough for every day.
DETAILS
Metal: solid 14K yellow gold with opaque, kiln-fired vitreous enamel. The enamel is a flat glass-filled recess over a gold backing, not a gemstone or resin.
Pendant: 8 x 12.5 mm open rectangle, frame 2.3 mm, window 3.4 x 7.9 mm, enamel capsule 3.6 x 1 mm; integrated bail with a 3 x 2 mm opening.
Chain: 14K gold cable chain with lobster clasp; choose 16 or 18 inches.
What arrives: one pendant necklace with cable chain and lobster clasp.
SIZING
16 inches sits at the collarbone and 18 inches sits just below 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</si>
  <si>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https://www.etsy.com/listing/4583765950</t>
  </si>
  <si>
    <t xml:space="preserve">https://www.etsy.com/your/shops/me/listing-editor/edit/4583765950</t>
  </si>
  <si>
    <t xml:space="preserve">4583755381</t>
  </si>
  <si>
    <t xml:space="preserve">Pink Petal Necklace</t>
  </si>
  <si>
    <t xml:space="preserve">14K Gold Pink Enamel Necklace, Pink Petal</t>
  </si>
  <si>
    <t xml:space="preserve">Solid Gold Necklace 14K with Pink Enamel Petal Pendant, Small Gold Enamel Necklace on Cable Chain</t>
  </si>
  <si>
    <t xml:space="preserve">pink enamel necklace</t>
  </si>
  <si>
    <t xml:space="preserve">petal necklace</t>
  </si>
  <si>
    <t xml:space="preserve">petal pendant</t>
  </si>
  <si>
    <t xml:space="preserve">botanical necklace</t>
  </si>
  <si>
    <t xml:space="preserve">Materials: Gold
Gold purity: 14k
Gold solidity: Solid gold
Primary color: Gold
Gemstone: none
Chain style: Cable
Closure: Lobster claw
Chain length: 16 or 18 inches (variation)
Style: Minimalist
Occasion: Anniversary, Birthday, Everyday
Secondary color: Pink</t>
  </si>
  <si>
    <t xml:space="preserve">keep quantity at 20 (already 20 in the editor)</t>
  </si>
  <si>
    <t xml:space="preserve">Solid 14K gold necklace with a single petal pendant filled with pink enamel on a cable chain, made to order and shipped from New Jersey.
The 8 x 12 mm petal is gently fuller on the left with a rounded lower end, and the pink enamel fills a gold-backed recess inside the petal outline. It stays soft and small, keeping its own shape. It also makes a quiet push present or anniversary gift that stays small enough for every day.
DETAILS
Metal: solid 14K yellow gold with opaque, kiln-fired vitreous enamel. The enamel is a flat glass-filled recess over a gold backing, not a gemstone or resin.
Pendant: 8 x 12 mm petal; integrated bail with a 3 x 2 mm opening.
Chain: 14K gold cable chain with lobster clasp; choose 16 or 18 inches.
What arrives: one pendant necklace with cable chain and lobster clasp.
SIZING
16 inches sits at the collarbone and 18 inches sits just below 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</si>
  <si>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https://www.etsy.com/listing/4583755381</t>
  </si>
  <si>
    <t xml:space="preserve">https://www.etsy.com/your/shops/me/listing-editor/edit/4583755381</t>
  </si>
  <si>
    <t xml:space="preserve">4583765868</t>
  </si>
  <si>
    <t xml:space="preserve">Orange Dawn Necklace</t>
  </si>
  <si>
    <t xml:space="preserve">14K Gold Orange Enamel Necklace, Orange Dawn</t>
  </si>
  <si>
    <t xml:space="preserve">Solid Gold Necklace 14K with Orange Enamel Circle Pendant, Gold Circle Necklace with an Enamel Sunrise</t>
  </si>
  <si>
    <t xml:space="preserve">gold circle necklace</t>
  </si>
  <si>
    <t xml:space="preserve">orange pendant</t>
  </si>
  <si>
    <t xml:space="preserve">circle pendant</t>
  </si>
  <si>
    <t xml:space="preserve">disc necklace gold</t>
  </si>
  <si>
    <t xml:space="preserve">sunrise necklace</t>
  </si>
  <si>
    <t xml:space="preserve">Materials: Gold
Gold purity: 14k
Gold solidity: Solid gold
Primary color: Gold
Gemstone: none
Chain style: Cable
Closure: Lobster claw
Chain length: 16 or 18 inches (variation)
Style: Minimalist
Occasion: Anniversary, Birthday, Everyday
Secondary color: Orange</t>
  </si>
  <si>
    <t xml:space="preserve">add Chain Length variation 16 in and 18 in at one price (the source states no length); no personalization field: the earlier engraving note for this piece is not confirmed by the fetched source</t>
  </si>
  <si>
    <t xml:space="preserve">Solid 14K gold necklace with a 10 mm circle pendant, its lower half filled with orange enamel, on a cable chain, made to order and shipped from New Jersey.
Inside a plain 0.8 mm gold rim, an orange semicircle fills the lower half of the disc with a straight horizontal edge, a small sunrise; the upper half stays plain gold. The face is flat and supported, with softly rounded outer edges. It also makes a quiet push present or anniversary gift that stays small enough for every day.
DETAILS
Metal: solid 14K yellow gold with opaque, kiln-fired vitreous enamel. The enamel is a flat glass-filled recess over a gold backing, not a gemstone or resin.
Pendant: 10 mm diameter disc with a 0.8 mm gold rim; integrated bail with a 3 x 2 mm opening, not counted in the disc size.
Chain: 14K gold cable chain with lobster clasp; choose 16 or 18 inches.
What arrives: one pendant necklace with cable chain and lobster clasp.
SIZING
16 inches sits at the collarbone and 18 inches sits just below 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</si>
  <si>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https://www.etsy.com/listing/4583765868</t>
  </si>
  <si>
    <t xml:space="preserve">https://www.etsy.com/your/shops/me/listing-editor/edit/4583765868</t>
  </si>
  <si>
    <t xml:space="preserve">4583755281</t>
  </si>
  <si>
    <t xml:space="preserve">Blue Passage Necklace</t>
  </si>
  <si>
    <t xml:space="preserve">14K Gold Blue Enamel Necklace, Blue Passage</t>
  </si>
  <si>
    <t xml:space="preserve">Solid Gold Necklace 14K with Blue Enamel Arch Pendant, Blue Enamel Necklace on Cable Chain</t>
  </si>
  <si>
    <t xml:space="preserve">blue enamel necklace</t>
  </si>
  <si>
    <t xml:space="preserve">arch necklace</t>
  </si>
  <si>
    <t xml:space="preserve">arch pendant</t>
  </si>
  <si>
    <t xml:space="preserve">open arch pendant</t>
  </si>
  <si>
    <t xml:space="preserve">Materials: Gold
Gold purity: 14k
Gold solidity: Solid gold
Primary color: Gold
Gemstone: none
Chain style: Cable
Closure: Lobster claw
Chain length: 16 or 18 inches (variation)
Style: Minimalist
Occasion: Anniversary, Birthday, Everyday
Secondary color: Blue</t>
  </si>
  <si>
    <t xml:space="preserve">Solid 14K gold necklace with an open arch pendant and one cobalt blue enamel line on a cable chain, made to order and shipped from New Jersey.
The arch is 10.5 mm wide and 14 mm high with rounded shoulders and a 5 x 8 mm open center; only the lower right leg carries a 1.2 x 5.5 mm line of cobalt enamel over a gold floor. A doorway for a new chapter. It also makes a quiet push present or anniversary gift that stays small enough for every day.
DETAILS
Metal: solid 14K yellow gold with opaque, kiln-fired vitreous enamel. The enamel is a flat glass-filled recess over a gold backing, not a gemstone or resin.
Pendant: 10.5 x 14 mm arch, frame about 2.5 mm, open center 5 x 8 mm, enamel line 1.2 x 5.5 mm; integrated bail with a 3 x 2 mm opening.
Chain: 14K gold cable chain with lobster clasp; choose 16 or 18 inches.
What arrives: one pendant necklace with cable chain and lobster clasp.
SIZING
16 inches sits at the collarbone and 18 inches sits just below 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</si>
  <si>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https://www.etsy.com/listing/4583755281</t>
  </si>
  <si>
    <t xml:space="preserve">https://www.etsy.com/your/shops/me/listing-editor/edit/4583755281</t>
  </si>
  <si>
    <t xml:space="preserve">4583765684</t>
  </si>
  <si>
    <t xml:space="preserve">Green Seed Ring</t>
  </si>
  <si>
    <t xml:space="preserve">enamel_rings</t>
  </si>
  <si>
    <t xml:space="preserve">Green Enamel Ring, 14k Yellow Gold Seed Design</t>
  </si>
  <si>
    <t xml:space="preserve">Green Enamel Ring, 14K Gold Seed Silhouette with Optional Inside Engraving, Small Botanical Ring</t>
  </si>
  <si>
    <t xml:space="preserve">enamel ring</t>
  </si>
  <si>
    <t xml:space="preserve">gold enamel ring</t>
  </si>
  <si>
    <t xml:space="preserve">green enamel ring</t>
  </si>
  <si>
    <t xml:space="preserve">gold and enamel ring</t>
  </si>
  <si>
    <t xml:space="preserve">14k gold ring</t>
  </si>
  <si>
    <t xml:space="preserve">engraved gold ring</t>
  </si>
  <si>
    <t xml:space="preserve">personalized ring</t>
  </si>
  <si>
    <t xml:space="preserve">custom enamel ring</t>
  </si>
  <si>
    <t xml:space="preserve">seed ring</t>
  </si>
  <si>
    <t xml:space="preserve">botanical gold ring</t>
  </si>
  <si>
    <t xml:space="preserve">small gold ring</t>
  </si>
  <si>
    <t xml:space="preserve">minimalist gold ring</t>
  </si>
  <si>
    <t xml:space="preserve">nature inspired ring</t>
  </si>
  <si>
    <t xml:space="preserve">Jewelry &gt; Rings &gt; Statement Rings</t>
  </si>
  <si>
    <t xml:space="preserve">Materials: Gold
Gold purity: 14k
Gold solidity: Solid gold
Primary color: Gold
Gemstone: none
Ring size scale: US
Adjustable: No
Style: Minimalist
Occasion: Anniversary, Birthday, Everyday
Can be personalized: Yes (inside engraving)
Secondary color: Green</t>
  </si>
  <si>
    <t xml:space="preserve">set quantity to 20 where it shows 1</t>
  </si>
  <si>
    <t xml:space="preserve">Automatic (Orange Enamel Ring is on Manual)</t>
  </si>
  <si>
    <t xml:space="preserve">keep Ring Size US 4 to 10 in half sizes, single price</t>
  </si>
  <si>
    <t xml:space="preserve">Inside engraving (optional): up to 10 characters, letters, numbers, dots, &lt;3 for a heart</t>
  </si>
  <si>
    <t xml:space="preserve">keep 730; the inside engraving option makes it a personalized enamel ring, which is where the enamel ring market above 800 dollars sells</t>
  </si>
  <si>
    <t xml:space="preserve">Green enamel ring in solid 14K yellow gold, a small seed silhouette with a central opaque green enamel recess, made to order and shipped from New Jersey.
The seed shape carries one flat, gold-backed recess of opaque green enamel at its center, a small mark of quiet growth. Add an inside engraving to make it yours.
DETAILS
Metal: solid 14K yellow gold with opaque, kiln-fired vitreous enamel. The enamel is a flat glass-filled recess over a gold backing, not a gemstone or resin.
Sizes: US 4 to 10 in half sizes.
What arrives: one ring.
SIZING
Choose your US size in the menu. Half sizes are available. If you are between sizes, choose the larger one for a wide band and the smaller one for a slim band. Message us before ordering if you are unsure of your size.
PERSONALIZATION
Inside engraving is optional. Type up to 10 characters in the personalization box: letters, numbers, dots, and &lt;3 where you want a small heart. Leave the box blank for no engraving. Engraved rings are made specifically for you, so please check the size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</si>
  <si>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https://www.etsy.com/listing/4583765684</t>
  </si>
  <si>
    <t xml:space="preserve">https://www.etsy.com/your/shops/me/listing-editor/edit/4583765684</t>
  </si>
  <si>
    <t xml:space="preserve">4583765750</t>
  </si>
  <si>
    <t xml:space="preserve">Clay Orbit Ring</t>
  </si>
  <si>
    <t xml:space="preserve">14K Gold Clay Enamel Ring, Clay Orbit</t>
  </si>
  <si>
    <t xml:space="preserve">Enamel Ring, 14K Gold Oval Signet Ring Women with Terracotta Enamel Crescent, Small Signet with Custom Inside Engraving</t>
  </si>
  <si>
    <t xml:space="preserve">enamel signet ring</t>
  </si>
  <si>
    <t xml:space="preserve">signet ring women</t>
  </si>
  <si>
    <t xml:space="preserve">small signet ring</t>
  </si>
  <si>
    <t xml:space="preserve">oval signet ring</t>
  </si>
  <si>
    <t xml:space="preserve">custom signet ring</t>
  </si>
  <si>
    <t xml:space="preserve">engraved signet ring</t>
  </si>
  <si>
    <t xml:space="preserve">gold signet ring</t>
  </si>
  <si>
    <t xml:space="preserve">terracotta ring</t>
  </si>
  <si>
    <t xml:space="preserve">signet ring</t>
  </si>
  <si>
    <t xml:space="preserve">Jewelry &gt; Rings &gt; Signet Rings</t>
  </si>
  <si>
    <t xml:space="preserve">Materials: Gold
Gold purity: 14k
Gold solidity: Solid gold
Primary color: Gold
Gemstone: none
Ring size scale: US
Adjustable: No
Style: Minimalist
Occasion: Anniversary, Birthday, Everyday
Can be personalized: Yes (inside engraving)
Secondary color: Brown</t>
  </si>
  <si>
    <t xml:space="preserve">Terracotta enamel signet ring in solid 14K yellow gold, an east-west oval face with a crescent of terracotta enamel, made to order and shipped from New Jersey.
The 7.4 x 5.4 mm oval face carries one wide crescent of muted terracotta enamel hugging its left edge, about 1.3 mm at its middle and tapering to rounded ends. A quiet way of keeping a little space for yourself.
DETAILS
Metal: solid 14K yellow gold with opaque, kiln-fired vitreous enamel. The enamel is a flat glass-filled recess over a gold backing, not a gemstone or resin.
Face: 7.4 x 5.4 mm oval, set east-west.
Sizes: US 4 to 10 in half sizes.
What arrives: one ring.
SIZING
Choose your US size in the menu. Half sizes are available. If you are between sizes, choose the larger one for a wide band and the smaller one for a slim band. Message us before ordering if you are unsure of your size.
PERSONALIZATION
Inside engraving is optional. Type up to 10 characters in the personalization box: letters, numbers, dots, and &lt;3 where you want a small heart. Leave the box blank for no engraving. Engraved rings are made specifically for you, so please check the size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</si>
  <si>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https://www.etsy.com/listing/4583765750</t>
  </si>
  <si>
    <t xml:space="preserve">https://www.etsy.com/your/shops/me/listing-editor/edit/4583765750</t>
  </si>
  <si>
    <t xml:space="preserve">4583755083</t>
  </si>
  <si>
    <t xml:space="preserve">Pink Fold Ring</t>
  </si>
  <si>
    <t xml:space="preserve">14K Gold Pink Enamel Ring, Pink Fold</t>
  </si>
  <si>
    <t xml:space="preserve">Enamel Ring, 14K Gold Small Signet Ring Women with Pink Enamel Lozenge Face, Dainty Signet with Custom Inside Engraving</t>
  </si>
  <si>
    <t xml:space="preserve">pink enamel ring</t>
  </si>
  <si>
    <t xml:space="preserve">dainty signet ring</t>
  </si>
  <si>
    <t xml:space="preserve">lozenge ring</t>
  </si>
  <si>
    <t xml:space="preserve">Materials: Gold
Gold purity: 14k
Gold solidity: Solid gold
Primary color: Gold
Gemstone: none
Ring size scale: US
Adjustable: No
Style: Minimalist
Occasion: Anniversary, Birthday, Everyday
Can be personalized: Yes (inside engraving)
Secondary color: Pink</t>
  </si>
  <si>
    <t xml:space="preserve">Pink enamel signet ring in solid 14K yellow gold, a small lozenge face split between pink enamel and plain gold, made to order and shipped from New Jersey.
The 7 x 6 mm rounded lozenge face is divided by a 0.7 mm diagonal band of gold: the lower right half holds a rounded triangle of pink enamel, the upper left stays plain gold. Choosing your own direction, in one small face.
DETAILS
Metal: solid 14K yellow gold with opaque, kiln-fired vitreous enamel. The enamel is a flat glass-filled recess over a gold backing, not a gemstone or resin.
Face: 7 x 6 mm rounded lozenge.
Sizes: US 4 to 10 in half sizes.
What arrives: one ring.
SIZING
Choose your US size in the menu. Half sizes are available. If you are between sizes, choose the larger one for a wide band and the smaller one for a slim band. Message us before ordering if you are unsure of your size.
PERSONALIZATION
Inside engraving is optional. Type up to 10 characters in the personalization box: letters, numbers, dots, and &lt;3 where you want a small heart. Leave the box blank for no engraving. Engraved rings are made specifically for you, so please check the size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</si>
  <si>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https://www.etsy.com/listing/4583755083</t>
  </si>
  <si>
    <t xml:space="preserve">https://www.etsy.com/your/shops/me/listing-editor/edit/4583755083</t>
  </si>
  <si>
    <t xml:space="preserve">4583765514</t>
  </si>
  <si>
    <t xml:space="preserve">Orange Enamel Ring</t>
  </si>
  <si>
    <t xml:space="preserve">Orange Enamel Ring, 14k Yellow Gold with Vitreous</t>
  </si>
  <si>
    <t xml:space="preserve">Enamel Ring, 14K Gold Signet Ring Women with Orange Enamel Capsule Face, Small Signet with Custom Inside Engraving</t>
  </si>
  <si>
    <t xml:space="preserve">orange enamel ring</t>
  </si>
  <si>
    <t xml:space="preserve">capsule ring</t>
  </si>
  <si>
    <t xml:space="preserve">Materials: Gold
Gold purity: 14k
Gold solidity: Solid gold
Primary color: Gold
Gemstone: none
Ring size scale: US
Adjustable: No
Style: Minimalist
Occasion: Anniversary, Birthday, Everyday
Can be personalized: Yes (inside engraving)
Secondary color: Orange</t>
  </si>
  <si>
    <t xml:space="preserve">Orange enamel signet ring in solid 14K yellow gold, a slim horizontal capsule face with a warm orange enamel center, made to order and shipped from New Jersey.
The 8 x 4.2 mm capsule face holds a single 5.7 x 2 mm recess of orange enamel inside a smooth continuous gold border. It reads as a line of color on the hand rather than a stone.
DETAILS
Metal: solid 14K yellow gold with opaque, kiln-fired vitreous enamel. The enamel is a flat glass-filled recess over a gold backing, not a gemstone or resin.
Face: 8 x 4.2 mm capsule with a 5.7 x 2 mm enamel center.
Sizes: US 4 to 10 in half sizes.
What arrives: one ring.
SIZING
Choose your US size in the menu. Half sizes are available. If you are between sizes, choose the larger one for a wide band and the smaller one for a slim band. Message us before ordering if you are unsure of your size.
PERSONALIZATION
Inside engraving is optional. Type up to 10 characters in the personalization box: letters, numbers, dots, and &lt;3 where you want a small heart. Leave the box blank for no engraving. Engraved rings are made specifically for you, so please check the size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</si>
  <si>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https://www.etsy.com/listing/4583765514</t>
  </si>
  <si>
    <t xml:space="preserve">https://www.etsy.com/your/shops/me/listing-editor/edit/4583765514</t>
  </si>
  <si>
    <t xml:space="preserve">4583754889</t>
  </si>
  <si>
    <t xml:space="preserve">Blue Enamel Signet Ring</t>
  </si>
  <si>
    <t xml:space="preserve">Blue Enamel Ring, 14k Yellow Gold Rounded-Square Signet with Cobalt Accent</t>
  </si>
  <si>
    <t xml:space="preserve">Enamel Ring, 14K Gold Signet Ring Women with Blue Enamel Square Face, Small Signet with Custom Inside Engraving</t>
  </si>
  <si>
    <t xml:space="preserve">blue enamel ring</t>
  </si>
  <si>
    <t xml:space="preserve">cobalt blue ring</t>
  </si>
  <si>
    <t xml:space="preserve">square signet ring</t>
  </si>
  <si>
    <t xml:space="preserve">Materials: Gold
Gold purity: 14k
Gold solidity: Solid gold
Primary color: Gold
Gemstone: none
Ring size scale: US
Adjustable: No
Style: Minimalist
Occasion: Anniversary, Birthday, Everyday
Can be personalized: Yes (inside engraving)
Secondary color: Blue</t>
  </si>
  <si>
    <t xml:space="preserve">Blue enamel signet ring in solid 14K yellow gold, a low rounded-square face with one vertical bar of cobalt enamel, made to order and shipped from New Jersey.
The 6.5 x 6.5 mm face carries a single vertical capsule of cobalt blue enamel set into the gold face. Small enough for the pinky, with a low profile that sits close to the hand.
DETAILS
Metal: solid 14K yellow gold with opaque, kiln-fired vitreous enamel. The enamel is a flat glass-filled recess over a gold backing, not a gemstone or resin.
Face: 6.5 x 6.5 mm rounded square.
Sizes: US 4 to 10 in half sizes.
What arrives: one ring.
SIZING
Choose your US size in the menu. Half sizes are available. If you are between sizes, choose the larger one for a wide band and the smaller one for a slim band. Message us before ordering if you are unsure of your size.
PERSONALIZATION
Inside engraving is optional. Type up to 10 characters in the personalization box: letters, numbers, dots, and &lt;3 where you want a small heart. Leave the box blank for no engraving. Engraved rings are made specifically for you, so please check the size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Vitreous enamel is glass fused to gold. Protect it from knocks, remove the piece before sports and swimming, wipe it with a soft dry cloth, and skip ultrasonic cleaners and abrasive pastes.</t>
  </si>
  <si>
    <t xml:space="preserve">https://www.etsy.com/listing/4583754889</t>
  </si>
  <si>
    <t xml:space="preserve">https://www.etsy.com/your/shops/me/listing-editor/edit/4583754889</t>
  </si>
  <si>
    <t xml:space="preserve">4582948003</t>
  </si>
  <si>
    <t xml:space="preserve">Pinky Signet Ring</t>
  </si>
  <si>
    <t xml:space="preserve">core_rings</t>
  </si>
  <si>
    <t xml:space="preserve">Pinky Signet Ring, Solid 10K 14K 18K Gold Oval Engravable Face</t>
  </si>
  <si>
    <t xml:space="preserve">Pinky Signet Ring, Engraved Signet Ring in Solid Gold with an Oval Face for Initials or a Monogram, Custom Gold Pinky Jewelry</t>
  </si>
  <si>
    <t xml:space="preserve">pinky signet ring</t>
  </si>
  <si>
    <t xml:space="preserve">engraved pinky ring</t>
  </si>
  <si>
    <t xml:space="preserve">gold pinky ring</t>
  </si>
  <si>
    <t xml:space="preserve">pinky ring</t>
  </si>
  <si>
    <t xml:space="preserve">initial signet ring</t>
  </si>
  <si>
    <t xml:space="preserve">monogram signet ring</t>
  </si>
  <si>
    <t xml:space="preserve">womens pinky ring</t>
  </si>
  <si>
    <t xml:space="preserve">Materials: Gold
Gold purity: 10k, 14k, 18k (per variation)
Gold solidity: Solid gold
Primary color: Gold
Gemstone: none
Ring size scale: US
Adjustable: No
Occasion: Anniversary, Birthday, Everyday
Style: Signet
Can be personalized: Yes (face engraving)</t>
  </si>
  <si>
    <t xml:space="preserve">Solid 10K gold, Solid 14K gold, Solid 18K gold</t>
  </si>
  <si>
    <t xml:space="preserve">keep 20</t>
  </si>
  <si>
    <t xml:space="preserve">assign the free US shipping profile (currently Custom option, calculated from 07093)</t>
  </si>
  <si>
    <t xml:space="preserve">today 105 variants (10K, 14K, 18K x rose, white, yellow x US 3 to 10) price 1,029 to 2,654: the copy keeps the three karats while they are listed; when the listing is split into 14K only at one price per size, remove 10K and 18K from DETAILS and move them to their own listings</t>
  </si>
  <si>
    <t xml:space="preserve">Face engraving (optional): initials or a monogram, up to 4 characters</t>
  </si>
  <si>
    <t xml:space="preserve">market: engraved 14K signet 651 dollars with 620 reviews; custom pinky signet 1,258 dollars with 46 sales in 69 days; keep list until cost data, lead with engraving</t>
  </si>
  <si>
    <t xml:space="preserve">Pinky signet ring in solid gold with a smooth 11 x 9 mm oval face for engraved initials or a monogram, made to order and shipped from New Jersey.
A classic little-finger signet: polished oval face, 4 mm shoulders and a slim 1.6 mm band, sized from US 3 so it fits the pinky properly. Order it plain, or have up to four characters engraved on the face.
DETAILS
Metal: choose solid 10K, 14K or 18K gold in yellow, white or rose (18K in yellow).
Face: about 11 x 9 mm oval; 4 mm shank at the sides; 1.6 mm band; polished finish.
Sizes: US 3 to 10 in whole and half sizes.
What arrives: one signet ring, engraved if you choose.
SIZING
Measure the pinky itself rather than the ring finger; the little finger usually runs a few sizes smaller. If you are between sizes, choose the larger size so the signet passes over the knuckle and sits snugly behind it. Message us before ordering if you are unsure.
PERSONALIZATION
Face engraving is optional. Type up to 4 characters in the personalization box, for example two or three initials, with or without periods. Leave it blank for a plain face. Engraved rings are made specifically for you, so please confirm the size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Remove the piece before swimming, showering or sleeping, wipe it with a soft dry cloth and store it separately.</t>
  </si>
  <si>
    <t xml:space="preserve">https://www.etsy.com/listing/4582948003</t>
  </si>
  <si>
    <t xml:space="preserve">https://www.etsy.com/your/shops/me/listing-editor/edit/4582948003</t>
  </si>
  <si>
    <t xml:space="preserve">4579914547</t>
  </si>
  <si>
    <t xml:space="preserve">Sunrise Ring</t>
  </si>
  <si>
    <t xml:space="preserve">Sunrise Ring, 14k Solid Yellow Gold Mountain Symbol, Sizes 4–16</t>
  </si>
  <si>
    <t xml:space="preserve">Mountain Ring in Solid 14K Gold, Sunrise Ring with Two Peaks and a Rising Sun, Nature Inspired Symbol Jewelry</t>
  </si>
  <si>
    <t xml:space="preserve">mountain ring</t>
  </si>
  <si>
    <t xml:space="preserve">sunrise ring</t>
  </si>
  <si>
    <t xml:space="preserve">14k solid gold ring</t>
  </si>
  <si>
    <t xml:space="preserve">gold statement ring</t>
  </si>
  <si>
    <t xml:space="preserve">symbol ring gold</t>
  </si>
  <si>
    <t xml:space="preserve">mesopotamian jewelry</t>
  </si>
  <si>
    <t xml:space="preserve">mountain jewelry</t>
  </si>
  <si>
    <t xml:space="preserve">sun ring gold</t>
  </si>
  <si>
    <t xml:space="preserve">landscape ring</t>
  </si>
  <si>
    <t xml:space="preserve">gold mountain ring</t>
  </si>
  <si>
    <t xml:space="preserve">horizon ring</t>
  </si>
  <si>
    <t xml:space="preserve">Materials: Gold
Gold purity: 14k
Gold solidity: Solid gold
Primary color: Gold
Gemstone: none
Ring size scale: US
Adjustable: No
Occasion: Anniversary, Birthday, Everyday
Style: Nature inspired</t>
  </si>
  <si>
    <t xml:space="preserve">Solid 14K yellow gold</t>
  </si>
  <si>
    <t xml:space="preserve">keep Ring Size US 4 to 16 with size pricing (644 to 919); size-based ranges are accepted on the grid (see the brief amendment), karat and width ranges are not</t>
  </si>
  <si>
    <t xml:space="preserve">keep; symbol ring tier 430 to 760</t>
  </si>
  <si>
    <t xml:space="preserve">Mountain ring in solid 14K yellow gold, two sculpted peaks framing a raised sun over an open horizon, made to order and shipped from New Jersey.
The motif reads as a dawn: polished faceted ridges rise on either side of a raised sun, with an open horizon beneath it that keeps the ring light on the hand. The shape comes from Mesopotamian dawn and mountain iconography, worn as a personal symbol of beginnings, and it makes a push present or milestone gift with a story behind it.
DETAILS
Metal: 14K solid yellow gold, not plated or filled.
Motif: about 12 x 7 mm, rising about 2.4 mm from the band.
Band: comfort-fit shank about 2.1 x 1.8 mm; high polished mirror finish.
Sizes: US 4 to 16 in full and half sizes.
What arrives: one ring.
SIZING
Choose your US size in the menu. Half sizes are available. If you are between sizes, choose the larger one for a wide band and the smaller one for a slim band. Message us before ordering if you are unsure of your size.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</si>
  <si>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https://www.etsy.com/listing/4579914547</t>
  </si>
  <si>
    <t xml:space="preserve">https://www.etsy.com/your/shops/me/listing-editor/edit/4579914547</t>
  </si>
  <si>
    <t xml:space="preserve">4579931388</t>
  </si>
  <si>
    <t xml:space="preserve">14K Floral Ring</t>
  </si>
  <si>
    <t xml:space="preserve">14K Floral Ring, Solid Yellow Gold Five Petal Flower Band</t>
  </si>
  <si>
    <t xml:space="preserve">Gold Flower Ring in Solid 14K Gold, Five Petal Floral Ring with a Recessed Center, Stackable Botanical Band</t>
  </si>
  <si>
    <t xml:space="preserve">gold flower ring</t>
  </si>
  <si>
    <t xml:space="preserve">flower ring</t>
  </si>
  <si>
    <t xml:space="preserve">five petal ring</t>
  </si>
  <si>
    <t xml:space="preserve">blossom ring gold</t>
  </si>
  <si>
    <t xml:space="preserve">floral gold ring</t>
  </si>
  <si>
    <t xml:space="preserve">solid gold ring</t>
  </si>
  <si>
    <t xml:space="preserve">stackable gold ring</t>
  </si>
  <si>
    <t xml:space="preserve">botanical ring gold</t>
  </si>
  <si>
    <t xml:space="preserve">petal ring</t>
  </si>
  <si>
    <t xml:space="preserve">flower band ring</t>
  </si>
  <si>
    <t xml:space="preserve">rounded petal ring</t>
  </si>
  <si>
    <t xml:space="preserve">Jewelry &gt; Rings &gt; Stackable Rings</t>
  </si>
  <si>
    <t xml:space="preserve">keep Ring Size US 4 to 16 with size pricing (634 to 909)</t>
  </si>
  <si>
    <t xml:space="preserve">keep; symbol ring tier</t>
  </si>
  <si>
    <t xml:space="preserve">Gold flower ring in solid 14K yellow gold, five rounded petals around a recessed center on a polished band, made to order and shipped from New Jersey.
The flower head is solid, about 11 x 11 mm, with a recessed center and one subtly clipped lower petal; the design draws on ancient Mesopotamian floral iconography. It wears alone or stacked with slim bands, and it makes a push present or birthday gift that reads as a flower, not a logo.
DETAILS
Metal: 14K solid yellow gold, not plated or filled.
Motif: about 11 x 11 mm solid flower head with a central recessed indent.
Band: comfort-fit shank about 2.1 x 1.8 mm; high polished mirror finish.
Sizes: US 4 to 16 in full and half sizes.
What arrives: one ring.
SIZING
Choose your US size in the menu. Half sizes are available. If you are between sizes, choose the larger one for a wide band and the smaller one for a slim band. Message us before ordering if you are unsure of your size.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</si>
  <si>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https://www.etsy.com/listing/4579931388</t>
  </si>
  <si>
    <t xml:space="preserve">https://www.etsy.com/your/shops/me/listing-editor/edit/4579931388</t>
  </si>
  <si>
    <t xml:space="preserve">4579170829</t>
  </si>
  <si>
    <t xml:space="preserve">Infinity Ring</t>
  </si>
  <si>
    <t xml:space="preserve">Infinity Ring, 14k Solid Yellow Gold Open Symbol Stacking Band</t>
  </si>
  <si>
    <t xml:space="preserve">Infinity Ring in Solid 14K Gold, Open Infinity Symbol Stacking Band with Two Windows, Minimalist Gold Band</t>
  </si>
  <si>
    <t xml:space="preserve">infinity ring</t>
  </si>
  <si>
    <t xml:space="preserve">infinity ring gold</t>
  </si>
  <si>
    <t xml:space="preserve">gold infinity</t>
  </si>
  <si>
    <t xml:space="preserve">infinity band</t>
  </si>
  <si>
    <t xml:space="preserve">infinity jewelry</t>
  </si>
  <si>
    <t xml:space="preserve">gold stacking ring</t>
  </si>
  <si>
    <t xml:space="preserve">open ring gold</t>
  </si>
  <si>
    <t xml:space="preserve">eternity symbol ring</t>
  </si>
  <si>
    <t xml:space="preserve">open infinity ring</t>
  </si>
  <si>
    <t xml:space="preserve">Materials: Gold
Gold purity: 14k
Gold solidity: Solid gold
Primary color: Gold
Gemstone: none
Ring size scale: US
Adjustable: No
Occasion: Anniversary, Birthday, Everyday
Style: Minimalist</t>
  </si>
  <si>
    <t xml:space="preserve">set to Automatic (currently Manual)</t>
  </si>
  <si>
    <t xml:space="preserve">keep Ring Size US 4 to 16 in half sizes as set in the editor (489 to 764); the public page still lists sizes 5 to 9 from an older description, replaced here</t>
  </si>
  <si>
    <t xml:space="preserve">Infinity ring in solid 14K yellow gold, an open asymmetrical infinity symbol on a low-profile stacking band, made to order and shipped from New Jersey.
The right loop widens into a polished light plane while the left loop stays slender and rounded, so the symbol catches light unevenly and reads as sculpture rather than a flat sign. Two open windows keep it light; it layers with other bands and makes a push present or anniversary gift that is easy to wear every day.
DETAILS
Metal: 14K solid yellow gold, not plated or filled.
Motif: about 11.6 x 6.2 mm; widest plane about 1.8 mm.
Band: low-profile comfort fit, about 1.9 x 1.6 mm, solid cast; high polished mirror finish with a defined bevel.
Sizes: US 4 to 16 in half sizes.
What arrives: one ring.
SIZING
Choose your US size in the menu. Half sizes are available. If you are between sizes, choose the larger one for a wide band and the smaller one for a slim band. Message us before ordering if you are unsure of your size.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</si>
  <si>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https://www.etsy.com/listing/4579170829</t>
  </si>
  <si>
    <t xml:space="preserve">https://www.etsy.com/your/shops/me/listing-editor/edit/4579170829</t>
  </si>
  <si>
    <t xml:space="preserve">4579188284</t>
  </si>
  <si>
    <t xml:space="preserve">Rosette Ring</t>
  </si>
  <si>
    <t xml:space="preserve">Rosette Ring, 14k Solid Yellow Gold Floral Symbol Stacking Band</t>
  </si>
  <si>
    <t xml:space="preserve">Flower Ring Gold, Open Rosette Ring in Solid 14K Gold with Five Petals, Mesopotamian Floral Stacking Band</t>
  </si>
  <si>
    <t xml:space="preserve">flower ring gold</t>
  </si>
  <si>
    <t xml:space="preserve">rosette ring</t>
  </si>
  <si>
    <t xml:space="preserve">open flower ring</t>
  </si>
  <si>
    <t xml:space="preserve">ancient symbol ring</t>
  </si>
  <si>
    <t xml:space="preserve">floral stacking ring</t>
  </si>
  <si>
    <t xml:space="preserve">open petal ring</t>
  </si>
  <si>
    <t xml:space="preserve">keep Ring Size US 4 to 16 with size pricing (504 to 779); title and tags now differ from the 14K Floral Ring so the two do not compete for one query</t>
  </si>
  <si>
    <t xml:space="preserve">Open flower ring in solid 14K yellow gold, a rosette of five open petals around a round center on a stacking band, made to order and shipped from New Jersey.
The rosette is about 11 x 11 mm with open petals and a 3 mm round opening at the center, one lower petal gently clipped, a form taken from ancient Mesopotamian floral iconography. Low profile, comfort fit, made to stack, and a push present or birthday gift with a story behind it.
DETAILS
Metal: 14K solid yellow gold, not plated or filled.
Motif: about 11 x 11 mm open rosette; center opening about 3 mm.
Band: low-profile comfort fit, about 2.0 x 1.7 mm, solid cast; high polished mirror finish.
Sizes: US 4 to 16 in full and half sizes.
What arrives: one ring.
SIZING
Choose your US size in the menu. Half sizes are available. If you are between sizes, choose the larger one for a wide band and the smaller one for a slim band. Message us before ordering if you are unsure of your size.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</si>
  <si>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https://www.etsy.com/listing/4579188284</t>
  </si>
  <si>
    <t xml:space="preserve">https://www.etsy.com/your/shops/me/listing-editor/edit/4579188284</t>
  </si>
  <si>
    <t xml:space="preserve">4578936078</t>
  </si>
  <si>
    <t xml:space="preserve">Sculptural Ring</t>
  </si>
  <si>
    <t xml:space="preserve">Sculptural Ring, 14K Gold Open Arc Contour Design in Three Colors</t>
  </si>
  <si>
    <t xml:space="preserve">Gold Statement Ring, Sculptural Ring in Solid 14K Gold with Two Peaks and an Open Arc, Stacking Band in Yellow, White or Rose</t>
  </si>
  <si>
    <t xml:space="preserve">sculptural ring</t>
  </si>
  <si>
    <t xml:space="preserve">open arc ring</t>
  </si>
  <si>
    <t xml:space="preserve">arc ring gold</t>
  </si>
  <si>
    <t xml:space="preserve">white gold ring</t>
  </si>
  <si>
    <t xml:space="preserve">geometric gold ring</t>
  </si>
  <si>
    <t xml:space="preserve">yellow gold ring</t>
  </si>
  <si>
    <t xml:space="preserve">Materials: Gold
Gold purity: 14k
Gold solidity: Solid gold
Primary color: Gold (yellow, white or rose per variation)
Gemstone: none
Ring size scale: US
Adjustable: No
Occasion: Anniversary, Birthday, Everyday
Style: Geometric</t>
  </si>
  <si>
    <t xml:space="preserve">Solid 14K yellow gold, Solid 14K white gold, Solid 14K rose gold</t>
  </si>
  <si>
    <t xml:space="preserve">keep Metal color x Ring Size with size pricing (504 to 779); the source has no motif dimensions, measure the sample and add them</t>
  </si>
  <si>
    <t xml:space="preserve">keep; symbol ring tier. The current description shows an internal note ('confirm final measurements, weight, and availability before sending the listing to Etsy') and gram estimates: both removed</t>
  </si>
  <si>
    <t xml:space="preserve">Sculptural ring in solid 14K gold, two softly rising peaks joined by a fine open arc, in yellow, white or rose gold, made to order and shipped from New Jersey.
The two peaks and the airy arc between them give the ring an open, airy silhouette, with a smooth rounded band and a polished finish. Wear it alone as a small statement or stack it with plain bands; it makes a push present or birthday gift for someone who likes a landscape more than a stone.
DETAILS
Metal: solid 14K gold, choose yellow, white or rose.
Design: two raised peaks with an open arc between them; polished finish; smooth rounded band.
Sizes: any US size from 4 to 16, including half sizes.
What arrives: one ring.
SIZING
Choose your US size in the menu. Half sizes are available. If you are between sizes, choose the larger one for a wide band and the smaller one for a slim band. Message us before ordering if you are unsure of your size.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</si>
  <si>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https://www.etsy.com/listing/4578936078</t>
  </si>
  <si>
    <t xml:space="preserve">https://www.etsy.com/your/shops/me/listing-editor/edit/4578936078</t>
  </si>
  <si>
    <t xml:space="preserve">4578893291</t>
  </si>
  <si>
    <t xml:space="preserve">Initial Gold Ring</t>
  </si>
  <si>
    <t xml:space="preserve">Initial Gold Ring, 14k Yellow Personalized Signet with Uppercase Letter</t>
  </si>
  <si>
    <t xml:space="preserve">Initial Signet Ring in Solid 14K Gold, Personalized Letter Ring with a Recessed Uppercase Initial, Custom Signet for Women</t>
  </si>
  <si>
    <t xml:space="preserve">initial ring</t>
  </si>
  <si>
    <t xml:space="preserve">gold initial ring</t>
  </si>
  <si>
    <t xml:space="preserve">letter ring gold</t>
  </si>
  <si>
    <t xml:space="preserve">initials ring</t>
  </si>
  <si>
    <t xml:space="preserve">letter signet ring</t>
  </si>
  <si>
    <t xml:space="preserve">brushed gold ring</t>
  </si>
  <si>
    <t xml:space="preserve">Materials: Gold
Gold purity: 14k
Gold solidity: Solid gold
Primary color: Gold
Gemstone: none
Ring size scale: US
Adjustable: No
Occasion: Anniversary, Birthday, Everyday
Style: Signet
Can be personalized: Yes (one uppercase letter)</t>
  </si>
  <si>
    <t xml:space="preserve">keep Ring Size US 5 to 9 in half sizes with size pricing (1,164 to 1,344); add the materials list (currently empty) and the attributes (currently none)</t>
  </si>
  <si>
    <t xml:space="preserve">Initial (one uppercase letter A to Z), required</t>
  </si>
  <si>
    <t xml:space="preserve">premium rung; the hedge 'exact specifications should be confirmed before purchase' is removed; measure the face on the sample and add mm</t>
  </si>
  <si>
    <t xml:space="preserve">Initial signet ring in solid 14K yellow gold, a squared face with your recessed uppercase letter, brushed finish, made to order and shipped from New Jersey.
The letter is recessed into the face rather than raised on it, and the lightly brushed surface keeps the finish soft. A tapered band keeps the profile close to the hand; the photos show the letter E, and your letter replaces it. A push present or graduation gift that carries one name.
DETAILS
Metal: 14K solid yellow gold.
Face: softly squared signet face with a recessed uppercase letter; lightly brushed surface; tapered band.
Sizes: US 5 to 9 in half sizes.
What arrives: one ring with the letter you choose.
SIZING
Choose your US size in the menu. Half sizes are available. If you are between sizes, choose the larger one so the face passes over the knuckle. Message us before ordering if you need a size outside 5 to 9.
PERSONALIZATION
Type exactly one uppercase letter from A to Z in the personalization box. Personalized rings are made specifically for you, so please check the letter and the size before ordering.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</si>
  <si>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https://www.etsy.com/listing/4578893291</t>
  </si>
  <si>
    <t xml:space="preserve">https://www.etsy.com/your/shops/me/listing-editor/edit/4578893291</t>
  </si>
  <si>
    <t xml:space="preserve">4576009060</t>
  </si>
  <si>
    <t xml:space="preserve">Milgrain Band</t>
  </si>
  <si>
    <t xml:space="preserve">Milgrain Band, Solid 14K Gold Wedding with Satin Finish and Beveled Edge</t>
  </si>
  <si>
    <t xml:space="preserve">Gold Wedding Band in Solid 14K Gold, Milgrain Wedding Band with Satin Center and Beveled Shoulders, Comfort Fit, Yellow, Rose or White</t>
  </si>
  <si>
    <t xml:space="preserve">gold wedding band</t>
  </si>
  <si>
    <t xml:space="preserve">milgrain gold band</t>
  </si>
  <si>
    <t xml:space="preserve">milgrain band</t>
  </si>
  <si>
    <t xml:space="preserve">satin wedding band</t>
  </si>
  <si>
    <t xml:space="preserve">beveled wedding band</t>
  </si>
  <si>
    <t xml:space="preserve">comfort fit band</t>
  </si>
  <si>
    <t xml:space="preserve">wedding band women</t>
  </si>
  <si>
    <t xml:space="preserve">rose gold band</t>
  </si>
  <si>
    <t xml:space="preserve">white gold band</t>
  </si>
  <si>
    <t xml:space="preserve">yellow gold band</t>
  </si>
  <si>
    <t xml:space="preserve">textured gold band</t>
  </si>
  <si>
    <t xml:space="preserve">solid gold band</t>
  </si>
  <si>
    <t xml:space="preserve">anniversary band</t>
  </si>
  <si>
    <t xml:space="preserve">Jewelry &gt; Rings &gt; Wedding &amp; Engagement &gt; Wedding Bands</t>
  </si>
  <si>
    <t xml:space="preserve">Materials: Gold
Gold purity: 14k
Gold solidity: Solid gold
Primary color: Gold (yellow, rose or white per variation)
Gemstone: none
Ring size scale: US
Band width: 4, 5 or 6 mm (variation)
Adjustable: No
Occasion: Wedding, Anniversary
Style: Classic</t>
  </si>
  <si>
    <t xml:space="preserve">Solid 14K yellow gold, Solid 14K rose gold, Solid 14K white gold</t>
  </si>
  <si>
    <t xml:space="preserve">split: one price per size and width; today 225 variants (width x color x size) span 929 to 1,769, so list the 4 mm width here at one price per size and give 5 mm and 6 mm their own listings; the copy keeps the three widths while they are listed, and on the split the Widths line and the Band width attribute change to the width of each listing</t>
  </si>
  <si>
    <t xml:space="preserve">market: 14K domed band 359 dollars with 942 reviews and 4.7k sales; the milgrain band competes on finish, not price; keep list, lead with the satin and milgrain detail</t>
  </si>
  <si>
    <t xml:space="preserve">Gold wedding band in solid 14K gold with a satin center, beveled shoulders and fine milgrain beading on both edges, made to order and shipped from New Jersey.
The satin center takes the light softly while the beveled shoulders and the beaded edges frame it, a classic band with a little more presence than a plain dome. Choose yellow, rose or white gold and a 4, 5 or 6 mm width.
DETAILS
Metal: solid 14K gold, choose yellow, rose or white.
Profile: satin finish center, beveled shoulders, milgrain beading along both edges, rounded comfort-fit interior.
Widths: 4 mm, 5 mm or 6 mm.
Sizes: US 4 to 16 in half sizes.
What arrives: one band.
SIZING
Choose your width first, then your US size in the menu. Half sizes are available. If you are between sizes, choose the larger one for the 6 mm width and the smaller one for the 4 mm width. Message us before ordering if you are unsure of your size.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</si>
  <si>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https://www.etsy.com/listing/4576009060</t>
  </si>
  <si>
    <t xml:space="preserve">https://www.etsy.com/your/shops/me/listing-editor/edit/4576009060</t>
  </si>
  <si>
    <t xml:space="preserve">4582909101</t>
  </si>
  <si>
    <t xml:space="preserve">Solid Gold Cuff</t>
  </si>
  <si>
    <t xml:space="preserve">core_bracelets</t>
  </si>
  <si>
    <t xml:space="preserve">Solid Gold Cuff, 10K 14K 18K Reeded Open Bangle with Hidden Engraving</t>
  </si>
  <si>
    <t xml:space="preserve">Solid Gold Cuff Bracelet with Hidden Engraving, Reeded Open Bangle in 10K 14K 18K Gold, Engraved Cuff for Women</t>
  </si>
  <si>
    <t xml:space="preserve">gold cuff bracelet</t>
  </si>
  <si>
    <t xml:space="preserve">solid gold cuff</t>
  </si>
  <si>
    <t xml:space="preserve">engraved gold cuff</t>
  </si>
  <si>
    <t xml:space="preserve">gold cuff for women</t>
  </si>
  <si>
    <t xml:space="preserve">wide gold cuff</t>
  </si>
  <si>
    <t xml:space="preserve">reeded cuff bracelet</t>
  </si>
  <si>
    <t xml:space="preserve">personalized cuff</t>
  </si>
  <si>
    <t xml:space="preserve">open cuff bracelet</t>
  </si>
  <si>
    <t xml:space="preserve">gold bangle cuff</t>
  </si>
  <si>
    <t xml:space="preserve">cuff bracelet women</t>
  </si>
  <si>
    <t xml:space="preserve">hidden message cuff</t>
  </si>
  <si>
    <t xml:space="preserve">engraved bracelet</t>
  </si>
  <si>
    <t xml:space="preserve">Jewelry &gt; Bracelets &gt; Cuff Bracelets</t>
  </si>
  <si>
    <t xml:space="preserve">Materials: Gold
Gold purity: 10k, 14k, 18k (per variation)
Gold solidity: Solid gold
Primary color: Gold
Gemstone: none
Bracelet length: Petite 125 mm or Standard 140 mm flat length (variation)
Bracelet width: 4, 6 or 8 mm (variation)
Adjustable: Yes (open cuff)
Occasion: Anniversary, Birthday
Can be personalized: Yes (hidden engraving)</t>
  </si>
  <si>
    <t xml:space="preserve">today price range 1,368 to 5,801 across karat, width and size: split into a 14K listing (this one) with width and size only, and 10K and 18K listings later; the copy describes all three karats until the split, then the title segment becomes 'Reeded Open Bangle in Solid 14K Gold' and DETAILS keeps 14K only</t>
  </si>
  <si>
    <t xml:space="preserve">Hidden engraving (optional): initials, a date or a short word, up to 10 characters</t>
  </si>
  <si>
    <t xml:space="preserve">premium rung; the source says 'boxed and ready to give', packaging not confirmed by Hüsam, so the copy does not mention a box until it is</t>
  </si>
  <si>
    <t xml:space="preserve">Solid gold cuff bracelet with a reeded outer face and a smooth interior for hidden engraving, in 10K, 14K or 18K, made to order and shipped from New Jersey.
The fine reeding runs around the outside of the cuff while the inside stays smooth for initials, a date or a short word only you know is there. Choose a narrow 4 mm, a 6 mm or a wide 8 mm cuff, in yellow, white or rose gold. A push present or anniversary gift with a private message inside.
DETAILS
Metal: solid 10K, 14K or 18K gold in yellow, white or rose.
Widths: 4 mm, 6 mm or 8 mm.
Sizes: Petite (125 mm flat length) or Standard (140 mm flat length); Standard suits most wrists, Petite suits a slim wrist.
Profile: open back, flat profile about 1.5 mm thick, no hinge and no clasp.
What arrives: one cuff, engraved if you choose.
SIZING
Standard suits most wrists; choose Petite for a slim wrist. Shape the cuff with gentle hand pressure, opening and closing it slowly and only as far as needed.
PERSONALIZATION
Hidden engraving inside the cuff is optional. Type up to 10 characters in the personalization box: initials, a date or a short word. Leave it blank for no engraving. Engraved cuffs are made specifically for you.
MADE TO ORDER
Each piece is made to order in 3 to 5 business days and ships free within the United States from New Jersey. Add a gift message at checkout and it ships with the piece.
RETURNS
Returns and exchanges are accepted within 30 days, as described in the shop policies.
CARE
Remove the piece before swimming, showering or sleeping, wipe it with a soft dry cloth and store it separately.</t>
  </si>
  <si>
    <t xml:space="preserve">https://www.etsy.com/listing/4582909101</t>
  </si>
  <si>
    <t xml:space="preserve">https://www.etsy.com/your/shops/me/listing-editor/edit/4582909101</t>
  </si>
  <si>
    <t xml:space="preserve">correct the Bracelet width attribute: the editor holds 140 mm, which is the Standard flat length, not a width; set it to the width of the variation (4, 6 or 8 mm)</t>
  </si>
  <si>
    <t xml:space="preserve">4581312197</t>
  </si>
  <si>
    <t xml:space="preserve">Diamond Bracelet</t>
  </si>
  <si>
    <t xml:space="preserve">Diamond Bracelet, Solid 14k Yellow Gold Open Circle Cable Chain</t>
  </si>
  <si>
    <t xml:space="preserve">Diamond Bracelet in Solid 14K Gold, Pave Open Circle Bracelet with a Bezel Set Natural Diamond on Cable Chain</t>
  </si>
  <si>
    <t xml:space="preserve">diamond bracelet</t>
  </si>
  <si>
    <t xml:space="preserve">pave diamond gold</t>
  </si>
  <si>
    <t xml:space="preserve">open circle bracelet</t>
  </si>
  <si>
    <t xml:space="preserve">circle bracelet gold</t>
  </si>
  <si>
    <t xml:space="preserve">diamond circle</t>
  </si>
  <si>
    <t xml:space="preserve">dainty diamond</t>
  </si>
  <si>
    <t xml:space="preserve">bezel set diamond</t>
  </si>
  <si>
    <t xml:space="preserve">diamond bracelet 14k</t>
  </si>
  <si>
    <t xml:space="preserve">Materials: Gold
Gold purity: 14k
Gold solidity: Solid gold
Primary color: Gold
Gemstone: Diamond
Chain style: Cable
Bracelet length: 6.5, 7 or 7.5 inches (variation)
Adjustable: No
Occasion: Anniversary, Birthday, Everyday
Stone source: Natural
Closure: Spring ring
Bracelet width: 11 mm
Style: Minimalist</t>
  </si>
  <si>
    <t xml:space="preserve">Solid 14K yellow gold, Natural diamonds</t>
  </si>
  <si>
    <t xml:space="preserve">keep Chain Length 6.5, 7, 7.5 in at one price</t>
  </si>
  <si>
    <t xml:space="preserve">keep 744; add carat weight to DETAILS once the workshop confirms it</t>
  </si>
  <si>
    <t xml:space="preserve">Diamond bracelet in solid 14K yellow gold, an open circle of pave-set natural diamonds beside a bezel-set diamond, made to order and shipped from New Jersey.
One continuous row of small round natural diamonds runs along the front of the open circle, and one round diamond sits beside it in a plain gold bezel. Closed jump rings hold both to the chain. A push present or anniversary bracelet that wears alone or beside a plain gold chain.
DETAILS
Metal: solid 14K yellow gold.
Stones: small round natural diamonds, pave set in the circle; one round natural diamond, bezel set.
Motif: open circle about 11 mm across; bracelet width 11 mm.
Chain: cable chain with a spring ring clasp; choose 6.5, 7 or 7.5 inches.
What arrives: one bracelet in the length you choose.
SIZING
Choose 6.5, 7 or 7.5 inches. 7 inches fits most wrists. Measure your wrist snugly and add about half an inch for movement, or a full inch for a looser fit.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 Clean the diamonds with mild soap and warm water and dry with a soft cloth.</t>
  </si>
  <si>
    <t xml:space="preserve">https://www.etsy.com/listing/4581312197</t>
  </si>
  <si>
    <t xml:space="preserve">https://www.etsy.com/your/shops/me/listing-editor/edit/4581312197</t>
  </si>
  <si>
    <t xml:space="preserve">4579034421</t>
  </si>
  <si>
    <t xml:space="preserve">Evil Eye Bracelet blue</t>
  </si>
  <si>
    <t xml:space="preserve">Evil Eye Bracelet, Solid 14k Yellow Gold Cable Chain with Blue Stone</t>
  </si>
  <si>
    <t xml:space="preserve">14K Gold Evil Eye Bracelet with Blue Stone, Dainty Evil Eye Bracelet in Solid Gold, Protection Jewelry on Cable Chain</t>
  </si>
  <si>
    <t xml:space="preserve">evil eye bracelet</t>
  </si>
  <si>
    <t xml:space="preserve">gold evil eye</t>
  </si>
  <si>
    <t xml:space="preserve">14k gold evil eye</t>
  </si>
  <si>
    <t xml:space="preserve">dainty evil eye</t>
  </si>
  <si>
    <t xml:space="preserve">solid gold evil eye</t>
  </si>
  <si>
    <t xml:space="preserve">nazar bracelet</t>
  </si>
  <si>
    <t xml:space="preserve">nazar bracelet gold</t>
  </si>
  <si>
    <t xml:space="preserve">protection bracelet</t>
  </si>
  <si>
    <t xml:space="preserve">blue evil eye</t>
  </si>
  <si>
    <t xml:space="preserve">blue stone bracelet</t>
  </si>
  <si>
    <t xml:space="preserve">Materials: Gold
Gold purity: 14k
Gold solidity: Solid gold
Primary color: Gold
Gemstone: Lapis lazuli
Chain style: Cable
Bracelet length: 6.5, 7 or 7.5 inches (variation)
Adjustable: No
Occasion: Anniversary, Birthday, Everyday
Gem color: Blue
Secondary color: Blue
Closure: Lobster claw
Bracelet width: 11.8 mm
Style: Minimalist</t>
  </si>
  <si>
    <t xml:space="preserve">Solid 14K yellow gold, Blue stone</t>
  </si>
  <si>
    <t xml:space="preserve">keep Chain Length 6.5, 7, 7.5 in (459 to 504); lead listing, launch price at the current 25 percent through 31 October</t>
  </si>
  <si>
    <t xml:space="preserve">lead listing; page one for this query sells 14K solid evil eye at 265 to 450 dollars</t>
  </si>
  <si>
    <t xml:space="preserve">14K gold evil eye bracelet in solid yellow gold, an open eye with a bezel-set dark blue stone on a fine cable chain, made to order and shipped from New Jersey.
The eye is drawn as an open outline, 11.8 x 5.8 mm, so it stays light on the wrist; the dark blue stone sits flush in a low bezel at the center. The chain joins the eye at both tips through closed connectors, and the whole piece, chain included, is solid 14K gold. A push present or protection gift that does not shout.
DETAILS
Metal: solid 14K yellow gold, motif and chain.
Motif: 11.8 mm wide, 5.8 mm tall; open center about 7.6 x 3.3 mm; one small round dark blue stone in a low bezel.
Chain: fine cable chain with a lobster clasp; choose 6.5, 7 or 7.5 inches.
What arrives: one bracelet in the length you choose.
SIZING
Choose 6.5, 7 or 7.5 inches. 7 inches fits most wrists. Measure your wrist snugly and add about half an inch for movement, or a full inch for a looser fit.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</si>
  <si>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https://www.etsy.com/listing/4579034421</t>
  </si>
  <si>
    <t xml:space="preserve">https://www.etsy.com/your/shops/me/listing-editor/edit/4579034421</t>
  </si>
  <si>
    <t xml:space="preserve">Gemstone stays Lapis lazuli as set today; clear the Stone source value (currently Lab grown, which conflicts with lapis lazuli) until the workshop confirms the stone; the copy says 'dark blue stone' until then</t>
  </si>
  <si>
    <t xml:space="preserve">4578602443</t>
  </si>
  <si>
    <t xml:space="preserve">Sunray Bracelet</t>
  </si>
  <si>
    <t xml:space="preserve">14K Gold Bracelet, Solid Yellow Sunray Arc Fine Cable Chain</t>
  </si>
  <si>
    <t xml:space="preserve">Solid Gold Bracelet 14K with Sunray Arc, Dainty Gold Chain Bracelet with Lobster Clasp and Adjustment Rings</t>
  </si>
  <si>
    <t xml:space="preserve">dainty gold bracelet</t>
  </si>
  <si>
    <t xml:space="preserve">sunray bracelet</t>
  </si>
  <si>
    <t xml:space="preserve">sun bracelet gold</t>
  </si>
  <si>
    <t xml:space="preserve">sunburst bracelet</t>
  </si>
  <si>
    <t xml:space="preserve">arc bracelet gold</t>
  </si>
  <si>
    <t xml:space="preserve">fine gold bracelet</t>
  </si>
  <si>
    <t xml:space="preserve">minimalist bracelet</t>
  </si>
  <si>
    <t xml:space="preserve">celestial bracelet</t>
  </si>
  <si>
    <t xml:space="preserve">sunray arc bracelet</t>
  </si>
  <si>
    <t xml:space="preserve">Materials: Gold
Gold purity: 14k
Gold solidity: Solid gold
Primary color: Gold
Gemstone: none
Chain style: Cable
Bracelet length: 6.5, 7 or 7.5 inches (variation)
Adjustable: Yes
Occasion: Anniversary, Birthday, Everyday
Closure: Lobster claw
Style: Minimalist</t>
  </si>
  <si>
    <t xml:space="preserve">keep Chain Length 6.5, 7, 7.5 in (634 to 684); add attributes (currently none); measure the arc on the sample and add mm</t>
  </si>
  <si>
    <t xml:space="preserve">keep; core tier</t>
  </si>
  <si>
    <t xml:space="preserve">Solid 14K gold bracelet with a sculptural sunray arc on a fine cable chain, lobster clasp and two adjustment rings, made to order and shipped from New Jersey.
The polished arc fans out like rays and sits close to the wrist, held by a fine cable chain. Two adjustment rings let you shorten the fit, it layers well with plain chains, and it makes a push present or birthday gift that is easy to size.
DETAILS
Metal: solid 14K yellow gold.
Motif: polished sunray arc on a fine cable chain.
Clasp: lobster clasp with two adjustment rings.
Lengths: choose 6.5, 7 or 7.5 inches.
What arrives: one bracelet in the length you choose.
SIZING
Choose 6.5, 7 or 7.5 inches. Measure your wrist snugly and add about half an inch for movement, or a full inch for a looser fit.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</si>
  <si>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https://www.etsy.com/listing/4578602443</t>
  </si>
  <si>
    <t xml:space="preserve">https://www.etsy.com/your/shops/me/listing-editor/edit/4578602443</t>
  </si>
  <si>
    <t xml:space="preserve">4576455789</t>
  </si>
  <si>
    <t xml:space="preserve">Infinity Bracelet twist</t>
  </si>
  <si>
    <t xml:space="preserve">Infinity Bracelet, Solid 14k Yellow Gold Cable Chain with Open Twist</t>
  </si>
  <si>
    <t xml:space="preserve">Solid Gold Infinity Bracelet 14K, Dainty Infinity Bracelet with an Open Twisted Loop on Fine Cable Chain</t>
  </si>
  <si>
    <t xml:space="preserve">infinity bracelet</t>
  </si>
  <si>
    <t xml:space="preserve">14k gold infinity</t>
  </si>
  <si>
    <t xml:space="preserve">twist bracelet gold</t>
  </si>
  <si>
    <t xml:space="preserve">open infinity</t>
  </si>
  <si>
    <t xml:space="preserve">open loop bracelet</t>
  </si>
  <si>
    <t xml:space="preserve">Materials: Gold
Gold purity: 14k
Gold solidity: Solid gold
Primary color: Gold
Gemstone: none
Chain style: Cable
Bracelet length: 6.5, 7 or 7.5 inches (variation)
Adjustable: No
Occasion: Anniversary, Birthday, Everyday
Closure: Spring ring
Bracelet width: 16 mm
Style: Minimalist</t>
  </si>
  <si>
    <t xml:space="preserve">keep Chain Length 6.5, 7, 7.5 in at one price (429); lead listing, launch price at the current 25 percent through 31 October</t>
  </si>
  <si>
    <t xml:space="preserve">lead listing; Alura infinity bracelet 119.6k volume, KD 39, score 74</t>
  </si>
  <si>
    <t xml:space="preserve">Solid 14K gold infinity bracelet, an open twisted loop with two unequal paths on a fine cable chain, made to order and shipped from New Jersey.
The loop is 16 x 5.2 mm, a single flowing line with one elongated opening and no stone, so the gold does all the work. Two integrated eyes join it to a 1.0 to 1.2 mm cable chain with a spring ring clasp. A push present or anniversary bracelet with a symbol and no clutter.
DETAILS
Metal: solid 14K yellow gold, never plated or filled.
Motif: 16 mm wide, 5.2 mm tall; opening about 6 x 1.2 mm.
Chain: fine cable chain 1.0 to 1.2 mm with a spring ring clasp; choose 6.5, 7 or 7.5 inches at the same price.
What arrives: the complete motif, chain and clasp in the length you choose.
SIZING
Choose 6.5, 7 or 7.5 inches. Measure your wrist snugly and add about half an inch for movement, or a full inch for a looser fit.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</si>
  <si>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https://www.etsy.com/listing/4576455789</t>
  </si>
  <si>
    <t xml:space="preserve">https://www.etsy.com/your/shops/me/listing-editor/edit/4576455789</t>
  </si>
  <si>
    <t xml:space="preserve">4576447677</t>
  </si>
  <si>
    <t xml:space="preserve">Infinity Bracelet blue stone</t>
  </si>
  <si>
    <t xml:space="preserve">Infinity Bracelet, Solid 14k Yellow Gold with Blue Stone Cable Chain</t>
  </si>
  <si>
    <t xml:space="preserve">Solid Gold Infinity Bracelet 14K with a Blue Stone, Dainty Infinity Bracelet on Fine Cable Chain</t>
  </si>
  <si>
    <t xml:space="preserve">blue inlay bracelet</t>
  </si>
  <si>
    <t xml:space="preserve">blue stone jewelry</t>
  </si>
  <si>
    <t xml:space="preserve">Materials: Gold
Gold purity: 14k
Gold solidity: Solid gold
Primary color: Gold
Gemstone: Lapis lazuli
Chain style: Cable
Bracelet length: 6.5, 7 or 7.5 inches (variation)
Adjustable: No
Occasion: Anniversary, Birthday, Everyday
Gem color: Blue
Secondary color: Blue
Closure: Spring ring
Bracelet width: 14 mm
Style: Minimalist</t>
  </si>
  <si>
    <t xml:space="preserve">Solid 14K yellow gold, Blue stone inlay</t>
  </si>
  <si>
    <t xml:space="preserve">lead listing; name the stone in the copy once the workshop confirms lapis lazuli</t>
  </si>
  <si>
    <t xml:space="preserve">Solid 14K gold infinity bracelet, a polished open loop with one small blue stone set flush into its shoulder, made to order and shipped from New Jersey.
The loop is 14 x 4.8 mm including its side eyes, a flowing line with a single recessed cell holding the blue inlay on one side. It joins a 1.0 to 1.2 mm cable chain with a spring ring clasp. A push present or anniversary bracelet with one point of color.
DETAILS
Metal: solid 14K yellow gold, never plated or filled.
Motif: 14 mm wide, 4.8 mm tall; one small blue stone inlay set flush on one shoulder.
Chain: fine cable chain 1.0 to 1.2 mm with a spring ring clasp; choose 6.5, 7 or 7.5 inches at the same price.
What arrives: one bracelet in the length you choose.
SIZING
Choose 6.5, 7 or 7.5 inches. Measure your wrist snugly and add about half an inch for movement, or a full inch for a looser fit.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</si>
  <si>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https://www.etsy.com/listing/4576447677</t>
  </si>
  <si>
    <t xml:space="preserve">https://www.etsy.com/your/shops/me/listing-editor/edit/4576447677</t>
  </si>
  <si>
    <t xml:space="preserve">Gemstone stays Lapis lazuli as set today; clear the Stone source value (currently Lab grown, which conflicts with lapis lazuli) until the workshop confirms; change Adjustable from Yes to No (fixed lengths, spring ring clasp, no adjustment rings stated)</t>
  </si>
  <si>
    <t xml:space="preserve">4575369430</t>
  </si>
  <si>
    <t xml:space="preserve">Evil Eye Bracelet red</t>
  </si>
  <si>
    <t xml:space="preserve">Evil Eye Bracelet, Solid 14k Yellow Gold Cable Chain with Red Stone</t>
  </si>
  <si>
    <t xml:space="preserve">14K Gold Evil Eye Bracelet with Red Stone, Dainty Evil Eye Bracelet in Solid Gold on Cable Chain, Nazar Jewelry</t>
  </si>
  <si>
    <t xml:space="preserve">red evil eye</t>
  </si>
  <si>
    <t xml:space="preserve">red stone bracelet</t>
  </si>
  <si>
    <t xml:space="preserve">Materials: Gold
Gold purity: 14k
Gold solidity: Solid gold
Primary color: Gold
Gemstone: leave unset until the workshop confirms the stone
Chain style: Cable
Bracelet length: 6.5, 7 or 7.5 inches (variation)
Adjustable: No
Occasion: Anniversary, Birthday, Everyday
Gem color: Red
Secondary color: Red
Closure: Lobster claw
Bracelet width: 9 mm
Style: Minimalist</t>
  </si>
  <si>
    <t xml:space="preserve">Solid 14K yellow gold, Red stone</t>
  </si>
  <si>
    <t xml:space="preserve">keep Chain Length 6.5, 7, 7.5 in (449); lead listing, launch price at the current 25 percent through 31 October</t>
  </si>
  <si>
    <t xml:space="preserve">lead listing; eRank grade A, 14k gold evil eye bracelet 770 searches KD 20, dainty evil eye bracelet 882 searches KD 31</t>
  </si>
  <si>
    <t xml:space="preserve">14K gold evil eye bracelet in solid yellow gold, a 9 mm polished eye with a bezel-set red stone on a cable chain, made to order and shipped from New Jersey.
The eye is small, 9 mm wide and 4.2 mm tall, with the red stone set slightly off center in a low bezel so it reads like a glance rather than a badge. The chain is soldered to the eye through two closed connectors; the whole piece is solid 14K gold. A push present or protection gift in one small line of red.
DETAILS
Metal: solid 14K yellow gold, motif and chain.
Motif: 9 mm wide, 4.2 mm tall, about 1.8 mm deep; one small red stone in a low bezel.
Chain: fine cable chain with a lobster clasp; choose 6.5, 7 or 7.5 inches.
What arrives: one bracelet in the length you choose.
SIZING
Choose 6.5, 7 or 7.5 inches. 7 inches fits most wrists. Measure your wrist snugly and add about half an inch for movement, or a full inch for a looser fit.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</si>
  <si>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https://www.etsy.com/listing/4575369430</t>
  </si>
  <si>
    <t xml:space="preserve">https://www.etsy.com/your/shops/me/listing-editor/edit/4575369430</t>
  </si>
  <si>
    <t xml:space="preserve">the editor's Materials attribute lists Ruby although the source does not name the stone; remove Ruby from Materials and leave Gemstone unset until the workshop confirms; the copy says 'red stone' until then</t>
  </si>
  <si>
    <t xml:space="preserve">4581302864</t>
  </si>
  <si>
    <t xml:space="preserve">V Pendant Necklace</t>
  </si>
  <si>
    <t xml:space="preserve">core_necklaces</t>
  </si>
  <si>
    <t xml:space="preserve">V Pendant Necklace, 14k Yellow Gold with Square-Cut Lab-Grown Diamond, 18-Inch Fine Chain</t>
  </si>
  <si>
    <t xml:space="preserve">Lab Grown Diamond Necklace in Solid 14K Gold, V Necklace with a Square-Cut Lab-Grown Diamond at the Point, 18 Inch Fine Chain</t>
  </si>
  <si>
    <t xml:space="preserve">lab grown diamond</t>
  </si>
  <si>
    <t xml:space="preserve">lab diamond necklace</t>
  </si>
  <si>
    <t xml:space="preserve">v necklace</t>
  </si>
  <si>
    <t xml:space="preserve">v necklace gold</t>
  </si>
  <si>
    <t xml:space="preserve">diamond v necklace</t>
  </si>
  <si>
    <t xml:space="preserve">chevron necklace</t>
  </si>
  <si>
    <t xml:space="preserve">diamond pendant gold</t>
  </si>
  <si>
    <t xml:space="preserve">minimalist diamond</t>
  </si>
  <si>
    <t xml:space="preserve">14k diamond necklace</t>
  </si>
  <si>
    <t xml:space="preserve">Materials: Gold
Gold purity: 14k
Gold solidity: Solid gold
Primary color: Gold
Gemstone: Diamond
Stone source: Lab created
Closure: Lobster claw
Chain length: 18 inches
Style: Minimalist, Geometric
Occasion: Anniversary, Birthday, Everyday</t>
  </si>
  <si>
    <t xml:space="preserve">Solid 14K yellow gold, Lab-grown diamond</t>
  </si>
  <si>
    <t xml:space="preserve">no variation today; add Chain Length 16 in and 18 in once the workshop confirms; fill the empty SKU and the attributes (currently none)</t>
  </si>
  <si>
    <t xml:space="preserve">premium rung (1,650); add the diamond's carat weight, cut grade and the pendant span in mm to DETAILS once the workshop confirms them</t>
  </si>
  <si>
    <t xml:space="preserve">Lab grown diamond necklace in solid 14K gold, a V with a square-cut lab-grown diamond at the point, 18 inch chain, made to order and shipped from New Jersey.
The V is a clean sculptural line and the stone sits exactly where the two arms meet, a small defined flash without a halo or a cluster. The 18 inch chain keeps it close to the body, alone or layered with other fine chains, and it makes a push present or anniversary gift that reads modern rather than bridal.
DETAILS
Metal: solid 14K yellow gold.
Stone: one square-cut lab-grown diamond at the point of the V.
Chain: 18 inch fine chain with a yellow gold lobster clasp.
What arrives: the complete 18 inch necklace with the diamond at the point.
SIZING
This piece is made on an 18 inch chain, which sits just below the collarbone.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 Clean the diamond with mild soap and warm water and dry with a soft cloth.</t>
  </si>
  <si>
    <t xml:space="preserve">https://www.etsy.com/listing/4581302864</t>
  </si>
  <si>
    <t xml:space="preserve">https://www.etsy.com/your/shops/me/listing-editor/edit/4581302864</t>
  </si>
  <si>
    <t xml:space="preserve">the source says only '18-inch fine chain'; set a Chain style attribute only after the workshop confirms the chain type</t>
  </si>
  <si>
    <t xml:space="preserve">4581283366</t>
  </si>
  <si>
    <t xml:space="preserve">Star Lariat Necklace</t>
  </si>
  <si>
    <t xml:space="preserve">Star Lariat Necklace, 14K Yellow Gold Y Drop with Fine Cable Chain</t>
  </si>
  <si>
    <t xml:space="preserve">Gold Lariat Necklace in Solid 14K Gold, Star Necklace with a Y Drop and Twin Four Point Stars on Fine Cable Chain</t>
  </si>
  <si>
    <t xml:space="preserve">gold lariat necklace</t>
  </si>
  <si>
    <t xml:space="preserve">lariat necklace</t>
  </si>
  <si>
    <t xml:space="preserve">star necklace</t>
  </si>
  <si>
    <t xml:space="preserve">star necklace gold</t>
  </si>
  <si>
    <t xml:space="preserve">y necklace gold</t>
  </si>
  <si>
    <t xml:space="preserve">y lariat necklace</t>
  </si>
  <si>
    <t xml:space="preserve">gold y necklace</t>
  </si>
  <si>
    <t xml:space="preserve">lariat jewelry</t>
  </si>
  <si>
    <t xml:space="preserve">celestial necklace</t>
  </si>
  <si>
    <t xml:space="preserve">drop necklace gold</t>
  </si>
  <si>
    <t xml:space="preserve">star lariat</t>
  </si>
  <si>
    <t xml:space="preserve">dainty lariat</t>
  </si>
  <si>
    <t xml:space="preserve">Materials: Gold
Gold purity: 14k
Gold solidity: Solid gold
Primary color: Gold
Gemstone: none
Chain style: Cable
Chain length: 18 inches
Occasion: Anniversary, Birthday, Everyday
Closure: Lobster claw
Style: Minimalist</t>
  </si>
  <si>
    <t xml:space="preserve">no variation today; add Chain Length 16 in and 18 in once the workshop confirms; fill the empty SKU; measure the stars and the drop on the sample and add mm</t>
  </si>
  <si>
    <t xml:space="preserve">premium rung (1,150); the 'estimated weight 3.25 grams' line is removed as an estimate; eRank gold lariat necklace 1,198 searches KD 47</t>
  </si>
  <si>
    <t xml:space="preserve">Gold lariat necklace in solid 14K yellow gold, a four point star at the Y with a fine drop ending in a matching star, made to order and shipped from New Jersey.
The star sits at the junction where the chain meets the drop, and small round accents run down the fine drop to a second star at its end. It stays close to the body, layers with shorter chains, and makes a push present or birthday gift with a little movement to it.
DETAILS
Metal: 14K yellow gold with a fine cable chain.
Design: four point star at the Y junction, fine drop with small round accents, matching terminal star.
Length: about 18 inches, with a yellow gold lobster clasp.
What arrives: one lariat necklace.
SIZING
This piece is made at about 18 inches, which sits just below the collarbone with the drop falling from there.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</si>
  <si>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https://www.etsy.com/listing/4581283366</t>
  </si>
  <si>
    <t xml:space="preserve">https://www.etsy.com/your/shops/me/listing-editor/edit/4581283366</t>
  </si>
  <si>
    <t xml:space="preserve">clear any Gem color or Cut type value set in the editor; the piece has no stone</t>
  </si>
  <si>
    <t xml:space="preserve">4579027067</t>
  </si>
  <si>
    <t xml:space="preserve">Infinity Necklace</t>
  </si>
  <si>
    <t xml:space="preserve">Infinity Necklace, 14k Solid Yellow Gold Wide Symbol, Fine Cable Chain</t>
  </si>
  <si>
    <t xml:space="preserve">Infinity Necklace in Solid 14K Gold, Wide Open Infinity Pendant with Twin Bails on Fine Cable Chain, Anniversary Necklace</t>
  </si>
  <si>
    <t xml:space="preserve">infinity necklace</t>
  </si>
  <si>
    <t xml:space="preserve">infinity pendant</t>
  </si>
  <si>
    <t xml:space="preserve">eternity necklace</t>
  </si>
  <si>
    <t xml:space="preserve">symbol necklace gold</t>
  </si>
  <si>
    <t xml:space="preserve">anniversary necklace</t>
  </si>
  <si>
    <t xml:space="preserve">twin bail pendant</t>
  </si>
  <si>
    <t xml:space="preserve">Materials: Gold
Gold purity: 14k
Gold solidity: Solid gold
Primary color: Gold
Gemstone: none
Chain style: Cable
Chain length: 16, 18 or 20 inches (variation)
Occasion: Anniversary, Birthday, Everyday
Style: Minimalist
Shape: Symbol</t>
  </si>
  <si>
    <t xml:space="preserve">keep Chain Length 16, 18, 20 in (584 to 659); the current tags spend 3 slots on dead broad terms, replaced</t>
  </si>
  <si>
    <t xml:space="preserve">Infinity necklace in solid 14K yellow gold, a wide open infinity symbol held centered by twin bails on a cable chain, made to order and shipped from New Jersey.
The symbol is about 17 x 7.8 mm with two open windows and a smooth polished outline; the twin bails keep it centered at the collarbone. Choose 16, 18 or 20 inches for different necklines. A push present or anniversary necklace that says one thing clearly.
DETAILS
Metal: 14K solid yellow gold, not plated or filled.
Motif: about 17 x 7.8 mm (about 22 x 7.8 mm with the integrated eyelets); open windows about 3.5 x 3.5 mm each.
Chain: classic 14K solid gold cable chain; 16, 18 or 20 inches; secure spring ring or lobster clasp.
Finish: high polished, smooth outline.
What arrives: one necklace in the length you choose.
SIZING
16 inches sits at the collarbone, 18 inches sits just below it, and 20 inches falls to the top of the chest.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</si>
  <si>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https://www.etsy.com/listing/4579027067</t>
  </si>
  <si>
    <t xml:space="preserve">https://www.etsy.com/your/shops/me/listing-editor/edit/4579027067</t>
  </si>
  <si>
    <t xml:space="preserve">the source lists 'spring ring / lobster clasp'; confirm which clasp ships, then set the Closure attribute</t>
  </si>
  <si>
    <t xml:space="preserve">4579022187</t>
  </si>
  <si>
    <t xml:space="preserve">Lion Pendant</t>
  </si>
  <si>
    <t xml:space="preserve">Lion Gold Pendant, 14k Solid Yellow Fine Cable Chain</t>
  </si>
  <si>
    <t xml:space="preserve">Lion Necklace in Solid 14K Gold, Open Profile Lion Pendant with Flowing Mane on Fine Cable Chain, Leo Necklace</t>
  </si>
  <si>
    <t xml:space="preserve">lion necklace</t>
  </si>
  <si>
    <t xml:space="preserve">gold lion pendant</t>
  </si>
  <si>
    <t xml:space="preserve">lion pendant</t>
  </si>
  <si>
    <t xml:space="preserve">lion jewelry</t>
  </si>
  <si>
    <t xml:space="preserve">lion pendant gold</t>
  </si>
  <si>
    <t xml:space="preserve">leo necklace gold</t>
  </si>
  <si>
    <t xml:space="preserve">animal necklace gold</t>
  </si>
  <si>
    <t xml:space="preserve">gold lion necklace</t>
  </si>
  <si>
    <t xml:space="preserve">lion head necklace</t>
  </si>
  <si>
    <t xml:space="preserve">Materials: Gold
Gold purity: 14k
Gold solidity: Solid gold
Primary color: Gold
Gemstone: none
Chain style: Cable
Chain length: 16, 18 or 20 inches (variation)
Occasion: Anniversary, Birthday, Everyday
Style: Minimalist
Shape: Animal</t>
  </si>
  <si>
    <t xml:space="preserve">keep Chain Length 16, 18, 20 in (569 to 644); add attributes (currently none)</t>
  </si>
  <si>
    <t xml:space="preserve">keep; eRank lion necklace 685 searches KD 53</t>
  </si>
  <si>
    <t xml:space="preserve">Lion necklace in solid 14K yellow gold, an open profile lion with a flowing mane on a fine 1.1 mm cable chain, made to order and shipped from New Jersey.
The lion is drawn as an open outline, 17 x 14 mm, with the mane and the facial line doing the work and an open cheek keeping it light; the form comes from ancient Mesopotamian animal iconography. Choose 16, 18 or 20 inches. A push present or birthday gift for a Leo, or for anyone who needs a lion.
DETAILS
Metal: 14K solid yellow gold, not plated or filled.
Motif: 17 x 14 mm excluding the integrated bail; open cheek about 5 x 4 mm.
Chain: 1.1 mm classic 14K solid gold cable chain; 16, 18 or 20 inches; secure spring ring or lobster clasp.
Finish: high polished, smooth outline.
What arrives: one necklace in the length you choose.
SIZING
16 inches sits at the collarbone, 18 inches sits just below it, and 20 inches falls to the top of the chest.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</si>
  <si>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https://www.etsy.com/listing/4579022187</t>
  </si>
  <si>
    <t xml:space="preserve">https://www.etsy.com/your/shops/me/listing-editor/edit/4579022187</t>
  </si>
  <si>
    <t xml:space="preserve">4575795744</t>
  </si>
  <si>
    <t xml:space="preserve">Open Frame Pendant red</t>
  </si>
  <si>
    <t xml:space="preserve">14K Gold Necklace, Solid Yellow Open Frame Pendant with Red Stone</t>
  </si>
  <si>
    <t xml:space="preserve">14K Gold Necklace with Red Stone Pendant, Solid Gold Open Rectangle with a Flush Set Red Stone on Fine Cable Chain, Geometric</t>
  </si>
  <si>
    <t xml:space="preserve">red stone necklace</t>
  </si>
  <si>
    <t xml:space="preserve">red gem necklace</t>
  </si>
  <si>
    <t xml:space="preserve">gold frame pendant</t>
  </si>
  <si>
    <t xml:space="preserve">flush set stone</t>
  </si>
  <si>
    <t xml:space="preserve">red accent necklace</t>
  </si>
  <si>
    <t xml:space="preserve">modern gold pendant</t>
  </si>
  <si>
    <t xml:space="preserve">Materials: Gold
Gold purity: 14k
Gold solidity: Solid gold
Primary color: Gold
Gemstone: none set
Chain style: Cable
Chain length: 16, 18 or 20 inches (variation)
Occasion: Anniversary, Birthday, Everyday
Gem color: Red
Secondary color: Red
Closure: Lobster claw
Style: Geometric, Minimalist</t>
  </si>
  <si>
    <t xml:space="preserve">keep Chain Length 16, 18, 20 in (464); lead listing; measure the frame on the sample and add mm; name the stone once confirmed</t>
  </si>
  <si>
    <t xml:space="preserve">lead listing at 464</t>
  </si>
  <si>
    <t xml:space="preserve">Red stone necklace in solid 14K yellow gold, an open rectangle with a red stone flush set into its lower edge, made to order and shipped from New Jersey.
The frame has rounded edges and a stepped inner edge that gives it a subtle direction, and the flush set stone keeps the surface smooth. Open in the middle, it stays visually light at the collarbone, and it makes a push present or birthday gift with one quiet point of color.
DETAILS
Metal: solid 14K yellow gold, pendant and chain.
Stone: one small red stone, flush set into the lower side of the frame.
Chain: fine cable chain with a lobster clasp; 16, 18 or 20 inches.
What arrives: one necklace in the length you choose.
SIZING
16 inches sits at the collarbone, 18 inches sits just below it, and 20 inches falls to the top of the chest.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</si>
  <si>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https://www.etsy.com/listing/4575795744</t>
  </si>
  <si>
    <t xml:space="preserve">https://www.etsy.com/your/shops/me/listing-editor/edit/4575795744</t>
  </si>
  <si>
    <t xml:space="preserve">the source does not name the red stone; set the Gemstone attribute only after the workshop confirms it</t>
  </si>
  <si>
    <t xml:space="preserve">4574630211</t>
  </si>
  <si>
    <t xml:space="preserve">Twisted Gold Pendant</t>
  </si>
  <si>
    <t xml:space="preserve">Solid 14K Necklace, Twisted Gold Pendant, 18mm Ribbon Design with 1.1mm Chain</t>
  </si>
  <si>
    <t xml:space="preserve">Solid Gold Necklace 14K, Mobius Necklace with a Twisted Ribbon Pendant in Yellow, White or Rose, Fine Cable Chain</t>
  </si>
  <si>
    <t xml:space="preserve">mobius necklace</t>
  </si>
  <si>
    <t xml:space="preserve">twisted pendant gold</t>
  </si>
  <si>
    <t xml:space="preserve">ribbon pendant gold</t>
  </si>
  <si>
    <t xml:space="preserve">twist necklace gold</t>
  </si>
  <si>
    <t xml:space="preserve">sculptural necklace</t>
  </si>
  <si>
    <t xml:space="preserve">rose gold necklace</t>
  </si>
  <si>
    <t xml:space="preserve">white gold necklace</t>
  </si>
  <si>
    <t xml:space="preserve">mobius strip pendant</t>
  </si>
  <si>
    <t xml:space="preserve">Materials: Gold
Gold purity: 14k
Gold solidity: Solid gold
Primary color: Gold
Gemstone: none
Chain style: Cable
Chain length: 16, 18 or 20 inches (variation)
Occasion: Anniversary, Birthday, Everyday
Closure: Spring ring
Style: Minimalist, Geometric</t>
  </si>
  <si>
    <t xml:space="preserve">keep Metal color x Chain Length (604); the source says 1 to 2 days processing while the editor says 3 to 5, aligned to 3 to 5</t>
  </si>
  <si>
    <t xml:space="preserve">lead listing at 604</t>
  </si>
  <si>
    <t xml:space="preserve">Solid 14K gold necklace with a Mobius ribbon pendant, one continuous band with a half turn and an open center, made to order and shipped from New Jersey.
The flat 2.2 mm face turns into a narrower 1.7 mm return, so the pendant changes plane as it moves and catches light from a different angle each time. Stone free and sculptural; wear it alone or over a shorter chain. A push present or anniversary gift for someone who prefers form to sparkle.
DETAILS
Metal: solid 14K gold, choose yellow, white or rose; white gold has a rhodium finish that a jeweler can renew over time.
Pendant: 18 mm high, 6.5 mm wide, 2.5 mm at its deepest point; face 2.2 mm narrowing to 1.7 mm.
Chain: fine cable chain about 1.1 mm with a spring ring clasp; 16, 18 or 20 inches.
What arrives: one necklace with chain in the length you choose.
SIZING
16 inches sits at the collarbone, 18 inches sits just below it, and 20 inches falls to the top of the chest.
MADE TO ORDER
Each piece is made to order in 3 to 5 business days and ships free within the United States from New Jersey. Add a gift message at checkout and it ships with the piece.
RETURNS
Returns and exchanges are accepted within 30 days, as described in the shop policies.
CARE
Wipe the gold with a soft cloth, remove the piece before swimming, showering and heavy work, and store it flat, apart from other jewelry.</t>
  </si>
  <si>
    <t xml:space="preserve">https://www.etsy.com/listing/4574630211</t>
  </si>
  <si>
    <t xml:space="preserve">https://www.etsy.com/your/shops/me/listing-editor/edit/4574630211</t>
  </si>
  <si>
    <t xml:space="preserve">Materials stays Rose gold, White gold, Yellow gold as set in the editor; the color follows the variation</t>
  </si>
  <si>
    <t xml:space="preserve">Checks (formulas)</t>
  </si>
  <si>
    <t xml:space="preserve">Titles over 140:</t>
  </si>
  <si>
    <t xml:space="preserve">Rows with a tag count other than 13:</t>
  </si>
  <si>
    <t xml:space="preserve">Rows with a tag over 20 characters:</t>
  </si>
  <si>
    <t xml:space="preserve">Quantity shows 1: set to 20 (made to order)</t>
  </si>
  <si>
    <t xml:space="preserve">Renewal on Manual: set Automatic</t>
  </si>
  <si>
    <t xml:space="preserve">No shipping profile (calculated from 07093): assign the free US shipping profile</t>
  </si>
  <si>
    <t xml:space="preserve">Attributes none set: fill Materials, Gold purity, Gold solidity, color, size scale or length</t>
  </si>
  <si>
    <t xml:space="preserve">Category corrected in the rewrite (see Rewrites tab)</t>
  </si>
  <si>
    <t xml:space="preserve">No length variation: add per the Variations note</t>
  </si>
  <si>
    <t xml:space="preserve">Engraving mentioned without a personalization field: add the field in the rewrite</t>
  </si>
  <si>
    <t xml:space="preserve">Materials list empty: add</t>
  </si>
  <si>
    <t xml:space="preserve">SKU empty: add</t>
  </si>
  <si>
    <t xml:space="preserve">Fewer than 12 photos: shoot per the Photo brief</t>
  </si>
  <si>
    <t xml:space="preserve">No video: add a 6 to 10 second clip</t>
  </si>
  <si>
    <t xml:space="preserve">'NOT READY FOR SALE' text visible to buyers: replaced by the rewrite</t>
  </si>
  <si>
    <t xml:space="preserve">AI render disclosure in the description: replaced; real photo in slot 1 required</t>
  </si>
  <si>
    <t xml:space="preserve">Price range too wide on the grid: split listing per the Variations note</t>
  </si>
  <si>
    <t xml:space="preserve">3 or more dead broad tags: replaced by the rewrite</t>
  </si>
  <si>
    <t xml:space="preserve">Open items (formula)</t>
  </si>
  <si>
    <t xml:space="preserve">x</t>
  </si>
  <si>
    <t xml:space="preserve">Listings affected (formula)</t>
  </si>
  <si>
    <t xml:space="preserve">List price (USD, as listed)</t>
  </si>
  <si>
    <t xml:space="preserve">Sale price at 25% (formula)</t>
  </si>
  <si>
    <t xml:space="preserve">Rung</t>
  </si>
  <si>
    <t xml:space="preserve">Action</t>
  </si>
  <si>
    <t xml:space="preserve">Market benchmark (Alura product research and Etsy page one, 29 Sep 2026)</t>
  </si>
  <si>
    <t xml:space="preserve">2 core</t>
  </si>
  <si>
    <t xml:space="preserve">keep list; enamel rings gain inside engraving; enamel studs and pendants get a four week paid test before any price move</t>
  </si>
  <si>
    <t xml:space="preserve">enamel rings above 800 are personalized (Til Death 845, 76 reviews); plain enamel has no winner at 700+</t>
  </si>
  <si>
    <t xml:space="preserve">3 premium</t>
  </si>
  <si>
    <t xml:space="preserve">split karats into separate listings, 14K first at one price per size, engraving as the headline</t>
  </si>
  <si>
    <t xml:space="preserve">engraved 14K signet 651 with 620 reviews and 2.2k sales; custom pinky signet 1,258 with 46 sales in 69 days</t>
  </si>
  <si>
    <t xml:space="preserve">14K domed band 359 with 942 reviews and 4.7k sales</t>
  </si>
  <si>
    <t xml:space="preserve">1 entry (lead)</t>
  </si>
  <si>
    <t xml:space="preserve">dated launch price at the current 25 percent through 31 Oct, 15 percent for Cyber 5 (26 to 30 Nov), list in December</t>
  </si>
  <si>
    <t xml:space="preserve">same query; 18K diamond evil eye at 408 with 53 reviews</t>
  </si>
  <si>
    <t xml:space="preserve">Alura infinity bracelet 119.6k volume, KD 39, score 74; no dominant seller at 400+</t>
  </si>
  <si>
    <t xml:space="preserve">same as the twist bracelet</t>
  </si>
  <si>
    <t xml:space="preserve">14K solid evil eye bracelets on page one: organic 178 to 450, ads 170 to 810; 105-review winner at 299</t>
  </si>
  <si>
    <t xml:space="preserve">14K Y drop lariat 320 with 22 reviews; 7 chakra Y necklace 891 with 45 reviews</t>
  </si>
  <si>
    <t xml:space="preserve">List price = lowest variation price shown in the editor on 28 Sep 2026 (ranges show the low end). Sale price = list x 0.75, the shop-wide sale active on 28 Sep. Cost data was not available; no list price is changed by this step.</t>
  </si>
  <si>
    <t xml:space="preserve">Keyword</t>
  </si>
  <si>
    <t xml:space="preserve">Avg monthly searches (Etsy US)</t>
  </si>
  <si>
    <t xml:space="preserve">Clicks</t>
  </si>
  <si>
    <t xml:space="preserve">CTR %</t>
  </si>
  <si>
    <t xml:space="preserve">Etsy competition</t>
  </si>
  <si>
    <t xml:space="preserve">KD</t>
  </si>
  <si>
    <t xml:space="preserve">Google searches</t>
  </si>
  <si>
    <t xml:space="preserve">Tier</t>
  </si>
  <si>
    <t xml:space="preserve">Batch</t>
  </si>
  <si>
    <t xml:space="preserve">Source</t>
  </si>
  <si>
    <t xml:space="preserve">personalized gift</t>
  </si>
  <si>
    <t xml:space="preserve">dead</t>
  </si>
  <si>
    <t xml:space="preserve">audit</t>
  </si>
  <si>
    <t xml:space="preserve">eRank Listing Audit tag table, 2026-09-29</t>
  </si>
  <si>
    <t xml:space="preserve">gift for her</t>
  </si>
  <si>
    <t xml:space="preserve">eRank Bulk Keyword Tool, Etsy USA, pulled 2026-09-29</t>
  </si>
  <si>
    <t xml:space="preserve">A winnable</t>
  </si>
  <si>
    <t xml:space="preserve">C high demand, high competition</t>
  </si>
  <si>
    <t xml:space="preserve">measured, weak</t>
  </si>
  <si>
    <t xml:space="preserve">6</t>
  </si>
  <si>
    <t xml:space="preserve">rose gold ring</t>
  </si>
  <si>
    <t xml:space="preserve">solid gold jewelry</t>
  </si>
  <si>
    <t xml:space="preserve">8</t>
  </si>
  <si>
    <t xml:space="preserve">7</t>
  </si>
  <si>
    <t xml:space="preserve">christmas gift for her</t>
  </si>
  <si>
    <t xml:space="preserve">birthday gift for wife</t>
  </si>
  <si>
    <t xml:space="preserve">evil eye jewelry</t>
  </si>
  <si>
    <t xml:space="preserve">fine jewelry</t>
  </si>
  <si>
    <t xml:space="preserve">dainty gold ring</t>
  </si>
  <si>
    <t xml:space="preserve">charm bracelet gold</t>
  </si>
  <si>
    <t xml:space="preserve">gold pendant necklace</t>
  </si>
  <si>
    <t xml:space="preserve">real gold jewelry</t>
  </si>
  <si>
    <t xml:space="preserve">gold charm necklace</t>
  </si>
  <si>
    <t xml:space="preserve">gold chain bracelet</t>
  </si>
  <si>
    <t xml:space="preserve">anniversary gift for wife</t>
  </si>
  <si>
    <t xml:space="preserve">gold evil eye bracelet</t>
  </si>
  <si>
    <t xml:space="preserve">dainty evil eye bracelet</t>
  </si>
  <si>
    <t xml:space="preserve">14k gold stud earrings</t>
  </si>
  <si>
    <t xml:space="preserve">14k gold evil eye bracelet</t>
  </si>
  <si>
    <t xml:space="preserve">graduation gift for her</t>
  </si>
  <si>
    <t xml:space="preserve">B long tail</t>
  </si>
  <si>
    <t xml:space="preserve">minimalist stud earrings</t>
  </si>
  <si>
    <t xml:space="preserve">lab grown diamond necklace</t>
  </si>
  <si>
    <t xml:space="preserve">minimalist gold necklace</t>
  </si>
  <si>
    <t xml:space="preserve">engraved cuff bracelet</t>
  </si>
  <si>
    <t xml:space="preserve">gold cuff</t>
  </si>
  <si>
    <t xml:space="preserve">personalized signet ring</t>
  </si>
  <si>
    <t xml:space="preserve">christmas gift wife</t>
  </si>
  <si>
    <t xml:space="preserve">solid gold cuff bracelet</t>
  </si>
  <si>
    <t xml:space="preserve">evil eye bracelet women</t>
  </si>
  <si>
    <t xml:space="preserve">enamel bracelet</t>
  </si>
  <si>
    <t xml:space="preserve">engravable ring</t>
  </si>
  <si>
    <t xml:space="preserve">everyday jewelry</t>
  </si>
  <si>
    <t xml:space="preserve">minimalist gold jewelry</t>
  </si>
  <si>
    <t xml:space="preserve">wedding band women gold</t>
  </si>
  <si>
    <t xml:space="preserve">mismatched stud earrings</t>
  </si>
  <si>
    <t xml:space="preserve">lion pendant necklace</t>
  </si>
  <si>
    <t xml:space="preserve">gold cuff women</t>
  </si>
  <si>
    <t xml:space="preserve">stacking ring gold</t>
  </si>
  <si>
    <t xml:space="preserve">initial signet ring gold</t>
  </si>
  <si>
    <t xml:space="preserve">gold enamel signet ring</t>
  </si>
  <si>
    <t xml:space="preserve">solid gold ring women</t>
  </si>
  <si>
    <t xml:space="preserve">evil eye gift</t>
  </si>
  <si>
    <t xml:space="preserve">gold infinity bracelet</t>
  </si>
  <si>
    <t xml:space="preserve">14k gold infinity necklace</t>
  </si>
  <si>
    <t xml:space="preserve">milgrain wedding band</t>
  </si>
  <si>
    <t xml:space="preserve">gold enamel earrings</t>
  </si>
  <si>
    <t xml:space="preserve">colorful stud earrings</t>
  </si>
  <si>
    <t xml:space="preserve">enamel necklace</t>
  </si>
  <si>
    <t xml:space="preserve">enamel pendant necklace</t>
  </si>
  <si>
    <t xml:space="preserve">colorful gold jewelry</t>
  </si>
  <si>
    <t xml:space="preserve">wedding band 14k gold</t>
  </si>
  <si>
    <t xml:space="preserve">gold jewelry gift for her</t>
  </si>
  <si>
    <t xml:space="preserve">meaningful gift</t>
  </si>
  <si>
    <t xml:space="preserve">modern gold jewelry</t>
  </si>
  <si>
    <t xml:space="preserve">modern fine jewelry</t>
  </si>
  <si>
    <t xml:space="preserve">solid gold evil eye bracelet</t>
  </si>
  <si>
    <t xml:space="preserve">infinity bracelet 14k gold</t>
  </si>
  <si>
    <t xml:space="preserve">wide gold cuff bracelet</t>
  </si>
  <si>
    <t xml:space="preserve">14k gold wedding band women</t>
  </si>
  <si>
    <t xml:space="preserve">pave diamond bracelet</t>
  </si>
  <si>
    <t xml:space="preserve">chevron necklace gold</t>
  </si>
  <si>
    <t xml:space="preserve">14k gold bracelet women</t>
  </si>
  <si>
    <t xml:space="preserve">gold enamel stud earrings</t>
  </si>
  <si>
    <t xml:space="preserve">half moon earrings gold</t>
  </si>
  <si>
    <t xml:space="preserve">geometric gold earrings</t>
  </si>
  <si>
    <t xml:space="preserve">gold studs for women</t>
  </si>
  <si>
    <t xml:space="preserve">colorful earrings gold</t>
  </si>
  <si>
    <t xml:space="preserve">layering bracelet</t>
  </si>
  <si>
    <t xml:space="preserve">yellow gold bracelet</t>
  </si>
  <si>
    <t xml:space="preserve">blank signet ring</t>
  </si>
  <si>
    <t xml:space="preserve">enamel chain bracelet</t>
  </si>
  <si>
    <t xml:space="preserve">colorful ring gold</t>
  </si>
  <si>
    <t xml:space="preserve">gold gift for her</t>
  </si>
  <si>
    <t xml:space="preserve">geometric necklace gold</t>
  </si>
  <si>
    <t xml:space="preserve">diamond circle bracelet</t>
  </si>
  <si>
    <t xml:space="preserve">gold gift for wife</t>
  </si>
  <si>
    <t xml:space="preserve">Seed</t>
  </si>
  <si>
    <t xml:space="preserve">Volume</t>
  </si>
  <si>
    <t xml:space="preserve">3 month change</t>
  </si>
  <si>
    <t xml:space="preserve">Competition</t>
  </si>
  <si>
    <t xml:space="preserve">Competition level</t>
  </si>
  <si>
    <t xml:space="preserve">Score</t>
  </si>
  <si>
    <t xml:space="preserve">Top similar keywords (keyword, volume, change, competition, KD, score)</t>
  </si>
  <si>
    <t xml:space="preserve">115k</t>
  </si>
  <si>
    <t xml:space="preserve">-29.6%</t>
  </si>
  <si>
    <t xml:space="preserve">54.2k</t>
  </si>
  <si>
    <t xml:space="preserve">Moderate</t>
  </si>
  <si>
    <t xml:space="preserve">49</t>
  </si>
  <si>
    <t xml:space="preserve">65</t>
  </si>
  <si>
    <t xml:space="preserve">evil eye jewelry | 310,104 | +24.3% | 156,605 | 57 | 72; evil eye | 303,729 | -13.2% | 210,153 | 60 | 62; eye bracelet | 191,638 | -5.5% | 129,490 | 54 | 63; gold evil eye | 155,900 | -25.4% | 87,379 | 47 | 64; handmade evil eye | 150,988 | -35.5% | 48,316 | 44 | 69; evil eye bracelet jewelry | 150,221 | -15.6% | 53,281 | 47 | 59; evil eye beads | 142,383 | -35.6% | 65,757 | 47 | 65; evil eye gifts | 142,175 | -55.2% | 107,061 | 52 | 59; evil eye gift | 140,983 | -50.3% | 106,840 | 52 | 59; evil eye jewelry bracelet | 137,692 | -48.9% | 53,755 | 49 | 57</t>
  </si>
  <si>
    <t xml:space="preserve">394.7k</t>
  </si>
  <si>
    <t xml:space="preserve">-37.7%</t>
  </si>
  <si>
    <t xml:space="preserve">169.1k</t>
  </si>
  <si>
    <t xml:space="preserve">50</t>
  </si>
  <si>
    <t xml:space="preserve">68</t>
  </si>
  <si>
    <t xml:space="preserve">signet ring women | 474,954 | -23.5% | 101,923 | 37 | 75; women signet ring | 461,792 | -32.7% | 101,416 | 37 | 75; women's signet ring | 446,142 | -36.5% | 101,295 | 37 | 75; signet | 426,842 | -28.1% | 174,663 | 50 | 69; womens signet ring | 426,683 | -51.8% | 101,174 | 37 | 74; signet ring gold | 399,708 | -43.3% | 97,504 | 39 | 74; gold signet | 397,246 | -43.1% | 98,315 | 39 | 74; signet rings | 395,300 | -59.9% | 167,355 | 50 | 68; signet ring | 394,663 | -37.7% | 169,141 | 50 | 68; gold signet ring | 389,229 | -41.4% | 96,689 | 39 | 74</t>
  </si>
  <si>
    <t xml:space="preserve">261.4k</t>
  </si>
  <si>
    <t xml:space="preserve">-34.7%</t>
  </si>
  <si>
    <t xml:space="preserve">47.7k</t>
  </si>
  <si>
    <t xml:space="preserve">Low</t>
  </si>
  <si>
    <t xml:space="preserve">37</t>
  </si>
  <si>
    <t xml:space="preserve">76</t>
  </si>
  <si>
    <t xml:space="preserve">pinky | 275,021 | -36.8% | 61,055 | 44 | 74; pinky ring | 261,392 | -34.7% | 47,730 | 37 | 76; pinky rings | 261,313 | -29.1% | 47,967 | 37 | 76; gold pinky ring | 256,929 | -23.5% | 32,616 | 34 | 78; pinky ring jewelry | 253,600 | -30.7% | 47,985 | 39 | 76; silver pinky ring | 242,483 | -5.6% | 36,023 | 37 | 79; pinky rings for women | 221,179 | -37.1% | 35,973 | 37 | 65; pinky ring women | 218,958 | -37.9% | 35,660 | 37 | 77; sterling silver pinky ring | 183,917 | -25.2% | 26,506 | 34 | 60; gold pinky ring womens | 172,550 | -35.5% | 25,261 | 34 | 65</t>
  </si>
  <si>
    <t xml:space="preserve">275.6k</t>
  </si>
  <si>
    <t xml:space="preserve">-43.7%</t>
  </si>
  <si>
    <t xml:space="preserve">49.1k</t>
  </si>
  <si>
    <t xml:space="preserve">47</t>
  </si>
  <si>
    <t xml:space="preserve">77</t>
  </si>
  <si>
    <t xml:space="preserve">personalized initial | 823,796 | +12.4% | 406,674 | 73 | 74; initials | 793,096 | -25.5% | 577,951 | 79 | 63; initial | 704,413 | -33.5% | 574,619 | 79 | 61; initial jewelry | 497,817 | -13.9% | 234,797 | 66 | 69; jewelry with letters | 480,733 | -55.2% | 186,013 | 66 | 71; monogram initials | 446,496 | -36.9% | 219,354 | 63 | 67; initial necklace | 333,504 | -42.5% | 132,182 | 58 | 70; name ring | 302,621 | -44.2% | 99,624 | 55 | 71; initials ring | 277,288 | -39.7% | 48,361 | 47 | 77; initial ring | 275,613 | -43.7% | 49,068 | 47 | 77</t>
  </si>
  <si>
    <t xml:space="preserve">59.3k</t>
  </si>
  <si>
    <t xml:space="preserve">-14.6%</t>
  </si>
  <si>
    <t xml:space="preserve">49.6k</t>
  </si>
  <si>
    <t xml:space="preserve">58</t>
  </si>
  <si>
    <t xml:space="preserve">infinity | 295,796 | -26.6% | 253,077 | 65 | 60; infinity jewelry | 204,450 | -27.4% | 157,547 | 58 | 61; women's infinity jewelry | 171,696 | -3.4% | 118,417 | 49 | 55; silver infinity | 164,046 | -15.7% | 107,655 | 52 | 63; gold infinity | 159,308 | +4.0% | 87,119 | 46 | 70; infinity jewellery | 148,054 | +23.4% | 157,547 | 58 | 61; rose gold infinity | 129,067 | -7.6% | 40,949 | 39 | 74; infinity bracelet | 119,638 | -21.6% | 29,035 | 39 | 74; sterling infinity | 118,533 | -20.1% | 63,897 | 47 | 65; infinity necklace | 59,342 | -14.6% | 49,620 | 50 | 58</t>
  </si>
  <si>
    <t xml:space="preserve">101.5k</t>
  </si>
  <si>
    <t xml:space="preserve">-33.7%</t>
  </si>
  <si>
    <t xml:space="preserve">43.8k</t>
  </si>
  <si>
    <t xml:space="preserve">44</t>
  </si>
  <si>
    <t xml:space="preserve">67</t>
  </si>
  <si>
    <t xml:space="preserve">layered pendant necklace | 190,117 | -28.8% | 143,164 | 54 | 51; lariat jewelry | 111,167 | -29.3% | 44,021 | 44 | 68; lariats | 103,008 | -11.5% | 43,147 | 44 | 69; lariat necklace | 101,550 | -33.7% | 43,755 | 44 | 67; y lariat necklace | 70,804 | -10.0% | 28,687 | 42 | 69; gold y necklace | 67,850 | -35.2% | 29,402 | 42 | 66; silver y necklace | 66,867 | -17.0% | 31,544 | 44 | 66; gold lariat | 56,275 | -34.1% | 22,008 | 39 | 67; gold lariat necklace | 55,638 | -23.9% | 21,218 | 39 | 68; silver lariat | 49,046 | -21.0% | 21,320 | 42 | 66</t>
  </si>
  <si>
    <t xml:space="preserve">20.3k</t>
  </si>
  <si>
    <t xml:space="preserve">-6.2%</t>
  </si>
  <si>
    <t xml:space="preserve">16.7k</t>
  </si>
  <si>
    <t xml:space="preserve">42</t>
  </si>
  <si>
    <t xml:space="preserve">57</t>
  </si>
  <si>
    <t xml:space="preserve">lion | 288,992 | -11.5% | 396,358 | 70 | 52; lion gift | 163,333 | -26.9% | 155,752 | 55 | 56; medallion necklace | 121,346 | -35.7% | 64,166 | 44 | 65; lion king | 61,483 | -1.2% | 50,605 | 47 | 60; gold lion | 55,067 | -47.7% | 35,380 | 39 | 62; lion jewelry | 54,271 | -47.9% | 49,767 | 46 | 56; silver lion | 40,971 | -4.6% | 27,032 | 37 | 62; lion head | 39,058 | -53.9% | 31,676 | 42 | 58; pendant lion | 22,925 | +69.8% | 15,755 | 29 | 65; lion pendant | 22,188 | -42.1% | 17,029 | 37 | 57</t>
  </si>
  <si>
    <t xml:space="preserve">364.6k</t>
  </si>
  <si>
    <t xml:space="preserve">-57.4%</t>
  </si>
  <si>
    <t xml:space="preserve">100.6k</t>
  </si>
  <si>
    <t xml:space="preserve">39</t>
  </si>
  <si>
    <t xml:space="preserve">74</t>
  </si>
  <si>
    <t xml:space="preserve">14k solid gold | 2,141,333 | -18.9% | 1,438,177 | 78 | 64; 14k gold solid bracelet | 635,746 | +799.5% | 44,659 | 29 | 78; bracelet solid gold | 383,092 | -33.5% | 89,759 | 34 | 76; solid gold bracelet | 364,592 | -57.4% | 100,611 | 39 | 74; solid gold bracelet 14k | 322,667 | -53.1% | 61,650 | 29 | 65; solid gold bracelet womens | 311,588 | -54.9% | 64,739 | 34 | 61; 14k solid gold bracelet | 307,317 | -51.4% | 63,476 | 32 | 65; solid yellow gold bracelet | 273,671 | +100.1% | 57,133 | 27 | 68; solid bracelet gold | 268,808 | +20.3% | 77,209 | 37 | 82; solid gold bracelet chain | 264,304 | -34.0% | 36,974 | 32 | 67</t>
  </si>
  <si>
    <t xml:space="preserve">207.5k</t>
  </si>
  <si>
    <t xml:space="preserve">-49.2%</t>
  </si>
  <si>
    <t xml:space="preserve">93.1k</t>
  </si>
  <si>
    <t xml:space="preserve">46</t>
  </si>
  <si>
    <t xml:space="preserve">cuff | 744,000 | +1.9% | 717,049 | 79 | 61; silver cuff | 479,983 | +27.7% | 309,474 | 63 | 70; cuff bracelet | 380,192 | -33.5% | 396,516 | 73 | 56; cuff bracelets | 368,742 | -41.2% | 395,979 | 73 | 55; bracelet cuff | 352,546 | -66.1% | 388,152 | 71 | 55; gold cuff | 310,238 | +3.1% | 192,976 | 62 | 68; gold cuff jewelry | 281,342 | -58.1% | 185,751 | 58 | 63; gold cuff for women | 279,196 | -4.5% | 88,048 | 42 | 75; cuff bangle | 275,142 | -55.5% | 156,840 | 52 | 65; wedding cuff | 274,838 | -16.2% | 178,449 | 60 | 64</t>
  </si>
  <si>
    <t xml:space="preserve">white gold wedding rings | 2,287,533 | +11.1% | 1,231,960 | 68 | 61; yellow gold wedding ring | 2,100,533 | +8.9% | 1,215,469 | 68 | 60; gold wedding rings for women | 1,685,858 | -38.2% | 1,484,287 | 71 | 47; gold wedding rings | 1,683,338 | -14.4% | 1,741,452 | 79 | 58; gold wedding band | 1,527,146 | +0.9% | 766,073 | 66 | 71; 18k gold wedding ring | 1,512,304 | -2.8% | 813,323 | 62 | 59; rose gold wedding rings for women | 1,510,225 | -32.3% | 1,066,349 | 65 | 45; white gold wedding rings for women | 1,433,688 | -36.7% | 1,112,941 | 66 | 44; 14k gold band | 1,334,471 | +18.1% | 568,448 | 63 | 77; rose gold wedding rings | 1,315,846 | -25.5% | 1,175,924 | 71 | 50</t>
  </si>
  <si>
    <t xml:space="preserve">357.3k</t>
  </si>
  <si>
    <t xml:space="preserve">-35.6%</t>
  </si>
  <si>
    <t xml:space="preserve">122.3k</t>
  </si>
  <si>
    <t xml:space="preserve">72</t>
  </si>
  <si>
    <t xml:space="preserve">gold and diamond bracelet | 375,850 | -30.7% | 87,534 | 32 | 65; diamond bracelet | 357,271 | -35.6% | 122,331 | 42 | 72; gold diamond bracelet | 344,013 | -48.2% | 88,555 | 32 | 64; tennis bracelets | 323,742 | +0.2% | 80,926 | 32 | 79; diamond bracelet women | 276,733 | -45.5% | 80,136 | 34 | 63; gold diamond bracelet womens | 276,504 | +11.3% | 62,543 | 29 | 66; silver and diamond bracelet | 269,467 | -11.5% | 59,280 | 32 | 61; silver diamond bracelet | 258,771 | -37.3% | 59,953 | 32 | 63; womens tennis bracelet | 224,517 | +2.4% | 63,493 | 29 | 67; diamond chain bracelet | 210,171 | -35.3% | 38,837 | 32 | 65</t>
  </si>
  <si>
    <t xml:space="preserve">128.9k</t>
  </si>
  <si>
    <t xml:space="preserve">-48.7%</t>
  </si>
  <si>
    <t xml:space="preserve">69</t>
  </si>
  <si>
    <t xml:space="preserve">ring enamel | 150,458 | +53.5% | 39,533 | 42 | 79; enamel ring | 128,879 | -48.7% | 43,816 | 46 | 69; enamel jewelry rings | 122,075 | +57.5% | 35,029 | 37 | 79; ring with enamel | 102,221 | -38.5% | 37,118 | 44 | 69; gold enamel ring | 98,750 | +44.4% | 21,908 | 34 | 81; gold and enamel ring | 96,621 | +98.4% | 21,139 | 32 | 81; women's enamel rings | 81,763 | +226.7% | 19,328 | 32 | 80; silver enamel ring | 74,442 | +4.9% | 20,182 | 37 | 75; enamel ring silver | 73,258 | -10.9% | 20,320 | 39 | 72; gold ring with enamel | 68,308 | -14.1% | 19,923 | 34 | 61</t>
  </si>
  <si>
    <t xml:space="preserve">124.1k</t>
  </si>
  <si>
    <t xml:space="preserve">-63.7%</t>
  </si>
  <si>
    <t xml:space="preserve">126.3k</t>
  </si>
  <si>
    <t xml:space="preserve">54</t>
  </si>
  <si>
    <t xml:space="preserve">enamel | 559,250 | -61.6% | 829,643 | 84 | 50; enameled jewelry | 535,621 | -53.6% | 617,275 | 76 | 54; enamel jewelry | 532,538 | -53.6% | 621,312 | 76 | 53; enamel jewellery | 482,975 | -31.8% | 588,718 | 73 | 53; enamel pin | 312,325 | -34.6% | 253,923 | 70 | 58; enameled charm | 265,208 | -26.5% | 194,218 | 57 | 60; enamel charm | 264,850 | -26.5% | 198,084 | 57 | 60; enamel charms | 263,871 | -26.2% | 193,406 | 57 | 60; enameled charms | 249,888 | -25.3% | 183,936 | 55 | 60; enamel pendant | 196,813 | -38.9% | 186,855 | 57 | 57</t>
  </si>
  <si>
    <t xml:space="preserve">studs | 873,358 | -59.8% | 1,259,860 | 86 | 51; stud | 862,025 | -60.1% | 1,262,597 | 86 | 51; earring studs | 821,654 | -63.4% | 1,112,877 | 92 | 52; stud earrings | 821,017 | -63.4% | 1,112,798 | 92 | 52; stud earring | 722,221 | -34.6% | 1,111,488 | 86 | 50; silver and gold earrings | 663,200 | -7.5% | 657,859 | 78 | 50; silver studs | 654,813 | -46.4% | 592,054 | 82 | 59; gold stud | 648,775 | -48.7% | 602,134 | 79 | 58; gold studs | 640,542 | -52.9% | 603,749 | 79 | 58; gold stud earrings | 564,371 | -35.5% | 554,667 | 74 | 57</t>
  </si>
  <si>
    <t xml:space="preserve">202.7k</t>
  </si>
  <si>
    <t xml:space="preserve">-62.8%</t>
  </si>
  <si>
    <t xml:space="preserve">116.4k</t>
  </si>
  <si>
    <t xml:space="preserve">64</t>
  </si>
  <si>
    <t xml:space="preserve">enamel | 559,250 | -61.6% | 829,643 | 84 | 50; enamel jewelry | 532,538 | -53.6% | 621,312 | 76 | 53; enameled charm | 265,208 | -26.5% | 194,218 | 57 | 60; enamel charm | 264,850 | -26.5% | 198,084 | 57 | 60; enamel charms | 263,871 | -26.2% | 193,406 | 57 | 60; enamel beads | 261,154 | -20.1% | 135,526 | 52 | 65; enamel gold bracelet | 241,929 | +47.0% | 69,183 | 34 | 80; enamelled charm | 236,863 | -0.6% | 182,235 | 55 | 63; enamel charm bracelet | 211,088 | -67.5% | 89,479 | 42 | 57; bracelet with enamel charms | 204,317 | +37.4% | 80,873 | 42 | 59</t>
  </si>
  <si>
    <t xml:space="preserve">339.5k</t>
  </si>
  <si>
    <t xml:space="preserve">-54.9%</t>
  </si>
  <si>
    <t xml:space="preserve">99.1k</t>
  </si>
  <si>
    <t xml:space="preserve">73</t>
  </si>
  <si>
    <t xml:space="preserve">rings with roses | 2,306,388 | +10.3% | 1,367,088 | 78 | 71; gold rose ring | 2,214,004 | +32.0% | 1,437,336 | 78 | 71; rose gold rose ring | 1,567,950 | -18.2% | 1,417,041 | 79 | 59; 14k rose ring | 1,318,942 | -22.8% | 866,690 | 68 | 64; rose ring white gold | 1,218,167 | -38.0% | 1,118,068 | 71 | 59; rose white gold ring | 1,218,167 | -38.0% | 1,118,065 | 71 | 59; rose and white gold ring | 1,206,963 | -39.2% | 1,108,542 | 71 | 50; 14k gold rose ring | 1,113,729 | -8.4% | 971,580 | 71 | 61; gold diamond rose ring | 1,019,567 | +0.7% | 583,841 | 57 | 59; diamond rose ring white gold | 935,563 | -29.9% | 653,278 | 58 | 50</t>
  </si>
  <si>
    <t xml:space="preserve">30.2k</t>
  </si>
  <si>
    <t xml:space="preserve">-13.0%</t>
  </si>
  <si>
    <t xml:space="preserve">12.7k</t>
  </si>
  <si>
    <t xml:space="preserve">nature inspired ring | 497,629 | -30.5% | 136,796 | 37 | 74; mountain | 497,188 | -61.3% | 1,102,597 | 84 | 43; mountains | 496,779 | -61.3% | 1,101,256 | 84 | 43; mountain gift | 338,683 | -42.4% | 475,756 | 71 | 51; mountain landscape | 319,675 | -17.3% | 422,248 | 63 | 52; mountain lover gift | 103,121 | -31.7% | 144,244 | 52 | 51; mountain jewelry | 93,363 | -46.4% | 57,229 | 50 | 64; mountain scene | 90,967 | -22.9% | 77,052 | 46 | 58; mountain wedding | 81,463 | -34.5% | 39,165 | 44 | 66; mountain range | 42,738 | -68.7% | 20,943 | 42 | 65</t>
  </si>
  <si>
    <t xml:space="preserve">lab grown | 1,862,758 | -22.0% | 1,154,079 | 65 | 66; lab grown diamond | 1,117,188 | -49.7% | 649,792 | 57 | 67; lab grown diamonds | 1,099,192 | -54.2% | 655,929 | 57 | 66; lab grown solitaire | 669,121 | -34.8% | 202,876 | 32 | 74; lab-grown diamond | 623,713 | -31.0% | 648,504 | 60 | 58; lab grown created | 413,271 | -8.5% | 96,276 | 17 | 79; created diamond jewelry | 377,892 | -43.1% | 98,588 | 27 | 64; moissanite necklace | 307,100 | -35.5% | 98,003 | 27 | 72; cubic zirconia necklace | 302,138 | -12.7% | 173,001 | 52 | 55; lab grown emerald | 301,713 | -20.5% | 156,107 | 34 | 68</t>
  </si>
  <si>
    <t xml:space="preserve">119.6k</t>
  </si>
  <si>
    <t xml:space="preserve">-21.6%</t>
  </si>
  <si>
    <t xml:space="preserve">29k</t>
  </si>
  <si>
    <t xml:space="preserve">infinity | 295,796 | -26.6% | 253,077 | 65 | 60; infinity jewelry | 204,450 | -27.4% | 157,547 | 58 | 61; silver infinity | 164,046 | -15.7% | 107,655 | 52 | 63; gold infinity | 159,308 | +4.0% | 87,119 | 46 | 70; infinity jewellery | 148,054 | +23.4% | 157,547 | 58 | 61; bracelet infinity | 121,483 | +7.2% | 29,808 | 37 | 79; infinity bracelet | 119,638 | -21.6% | 29,035 | 39 | 74; infinity birthstone | 92,138 | -8.6% | 20,756 | 34 | 76; infinity necklace | 59,342 | -14.6% | 49,620 | 50 | 58; infinity charms | 55,804 | -40.0% | 26,792 | 46 | 65</t>
  </si>
  <si>
    <t xml:space="preserve">Alura volumes are on a larger scale than eRank monthly searches; use KD, score and the 3 month change for relative ranking. Pulled 29 Sep 2026.</t>
  </si>
</sst>
</file>

<file path=xl/styles.xml><?xml version="1.0" encoding="utf-8"?>
<styleSheet xmlns="http://schemas.openxmlformats.org/spreadsheetml/2006/main">
  <numFmts count="3">
    <numFmt numFmtId="164" formatCode="General"/>
    <numFmt numFmtId="165" formatCode="\$#,##0"/>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46.2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46.2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1" t="s">
        <v>6</v>
      </c>
    </row>
    <row r="11" customFormat="false" ht="57.45" hidden="false" customHeight="false" outlineLevel="0" collapsed="false">
      <c r="A11" s="2" t="s">
        <v>7</v>
      </c>
    </row>
    <row r="12" customFormat="false" ht="15" hidden="false" customHeight="false" outlineLevel="0" collapsed="false">
      <c r="A12" s="2"/>
    </row>
    <row r="13" customFormat="false" ht="15" hidden="false" customHeight="false" outlineLevel="0" collapsed="false">
      <c r="A13" s="1" t="s">
        <v>8</v>
      </c>
    </row>
    <row r="14" customFormat="false" ht="35.05" hidden="false" customHeight="false" outlineLevel="0" collapsed="false">
      <c r="A14"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5"/>
    <col collapsed="false" customWidth="true" hidden="false" outlineLevel="0" max="4" min="4" style="0" width="40"/>
    <col collapsed="false" customWidth="true" hidden="false" outlineLevel="0" max="5" min="5" style="0" width="48"/>
    <col collapsed="false" customWidth="true" hidden="false" outlineLevel="0" max="6" min="6" style="0" width="9"/>
    <col collapsed="false" customWidth="true" hidden="false" outlineLevel="0" max="7" min="7" style="0" width="48"/>
    <col collapsed="false" customWidth="true" hidden="false" outlineLevel="0" max="8" min="8" style="0" width="8"/>
    <col collapsed="false" customWidth="true" hidden="false" outlineLevel="0" max="10" min="9" style="0" width="9"/>
    <col collapsed="false" customWidth="true" hidden="false" outlineLevel="0" max="23" min="11" style="0" width="18"/>
    <col collapsed="false" customWidth="true" hidden="false" outlineLevel="0" max="24" min="24" style="0" width="30"/>
    <col collapsed="false" customWidth="true" hidden="false" outlineLevel="0" max="25" min="25" style="0" width="44"/>
    <col collapsed="false" customWidth="true" hidden="false" outlineLevel="0" max="26" min="26" style="0" width="26"/>
    <col collapsed="false" customWidth="true" hidden="false" outlineLevel="0" max="27" min="27" style="0" width="18"/>
    <col collapsed="false" customWidth="true" hidden="false" outlineLevel="0" max="28" min="28" style="0" width="16"/>
    <col collapsed="false" customWidth="true" hidden="false" outlineLevel="0" max="29" min="29" style="0" width="26"/>
    <col collapsed="false" customWidth="true" hidden="false" outlineLevel="0" max="30" min="30" style="0" width="36"/>
    <col collapsed="false" customWidth="true" hidden="false" outlineLevel="0" max="31" min="31" style="0" width="30"/>
    <col collapsed="false" customWidth="true" hidden="false" outlineLevel="0" max="32" min="32" style="0" width="40"/>
    <col collapsed="false" customWidth="true" hidden="false" outlineLevel="0" max="33" min="33" style="0" width="90"/>
    <col collapsed="false" customWidth="true" hidden="false" outlineLevel="0" max="34" min="34" style="0" width="44"/>
    <col collapsed="false" customWidth="true" hidden="false" outlineLevel="0" max="35" min="35" style="0" width="34"/>
    <col collapsed="false" customWidth="true" hidden="false" outlineLevel="0" max="36" min="36" style="0" width="40"/>
    <col collapsed="false" customWidth="true" hidden="false" outlineLevel="0" max="38" min="37" style="0" width="44"/>
  </cols>
  <sheetData>
    <row r="1" customFormat="false" ht="31.5" hidden="false" customHeight="true" outlineLevel="0" collapsed="false">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36</v>
      </c>
      <c r="AB1" s="3" t="s">
        <v>37</v>
      </c>
      <c r="AC1" s="3" t="s">
        <v>38</v>
      </c>
      <c r="AD1" s="3" t="s">
        <v>39</v>
      </c>
      <c r="AE1" s="3" t="s">
        <v>40</v>
      </c>
      <c r="AF1" s="3" t="s">
        <v>41</v>
      </c>
      <c r="AG1" s="3" t="s">
        <v>42</v>
      </c>
      <c r="AH1" s="3" t="s">
        <v>43</v>
      </c>
      <c r="AI1" s="3" t="s">
        <v>44</v>
      </c>
      <c r="AJ1" s="3" t="s">
        <v>45</v>
      </c>
      <c r="AK1" s="3" t="s">
        <v>46</v>
      </c>
      <c r="AL1" s="3" t="s">
        <v>47</v>
      </c>
    </row>
    <row r="2" customFormat="false" ht="120" hidden="false" customHeight="true" outlineLevel="0" collapsed="false">
      <c r="A2" s="4" t="s">
        <v>48</v>
      </c>
      <c r="B2" s="4" t="s">
        <v>49</v>
      </c>
      <c r="C2" s="4" t="s">
        <v>50</v>
      </c>
      <c r="D2" s="5" t="s">
        <v>51</v>
      </c>
      <c r="E2" s="6" t="s">
        <v>52</v>
      </c>
      <c r="F2" s="4" t="n">
        <f aca="false">LEN(E2)</f>
        <v>109</v>
      </c>
      <c r="G2" s="5" t="str">
        <f aca="false">_xlfn.TEXTJOIN(", ",TRUE(),K2:W2)</f>
        <v>enamel stud earrings, enamel earrings, dainty stud earrings, solid gold studs, tiny gold studs, small gold studs, gold stud earrings, 14k gold earrings, gold enamel studs, green enamel studs, geometric earrings, l shape earrings, green earrings gold</v>
      </c>
      <c r="H2" s="4" t="n">
        <f aca="false">COUNTA(K2:W2)</f>
        <v>13</v>
      </c>
      <c r="I2" s="4" t="n">
        <f aca="false">SUMPRODUCT(MAX(LEN(K2:W2)))</f>
        <v>20</v>
      </c>
      <c r="J2" s="4" t="n">
        <v>9</v>
      </c>
      <c r="K2" s="7" t="s">
        <v>53</v>
      </c>
      <c r="L2" s="7" t="s">
        <v>54</v>
      </c>
      <c r="M2" s="7" t="s">
        <v>55</v>
      </c>
      <c r="N2" s="7" t="s">
        <v>56</v>
      </c>
      <c r="O2" s="7" t="s">
        <v>57</v>
      </c>
      <c r="P2" s="7" t="s">
        <v>58</v>
      </c>
      <c r="Q2" s="7" t="s">
        <v>59</v>
      </c>
      <c r="R2" s="7" t="s">
        <v>60</v>
      </c>
      <c r="S2" s="7" t="s">
        <v>61</v>
      </c>
      <c r="T2" s="7" t="s">
        <v>62</v>
      </c>
      <c r="U2" s="7" t="s">
        <v>63</v>
      </c>
      <c r="V2" s="7" t="s">
        <v>64</v>
      </c>
      <c r="W2" s="7" t="s">
        <v>65</v>
      </c>
      <c r="X2" s="4" t="s">
        <v>66</v>
      </c>
      <c r="Y2" s="5" t="s">
        <v>67</v>
      </c>
      <c r="Z2" s="5" t="s">
        <v>68</v>
      </c>
      <c r="AA2" s="7" t="s">
        <v>69</v>
      </c>
      <c r="AB2" s="7" t="s">
        <v>70</v>
      </c>
      <c r="AC2" s="7" t="s">
        <v>71</v>
      </c>
      <c r="AD2" s="6" t="s">
        <v>72</v>
      </c>
      <c r="AE2" s="6" t="s">
        <v>73</v>
      </c>
      <c r="AF2" s="6" t="s">
        <v>74</v>
      </c>
      <c r="AG2" s="5" t="s">
        <v>75</v>
      </c>
      <c r="AH2" s="4" t="s">
        <v>76</v>
      </c>
      <c r="AI2" s="4" t="s">
        <v>77</v>
      </c>
      <c r="AJ2" s="4" t="s">
        <v>78</v>
      </c>
      <c r="AK2" s="5"/>
      <c r="AL2" s="5"/>
    </row>
    <row r="3" customFormat="false" ht="120" hidden="false" customHeight="true" outlineLevel="0" collapsed="false">
      <c r="A3" s="4" t="s">
        <v>79</v>
      </c>
      <c r="B3" s="4" t="s">
        <v>80</v>
      </c>
      <c r="C3" s="4" t="s">
        <v>50</v>
      </c>
      <c r="D3" s="5" t="s">
        <v>81</v>
      </c>
      <c r="E3" s="6" t="s">
        <v>82</v>
      </c>
      <c r="F3" s="4" t="n">
        <f aca="false">LEN(E3)</f>
        <v>110</v>
      </c>
      <c r="G3" s="5" t="str">
        <f aca="false">_xlfn.TEXTJOIN(", ",TRUE(),K3:W3)</f>
        <v>enamel stud earrings, enamel earrings, pink enamel earrings, petal earrings gold, dainty stud earrings, solid gold studs, small gold studs, tiny gold studs, gold stud earrings, 14k gold earrings, gold enamel studs, pink enamel studs, pink petal earrings</v>
      </c>
      <c r="H3" s="4" t="n">
        <f aca="false">COUNTA(K3:W3)</f>
        <v>13</v>
      </c>
      <c r="I3" s="4" t="n">
        <f aca="false">SUMPRODUCT(MAX(LEN(K3:W3)))</f>
        <v>20</v>
      </c>
      <c r="J3" s="4" t="n">
        <v>11</v>
      </c>
      <c r="K3" s="7" t="s">
        <v>53</v>
      </c>
      <c r="L3" s="7" t="s">
        <v>54</v>
      </c>
      <c r="M3" s="7" t="s">
        <v>83</v>
      </c>
      <c r="N3" s="7" t="s">
        <v>84</v>
      </c>
      <c r="O3" s="7" t="s">
        <v>55</v>
      </c>
      <c r="P3" s="7" t="s">
        <v>56</v>
      </c>
      <c r="Q3" s="7" t="s">
        <v>58</v>
      </c>
      <c r="R3" s="7" t="s">
        <v>57</v>
      </c>
      <c r="S3" s="7" t="s">
        <v>59</v>
      </c>
      <c r="T3" s="7" t="s">
        <v>60</v>
      </c>
      <c r="U3" s="7" t="s">
        <v>61</v>
      </c>
      <c r="V3" s="7" t="s">
        <v>85</v>
      </c>
      <c r="W3" s="7" t="s">
        <v>86</v>
      </c>
      <c r="X3" s="4" t="s">
        <v>66</v>
      </c>
      <c r="Y3" s="5" t="s">
        <v>87</v>
      </c>
      <c r="Z3" s="5" t="s">
        <v>68</v>
      </c>
      <c r="AA3" s="7" t="s">
        <v>69</v>
      </c>
      <c r="AB3" s="7" t="s">
        <v>70</v>
      </c>
      <c r="AC3" s="7" t="s">
        <v>71</v>
      </c>
      <c r="AD3" s="6" t="s">
        <v>72</v>
      </c>
      <c r="AE3" s="6" t="s">
        <v>73</v>
      </c>
      <c r="AF3" s="6" t="s">
        <v>74</v>
      </c>
      <c r="AG3" s="5" t="s">
        <v>88</v>
      </c>
      <c r="AH3" s="4" t="s">
        <v>76</v>
      </c>
      <c r="AI3" s="4" t="s">
        <v>89</v>
      </c>
      <c r="AJ3" s="4" t="s">
        <v>90</v>
      </c>
      <c r="AK3" s="5"/>
      <c r="AL3" s="5"/>
    </row>
    <row r="4" customFormat="false" ht="120" hidden="false" customHeight="true" outlineLevel="0" collapsed="false">
      <c r="A4" s="4" t="s">
        <v>91</v>
      </c>
      <c r="B4" s="4" t="s">
        <v>92</v>
      </c>
      <c r="C4" s="4" t="s">
        <v>50</v>
      </c>
      <c r="D4" s="5" t="s">
        <v>93</v>
      </c>
      <c r="E4" s="6" t="s">
        <v>94</v>
      </c>
      <c r="F4" s="4" t="n">
        <f aca="false">LEN(E4)</f>
        <v>105</v>
      </c>
      <c r="G4" s="5" t="str">
        <f aca="false">_xlfn.TEXTJOIN(", ",TRUE(),K4:W4)</f>
        <v>enamel stud earrings, enamel earrings, half moon earrings, dainty stud earrings, solid gold studs, small gold studs, tiny gold studs, gold stud earrings, 14k gold earrings, gold enamel studs, orange enamel studs, geometric earrings, half disc earrings</v>
      </c>
      <c r="H4" s="4" t="n">
        <f aca="false">COUNTA(K4:W4)</f>
        <v>13</v>
      </c>
      <c r="I4" s="4" t="n">
        <f aca="false">SUMPRODUCT(MAX(LEN(K4:W4)))</f>
        <v>20</v>
      </c>
      <c r="J4" s="4" t="n">
        <v>10</v>
      </c>
      <c r="K4" s="7" t="s">
        <v>53</v>
      </c>
      <c r="L4" s="7" t="s">
        <v>54</v>
      </c>
      <c r="M4" s="7" t="s">
        <v>95</v>
      </c>
      <c r="N4" s="7" t="s">
        <v>55</v>
      </c>
      <c r="O4" s="7" t="s">
        <v>56</v>
      </c>
      <c r="P4" s="7" t="s">
        <v>58</v>
      </c>
      <c r="Q4" s="7" t="s">
        <v>57</v>
      </c>
      <c r="R4" s="7" t="s">
        <v>59</v>
      </c>
      <c r="S4" s="7" t="s">
        <v>60</v>
      </c>
      <c r="T4" s="7" t="s">
        <v>61</v>
      </c>
      <c r="U4" s="7" t="s">
        <v>96</v>
      </c>
      <c r="V4" s="7" t="s">
        <v>63</v>
      </c>
      <c r="W4" s="7" t="s">
        <v>97</v>
      </c>
      <c r="X4" s="4" t="s">
        <v>66</v>
      </c>
      <c r="Y4" s="5" t="s">
        <v>98</v>
      </c>
      <c r="Z4" s="5" t="s">
        <v>68</v>
      </c>
      <c r="AA4" s="7" t="s">
        <v>69</v>
      </c>
      <c r="AB4" s="7" t="s">
        <v>70</v>
      </c>
      <c r="AC4" s="7" t="s">
        <v>71</v>
      </c>
      <c r="AD4" s="6" t="s">
        <v>72</v>
      </c>
      <c r="AE4" s="6" t="s">
        <v>73</v>
      </c>
      <c r="AF4" s="6" t="s">
        <v>74</v>
      </c>
      <c r="AG4" s="5" t="s">
        <v>99</v>
      </c>
      <c r="AH4" s="4" t="s">
        <v>76</v>
      </c>
      <c r="AI4" s="4" t="s">
        <v>100</v>
      </c>
      <c r="AJ4" s="4" t="s">
        <v>101</v>
      </c>
      <c r="AK4" s="5"/>
      <c r="AL4" s="5"/>
    </row>
    <row r="5" customFormat="false" ht="120" hidden="false" customHeight="true" outlineLevel="0" collapsed="false">
      <c r="A5" s="4" t="s">
        <v>102</v>
      </c>
      <c r="B5" s="4" t="s">
        <v>103</v>
      </c>
      <c r="C5" s="4" t="s">
        <v>50</v>
      </c>
      <c r="D5" s="5" t="s">
        <v>104</v>
      </c>
      <c r="E5" s="6" t="s">
        <v>105</v>
      </c>
      <c r="F5" s="4" t="n">
        <f aca="false">LEN(E5)</f>
        <v>112</v>
      </c>
      <c r="G5" s="5" t="str">
        <f aca="false">_xlfn.TEXTJOIN(", ",TRUE(),K5:W5)</f>
        <v>enamel stud earrings, enamel earrings, dainty stud earrings, solid gold studs, small gold studs, tiny gold studs, gold stud earrings, 14k gold earrings, gold enamel studs, terracotta earrings, comma earrings, sculptural earrings, terracotta jewelry</v>
      </c>
      <c r="H5" s="4" t="n">
        <f aca="false">COUNTA(K5:W5)</f>
        <v>13</v>
      </c>
      <c r="I5" s="4" t="n">
        <f aca="false">SUMPRODUCT(MAX(LEN(K5:W5)))</f>
        <v>20</v>
      </c>
      <c r="J5" s="4" t="n">
        <v>10</v>
      </c>
      <c r="K5" s="7" t="s">
        <v>53</v>
      </c>
      <c r="L5" s="7" t="s">
        <v>54</v>
      </c>
      <c r="M5" s="7" t="s">
        <v>55</v>
      </c>
      <c r="N5" s="7" t="s">
        <v>56</v>
      </c>
      <c r="O5" s="7" t="s">
        <v>58</v>
      </c>
      <c r="P5" s="7" t="s">
        <v>57</v>
      </c>
      <c r="Q5" s="7" t="s">
        <v>59</v>
      </c>
      <c r="R5" s="7" t="s">
        <v>60</v>
      </c>
      <c r="S5" s="7" t="s">
        <v>61</v>
      </c>
      <c r="T5" s="7" t="s">
        <v>106</v>
      </c>
      <c r="U5" s="7" t="s">
        <v>107</v>
      </c>
      <c r="V5" s="7" t="s">
        <v>108</v>
      </c>
      <c r="W5" s="7" t="s">
        <v>109</v>
      </c>
      <c r="X5" s="4" t="s">
        <v>66</v>
      </c>
      <c r="Y5" s="5" t="s">
        <v>110</v>
      </c>
      <c r="Z5" s="5" t="s">
        <v>68</v>
      </c>
      <c r="AA5" s="7" t="s">
        <v>69</v>
      </c>
      <c r="AB5" s="7" t="s">
        <v>70</v>
      </c>
      <c r="AC5" s="7" t="s">
        <v>71</v>
      </c>
      <c r="AD5" s="6" t="s">
        <v>72</v>
      </c>
      <c r="AE5" s="6" t="s">
        <v>73</v>
      </c>
      <c r="AF5" s="6" t="s">
        <v>74</v>
      </c>
      <c r="AG5" s="5" t="s">
        <v>111</v>
      </c>
      <c r="AH5" s="4" t="s">
        <v>76</v>
      </c>
      <c r="AI5" s="4" t="s">
        <v>112</v>
      </c>
      <c r="AJ5" s="4" t="s">
        <v>113</v>
      </c>
      <c r="AK5" s="5"/>
      <c r="AL5" s="5"/>
    </row>
    <row r="6" customFormat="false" ht="120" hidden="false" customHeight="true" outlineLevel="0" collapsed="false">
      <c r="A6" s="4" t="s">
        <v>114</v>
      </c>
      <c r="B6" s="4" t="s">
        <v>115</v>
      </c>
      <c r="C6" s="4" t="s">
        <v>50</v>
      </c>
      <c r="D6" s="5" t="s">
        <v>116</v>
      </c>
      <c r="E6" s="6" t="s">
        <v>117</v>
      </c>
      <c r="F6" s="4" t="n">
        <f aca="false">LEN(E6)</f>
        <v>110</v>
      </c>
      <c r="G6" s="5" t="str">
        <f aca="false">_xlfn.TEXTJOIN(", ",TRUE(),K6:W6)</f>
        <v>enamel stud earrings, enamel earrings, blue enamel earrings, dainty stud earrings, solid gold studs, small gold studs, tiny gold studs, gold stud earrings, 14k gold earrings, gold enamel studs, blue enamel studs, rectangle studs, geometric earrings</v>
      </c>
      <c r="H6" s="4" t="n">
        <f aca="false">COUNTA(K6:W6)</f>
        <v>13</v>
      </c>
      <c r="I6" s="4" t="n">
        <f aca="false">SUMPRODUCT(MAX(LEN(K6:W6)))</f>
        <v>20</v>
      </c>
      <c r="J6" s="4" t="n">
        <v>10</v>
      </c>
      <c r="K6" s="7" t="s">
        <v>53</v>
      </c>
      <c r="L6" s="7" t="s">
        <v>54</v>
      </c>
      <c r="M6" s="7" t="s">
        <v>118</v>
      </c>
      <c r="N6" s="7" t="s">
        <v>55</v>
      </c>
      <c r="O6" s="7" t="s">
        <v>56</v>
      </c>
      <c r="P6" s="7" t="s">
        <v>58</v>
      </c>
      <c r="Q6" s="7" t="s">
        <v>57</v>
      </c>
      <c r="R6" s="7" t="s">
        <v>59</v>
      </c>
      <c r="S6" s="7" t="s">
        <v>60</v>
      </c>
      <c r="T6" s="7" t="s">
        <v>61</v>
      </c>
      <c r="U6" s="7" t="s">
        <v>119</v>
      </c>
      <c r="V6" s="7" t="s">
        <v>120</v>
      </c>
      <c r="W6" s="7" t="s">
        <v>63</v>
      </c>
      <c r="X6" s="4" t="s">
        <v>66</v>
      </c>
      <c r="Y6" s="5" t="s">
        <v>121</v>
      </c>
      <c r="Z6" s="5" t="s">
        <v>68</v>
      </c>
      <c r="AA6" s="7" t="s">
        <v>69</v>
      </c>
      <c r="AB6" s="7" t="s">
        <v>70</v>
      </c>
      <c r="AC6" s="7" t="s">
        <v>71</v>
      </c>
      <c r="AD6" s="6" t="s">
        <v>72</v>
      </c>
      <c r="AE6" s="6" t="s">
        <v>73</v>
      </c>
      <c r="AF6" s="6" t="s">
        <v>74</v>
      </c>
      <c r="AG6" s="5" t="s">
        <v>122</v>
      </c>
      <c r="AH6" s="4" t="s">
        <v>76</v>
      </c>
      <c r="AI6" s="4" t="s">
        <v>123</v>
      </c>
      <c r="AJ6" s="4" t="s">
        <v>124</v>
      </c>
      <c r="AK6" s="5"/>
      <c r="AL6" s="5"/>
    </row>
    <row r="7" customFormat="false" ht="120" hidden="false" customHeight="true" outlineLevel="0" collapsed="false">
      <c r="A7" s="4" t="s">
        <v>125</v>
      </c>
      <c r="B7" s="4" t="s">
        <v>126</v>
      </c>
      <c r="C7" s="4" t="s">
        <v>127</v>
      </c>
      <c r="D7" s="5" t="s">
        <v>128</v>
      </c>
      <c r="E7" s="6" t="s">
        <v>129</v>
      </c>
      <c r="F7" s="4" t="n">
        <f aca="false">LEN(E7)</f>
        <v>99</v>
      </c>
      <c r="G7" s="5" t="str">
        <f aca="false">_xlfn.TEXTJOIN(", ",TRUE(),K7:W7)</f>
        <v>solid gold bracelet, gold enamel bracelet, enamel gold bracelet, cable chain bracelet, enamel link bracelet, gold plaque bracelet, 14k gold bracelet, push present, terracotta jewelry, terracotta bracelet, enamel bar bracelet, adjustable bracelet, wave bracelet gold</v>
      </c>
      <c r="H7" s="4" t="n">
        <f aca="false">COUNTA(K7:W7)</f>
        <v>13</v>
      </c>
      <c r="I7" s="4" t="n">
        <f aca="false">SUMPRODUCT(MAX(LEN(K7:W7)))</f>
        <v>20</v>
      </c>
      <c r="J7" s="4" t="n">
        <v>8</v>
      </c>
      <c r="K7" s="7" t="s">
        <v>130</v>
      </c>
      <c r="L7" s="7" t="s">
        <v>131</v>
      </c>
      <c r="M7" s="7" t="s">
        <v>132</v>
      </c>
      <c r="N7" s="7" t="s">
        <v>133</v>
      </c>
      <c r="O7" s="7" t="s">
        <v>134</v>
      </c>
      <c r="P7" s="7" t="s">
        <v>135</v>
      </c>
      <c r="Q7" s="7" t="s">
        <v>136</v>
      </c>
      <c r="R7" s="7" t="s">
        <v>137</v>
      </c>
      <c r="S7" s="7" t="s">
        <v>109</v>
      </c>
      <c r="T7" s="7" t="s">
        <v>138</v>
      </c>
      <c r="U7" s="7" t="s">
        <v>139</v>
      </c>
      <c r="V7" s="7" t="s">
        <v>140</v>
      </c>
      <c r="W7" s="7" t="s">
        <v>141</v>
      </c>
      <c r="X7" s="4" t="s">
        <v>142</v>
      </c>
      <c r="Y7" s="5" t="s">
        <v>143</v>
      </c>
      <c r="Z7" s="5" t="s">
        <v>68</v>
      </c>
      <c r="AA7" s="7" t="s">
        <v>69</v>
      </c>
      <c r="AB7" s="7" t="s">
        <v>70</v>
      </c>
      <c r="AC7" s="7" t="s">
        <v>144</v>
      </c>
      <c r="AD7" s="6" t="s">
        <v>145</v>
      </c>
      <c r="AE7" s="6" t="s">
        <v>73</v>
      </c>
      <c r="AF7" s="6" t="s">
        <v>146</v>
      </c>
      <c r="AG7" s="5" t="s">
        <v>147</v>
      </c>
      <c r="AH7" s="4" t="s">
        <v>76</v>
      </c>
      <c r="AI7" s="4" t="s">
        <v>148</v>
      </c>
      <c r="AJ7" s="4" t="s">
        <v>149</v>
      </c>
      <c r="AK7" s="5"/>
      <c r="AL7" s="5"/>
    </row>
    <row r="8" customFormat="false" ht="120" hidden="false" customHeight="true" outlineLevel="0" collapsed="false">
      <c r="A8" s="4" t="s">
        <v>150</v>
      </c>
      <c r="B8" s="4" t="s">
        <v>151</v>
      </c>
      <c r="C8" s="4" t="s">
        <v>127</v>
      </c>
      <c r="D8" s="5" t="s">
        <v>152</v>
      </c>
      <c r="E8" s="6" t="s">
        <v>153</v>
      </c>
      <c r="F8" s="4" t="n">
        <f aca="false">LEN(E8)</f>
        <v>97</v>
      </c>
      <c r="G8" s="5" t="str">
        <f aca="false">_xlfn.TEXTJOIN(", ",TRUE(),K8:W8)</f>
        <v>solid gold bracelet, gold enamel bracelet, enamel gold bracelet, cable chain bracelet, enamel link bracelet, gold plaque bracelet, 14k gold bracelet, push present, pink enamel bracelet, pink enamel jewelry, lozenge bracelet, geometric bracelet, adjustable bracelet</v>
      </c>
      <c r="H8" s="4" t="n">
        <f aca="false">COUNTA(K8:W8)</f>
        <v>13</v>
      </c>
      <c r="I8" s="4" t="n">
        <f aca="false">SUMPRODUCT(MAX(LEN(K8:W8)))</f>
        <v>20</v>
      </c>
      <c r="J8" s="4" t="n">
        <v>7</v>
      </c>
      <c r="K8" s="7" t="s">
        <v>130</v>
      </c>
      <c r="L8" s="7" t="s">
        <v>131</v>
      </c>
      <c r="M8" s="7" t="s">
        <v>132</v>
      </c>
      <c r="N8" s="7" t="s">
        <v>133</v>
      </c>
      <c r="O8" s="7" t="s">
        <v>134</v>
      </c>
      <c r="P8" s="7" t="s">
        <v>135</v>
      </c>
      <c r="Q8" s="7" t="s">
        <v>136</v>
      </c>
      <c r="R8" s="7" t="s">
        <v>137</v>
      </c>
      <c r="S8" s="7" t="s">
        <v>154</v>
      </c>
      <c r="T8" s="7" t="s">
        <v>155</v>
      </c>
      <c r="U8" s="7" t="s">
        <v>156</v>
      </c>
      <c r="V8" s="7" t="s">
        <v>157</v>
      </c>
      <c r="W8" s="7" t="s">
        <v>140</v>
      </c>
      <c r="X8" s="4" t="s">
        <v>142</v>
      </c>
      <c r="Y8" s="5" t="s">
        <v>158</v>
      </c>
      <c r="Z8" s="5" t="s">
        <v>68</v>
      </c>
      <c r="AA8" s="7" t="s">
        <v>69</v>
      </c>
      <c r="AB8" s="7" t="s">
        <v>70</v>
      </c>
      <c r="AC8" s="7" t="s">
        <v>144</v>
      </c>
      <c r="AD8" s="6" t="s">
        <v>145</v>
      </c>
      <c r="AE8" s="6" t="s">
        <v>73</v>
      </c>
      <c r="AF8" s="6" t="s">
        <v>146</v>
      </c>
      <c r="AG8" s="5" t="s">
        <v>159</v>
      </c>
      <c r="AH8" s="4" t="s">
        <v>76</v>
      </c>
      <c r="AI8" s="4" t="s">
        <v>160</v>
      </c>
      <c r="AJ8" s="4" t="s">
        <v>161</v>
      </c>
      <c r="AK8" s="5"/>
      <c r="AL8" s="5"/>
    </row>
    <row r="9" customFormat="false" ht="120" hidden="false" customHeight="true" outlineLevel="0" collapsed="false">
      <c r="A9" s="4" t="s">
        <v>162</v>
      </c>
      <c r="B9" s="4" t="s">
        <v>163</v>
      </c>
      <c r="C9" s="4" t="s">
        <v>127</v>
      </c>
      <c r="D9" s="5" t="s">
        <v>164</v>
      </c>
      <c r="E9" s="6" t="s">
        <v>165</v>
      </c>
      <c r="F9" s="4" t="n">
        <f aca="false">LEN(E9)</f>
        <v>94</v>
      </c>
      <c r="G9" s="5" t="str">
        <f aca="false">_xlfn.TEXTJOIN(", ",TRUE(),K9:W9)</f>
        <v>solid gold bracelet, gold enamel bracelet, enamel gold bracelet, cable chain bracelet, enamel link bracelet, gold plaque bracelet, 14k gold bracelet, push present, green enamel jewelry, enamel bar bracelet, adjustable bracelet, real gold bracelet, gold bar bracelet</v>
      </c>
      <c r="H9" s="4" t="n">
        <f aca="false">COUNTA(K9:W9)</f>
        <v>13</v>
      </c>
      <c r="I9" s="4" t="n">
        <f aca="false">SUMPRODUCT(MAX(LEN(K9:W9)))</f>
        <v>20</v>
      </c>
      <c r="J9" s="4" t="n">
        <v>9</v>
      </c>
      <c r="K9" s="7" t="s">
        <v>130</v>
      </c>
      <c r="L9" s="7" t="s">
        <v>131</v>
      </c>
      <c r="M9" s="7" t="s">
        <v>132</v>
      </c>
      <c r="N9" s="7" t="s">
        <v>133</v>
      </c>
      <c r="O9" s="7" t="s">
        <v>134</v>
      </c>
      <c r="P9" s="7" t="s">
        <v>135</v>
      </c>
      <c r="Q9" s="7" t="s">
        <v>136</v>
      </c>
      <c r="R9" s="7" t="s">
        <v>137</v>
      </c>
      <c r="S9" s="7" t="s">
        <v>166</v>
      </c>
      <c r="T9" s="7" t="s">
        <v>139</v>
      </c>
      <c r="U9" s="7" t="s">
        <v>140</v>
      </c>
      <c r="V9" s="7" t="s">
        <v>167</v>
      </c>
      <c r="W9" s="7" t="s">
        <v>168</v>
      </c>
      <c r="X9" s="4" t="s">
        <v>142</v>
      </c>
      <c r="Y9" s="5" t="s">
        <v>169</v>
      </c>
      <c r="Z9" s="5" t="s">
        <v>68</v>
      </c>
      <c r="AA9" s="7" t="s">
        <v>69</v>
      </c>
      <c r="AB9" s="7" t="s">
        <v>70</v>
      </c>
      <c r="AC9" s="7" t="s">
        <v>144</v>
      </c>
      <c r="AD9" s="6" t="s">
        <v>145</v>
      </c>
      <c r="AE9" s="6" t="s">
        <v>73</v>
      </c>
      <c r="AF9" s="6" t="s">
        <v>146</v>
      </c>
      <c r="AG9" s="5" t="s">
        <v>170</v>
      </c>
      <c r="AH9" s="4" t="s">
        <v>76</v>
      </c>
      <c r="AI9" s="4" t="s">
        <v>171</v>
      </c>
      <c r="AJ9" s="4" t="s">
        <v>172</v>
      </c>
      <c r="AK9" s="5"/>
      <c r="AL9" s="5"/>
    </row>
    <row r="10" customFormat="false" ht="120" hidden="false" customHeight="true" outlineLevel="0" collapsed="false">
      <c r="A10" s="4" t="s">
        <v>173</v>
      </c>
      <c r="B10" s="4" t="s">
        <v>174</v>
      </c>
      <c r="C10" s="4" t="s">
        <v>127</v>
      </c>
      <c r="D10" s="5" t="s">
        <v>175</v>
      </c>
      <c r="E10" s="6" t="s">
        <v>176</v>
      </c>
      <c r="F10" s="4" t="n">
        <f aca="false">LEN(E10)</f>
        <v>95</v>
      </c>
      <c r="G10" s="5" t="str">
        <f aca="false">_xlfn.TEXTJOIN(", ",TRUE(),K10:W10)</f>
        <v>solid gold bracelet, gold enamel bracelet, enamel gold bracelet, cable chain bracelet, enamel link bracelet, gold plaque bracelet, 14k gold bracelet, push present, orange disc bracelet, enamel disc bracelet, anniversary bracelet, adjustable bracelet, real gold bracelet</v>
      </c>
      <c r="H10" s="4" t="n">
        <f aca="false">COUNTA(K10:W10)</f>
        <v>13</v>
      </c>
      <c r="I10" s="4" t="n">
        <f aca="false">SUMPRODUCT(MAX(LEN(K10:W10)))</f>
        <v>20</v>
      </c>
      <c r="J10" s="4" t="n">
        <v>8</v>
      </c>
      <c r="K10" s="7" t="s">
        <v>130</v>
      </c>
      <c r="L10" s="7" t="s">
        <v>131</v>
      </c>
      <c r="M10" s="7" t="s">
        <v>132</v>
      </c>
      <c r="N10" s="7" t="s">
        <v>133</v>
      </c>
      <c r="O10" s="7" t="s">
        <v>134</v>
      </c>
      <c r="P10" s="7" t="s">
        <v>135</v>
      </c>
      <c r="Q10" s="7" t="s">
        <v>136</v>
      </c>
      <c r="R10" s="7" t="s">
        <v>137</v>
      </c>
      <c r="S10" s="7" t="s">
        <v>177</v>
      </c>
      <c r="T10" s="7" t="s">
        <v>178</v>
      </c>
      <c r="U10" s="7" t="s">
        <v>179</v>
      </c>
      <c r="V10" s="7" t="s">
        <v>140</v>
      </c>
      <c r="W10" s="7" t="s">
        <v>167</v>
      </c>
      <c r="X10" s="4" t="s">
        <v>142</v>
      </c>
      <c r="Y10" s="5" t="s">
        <v>180</v>
      </c>
      <c r="Z10" s="5" t="s">
        <v>68</v>
      </c>
      <c r="AA10" s="7" t="s">
        <v>69</v>
      </c>
      <c r="AB10" s="7" t="s">
        <v>70</v>
      </c>
      <c r="AC10" s="7" t="s">
        <v>144</v>
      </c>
      <c r="AD10" s="6" t="s">
        <v>145</v>
      </c>
      <c r="AE10" s="6" t="s">
        <v>73</v>
      </c>
      <c r="AF10" s="6" t="s">
        <v>146</v>
      </c>
      <c r="AG10" s="5" t="s">
        <v>181</v>
      </c>
      <c r="AH10" s="4" t="s">
        <v>76</v>
      </c>
      <c r="AI10" s="4" t="s">
        <v>182</v>
      </c>
      <c r="AJ10" s="4" t="s">
        <v>183</v>
      </c>
      <c r="AK10" s="5"/>
      <c r="AL10" s="5"/>
    </row>
    <row r="11" customFormat="false" ht="120" hidden="false" customHeight="true" outlineLevel="0" collapsed="false">
      <c r="A11" s="4" t="s">
        <v>184</v>
      </c>
      <c r="B11" s="4" t="s">
        <v>185</v>
      </c>
      <c r="C11" s="4" t="s">
        <v>127</v>
      </c>
      <c r="D11" s="5" t="s">
        <v>186</v>
      </c>
      <c r="E11" s="6" t="s">
        <v>187</v>
      </c>
      <c r="F11" s="4" t="n">
        <f aca="false">LEN(E11)</f>
        <v>93</v>
      </c>
      <c r="G11" s="5" t="str">
        <f aca="false">_xlfn.TEXTJOIN(", ",TRUE(),K11:W11)</f>
        <v>solid gold bracelet, gold enamel bracelet, enamel gold bracelet, cable chain bracelet, enamel link bracelet, gold plaque bracelet, 14k gold bracelet, push present, blue enamel bracelet, blue enamel jewelry, capsule bracelet, adjustable bracelet, gold bar bracelet</v>
      </c>
      <c r="H11" s="4" t="n">
        <f aca="false">COUNTA(K11:W11)</f>
        <v>13</v>
      </c>
      <c r="I11" s="4" t="n">
        <f aca="false">SUMPRODUCT(MAX(LEN(K11:W11)))</f>
        <v>20</v>
      </c>
      <c r="J11" s="4" t="n">
        <v>8</v>
      </c>
      <c r="K11" s="7" t="s">
        <v>130</v>
      </c>
      <c r="L11" s="7" t="s">
        <v>131</v>
      </c>
      <c r="M11" s="7" t="s">
        <v>132</v>
      </c>
      <c r="N11" s="7" t="s">
        <v>133</v>
      </c>
      <c r="O11" s="7" t="s">
        <v>134</v>
      </c>
      <c r="P11" s="7" t="s">
        <v>135</v>
      </c>
      <c r="Q11" s="7" t="s">
        <v>136</v>
      </c>
      <c r="R11" s="7" t="s">
        <v>137</v>
      </c>
      <c r="S11" s="7" t="s">
        <v>188</v>
      </c>
      <c r="T11" s="7" t="s">
        <v>189</v>
      </c>
      <c r="U11" s="7" t="s">
        <v>190</v>
      </c>
      <c r="V11" s="7" t="s">
        <v>140</v>
      </c>
      <c r="W11" s="7" t="s">
        <v>168</v>
      </c>
      <c r="X11" s="4" t="s">
        <v>142</v>
      </c>
      <c r="Y11" s="5" t="s">
        <v>191</v>
      </c>
      <c r="Z11" s="5" t="s">
        <v>68</v>
      </c>
      <c r="AA11" s="7" t="s">
        <v>69</v>
      </c>
      <c r="AB11" s="7" t="s">
        <v>70</v>
      </c>
      <c r="AC11" s="7" t="s">
        <v>144</v>
      </c>
      <c r="AD11" s="6" t="s">
        <v>145</v>
      </c>
      <c r="AE11" s="6" t="s">
        <v>73</v>
      </c>
      <c r="AF11" s="6" t="s">
        <v>146</v>
      </c>
      <c r="AG11" s="5" t="s">
        <v>192</v>
      </c>
      <c r="AH11" s="4" t="s">
        <v>76</v>
      </c>
      <c r="AI11" s="4" t="s">
        <v>193</v>
      </c>
      <c r="AJ11" s="4" t="s">
        <v>194</v>
      </c>
      <c r="AK11" s="5"/>
      <c r="AL11" s="5"/>
    </row>
    <row r="12" customFormat="false" ht="120" hidden="false" customHeight="true" outlineLevel="0" collapsed="false">
      <c r="A12" s="4" t="s">
        <v>195</v>
      </c>
      <c r="B12" s="4" t="s">
        <v>196</v>
      </c>
      <c r="C12" s="4" t="s">
        <v>197</v>
      </c>
      <c r="D12" s="5" t="s">
        <v>198</v>
      </c>
      <c r="E12" s="6" t="s">
        <v>199</v>
      </c>
      <c r="F12" s="4" t="n">
        <f aca="false">LEN(E12)</f>
        <v>103</v>
      </c>
      <c r="G12" s="5" t="str">
        <f aca="false">_xlfn.TEXTJOIN(", ",TRUE(),K12:W12)</f>
        <v>solid gold necklace, 14k gold necklace, gold enamel necklace, enamel pendant, push present, terracotta jewelry, terracotta necklace, comma necklace, comma pendant, cable chain necklace, small gold pendant, terracotta pendant, dainty gold necklace</v>
      </c>
      <c r="H12" s="4" t="n">
        <f aca="false">COUNTA(K12:W12)</f>
        <v>13</v>
      </c>
      <c r="I12" s="4" t="n">
        <f aca="false">SUMPRODUCT(MAX(LEN(K12:W12)))</f>
        <v>20</v>
      </c>
      <c r="J12" s="4" t="n">
        <v>7</v>
      </c>
      <c r="K12" s="7" t="s">
        <v>200</v>
      </c>
      <c r="L12" s="7" t="s">
        <v>201</v>
      </c>
      <c r="M12" s="7" t="s">
        <v>202</v>
      </c>
      <c r="N12" s="7" t="s">
        <v>203</v>
      </c>
      <c r="O12" s="7" t="s">
        <v>137</v>
      </c>
      <c r="P12" s="7" t="s">
        <v>109</v>
      </c>
      <c r="Q12" s="7" t="s">
        <v>204</v>
      </c>
      <c r="R12" s="7" t="s">
        <v>205</v>
      </c>
      <c r="S12" s="7" t="s">
        <v>206</v>
      </c>
      <c r="T12" s="7" t="s">
        <v>207</v>
      </c>
      <c r="U12" s="7" t="s">
        <v>208</v>
      </c>
      <c r="V12" s="7" t="s">
        <v>209</v>
      </c>
      <c r="W12" s="7" t="s">
        <v>210</v>
      </c>
      <c r="X12" s="4" t="s">
        <v>211</v>
      </c>
      <c r="Y12" s="5" t="s">
        <v>212</v>
      </c>
      <c r="Z12" s="5" t="s">
        <v>68</v>
      </c>
      <c r="AA12" s="7" t="s">
        <v>69</v>
      </c>
      <c r="AB12" s="7" t="s">
        <v>70</v>
      </c>
      <c r="AC12" s="7" t="s">
        <v>144</v>
      </c>
      <c r="AD12" s="6" t="s">
        <v>213</v>
      </c>
      <c r="AE12" s="6" t="s">
        <v>73</v>
      </c>
      <c r="AF12" s="6" t="s">
        <v>214</v>
      </c>
      <c r="AG12" s="5" t="s">
        <v>215</v>
      </c>
      <c r="AH12" s="4" t="s">
        <v>76</v>
      </c>
      <c r="AI12" s="4" t="s">
        <v>216</v>
      </c>
      <c r="AJ12" s="4" t="s">
        <v>217</v>
      </c>
      <c r="AK12" s="5"/>
      <c r="AL12" s="5"/>
    </row>
    <row r="13" customFormat="false" ht="120" hidden="false" customHeight="true" outlineLevel="0" collapsed="false">
      <c r="A13" s="4" t="s">
        <v>218</v>
      </c>
      <c r="B13" s="4" t="s">
        <v>219</v>
      </c>
      <c r="C13" s="4" t="s">
        <v>197</v>
      </c>
      <c r="D13" s="5" t="s">
        <v>220</v>
      </c>
      <c r="E13" s="6" t="s">
        <v>221</v>
      </c>
      <c r="F13" s="4" t="n">
        <f aca="false">LEN(E13)</f>
        <v>107</v>
      </c>
      <c r="G13" s="5" t="str">
        <f aca="false">_xlfn.TEXTJOIN(", ",TRUE(),K13:W13)</f>
        <v>solid gold necklace, 14k gold necklace, gold enamel necklace, enamel pendant, push present, green enamel pendant, geometric necklace, rectangle necklace, open frame necklace, small gold pendant, cable chain necklace, minimalist necklace, dainty gold necklace</v>
      </c>
      <c r="H13" s="4" t="n">
        <f aca="false">COUNTA(K13:W13)</f>
        <v>13</v>
      </c>
      <c r="I13" s="4" t="n">
        <f aca="false">SUMPRODUCT(MAX(LEN(K13:W13)))</f>
        <v>20</v>
      </c>
      <c r="J13" s="4" t="n">
        <v>7</v>
      </c>
      <c r="K13" s="7" t="s">
        <v>200</v>
      </c>
      <c r="L13" s="7" t="s">
        <v>201</v>
      </c>
      <c r="M13" s="7" t="s">
        <v>202</v>
      </c>
      <c r="N13" s="7" t="s">
        <v>203</v>
      </c>
      <c r="O13" s="7" t="s">
        <v>137</v>
      </c>
      <c r="P13" s="7" t="s">
        <v>222</v>
      </c>
      <c r="Q13" s="7" t="s">
        <v>223</v>
      </c>
      <c r="R13" s="7" t="s">
        <v>224</v>
      </c>
      <c r="S13" s="7" t="s">
        <v>225</v>
      </c>
      <c r="T13" s="7" t="s">
        <v>208</v>
      </c>
      <c r="U13" s="7" t="s">
        <v>207</v>
      </c>
      <c r="V13" s="7" t="s">
        <v>226</v>
      </c>
      <c r="W13" s="7" t="s">
        <v>210</v>
      </c>
      <c r="X13" s="4" t="s">
        <v>211</v>
      </c>
      <c r="Y13" s="5" t="s">
        <v>227</v>
      </c>
      <c r="Z13" s="5" t="s">
        <v>68</v>
      </c>
      <c r="AA13" s="7" t="s">
        <v>69</v>
      </c>
      <c r="AB13" s="7" t="s">
        <v>70</v>
      </c>
      <c r="AC13" s="7" t="s">
        <v>144</v>
      </c>
      <c r="AD13" s="6" t="s">
        <v>213</v>
      </c>
      <c r="AE13" s="6" t="s">
        <v>73</v>
      </c>
      <c r="AF13" s="6" t="s">
        <v>214</v>
      </c>
      <c r="AG13" s="5" t="s">
        <v>228</v>
      </c>
      <c r="AH13" s="4" t="s">
        <v>76</v>
      </c>
      <c r="AI13" s="4" t="s">
        <v>229</v>
      </c>
      <c r="AJ13" s="4" t="s">
        <v>230</v>
      </c>
      <c r="AK13" s="5"/>
      <c r="AL13" s="5"/>
    </row>
    <row r="14" customFormat="false" ht="120" hidden="false" customHeight="true" outlineLevel="0" collapsed="false">
      <c r="A14" s="4" t="s">
        <v>231</v>
      </c>
      <c r="B14" s="4" t="s">
        <v>232</v>
      </c>
      <c r="C14" s="4" t="s">
        <v>197</v>
      </c>
      <c r="D14" s="5" t="s">
        <v>233</v>
      </c>
      <c r="E14" s="6" t="s">
        <v>234</v>
      </c>
      <c r="F14" s="4" t="n">
        <f aca="false">LEN(E14)</f>
        <v>97</v>
      </c>
      <c r="G14" s="5" t="str">
        <f aca="false">_xlfn.TEXTJOIN(", ",TRUE(),K14:W14)</f>
        <v>solid gold necklace, 14k gold necklace, gold enamel necklace, enamel pendant, push present, pink enamel necklace, petal necklace, petal pendant, small gold pendant, cable chain necklace, botanical necklace, minimalist necklace, dainty gold necklace</v>
      </c>
      <c r="H14" s="4" t="n">
        <f aca="false">COUNTA(K14:W14)</f>
        <v>13</v>
      </c>
      <c r="I14" s="4" t="n">
        <f aca="false">SUMPRODUCT(MAX(LEN(K14:W14)))</f>
        <v>20</v>
      </c>
      <c r="J14" s="4" t="n">
        <v>6</v>
      </c>
      <c r="K14" s="7" t="s">
        <v>200</v>
      </c>
      <c r="L14" s="7" t="s">
        <v>201</v>
      </c>
      <c r="M14" s="7" t="s">
        <v>202</v>
      </c>
      <c r="N14" s="7" t="s">
        <v>203</v>
      </c>
      <c r="O14" s="7" t="s">
        <v>137</v>
      </c>
      <c r="P14" s="7" t="s">
        <v>235</v>
      </c>
      <c r="Q14" s="7" t="s">
        <v>236</v>
      </c>
      <c r="R14" s="7" t="s">
        <v>237</v>
      </c>
      <c r="S14" s="7" t="s">
        <v>208</v>
      </c>
      <c r="T14" s="7" t="s">
        <v>207</v>
      </c>
      <c r="U14" s="7" t="s">
        <v>238</v>
      </c>
      <c r="V14" s="7" t="s">
        <v>226</v>
      </c>
      <c r="W14" s="7" t="s">
        <v>210</v>
      </c>
      <c r="X14" s="4" t="s">
        <v>211</v>
      </c>
      <c r="Y14" s="5" t="s">
        <v>239</v>
      </c>
      <c r="Z14" s="5" t="s">
        <v>68</v>
      </c>
      <c r="AA14" s="7" t="s">
        <v>240</v>
      </c>
      <c r="AB14" s="7" t="s">
        <v>70</v>
      </c>
      <c r="AC14" s="7" t="s">
        <v>144</v>
      </c>
      <c r="AD14" s="6" t="s">
        <v>213</v>
      </c>
      <c r="AE14" s="6" t="s">
        <v>73</v>
      </c>
      <c r="AF14" s="6" t="s">
        <v>214</v>
      </c>
      <c r="AG14" s="5" t="s">
        <v>241</v>
      </c>
      <c r="AH14" s="4" t="s">
        <v>76</v>
      </c>
      <c r="AI14" s="4" t="s">
        <v>242</v>
      </c>
      <c r="AJ14" s="4" t="s">
        <v>243</v>
      </c>
      <c r="AK14" s="5"/>
      <c r="AL14" s="5"/>
    </row>
    <row r="15" customFormat="false" ht="120" hidden="false" customHeight="true" outlineLevel="0" collapsed="false">
      <c r="A15" s="4" t="s">
        <v>244</v>
      </c>
      <c r="B15" s="4" t="s">
        <v>245</v>
      </c>
      <c r="C15" s="4" t="s">
        <v>197</v>
      </c>
      <c r="D15" s="5" t="s">
        <v>246</v>
      </c>
      <c r="E15" s="6" t="s">
        <v>247</v>
      </c>
      <c r="F15" s="4" t="n">
        <f aca="false">LEN(E15)</f>
        <v>102</v>
      </c>
      <c r="G15" s="5" t="str">
        <f aca="false">_xlfn.TEXTJOIN(", ",TRUE(),K15:W15)</f>
        <v>solid gold necklace, 14k gold necklace, gold enamel necklace, enamel pendant, gold circle necklace, push present, orange pendant, circle pendant, disc necklace gold, sunrise necklace, cable chain necklace, small gold pendant, minimalist necklace</v>
      </c>
      <c r="H15" s="4" t="n">
        <f aca="false">COUNTA(K15:W15)</f>
        <v>13</v>
      </c>
      <c r="I15" s="4" t="n">
        <f aca="false">SUMPRODUCT(MAX(LEN(K15:W15)))</f>
        <v>20</v>
      </c>
      <c r="J15" s="4" t="n">
        <v>6</v>
      </c>
      <c r="K15" s="7" t="s">
        <v>200</v>
      </c>
      <c r="L15" s="7" t="s">
        <v>201</v>
      </c>
      <c r="M15" s="7" t="s">
        <v>202</v>
      </c>
      <c r="N15" s="7" t="s">
        <v>203</v>
      </c>
      <c r="O15" s="7" t="s">
        <v>248</v>
      </c>
      <c r="P15" s="7" t="s">
        <v>137</v>
      </c>
      <c r="Q15" s="7" t="s">
        <v>249</v>
      </c>
      <c r="R15" s="7" t="s">
        <v>250</v>
      </c>
      <c r="S15" s="7" t="s">
        <v>251</v>
      </c>
      <c r="T15" s="7" t="s">
        <v>252</v>
      </c>
      <c r="U15" s="7" t="s">
        <v>207</v>
      </c>
      <c r="V15" s="7" t="s">
        <v>208</v>
      </c>
      <c r="W15" s="7" t="s">
        <v>226</v>
      </c>
      <c r="X15" s="4" t="s">
        <v>211</v>
      </c>
      <c r="Y15" s="5" t="s">
        <v>253</v>
      </c>
      <c r="Z15" s="5" t="s">
        <v>68</v>
      </c>
      <c r="AA15" s="7" t="s">
        <v>240</v>
      </c>
      <c r="AB15" s="7" t="s">
        <v>70</v>
      </c>
      <c r="AC15" s="7" t="s">
        <v>144</v>
      </c>
      <c r="AD15" s="6" t="s">
        <v>254</v>
      </c>
      <c r="AE15" s="6" t="s">
        <v>73</v>
      </c>
      <c r="AF15" s="6" t="s">
        <v>214</v>
      </c>
      <c r="AG15" s="5" t="s">
        <v>255</v>
      </c>
      <c r="AH15" s="4" t="s">
        <v>76</v>
      </c>
      <c r="AI15" s="4" t="s">
        <v>256</v>
      </c>
      <c r="AJ15" s="4" t="s">
        <v>257</v>
      </c>
      <c r="AK15" s="5"/>
      <c r="AL15" s="5"/>
    </row>
    <row r="16" customFormat="false" ht="120" hidden="false" customHeight="true" outlineLevel="0" collapsed="false">
      <c r="A16" s="4" t="s">
        <v>258</v>
      </c>
      <c r="B16" s="4" t="s">
        <v>259</v>
      </c>
      <c r="C16" s="4" t="s">
        <v>197</v>
      </c>
      <c r="D16" s="5" t="s">
        <v>260</v>
      </c>
      <c r="E16" s="6" t="s">
        <v>261</v>
      </c>
      <c r="F16" s="4" t="n">
        <f aca="false">LEN(E16)</f>
        <v>90</v>
      </c>
      <c r="G16" s="5" t="str">
        <f aca="false">_xlfn.TEXTJOIN(", ",TRUE(),K16:W16)</f>
        <v>solid gold necklace, 14k gold necklace, gold enamel necklace, blue enamel necklace, enamel pendant, push present, arch necklace, arch pendant, geometric necklace, open arch pendant, cable chain necklace, small gold pendant, blue enamel jewelry</v>
      </c>
      <c r="H16" s="4" t="n">
        <f aca="false">COUNTA(K16:W16)</f>
        <v>13</v>
      </c>
      <c r="I16" s="4" t="n">
        <f aca="false">SUMPRODUCT(MAX(LEN(K16:W16)))</f>
        <v>20</v>
      </c>
      <c r="J16" s="4" t="n">
        <v>7</v>
      </c>
      <c r="K16" s="7" t="s">
        <v>200</v>
      </c>
      <c r="L16" s="7" t="s">
        <v>201</v>
      </c>
      <c r="M16" s="7" t="s">
        <v>202</v>
      </c>
      <c r="N16" s="7" t="s">
        <v>262</v>
      </c>
      <c r="O16" s="7" t="s">
        <v>203</v>
      </c>
      <c r="P16" s="7" t="s">
        <v>137</v>
      </c>
      <c r="Q16" s="7" t="s">
        <v>263</v>
      </c>
      <c r="R16" s="7" t="s">
        <v>264</v>
      </c>
      <c r="S16" s="7" t="s">
        <v>223</v>
      </c>
      <c r="T16" s="7" t="s">
        <v>265</v>
      </c>
      <c r="U16" s="7" t="s">
        <v>207</v>
      </c>
      <c r="V16" s="7" t="s">
        <v>208</v>
      </c>
      <c r="W16" s="7" t="s">
        <v>189</v>
      </c>
      <c r="X16" s="4" t="s">
        <v>211</v>
      </c>
      <c r="Y16" s="5" t="s">
        <v>266</v>
      </c>
      <c r="Z16" s="5" t="s">
        <v>68</v>
      </c>
      <c r="AA16" s="7" t="s">
        <v>240</v>
      </c>
      <c r="AB16" s="7" t="s">
        <v>70</v>
      </c>
      <c r="AC16" s="7" t="s">
        <v>144</v>
      </c>
      <c r="AD16" s="6" t="s">
        <v>213</v>
      </c>
      <c r="AE16" s="6" t="s">
        <v>73</v>
      </c>
      <c r="AF16" s="6" t="s">
        <v>214</v>
      </c>
      <c r="AG16" s="5" t="s">
        <v>267</v>
      </c>
      <c r="AH16" s="4" t="s">
        <v>76</v>
      </c>
      <c r="AI16" s="4" t="s">
        <v>268</v>
      </c>
      <c r="AJ16" s="4" t="s">
        <v>269</v>
      </c>
      <c r="AK16" s="5"/>
      <c r="AL16" s="5"/>
    </row>
    <row r="17" customFormat="false" ht="120" hidden="false" customHeight="true" outlineLevel="0" collapsed="false">
      <c r="A17" s="4" t="s">
        <v>270</v>
      </c>
      <c r="B17" s="4" t="s">
        <v>271</v>
      </c>
      <c r="C17" s="4" t="s">
        <v>272</v>
      </c>
      <c r="D17" s="5" t="s">
        <v>273</v>
      </c>
      <c r="E17" s="6" t="s">
        <v>274</v>
      </c>
      <c r="F17" s="4" t="n">
        <f aca="false">LEN(E17)</f>
        <v>96</v>
      </c>
      <c r="G17" s="5" t="str">
        <f aca="false">_xlfn.TEXTJOIN(", ",TRUE(),K17:W17)</f>
        <v>enamel ring, gold enamel ring, green enamel ring, gold and enamel ring, 14k gold ring, engraved gold ring, personalized ring, custom enamel ring, seed ring, botanical gold ring, small gold ring, minimalist gold ring, nature inspired ring</v>
      </c>
      <c r="H17" s="4" t="n">
        <f aca="false">COUNTA(K17:W17)</f>
        <v>13</v>
      </c>
      <c r="I17" s="4" t="n">
        <f aca="false">SUMPRODUCT(MAX(LEN(K17:W17)))</f>
        <v>20</v>
      </c>
      <c r="J17" s="4" t="n">
        <v>6</v>
      </c>
      <c r="K17" s="7" t="s">
        <v>275</v>
      </c>
      <c r="L17" s="7" t="s">
        <v>276</v>
      </c>
      <c r="M17" s="7" t="s">
        <v>277</v>
      </c>
      <c r="N17" s="7" t="s">
        <v>278</v>
      </c>
      <c r="O17" s="7" t="s">
        <v>279</v>
      </c>
      <c r="P17" s="7" t="s">
        <v>280</v>
      </c>
      <c r="Q17" s="7" t="s">
        <v>281</v>
      </c>
      <c r="R17" s="7" t="s">
        <v>282</v>
      </c>
      <c r="S17" s="7" t="s">
        <v>283</v>
      </c>
      <c r="T17" s="7" t="s">
        <v>284</v>
      </c>
      <c r="U17" s="7" t="s">
        <v>285</v>
      </c>
      <c r="V17" s="7" t="s">
        <v>286</v>
      </c>
      <c r="W17" s="7" t="s">
        <v>287</v>
      </c>
      <c r="X17" s="4" t="s">
        <v>288</v>
      </c>
      <c r="Y17" s="5" t="s">
        <v>289</v>
      </c>
      <c r="Z17" s="5" t="s">
        <v>68</v>
      </c>
      <c r="AA17" s="7" t="s">
        <v>290</v>
      </c>
      <c r="AB17" s="7" t="s">
        <v>291</v>
      </c>
      <c r="AC17" s="7" t="s">
        <v>144</v>
      </c>
      <c r="AD17" s="6" t="s">
        <v>292</v>
      </c>
      <c r="AE17" s="6" t="s">
        <v>293</v>
      </c>
      <c r="AF17" s="6" t="s">
        <v>294</v>
      </c>
      <c r="AG17" s="5" t="s">
        <v>295</v>
      </c>
      <c r="AH17" s="4" t="s">
        <v>76</v>
      </c>
      <c r="AI17" s="4" t="s">
        <v>296</v>
      </c>
      <c r="AJ17" s="4" t="s">
        <v>297</v>
      </c>
      <c r="AK17" s="5"/>
      <c r="AL17" s="5"/>
    </row>
    <row r="18" customFormat="false" ht="120" hidden="false" customHeight="true" outlineLevel="0" collapsed="false">
      <c r="A18" s="4" t="s">
        <v>298</v>
      </c>
      <c r="B18" s="4" t="s">
        <v>299</v>
      </c>
      <c r="C18" s="4" t="s">
        <v>272</v>
      </c>
      <c r="D18" s="5" t="s">
        <v>300</v>
      </c>
      <c r="E18" s="6" t="s">
        <v>301</v>
      </c>
      <c r="F18" s="4" t="n">
        <f aca="false">LEN(E18)</f>
        <v>119</v>
      </c>
      <c r="G18" s="5" t="str">
        <f aca="false">_xlfn.TEXTJOIN(", ",TRUE(),K18:W18)</f>
        <v>enamel signet ring, enamel ring, gold enamel ring, signet ring women, small signet ring, oval signet ring, custom signet ring, terracotta jewelry, 14k gold ring, engraved signet ring, gold signet ring, terracotta ring, signet ring</v>
      </c>
      <c r="H18" s="4" t="n">
        <f aca="false">COUNTA(K18:W18)</f>
        <v>13</v>
      </c>
      <c r="I18" s="4" t="n">
        <f aca="false">SUMPRODUCT(MAX(LEN(K18:W18)))</f>
        <v>20</v>
      </c>
      <c r="J18" s="4" t="n">
        <v>12</v>
      </c>
      <c r="K18" s="7" t="s">
        <v>302</v>
      </c>
      <c r="L18" s="7" t="s">
        <v>275</v>
      </c>
      <c r="M18" s="7" t="s">
        <v>276</v>
      </c>
      <c r="N18" s="7" t="s">
        <v>303</v>
      </c>
      <c r="O18" s="7" t="s">
        <v>304</v>
      </c>
      <c r="P18" s="7" t="s">
        <v>305</v>
      </c>
      <c r="Q18" s="7" t="s">
        <v>306</v>
      </c>
      <c r="R18" s="7" t="s">
        <v>109</v>
      </c>
      <c r="S18" s="7" t="s">
        <v>279</v>
      </c>
      <c r="T18" s="7" t="s">
        <v>307</v>
      </c>
      <c r="U18" s="7" t="s">
        <v>308</v>
      </c>
      <c r="V18" s="7" t="s">
        <v>309</v>
      </c>
      <c r="W18" s="7" t="s">
        <v>310</v>
      </c>
      <c r="X18" s="4" t="s">
        <v>311</v>
      </c>
      <c r="Y18" s="5" t="s">
        <v>312</v>
      </c>
      <c r="Z18" s="5" t="s">
        <v>68</v>
      </c>
      <c r="AA18" s="7" t="s">
        <v>290</v>
      </c>
      <c r="AB18" s="7" t="s">
        <v>291</v>
      </c>
      <c r="AC18" s="7" t="s">
        <v>144</v>
      </c>
      <c r="AD18" s="6" t="s">
        <v>292</v>
      </c>
      <c r="AE18" s="6" t="s">
        <v>293</v>
      </c>
      <c r="AF18" s="6" t="s">
        <v>294</v>
      </c>
      <c r="AG18" s="5" t="s">
        <v>313</v>
      </c>
      <c r="AH18" s="4" t="s">
        <v>76</v>
      </c>
      <c r="AI18" s="4" t="s">
        <v>314</v>
      </c>
      <c r="AJ18" s="4" t="s">
        <v>315</v>
      </c>
      <c r="AK18" s="5"/>
      <c r="AL18" s="5"/>
    </row>
    <row r="19" customFormat="false" ht="120" hidden="false" customHeight="true" outlineLevel="0" collapsed="false">
      <c r="A19" s="4" t="s">
        <v>316</v>
      </c>
      <c r="B19" s="4" t="s">
        <v>317</v>
      </c>
      <c r="C19" s="4" t="s">
        <v>272</v>
      </c>
      <c r="D19" s="5" t="s">
        <v>318</v>
      </c>
      <c r="E19" s="6" t="s">
        <v>319</v>
      </c>
      <c r="F19" s="4" t="n">
        <f aca="false">LEN(E19)</f>
        <v>119</v>
      </c>
      <c r="G19" s="5" t="str">
        <f aca="false">_xlfn.TEXTJOIN(", ",TRUE(),K19:W19)</f>
        <v>enamel signet ring, enamel ring, gold enamel ring, pink enamel ring, signet ring women, small signet ring, dainty signet ring, custom signet ring, 14k gold ring, engraved signet ring, gold signet ring, lozenge ring, signet ring</v>
      </c>
      <c r="H19" s="4" t="n">
        <f aca="false">COUNTA(K19:W19)</f>
        <v>13</v>
      </c>
      <c r="I19" s="4" t="n">
        <f aca="false">SUMPRODUCT(MAX(LEN(K19:W19)))</f>
        <v>20</v>
      </c>
      <c r="J19" s="4" t="n">
        <v>12</v>
      </c>
      <c r="K19" s="7" t="s">
        <v>302</v>
      </c>
      <c r="L19" s="7" t="s">
        <v>275</v>
      </c>
      <c r="M19" s="7" t="s">
        <v>276</v>
      </c>
      <c r="N19" s="7" t="s">
        <v>320</v>
      </c>
      <c r="O19" s="7" t="s">
        <v>303</v>
      </c>
      <c r="P19" s="7" t="s">
        <v>304</v>
      </c>
      <c r="Q19" s="7" t="s">
        <v>321</v>
      </c>
      <c r="R19" s="7" t="s">
        <v>306</v>
      </c>
      <c r="S19" s="7" t="s">
        <v>279</v>
      </c>
      <c r="T19" s="7" t="s">
        <v>307</v>
      </c>
      <c r="U19" s="7" t="s">
        <v>308</v>
      </c>
      <c r="V19" s="7" t="s">
        <v>322</v>
      </c>
      <c r="W19" s="7" t="s">
        <v>310</v>
      </c>
      <c r="X19" s="4" t="s">
        <v>311</v>
      </c>
      <c r="Y19" s="5" t="s">
        <v>323</v>
      </c>
      <c r="Z19" s="5" t="s">
        <v>68</v>
      </c>
      <c r="AA19" s="7" t="s">
        <v>290</v>
      </c>
      <c r="AB19" s="7" t="s">
        <v>291</v>
      </c>
      <c r="AC19" s="7" t="s">
        <v>144</v>
      </c>
      <c r="AD19" s="6" t="s">
        <v>292</v>
      </c>
      <c r="AE19" s="6" t="s">
        <v>293</v>
      </c>
      <c r="AF19" s="6" t="s">
        <v>294</v>
      </c>
      <c r="AG19" s="5" t="s">
        <v>324</v>
      </c>
      <c r="AH19" s="4" t="s">
        <v>76</v>
      </c>
      <c r="AI19" s="4" t="s">
        <v>325</v>
      </c>
      <c r="AJ19" s="4" t="s">
        <v>326</v>
      </c>
      <c r="AK19" s="5"/>
      <c r="AL19" s="5"/>
    </row>
    <row r="20" customFormat="false" ht="120" hidden="false" customHeight="true" outlineLevel="0" collapsed="false">
      <c r="A20" s="4" t="s">
        <v>327</v>
      </c>
      <c r="B20" s="4" t="s">
        <v>328</v>
      </c>
      <c r="C20" s="4" t="s">
        <v>272</v>
      </c>
      <c r="D20" s="5" t="s">
        <v>329</v>
      </c>
      <c r="E20" s="6" t="s">
        <v>330</v>
      </c>
      <c r="F20" s="4" t="n">
        <f aca="false">LEN(E20)</f>
        <v>114</v>
      </c>
      <c r="G20" s="5" t="str">
        <f aca="false">_xlfn.TEXTJOIN(", ",TRUE(),K20:W20)</f>
        <v>enamel signet ring, enamel ring, gold enamel ring, orange enamel ring, signet ring women, small signet ring, dainty signet ring, custom signet ring, 14k gold ring, engraved signet ring, gold signet ring, capsule ring, signet ring</v>
      </c>
      <c r="H20" s="4" t="n">
        <f aca="false">COUNTA(K20:W20)</f>
        <v>13</v>
      </c>
      <c r="I20" s="4" t="n">
        <f aca="false">SUMPRODUCT(MAX(LEN(K20:W20)))</f>
        <v>20</v>
      </c>
      <c r="J20" s="4" t="n">
        <v>12</v>
      </c>
      <c r="K20" s="7" t="s">
        <v>302</v>
      </c>
      <c r="L20" s="7" t="s">
        <v>275</v>
      </c>
      <c r="M20" s="7" t="s">
        <v>276</v>
      </c>
      <c r="N20" s="7" t="s">
        <v>331</v>
      </c>
      <c r="O20" s="7" t="s">
        <v>303</v>
      </c>
      <c r="P20" s="7" t="s">
        <v>304</v>
      </c>
      <c r="Q20" s="7" t="s">
        <v>321</v>
      </c>
      <c r="R20" s="7" t="s">
        <v>306</v>
      </c>
      <c r="S20" s="7" t="s">
        <v>279</v>
      </c>
      <c r="T20" s="7" t="s">
        <v>307</v>
      </c>
      <c r="U20" s="7" t="s">
        <v>308</v>
      </c>
      <c r="V20" s="7" t="s">
        <v>332</v>
      </c>
      <c r="W20" s="7" t="s">
        <v>310</v>
      </c>
      <c r="X20" s="4" t="s">
        <v>311</v>
      </c>
      <c r="Y20" s="5" t="s">
        <v>333</v>
      </c>
      <c r="Z20" s="5" t="s">
        <v>68</v>
      </c>
      <c r="AA20" s="7" t="s">
        <v>290</v>
      </c>
      <c r="AB20" s="7" t="s">
        <v>291</v>
      </c>
      <c r="AC20" s="7" t="s">
        <v>144</v>
      </c>
      <c r="AD20" s="6" t="s">
        <v>292</v>
      </c>
      <c r="AE20" s="6" t="s">
        <v>293</v>
      </c>
      <c r="AF20" s="6" t="s">
        <v>294</v>
      </c>
      <c r="AG20" s="5" t="s">
        <v>334</v>
      </c>
      <c r="AH20" s="4" t="s">
        <v>76</v>
      </c>
      <c r="AI20" s="4" t="s">
        <v>335</v>
      </c>
      <c r="AJ20" s="4" t="s">
        <v>336</v>
      </c>
      <c r="AK20" s="5"/>
      <c r="AL20" s="5"/>
    </row>
    <row r="21" customFormat="false" ht="120" hidden="false" customHeight="true" outlineLevel="0" collapsed="false">
      <c r="A21" s="4" t="s">
        <v>337</v>
      </c>
      <c r="B21" s="4" t="s">
        <v>338</v>
      </c>
      <c r="C21" s="4" t="s">
        <v>272</v>
      </c>
      <c r="D21" s="5" t="s">
        <v>339</v>
      </c>
      <c r="E21" s="6" t="s">
        <v>340</v>
      </c>
      <c r="F21" s="4" t="n">
        <f aca="false">LEN(E21)</f>
        <v>111</v>
      </c>
      <c r="G21" s="5" t="str">
        <f aca="false">_xlfn.TEXTJOIN(", ",TRUE(),K21:W21)</f>
        <v>enamel signet ring, enamel ring, gold enamel ring, blue enamel ring, cobalt blue ring, signet ring women, square signet ring, small signet ring, custom signet ring, 14k gold ring, engraved signet ring, gold signet ring, signet ring</v>
      </c>
      <c r="H21" s="4" t="n">
        <f aca="false">COUNTA(K21:W21)</f>
        <v>13</v>
      </c>
      <c r="I21" s="4" t="n">
        <f aca="false">SUMPRODUCT(MAX(LEN(K21:W21)))</f>
        <v>20</v>
      </c>
      <c r="J21" s="4" t="n">
        <v>13</v>
      </c>
      <c r="K21" s="7" t="s">
        <v>302</v>
      </c>
      <c r="L21" s="7" t="s">
        <v>275</v>
      </c>
      <c r="M21" s="7" t="s">
        <v>276</v>
      </c>
      <c r="N21" s="7" t="s">
        <v>341</v>
      </c>
      <c r="O21" s="7" t="s">
        <v>342</v>
      </c>
      <c r="P21" s="7" t="s">
        <v>303</v>
      </c>
      <c r="Q21" s="7" t="s">
        <v>343</v>
      </c>
      <c r="R21" s="7" t="s">
        <v>304</v>
      </c>
      <c r="S21" s="7" t="s">
        <v>306</v>
      </c>
      <c r="T21" s="7" t="s">
        <v>279</v>
      </c>
      <c r="U21" s="7" t="s">
        <v>307</v>
      </c>
      <c r="V21" s="7" t="s">
        <v>308</v>
      </c>
      <c r="W21" s="7" t="s">
        <v>310</v>
      </c>
      <c r="X21" s="4" t="s">
        <v>311</v>
      </c>
      <c r="Y21" s="5" t="s">
        <v>344</v>
      </c>
      <c r="Z21" s="5" t="s">
        <v>68</v>
      </c>
      <c r="AA21" s="7" t="s">
        <v>290</v>
      </c>
      <c r="AB21" s="7" t="s">
        <v>291</v>
      </c>
      <c r="AC21" s="7" t="s">
        <v>144</v>
      </c>
      <c r="AD21" s="6" t="s">
        <v>292</v>
      </c>
      <c r="AE21" s="6" t="s">
        <v>293</v>
      </c>
      <c r="AF21" s="6" t="s">
        <v>294</v>
      </c>
      <c r="AG21" s="5" t="s">
        <v>345</v>
      </c>
      <c r="AH21" s="4" t="s">
        <v>76</v>
      </c>
      <c r="AI21" s="4" t="s">
        <v>346</v>
      </c>
      <c r="AJ21" s="4" t="s">
        <v>347</v>
      </c>
      <c r="AK21" s="5"/>
      <c r="AL21" s="5"/>
    </row>
    <row r="22" customFormat="false" ht="120" hidden="false" customHeight="true" outlineLevel="0" collapsed="false">
      <c r="A22" s="4" t="s">
        <v>348</v>
      </c>
      <c r="B22" s="4" t="s">
        <v>349</v>
      </c>
      <c r="C22" s="4" t="s">
        <v>350</v>
      </c>
      <c r="D22" s="5" t="s">
        <v>351</v>
      </c>
      <c r="E22" s="6" t="s">
        <v>352</v>
      </c>
      <c r="F22" s="4" t="n">
        <f aca="false">LEN(E22)</f>
        <v>125</v>
      </c>
      <c r="G22" s="5" t="str">
        <f aca="false">_xlfn.TEXTJOIN(", ",TRUE(),K22:W22)</f>
        <v>pinky signet ring, engraved signet ring, engraved pinky ring, gold pinky ring, pinky ring, custom signet ring, initial signet ring, monogram signet ring, signet ring women, womens pinky ring, oval signet ring, personalized ring, gold signet ring</v>
      </c>
      <c r="H22" s="4" t="n">
        <f aca="false">COUNTA(K22:W22)</f>
        <v>13</v>
      </c>
      <c r="I22" s="4" t="n">
        <f aca="false">SUMPRODUCT(MAX(LEN(K22:W22)))</f>
        <v>20</v>
      </c>
      <c r="J22" s="4" t="n">
        <v>12</v>
      </c>
      <c r="K22" s="7" t="s">
        <v>353</v>
      </c>
      <c r="L22" s="7" t="s">
        <v>307</v>
      </c>
      <c r="M22" s="7" t="s">
        <v>354</v>
      </c>
      <c r="N22" s="7" t="s">
        <v>355</v>
      </c>
      <c r="O22" s="7" t="s">
        <v>356</v>
      </c>
      <c r="P22" s="7" t="s">
        <v>306</v>
      </c>
      <c r="Q22" s="7" t="s">
        <v>357</v>
      </c>
      <c r="R22" s="7" t="s">
        <v>358</v>
      </c>
      <c r="S22" s="7" t="s">
        <v>303</v>
      </c>
      <c r="T22" s="7" t="s">
        <v>359</v>
      </c>
      <c r="U22" s="7" t="s">
        <v>305</v>
      </c>
      <c r="V22" s="7" t="s">
        <v>281</v>
      </c>
      <c r="W22" s="7" t="s">
        <v>308</v>
      </c>
      <c r="X22" s="4" t="s">
        <v>311</v>
      </c>
      <c r="Y22" s="5" t="s">
        <v>360</v>
      </c>
      <c r="Z22" s="5" t="s">
        <v>361</v>
      </c>
      <c r="AA22" s="7" t="s">
        <v>362</v>
      </c>
      <c r="AB22" s="7" t="s">
        <v>70</v>
      </c>
      <c r="AC22" s="7" t="s">
        <v>363</v>
      </c>
      <c r="AD22" s="6" t="s">
        <v>364</v>
      </c>
      <c r="AE22" s="6" t="s">
        <v>365</v>
      </c>
      <c r="AF22" s="6" t="s">
        <v>366</v>
      </c>
      <c r="AG22" s="5" t="s">
        <v>367</v>
      </c>
      <c r="AH22" s="4" t="s">
        <v>76</v>
      </c>
      <c r="AI22" s="4" t="s">
        <v>368</v>
      </c>
      <c r="AJ22" s="4" t="s">
        <v>369</v>
      </c>
      <c r="AK22" s="5"/>
      <c r="AL22" s="5"/>
    </row>
    <row r="23" customFormat="false" ht="120" hidden="false" customHeight="true" outlineLevel="0" collapsed="false">
      <c r="A23" s="4" t="s">
        <v>370</v>
      </c>
      <c r="B23" s="4" t="s">
        <v>371</v>
      </c>
      <c r="C23" s="4" t="s">
        <v>350</v>
      </c>
      <c r="D23" s="5" t="s">
        <v>372</v>
      </c>
      <c r="E23" s="6" t="s">
        <v>373</v>
      </c>
      <c r="F23" s="4" t="n">
        <f aca="false">LEN(E23)</f>
        <v>109</v>
      </c>
      <c r="G23" s="5" t="str">
        <f aca="false">_xlfn.TEXTJOIN(", ",TRUE(),K23:W23)</f>
        <v>mountain ring, sunrise ring, nature inspired ring, 14k solid gold ring, gold statement ring, symbol ring gold, mesopotamian jewelry, mountain jewelry, sun ring gold, landscape ring, gold mountain ring, push present, horizon ring</v>
      </c>
      <c r="H23" s="4" t="n">
        <f aca="false">COUNTA(K23:W23)</f>
        <v>13</v>
      </c>
      <c r="I23" s="4" t="n">
        <f aca="false">SUMPRODUCT(MAX(LEN(K23:W23)))</f>
        <v>20</v>
      </c>
      <c r="J23" s="4" t="n">
        <v>7</v>
      </c>
      <c r="K23" s="7" t="s">
        <v>374</v>
      </c>
      <c r="L23" s="7" t="s">
        <v>375</v>
      </c>
      <c r="M23" s="7" t="s">
        <v>287</v>
      </c>
      <c r="N23" s="7" t="s">
        <v>376</v>
      </c>
      <c r="O23" s="7" t="s">
        <v>377</v>
      </c>
      <c r="P23" s="7" t="s">
        <v>378</v>
      </c>
      <c r="Q23" s="7" t="s">
        <v>379</v>
      </c>
      <c r="R23" s="7" t="s">
        <v>380</v>
      </c>
      <c r="S23" s="7" t="s">
        <v>381</v>
      </c>
      <c r="T23" s="7" t="s">
        <v>382</v>
      </c>
      <c r="U23" s="7" t="s">
        <v>383</v>
      </c>
      <c r="V23" s="7" t="s">
        <v>137</v>
      </c>
      <c r="W23" s="7" t="s">
        <v>384</v>
      </c>
      <c r="X23" s="4" t="s">
        <v>288</v>
      </c>
      <c r="Y23" s="5" t="s">
        <v>385</v>
      </c>
      <c r="Z23" s="5" t="s">
        <v>386</v>
      </c>
      <c r="AA23" s="7" t="s">
        <v>362</v>
      </c>
      <c r="AB23" s="7" t="s">
        <v>70</v>
      </c>
      <c r="AC23" s="7" t="s">
        <v>71</v>
      </c>
      <c r="AD23" s="6" t="s">
        <v>387</v>
      </c>
      <c r="AE23" s="6" t="s">
        <v>73</v>
      </c>
      <c r="AF23" s="6" t="s">
        <v>388</v>
      </c>
      <c r="AG23" s="5" t="s">
        <v>389</v>
      </c>
      <c r="AH23" s="4" t="s">
        <v>76</v>
      </c>
      <c r="AI23" s="4" t="s">
        <v>390</v>
      </c>
      <c r="AJ23" s="4" t="s">
        <v>391</v>
      </c>
      <c r="AK23" s="5"/>
      <c r="AL23" s="5"/>
    </row>
    <row r="24" customFormat="false" ht="120" hidden="false" customHeight="true" outlineLevel="0" collapsed="false">
      <c r="A24" s="4" t="s">
        <v>392</v>
      </c>
      <c r="B24" s="4" t="s">
        <v>393</v>
      </c>
      <c r="C24" s="4" t="s">
        <v>350</v>
      </c>
      <c r="D24" s="5" t="s">
        <v>394</v>
      </c>
      <c r="E24" s="6" t="s">
        <v>395</v>
      </c>
      <c r="F24" s="4" t="n">
        <f aca="false">LEN(E24)</f>
        <v>107</v>
      </c>
      <c r="G24" s="5" t="str">
        <f aca="false">_xlfn.TEXTJOIN(", ",TRUE(),K24:W24)</f>
        <v>gold flower ring, flower ring, five petal ring, blossom ring gold, floral gold ring, solid gold ring, stackable gold ring, nature inspired ring, botanical ring gold, petal ring, flower band ring, push present, rounded petal ring</v>
      </c>
      <c r="H24" s="4" t="n">
        <f aca="false">COUNTA(K24:W24)</f>
        <v>13</v>
      </c>
      <c r="I24" s="4" t="n">
        <f aca="false">SUMPRODUCT(MAX(LEN(K24:W24)))</f>
        <v>20</v>
      </c>
      <c r="J24" s="4" t="n">
        <v>4</v>
      </c>
      <c r="K24" s="7" t="s">
        <v>396</v>
      </c>
      <c r="L24" s="7" t="s">
        <v>397</v>
      </c>
      <c r="M24" s="7" t="s">
        <v>398</v>
      </c>
      <c r="N24" s="7" t="s">
        <v>399</v>
      </c>
      <c r="O24" s="7" t="s">
        <v>400</v>
      </c>
      <c r="P24" s="7" t="s">
        <v>401</v>
      </c>
      <c r="Q24" s="7" t="s">
        <v>402</v>
      </c>
      <c r="R24" s="7" t="s">
        <v>287</v>
      </c>
      <c r="S24" s="7" t="s">
        <v>403</v>
      </c>
      <c r="T24" s="7" t="s">
        <v>404</v>
      </c>
      <c r="U24" s="7" t="s">
        <v>405</v>
      </c>
      <c r="V24" s="7" t="s">
        <v>137</v>
      </c>
      <c r="W24" s="7" t="s">
        <v>406</v>
      </c>
      <c r="X24" s="4" t="s">
        <v>407</v>
      </c>
      <c r="Y24" s="5" t="s">
        <v>385</v>
      </c>
      <c r="Z24" s="5" t="s">
        <v>386</v>
      </c>
      <c r="AA24" s="7" t="s">
        <v>362</v>
      </c>
      <c r="AB24" s="7" t="s">
        <v>70</v>
      </c>
      <c r="AC24" s="7" t="s">
        <v>71</v>
      </c>
      <c r="AD24" s="6" t="s">
        <v>408</v>
      </c>
      <c r="AE24" s="6" t="s">
        <v>73</v>
      </c>
      <c r="AF24" s="6" t="s">
        <v>409</v>
      </c>
      <c r="AG24" s="5" t="s">
        <v>410</v>
      </c>
      <c r="AH24" s="4" t="s">
        <v>76</v>
      </c>
      <c r="AI24" s="4" t="s">
        <v>411</v>
      </c>
      <c r="AJ24" s="4" t="s">
        <v>412</v>
      </c>
      <c r="AK24" s="5"/>
      <c r="AL24" s="5"/>
    </row>
    <row r="25" customFormat="false" ht="120" hidden="false" customHeight="true" outlineLevel="0" collapsed="false">
      <c r="A25" s="4" t="s">
        <v>413</v>
      </c>
      <c r="B25" s="4" t="s">
        <v>414</v>
      </c>
      <c r="C25" s="4" t="s">
        <v>350</v>
      </c>
      <c r="D25" s="5" t="s">
        <v>415</v>
      </c>
      <c r="E25" s="6" t="s">
        <v>416</v>
      </c>
      <c r="F25" s="4" t="n">
        <f aca="false">LEN(E25)</f>
        <v>106</v>
      </c>
      <c r="G25" s="5" t="str">
        <f aca="false">_xlfn.TEXTJOIN(", ",TRUE(),K25:W25)</f>
        <v>infinity ring, infinity ring gold, gold infinity, infinity band, infinity jewelry, gold stacking ring, stackable gold ring, minimalist gold ring, symbol ring gold, open ring gold, eternity symbol ring, push present, open infinity ring</v>
      </c>
      <c r="H25" s="4" t="n">
        <f aca="false">COUNTA(K25:W25)</f>
        <v>13</v>
      </c>
      <c r="I25" s="4" t="n">
        <f aca="false">SUMPRODUCT(MAX(LEN(K25:W25)))</f>
        <v>20</v>
      </c>
      <c r="J25" s="4" t="n">
        <v>6</v>
      </c>
      <c r="K25" s="7" t="s">
        <v>417</v>
      </c>
      <c r="L25" s="7" t="s">
        <v>418</v>
      </c>
      <c r="M25" s="7" t="s">
        <v>419</v>
      </c>
      <c r="N25" s="7" t="s">
        <v>420</v>
      </c>
      <c r="O25" s="7" t="s">
        <v>421</v>
      </c>
      <c r="P25" s="7" t="s">
        <v>422</v>
      </c>
      <c r="Q25" s="7" t="s">
        <v>402</v>
      </c>
      <c r="R25" s="7" t="s">
        <v>286</v>
      </c>
      <c r="S25" s="7" t="s">
        <v>378</v>
      </c>
      <c r="T25" s="7" t="s">
        <v>423</v>
      </c>
      <c r="U25" s="7" t="s">
        <v>424</v>
      </c>
      <c r="V25" s="7" t="s">
        <v>137</v>
      </c>
      <c r="W25" s="7" t="s">
        <v>425</v>
      </c>
      <c r="X25" s="4" t="s">
        <v>407</v>
      </c>
      <c r="Y25" s="5" t="s">
        <v>426</v>
      </c>
      <c r="Z25" s="5" t="s">
        <v>386</v>
      </c>
      <c r="AA25" s="7" t="s">
        <v>69</v>
      </c>
      <c r="AB25" s="7" t="s">
        <v>427</v>
      </c>
      <c r="AC25" s="7" t="s">
        <v>71</v>
      </c>
      <c r="AD25" s="6" t="s">
        <v>428</v>
      </c>
      <c r="AE25" s="6" t="s">
        <v>73</v>
      </c>
      <c r="AF25" s="6" t="s">
        <v>409</v>
      </c>
      <c r="AG25" s="5" t="s">
        <v>429</v>
      </c>
      <c r="AH25" s="4" t="s">
        <v>76</v>
      </c>
      <c r="AI25" s="4" t="s">
        <v>430</v>
      </c>
      <c r="AJ25" s="4" t="s">
        <v>431</v>
      </c>
      <c r="AK25" s="5"/>
      <c r="AL25" s="5"/>
    </row>
    <row r="26" customFormat="false" ht="120" hidden="false" customHeight="true" outlineLevel="0" collapsed="false">
      <c r="A26" s="4" t="s">
        <v>432</v>
      </c>
      <c r="B26" s="4" t="s">
        <v>433</v>
      </c>
      <c r="C26" s="4" t="s">
        <v>350</v>
      </c>
      <c r="D26" s="5" t="s">
        <v>434</v>
      </c>
      <c r="E26" s="6" t="s">
        <v>435</v>
      </c>
      <c r="F26" s="4" t="n">
        <f aca="false">LEN(E26)</f>
        <v>105</v>
      </c>
      <c r="G26" s="5" t="str">
        <f aca="false">_xlfn.TEXTJOIN(", ",TRUE(),K26:W26)</f>
        <v>flower ring gold, gold flower ring, rosette ring, open flower ring, nature inspired ring, mesopotamian jewelry, botanical ring gold, petal ring, stackable gold ring, ancient symbol ring, push present, floral stacking ring, open petal ring</v>
      </c>
      <c r="H26" s="4" t="n">
        <f aca="false">COUNTA(K26:W26)</f>
        <v>13</v>
      </c>
      <c r="I26" s="4" t="n">
        <f aca="false">SUMPRODUCT(MAX(LEN(K26:W26)))</f>
        <v>20</v>
      </c>
      <c r="J26" s="4" t="n">
        <v>5</v>
      </c>
      <c r="K26" s="7" t="s">
        <v>436</v>
      </c>
      <c r="L26" s="7" t="s">
        <v>396</v>
      </c>
      <c r="M26" s="7" t="s">
        <v>437</v>
      </c>
      <c r="N26" s="7" t="s">
        <v>438</v>
      </c>
      <c r="O26" s="7" t="s">
        <v>287</v>
      </c>
      <c r="P26" s="7" t="s">
        <v>379</v>
      </c>
      <c r="Q26" s="7" t="s">
        <v>403</v>
      </c>
      <c r="R26" s="7" t="s">
        <v>404</v>
      </c>
      <c r="S26" s="7" t="s">
        <v>402</v>
      </c>
      <c r="T26" s="7" t="s">
        <v>439</v>
      </c>
      <c r="U26" s="7" t="s">
        <v>137</v>
      </c>
      <c r="V26" s="7" t="s">
        <v>440</v>
      </c>
      <c r="W26" s="7" t="s">
        <v>441</v>
      </c>
      <c r="X26" s="4" t="s">
        <v>407</v>
      </c>
      <c r="Y26" s="5" t="s">
        <v>385</v>
      </c>
      <c r="Z26" s="5" t="s">
        <v>386</v>
      </c>
      <c r="AA26" s="7" t="s">
        <v>69</v>
      </c>
      <c r="AB26" s="7" t="s">
        <v>427</v>
      </c>
      <c r="AC26" s="7" t="s">
        <v>71</v>
      </c>
      <c r="AD26" s="6" t="s">
        <v>442</v>
      </c>
      <c r="AE26" s="6" t="s">
        <v>73</v>
      </c>
      <c r="AF26" s="6" t="s">
        <v>409</v>
      </c>
      <c r="AG26" s="5" t="s">
        <v>443</v>
      </c>
      <c r="AH26" s="4" t="s">
        <v>76</v>
      </c>
      <c r="AI26" s="4" t="s">
        <v>444</v>
      </c>
      <c r="AJ26" s="4" t="s">
        <v>445</v>
      </c>
      <c r="AK26" s="5"/>
      <c r="AL26" s="5"/>
    </row>
    <row r="27" customFormat="false" ht="120" hidden="false" customHeight="true" outlineLevel="0" collapsed="false">
      <c r="A27" s="4" t="s">
        <v>446</v>
      </c>
      <c r="B27" s="4" t="s">
        <v>447</v>
      </c>
      <c r="C27" s="4" t="s">
        <v>350</v>
      </c>
      <c r="D27" s="5" t="s">
        <v>448</v>
      </c>
      <c r="E27" s="6" t="s">
        <v>449</v>
      </c>
      <c r="F27" s="4" t="n">
        <f aca="false">LEN(E27)</f>
        <v>125</v>
      </c>
      <c r="G27" s="5" t="str">
        <f aca="false">_xlfn.TEXTJOIN(", ",TRUE(),K27:W27)</f>
        <v>sculptural ring, gold statement ring, open arc ring, arc ring gold, 14k gold ring, mountain ring, white gold ring, stackable gold ring, geometric gold ring, minimalist gold ring, yellow gold ring, nature inspired ring, push present</v>
      </c>
      <c r="H27" s="4" t="n">
        <f aca="false">COUNTA(K27:W27)</f>
        <v>13</v>
      </c>
      <c r="I27" s="4" t="n">
        <f aca="false">SUMPRODUCT(MAX(LEN(K27:W27)))</f>
        <v>20</v>
      </c>
      <c r="J27" s="4" t="n">
        <v>5</v>
      </c>
      <c r="K27" s="7" t="s">
        <v>450</v>
      </c>
      <c r="L27" s="7" t="s">
        <v>377</v>
      </c>
      <c r="M27" s="7" t="s">
        <v>451</v>
      </c>
      <c r="N27" s="7" t="s">
        <v>452</v>
      </c>
      <c r="O27" s="7" t="s">
        <v>279</v>
      </c>
      <c r="P27" s="7" t="s">
        <v>374</v>
      </c>
      <c r="Q27" s="7" t="s">
        <v>453</v>
      </c>
      <c r="R27" s="7" t="s">
        <v>402</v>
      </c>
      <c r="S27" s="7" t="s">
        <v>454</v>
      </c>
      <c r="T27" s="7" t="s">
        <v>286</v>
      </c>
      <c r="U27" s="7" t="s">
        <v>455</v>
      </c>
      <c r="V27" s="7" t="s">
        <v>287</v>
      </c>
      <c r="W27" s="7" t="s">
        <v>137</v>
      </c>
      <c r="X27" s="4" t="s">
        <v>288</v>
      </c>
      <c r="Y27" s="5" t="s">
        <v>456</v>
      </c>
      <c r="Z27" s="5" t="s">
        <v>457</v>
      </c>
      <c r="AA27" s="7" t="s">
        <v>362</v>
      </c>
      <c r="AB27" s="7" t="s">
        <v>427</v>
      </c>
      <c r="AC27" s="7" t="s">
        <v>71</v>
      </c>
      <c r="AD27" s="6" t="s">
        <v>458</v>
      </c>
      <c r="AE27" s="6" t="s">
        <v>73</v>
      </c>
      <c r="AF27" s="6" t="s">
        <v>459</v>
      </c>
      <c r="AG27" s="5" t="s">
        <v>460</v>
      </c>
      <c r="AH27" s="4" t="s">
        <v>76</v>
      </c>
      <c r="AI27" s="4" t="s">
        <v>461</v>
      </c>
      <c r="AJ27" s="4" t="s">
        <v>462</v>
      </c>
      <c r="AK27" s="5"/>
      <c r="AL27" s="5"/>
    </row>
    <row r="28" customFormat="false" ht="120" hidden="false" customHeight="true" outlineLevel="0" collapsed="false">
      <c r="A28" s="4" t="s">
        <v>463</v>
      </c>
      <c r="B28" s="4" t="s">
        <v>464</v>
      </c>
      <c r="C28" s="4" t="s">
        <v>350</v>
      </c>
      <c r="D28" s="5" t="s">
        <v>465</v>
      </c>
      <c r="E28" s="6" t="s">
        <v>466</v>
      </c>
      <c r="F28" s="4" t="n">
        <f aca="false">LEN(E28)</f>
        <v>122</v>
      </c>
      <c r="G28" s="5" t="str">
        <f aca="false">_xlfn.TEXTJOIN(", ",TRUE(),K28:W28)</f>
        <v>initial signet ring, initial ring, gold initial ring, letter ring gold, custom signet ring, signet ring, signet ring women, engraved signet ring, initials ring, personalized ring, letter signet ring, push present, brushed gold ring</v>
      </c>
      <c r="H28" s="4" t="n">
        <f aca="false">COUNTA(K28:W28)</f>
        <v>13</v>
      </c>
      <c r="I28" s="4" t="n">
        <f aca="false">SUMPRODUCT(MAX(LEN(K28:W28)))</f>
        <v>20</v>
      </c>
      <c r="J28" s="4" t="n">
        <v>10</v>
      </c>
      <c r="K28" s="7" t="s">
        <v>357</v>
      </c>
      <c r="L28" s="7" t="s">
        <v>467</v>
      </c>
      <c r="M28" s="7" t="s">
        <v>468</v>
      </c>
      <c r="N28" s="7" t="s">
        <v>469</v>
      </c>
      <c r="O28" s="7" t="s">
        <v>306</v>
      </c>
      <c r="P28" s="7" t="s">
        <v>310</v>
      </c>
      <c r="Q28" s="7" t="s">
        <v>303</v>
      </c>
      <c r="R28" s="7" t="s">
        <v>307</v>
      </c>
      <c r="S28" s="7" t="s">
        <v>470</v>
      </c>
      <c r="T28" s="7" t="s">
        <v>281</v>
      </c>
      <c r="U28" s="7" t="s">
        <v>471</v>
      </c>
      <c r="V28" s="7" t="s">
        <v>137</v>
      </c>
      <c r="W28" s="7" t="s">
        <v>472</v>
      </c>
      <c r="X28" s="4" t="s">
        <v>311</v>
      </c>
      <c r="Y28" s="5" t="s">
        <v>473</v>
      </c>
      <c r="Z28" s="5" t="s">
        <v>386</v>
      </c>
      <c r="AA28" s="7" t="s">
        <v>362</v>
      </c>
      <c r="AB28" s="7" t="s">
        <v>70</v>
      </c>
      <c r="AC28" s="7" t="s">
        <v>144</v>
      </c>
      <c r="AD28" s="6" t="s">
        <v>474</v>
      </c>
      <c r="AE28" s="6" t="s">
        <v>475</v>
      </c>
      <c r="AF28" s="6" t="s">
        <v>476</v>
      </c>
      <c r="AG28" s="5" t="s">
        <v>477</v>
      </c>
      <c r="AH28" s="4" t="s">
        <v>76</v>
      </c>
      <c r="AI28" s="4" t="s">
        <v>478</v>
      </c>
      <c r="AJ28" s="4" t="s">
        <v>479</v>
      </c>
      <c r="AK28" s="5"/>
      <c r="AL28" s="5"/>
    </row>
    <row r="29" customFormat="false" ht="120" hidden="false" customHeight="true" outlineLevel="0" collapsed="false">
      <c r="A29" s="4" t="s">
        <v>480</v>
      </c>
      <c r="B29" s="4" t="s">
        <v>481</v>
      </c>
      <c r="C29" s="4" t="s">
        <v>350</v>
      </c>
      <c r="D29" s="5" t="s">
        <v>482</v>
      </c>
      <c r="E29" s="6" t="s">
        <v>483</v>
      </c>
      <c r="F29" s="4" t="n">
        <f aca="false">LEN(E29)</f>
        <v>134</v>
      </c>
      <c r="G29" s="5" t="str">
        <f aca="false">_xlfn.TEXTJOIN(", ",TRUE(),K29:W29)</f>
        <v>gold wedding band, milgrain gold band, milgrain band, satin wedding band, beveled wedding band, comfort fit band, wedding band women, rose gold band, white gold band, yellow gold band, textured gold band, solid gold band, anniversary band</v>
      </c>
      <c r="H29" s="4" t="n">
        <f aca="false">COUNTA(K29:W29)</f>
        <v>13</v>
      </c>
      <c r="I29" s="4" t="n">
        <f aca="false">SUMPRODUCT(MAX(LEN(K29:W29)))</f>
        <v>20</v>
      </c>
      <c r="J29" s="4" t="n">
        <v>4</v>
      </c>
      <c r="K29" s="7" t="s">
        <v>484</v>
      </c>
      <c r="L29" s="7" t="s">
        <v>485</v>
      </c>
      <c r="M29" s="7" t="s">
        <v>486</v>
      </c>
      <c r="N29" s="7" t="s">
        <v>487</v>
      </c>
      <c r="O29" s="7" t="s">
        <v>488</v>
      </c>
      <c r="P29" s="7" t="s">
        <v>489</v>
      </c>
      <c r="Q29" s="7" t="s">
        <v>490</v>
      </c>
      <c r="R29" s="7" t="s">
        <v>491</v>
      </c>
      <c r="S29" s="7" t="s">
        <v>492</v>
      </c>
      <c r="T29" s="7" t="s">
        <v>493</v>
      </c>
      <c r="U29" s="7" t="s">
        <v>494</v>
      </c>
      <c r="V29" s="7" t="s">
        <v>495</v>
      </c>
      <c r="W29" s="7" t="s">
        <v>496</v>
      </c>
      <c r="X29" s="4" t="s">
        <v>497</v>
      </c>
      <c r="Y29" s="5" t="s">
        <v>498</v>
      </c>
      <c r="Z29" s="5" t="s">
        <v>499</v>
      </c>
      <c r="AA29" s="7" t="s">
        <v>362</v>
      </c>
      <c r="AB29" s="7" t="s">
        <v>70</v>
      </c>
      <c r="AC29" s="7" t="s">
        <v>71</v>
      </c>
      <c r="AD29" s="6" t="s">
        <v>500</v>
      </c>
      <c r="AE29" s="6" t="s">
        <v>73</v>
      </c>
      <c r="AF29" s="6" t="s">
        <v>501</v>
      </c>
      <c r="AG29" s="5" t="s">
        <v>502</v>
      </c>
      <c r="AH29" s="4" t="s">
        <v>76</v>
      </c>
      <c r="AI29" s="4" t="s">
        <v>503</v>
      </c>
      <c r="AJ29" s="4" t="s">
        <v>504</v>
      </c>
      <c r="AK29" s="5"/>
      <c r="AL29" s="5"/>
    </row>
    <row r="30" customFormat="false" ht="120" hidden="false" customHeight="true" outlineLevel="0" collapsed="false">
      <c r="A30" s="4" t="s">
        <v>505</v>
      </c>
      <c r="B30" s="4" t="s">
        <v>506</v>
      </c>
      <c r="C30" s="4" t="s">
        <v>507</v>
      </c>
      <c r="D30" s="5" t="s">
        <v>508</v>
      </c>
      <c r="E30" s="6" t="s">
        <v>509</v>
      </c>
      <c r="F30" s="4" t="n">
        <f aca="false">LEN(E30)</f>
        <v>111</v>
      </c>
      <c r="G30" s="5" t="str">
        <f aca="false">_xlfn.TEXTJOIN(", ",TRUE(),K30:W30)</f>
        <v>gold cuff bracelet, solid gold cuff, engraved gold cuff, gold cuff for women, wide gold cuff, reeded cuff bracelet, personalized cuff, open cuff bracelet, gold bangle cuff, cuff bracelet women, hidden message cuff, push present, engraved bracelet</v>
      </c>
      <c r="H30" s="4" t="n">
        <f aca="false">COUNTA(K30:W30)</f>
        <v>13</v>
      </c>
      <c r="I30" s="4" t="n">
        <f aca="false">SUMPRODUCT(MAX(LEN(K30:W30)))</f>
        <v>20</v>
      </c>
      <c r="J30" s="4" t="n">
        <v>6</v>
      </c>
      <c r="K30" s="7" t="s">
        <v>510</v>
      </c>
      <c r="L30" s="7" t="s">
        <v>511</v>
      </c>
      <c r="M30" s="7" t="s">
        <v>512</v>
      </c>
      <c r="N30" s="7" t="s">
        <v>513</v>
      </c>
      <c r="O30" s="7" t="s">
        <v>514</v>
      </c>
      <c r="P30" s="7" t="s">
        <v>515</v>
      </c>
      <c r="Q30" s="7" t="s">
        <v>516</v>
      </c>
      <c r="R30" s="7" t="s">
        <v>517</v>
      </c>
      <c r="S30" s="7" t="s">
        <v>518</v>
      </c>
      <c r="T30" s="7" t="s">
        <v>519</v>
      </c>
      <c r="U30" s="7" t="s">
        <v>520</v>
      </c>
      <c r="V30" s="7" t="s">
        <v>137</v>
      </c>
      <c r="W30" s="7" t="s">
        <v>521</v>
      </c>
      <c r="X30" s="4" t="s">
        <v>522</v>
      </c>
      <c r="Y30" s="5" t="s">
        <v>523</v>
      </c>
      <c r="Z30" s="5" t="s">
        <v>361</v>
      </c>
      <c r="AA30" s="7" t="s">
        <v>362</v>
      </c>
      <c r="AB30" s="7" t="s">
        <v>70</v>
      </c>
      <c r="AC30" s="7" t="s">
        <v>71</v>
      </c>
      <c r="AD30" s="6" t="s">
        <v>524</v>
      </c>
      <c r="AE30" s="6" t="s">
        <v>525</v>
      </c>
      <c r="AF30" s="6" t="s">
        <v>526</v>
      </c>
      <c r="AG30" s="5" t="s">
        <v>527</v>
      </c>
      <c r="AH30" s="4" t="s">
        <v>76</v>
      </c>
      <c r="AI30" s="4" t="s">
        <v>528</v>
      </c>
      <c r="AJ30" s="4" t="s">
        <v>529</v>
      </c>
      <c r="AK30" s="5" t="s">
        <v>530</v>
      </c>
      <c r="AL30" s="5"/>
    </row>
    <row r="31" customFormat="false" ht="120" hidden="false" customHeight="true" outlineLevel="0" collapsed="false">
      <c r="A31" s="4" t="s">
        <v>531</v>
      </c>
      <c r="B31" s="4" t="s">
        <v>532</v>
      </c>
      <c r="C31" s="4" t="s">
        <v>507</v>
      </c>
      <c r="D31" s="5" t="s">
        <v>533</v>
      </c>
      <c r="E31" s="6" t="s">
        <v>534</v>
      </c>
      <c r="F31" s="4" t="n">
        <f aca="false">LEN(E31)</f>
        <v>109</v>
      </c>
      <c r="G31" s="5" t="str">
        <f aca="false">_xlfn.TEXTJOIN(", ",TRUE(),K31:W31)</f>
        <v>diamond bracelet, pave diamond gold, open circle bracelet, circle bracelet gold, diamond circle, solid gold bracelet, 14k gold bracelet, dainty diamond, bezel set diamond, push present, cable chain bracelet, anniversary bracelet, diamond bracelet 14k</v>
      </c>
      <c r="H31" s="4" t="n">
        <f aca="false">COUNTA(K31:W31)</f>
        <v>13</v>
      </c>
      <c r="I31" s="4" t="n">
        <f aca="false">SUMPRODUCT(MAX(LEN(K31:W31)))</f>
        <v>20</v>
      </c>
      <c r="J31" s="4" t="n">
        <v>9</v>
      </c>
      <c r="K31" s="7" t="s">
        <v>535</v>
      </c>
      <c r="L31" s="7" t="s">
        <v>536</v>
      </c>
      <c r="M31" s="7" t="s">
        <v>537</v>
      </c>
      <c r="N31" s="7" t="s">
        <v>538</v>
      </c>
      <c r="O31" s="7" t="s">
        <v>539</v>
      </c>
      <c r="P31" s="7" t="s">
        <v>130</v>
      </c>
      <c r="Q31" s="7" t="s">
        <v>136</v>
      </c>
      <c r="R31" s="7" t="s">
        <v>540</v>
      </c>
      <c r="S31" s="7" t="s">
        <v>541</v>
      </c>
      <c r="T31" s="7" t="s">
        <v>137</v>
      </c>
      <c r="U31" s="7" t="s">
        <v>133</v>
      </c>
      <c r="V31" s="7" t="s">
        <v>179</v>
      </c>
      <c r="W31" s="7" t="s">
        <v>542</v>
      </c>
      <c r="X31" s="4" t="s">
        <v>142</v>
      </c>
      <c r="Y31" s="5" t="s">
        <v>543</v>
      </c>
      <c r="Z31" s="5" t="s">
        <v>544</v>
      </c>
      <c r="AA31" s="7" t="s">
        <v>362</v>
      </c>
      <c r="AB31" s="7" t="s">
        <v>70</v>
      </c>
      <c r="AC31" s="7" t="s">
        <v>71</v>
      </c>
      <c r="AD31" s="6" t="s">
        <v>545</v>
      </c>
      <c r="AE31" s="6" t="s">
        <v>73</v>
      </c>
      <c r="AF31" s="6" t="s">
        <v>546</v>
      </c>
      <c r="AG31" s="5" t="s">
        <v>547</v>
      </c>
      <c r="AH31" s="4" t="s">
        <v>76</v>
      </c>
      <c r="AI31" s="4" t="s">
        <v>548</v>
      </c>
      <c r="AJ31" s="4" t="s">
        <v>549</v>
      </c>
      <c r="AK31" s="5"/>
      <c r="AL31" s="5"/>
    </row>
    <row r="32" customFormat="false" ht="120" hidden="false" customHeight="true" outlineLevel="0" collapsed="false">
      <c r="A32" s="4" t="s">
        <v>550</v>
      </c>
      <c r="B32" s="4" t="s">
        <v>551</v>
      </c>
      <c r="C32" s="4" t="s">
        <v>507</v>
      </c>
      <c r="D32" s="5" t="s">
        <v>552</v>
      </c>
      <c r="E32" s="6" t="s">
        <v>553</v>
      </c>
      <c r="F32" s="4" t="n">
        <f aca="false">LEN(E32)</f>
        <v>117</v>
      </c>
      <c r="G32" s="5" t="str">
        <f aca="false">_xlfn.TEXTJOIN(", ",TRUE(),K32:W32)</f>
        <v>evil eye bracelet, gold evil eye, 14k gold evil eye, dainty evil eye, solid gold evil eye, nazar bracelet, nazar bracelet gold, solid gold bracelet, protection bracelet, blue evil eye, cable chain bracelet, push present, blue stone bracelet</v>
      </c>
      <c r="H32" s="4" t="n">
        <f aca="false">COUNTA(K32:W32)</f>
        <v>13</v>
      </c>
      <c r="I32" s="4" t="n">
        <f aca="false">SUMPRODUCT(MAX(LEN(K32:W32)))</f>
        <v>20</v>
      </c>
      <c r="J32" s="4" t="n">
        <v>11</v>
      </c>
      <c r="K32" s="7" t="s">
        <v>554</v>
      </c>
      <c r="L32" s="7" t="s">
        <v>555</v>
      </c>
      <c r="M32" s="7" t="s">
        <v>556</v>
      </c>
      <c r="N32" s="7" t="s">
        <v>557</v>
      </c>
      <c r="O32" s="7" t="s">
        <v>558</v>
      </c>
      <c r="P32" s="7" t="s">
        <v>559</v>
      </c>
      <c r="Q32" s="7" t="s">
        <v>560</v>
      </c>
      <c r="R32" s="7" t="s">
        <v>130</v>
      </c>
      <c r="S32" s="7" t="s">
        <v>561</v>
      </c>
      <c r="T32" s="7" t="s">
        <v>562</v>
      </c>
      <c r="U32" s="7" t="s">
        <v>133</v>
      </c>
      <c r="V32" s="7" t="s">
        <v>137</v>
      </c>
      <c r="W32" s="7" t="s">
        <v>563</v>
      </c>
      <c r="X32" s="4" t="s">
        <v>142</v>
      </c>
      <c r="Y32" s="5" t="s">
        <v>564</v>
      </c>
      <c r="Z32" s="5" t="s">
        <v>565</v>
      </c>
      <c r="AA32" s="7" t="s">
        <v>362</v>
      </c>
      <c r="AB32" s="7" t="s">
        <v>427</v>
      </c>
      <c r="AC32" s="7" t="s">
        <v>71</v>
      </c>
      <c r="AD32" s="6" t="s">
        <v>566</v>
      </c>
      <c r="AE32" s="6" t="s">
        <v>73</v>
      </c>
      <c r="AF32" s="6" t="s">
        <v>567</v>
      </c>
      <c r="AG32" s="5" t="s">
        <v>568</v>
      </c>
      <c r="AH32" s="4" t="s">
        <v>76</v>
      </c>
      <c r="AI32" s="4" t="s">
        <v>569</v>
      </c>
      <c r="AJ32" s="4" t="s">
        <v>570</v>
      </c>
      <c r="AK32" s="8" t="s">
        <v>571</v>
      </c>
      <c r="AL32" s="5"/>
    </row>
    <row r="33" customFormat="false" ht="120" hidden="false" customHeight="true" outlineLevel="0" collapsed="false">
      <c r="A33" s="4" t="s">
        <v>572</v>
      </c>
      <c r="B33" s="4" t="s">
        <v>573</v>
      </c>
      <c r="C33" s="4" t="s">
        <v>507</v>
      </c>
      <c r="D33" s="5" t="s">
        <v>574</v>
      </c>
      <c r="E33" s="6" t="s">
        <v>575</v>
      </c>
      <c r="F33" s="4" t="n">
        <f aca="false">LEN(E33)</f>
        <v>107</v>
      </c>
      <c r="G33" s="5" t="str">
        <f aca="false">_xlfn.TEXTJOIN(", ",TRUE(),K33:W33)</f>
        <v>solid gold bracelet, dainty gold bracelet, cable chain bracelet, sunray bracelet, sun bracelet gold, sunburst bracelet, arc bracelet gold, real gold bracelet, push present, fine gold bracelet, minimalist bracelet, celestial bracelet, sunray arc bracelet</v>
      </c>
      <c r="H33" s="4" t="n">
        <f aca="false">COUNTA(K33:W33)</f>
        <v>13</v>
      </c>
      <c r="I33" s="4" t="n">
        <f aca="false">SUMPRODUCT(MAX(LEN(K33:W33)))</f>
        <v>20</v>
      </c>
      <c r="J33" s="4" t="n">
        <v>5</v>
      </c>
      <c r="K33" s="7" t="s">
        <v>130</v>
      </c>
      <c r="L33" s="7" t="s">
        <v>576</v>
      </c>
      <c r="M33" s="7" t="s">
        <v>133</v>
      </c>
      <c r="N33" s="7" t="s">
        <v>577</v>
      </c>
      <c r="O33" s="7" t="s">
        <v>578</v>
      </c>
      <c r="P33" s="7" t="s">
        <v>579</v>
      </c>
      <c r="Q33" s="7" t="s">
        <v>580</v>
      </c>
      <c r="R33" s="7" t="s">
        <v>167</v>
      </c>
      <c r="S33" s="7" t="s">
        <v>137</v>
      </c>
      <c r="T33" s="7" t="s">
        <v>581</v>
      </c>
      <c r="U33" s="7" t="s">
        <v>582</v>
      </c>
      <c r="V33" s="7" t="s">
        <v>583</v>
      </c>
      <c r="W33" s="7" t="s">
        <v>584</v>
      </c>
      <c r="X33" s="4" t="s">
        <v>142</v>
      </c>
      <c r="Y33" s="5" t="s">
        <v>585</v>
      </c>
      <c r="Z33" s="5" t="s">
        <v>386</v>
      </c>
      <c r="AA33" s="7" t="s">
        <v>362</v>
      </c>
      <c r="AB33" s="7" t="s">
        <v>70</v>
      </c>
      <c r="AC33" s="7" t="s">
        <v>144</v>
      </c>
      <c r="AD33" s="6" t="s">
        <v>586</v>
      </c>
      <c r="AE33" s="6" t="s">
        <v>73</v>
      </c>
      <c r="AF33" s="6" t="s">
        <v>587</v>
      </c>
      <c r="AG33" s="5" t="s">
        <v>588</v>
      </c>
      <c r="AH33" s="4" t="s">
        <v>76</v>
      </c>
      <c r="AI33" s="4" t="s">
        <v>589</v>
      </c>
      <c r="AJ33" s="4" t="s">
        <v>590</v>
      </c>
      <c r="AK33" s="5"/>
      <c r="AL33" s="5"/>
    </row>
    <row r="34" customFormat="false" ht="120" hidden="false" customHeight="true" outlineLevel="0" collapsed="false">
      <c r="A34" s="4" t="s">
        <v>591</v>
      </c>
      <c r="B34" s="4" t="s">
        <v>592</v>
      </c>
      <c r="C34" s="4" t="s">
        <v>507</v>
      </c>
      <c r="D34" s="5" t="s">
        <v>593</v>
      </c>
      <c r="E34" s="6" t="s">
        <v>594</v>
      </c>
      <c r="F34" s="4" t="n">
        <f aca="false">LEN(E34)</f>
        <v>104</v>
      </c>
      <c r="G34" s="5" t="str">
        <f aca="false">_xlfn.TEXTJOIN(", ",TRUE(),K34:W34)</f>
        <v>infinity bracelet, gold infinity, 14k gold infinity, solid gold bracelet, infinity jewelry, dainty gold bracelet, cable chain bracelet, push present, real gold bracelet, twist bracelet gold, open infinity, open loop bracelet, anniversary bracelet</v>
      </c>
      <c r="H34" s="4" t="n">
        <f aca="false">COUNTA(K34:W34)</f>
        <v>13</v>
      </c>
      <c r="I34" s="4" t="n">
        <f aca="false">SUMPRODUCT(MAX(LEN(K34:W34)))</f>
        <v>20</v>
      </c>
      <c r="J34" s="4" t="n">
        <v>9</v>
      </c>
      <c r="K34" s="7" t="s">
        <v>595</v>
      </c>
      <c r="L34" s="7" t="s">
        <v>419</v>
      </c>
      <c r="M34" s="7" t="s">
        <v>596</v>
      </c>
      <c r="N34" s="7" t="s">
        <v>130</v>
      </c>
      <c r="O34" s="7" t="s">
        <v>421</v>
      </c>
      <c r="P34" s="7" t="s">
        <v>576</v>
      </c>
      <c r="Q34" s="7" t="s">
        <v>133</v>
      </c>
      <c r="R34" s="7" t="s">
        <v>137</v>
      </c>
      <c r="S34" s="7" t="s">
        <v>167</v>
      </c>
      <c r="T34" s="7" t="s">
        <v>597</v>
      </c>
      <c r="U34" s="7" t="s">
        <v>598</v>
      </c>
      <c r="V34" s="7" t="s">
        <v>599</v>
      </c>
      <c r="W34" s="7" t="s">
        <v>179</v>
      </c>
      <c r="X34" s="4" t="s">
        <v>142</v>
      </c>
      <c r="Y34" s="5" t="s">
        <v>600</v>
      </c>
      <c r="Z34" s="5" t="s">
        <v>386</v>
      </c>
      <c r="AA34" s="7" t="s">
        <v>362</v>
      </c>
      <c r="AB34" s="7" t="s">
        <v>70</v>
      </c>
      <c r="AC34" s="7" t="s">
        <v>71</v>
      </c>
      <c r="AD34" s="6" t="s">
        <v>601</v>
      </c>
      <c r="AE34" s="6" t="s">
        <v>73</v>
      </c>
      <c r="AF34" s="6" t="s">
        <v>602</v>
      </c>
      <c r="AG34" s="5" t="s">
        <v>603</v>
      </c>
      <c r="AH34" s="4" t="s">
        <v>76</v>
      </c>
      <c r="AI34" s="4" t="s">
        <v>604</v>
      </c>
      <c r="AJ34" s="4" t="s">
        <v>605</v>
      </c>
      <c r="AK34" s="5"/>
      <c r="AL34" s="5"/>
    </row>
    <row r="35" customFormat="false" ht="120" hidden="false" customHeight="true" outlineLevel="0" collapsed="false">
      <c r="A35" s="4" t="s">
        <v>606</v>
      </c>
      <c r="B35" s="4" t="s">
        <v>607</v>
      </c>
      <c r="C35" s="4" t="s">
        <v>507</v>
      </c>
      <c r="D35" s="5" t="s">
        <v>608</v>
      </c>
      <c r="E35" s="6" t="s">
        <v>609</v>
      </c>
      <c r="F35" s="4" t="n">
        <f aca="false">LEN(E35)</f>
        <v>96</v>
      </c>
      <c r="G35" s="5" t="str">
        <f aca="false">_xlfn.TEXTJOIN(", ",TRUE(),K35:W35)</f>
        <v>infinity bracelet, gold infinity, 14k gold infinity, solid gold bracelet, infinity jewelry, dainty gold bracelet, cable chain bracelet, push present, real gold bracelet, blue stone bracelet, blue inlay bracelet, open infinity, blue stone jewelry</v>
      </c>
      <c r="H35" s="4" t="n">
        <f aca="false">COUNTA(K35:W35)</f>
        <v>13</v>
      </c>
      <c r="I35" s="4" t="n">
        <f aca="false">SUMPRODUCT(MAX(LEN(K35:W35)))</f>
        <v>20</v>
      </c>
      <c r="J35" s="4" t="n">
        <v>9</v>
      </c>
      <c r="K35" s="7" t="s">
        <v>595</v>
      </c>
      <c r="L35" s="7" t="s">
        <v>419</v>
      </c>
      <c r="M35" s="7" t="s">
        <v>596</v>
      </c>
      <c r="N35" s="7" t="s">
        <v>130</v>
      </c>
      <c r="O35" s="7" t="s">
        <v>421</v>
      </c>
      <c r="P35" s="7" t="s">
        <v>576</v>
      </c>
      <c r="Q35" s="7" t="s">
        <v>133</v>
      </c>
      <c r="R35" s="7" t="s">
        <v>137</v>
      </c>
      <c r="S35" s="7" t="s">
        <v>167</v>
      </c>
      <c r="T35" s="7" t="s">
        <v>563</v>
      </c>
      <c r="U35" s="7" t="s">
        <v>610</v>
      </c>
      <c r="V35" s="7" t="s">
        <v>598</v>
      </c>
      <c r="W35" s="7" t="s">
        <v>611</v>
      </c>
      <c r="X35" s="4" t="s">
        <v>142</v>
      </c>
      <c r="Y35" s="5" t="s">
        <v>612</v>
      </c>
      <c r="Z35" s="5" t="s">
        <v>613</v>
      </c>
      <c r="AA35" s="7" t="s">
        <v>362</v>
      </c>
      <c r="AB35" s="7" t="s">
        <v>70</v>
      </c>
      <c r="AC35" s="7" t="s">
        <v>71</v>
      </c>
      <c r="AD35" s="6" t="s">
        <v>601</v>
      </c>
      <c r="AE35" s="6" t="s">
        <v>73</v>
      </c>
      <c r="AF35" s="6" t="s">
        <v>614</v>
      </c>
      <c r="AG35" s="5" t="s">
        <v>615</v>
      </c>
      <c r="AH35" s="4" t="s">
        <v>76</v>
      </c>
      <c r="AI35" s="4" t="s">
        <v>616</v>
      </c>
      <c r="AJ35" s="4" t="s">
        <v>617</v>
      </c>
      <c r="AK35" s="8" t="s">
        <v>618</v>
      </c>
      <c r="AL35" s="5"/>
    </row>
    <row r="36" customFormat="false" ht="120" hidden="false" customHeight="true" outlineLevel="0" collapsed="false">
      <c r="A36" s="4" t="s">
        <v>619</v>
      </c>
      <c r="B36" s="4" t="s">
        <v>620</v>
      </c>
      <c r="C36" s="4" t="s">
        <v>507</v>
      </c>
      <c r="D36" s="5" t="s">
        <v>621</v>
      </c>
      <c r="E36" s="6" t="s">
        <v>622</v>
      </c>
      <c r="F36" s="4" t="n">
        <f aca="false">LEN(E36)</f>
        <v>111</v>
      </c>
      <c r="G36" s="5" t="str">
        <f aca="false">_xlfn.TEXTJOIN(", ",TRUE(),K36:W36)</f>
        <v>evil eye bracelet, gold evil eye, 14k gold evil eye, dainty evil eye, solid gold evil eye, nazar bracelet, nazar bracelet gold, solid gold bracelet, protection bracelet, red evil eye, red stone bracelet, cable chain bracelet, push present</v>
      </c>
      <c r="H36" s="4" t="n">
        <f aca="false">COUNTA(K36:W36)</f>
        <v>13</v>
      </c>
      <c r="I36" s="4" t="n">
        <f aca="false">SUMPRODUCT(MAX(LEN(K36:W36)))</f>
        <v>20</v>
      </c>
      <c r="J36" s="4" t="n">
        <v>11</v>
      </c>
      <c r="K36" s="7" t="s">
        <v>554</v>
      </c>
      <c r="L36" s="7" t="s">
        <v>555</v>
      </c>
      <c r="M36" s="7" t="s">
        <v>556</v>
      </c>
      <c r="N36" s="7" t="s">
        <v>557</v>
      </c>
      <c r="O36" s="7" t="s">
        <v>558</v>
      </c>
      <c r="P36" s="7" t="s">
        <v>559</v>
      </c>
      <c r="Q36" s="7" t="s">
        <v>560</v>
      </c>
      <c r="R36" s="7" t="s">
        <v>130</v>
      </c>
      <c r="S36" s="7" t="s">
        <v>561</v>
      </c>
      <c r="T36" s="7" t="s">
        <v>623</v>
      </c>
      <c r="U36" s="7" t="s">
        <v>624</v>
      </c>
      <c r="V36" s="7" t="s">
        <v>133</v>
      </c>
      <c r="W36" s="7" t="s">
        <v>137</v>
      </c>
      <c r="X36" s="4" t="s">
        <v>142</v>
      </c>
      <c r="Y36" s="8" t="s">
        <v>625</v>
      </c>
      <c r="Z36" s="5" t="s">
        <v>626</v>
      </c>
      <c r="AA36" s="7" t="s">
        <v>362</v>
      </c>
      <c r="AB36" s="7" t="s">
        <v>70</v>
      </c>
      <c r="AC36" s="7" t="s">
        <v>71</v>
      </c>
      <c r="AD36" s="6" t="s">
        <v>627</v>
      </c>
      <c r="AE36" s="6" t="s">
        <v>73</v>
      </c>
      <c r="AF36" s="6" t="s">
        <v>628</v>
      </c>
      <c r="AG36" s="5" t="s">
        <v>629</v>
      </c>
      <c r="AH36" s="4" t="s">
        <v>76</v>
      </c>
      <c r="AI36" s="4" t="s">
        <v>630</v>
      </c>
      <c r="AJ36" s="4" t="s">
        <v>631</v>
      </c>
      <c r="AK36" s="8" t="s">
        <v>632</v>
      </c>
      <c r="AL36" s="5"/>
    </row>
    <row r="37" customFormat="false" ht="120" hidden="false" customHeight="true" outlineLevel="0" collapsed="false">
      <c r="A37" s="4" t="s">
        <v>633</v>
      </c>
      <c r="B37" s="4" t="s">
        <v>634</v>
      </c>
      <c r="C37" s="4" t="s">
        <v>635</v>
      </c>
      <c r="D37" s="5" t="s">
        <v>636</v>
      </c>
      <c r="E37" s="6" t="s">
        <v>637</v>
      </c>
      <c r="F37" s="4" t="n">
        <f aca="false">LEN(E37)</f>
        <v>125</v>
      </c>
      <c r="G37" s="5" t="str">
        <f aca="false">_xlfn.TEXTJOIN(", ",TRUE(),K37:W37)</f>
        <v>lab grown diamond, lab diamond necklace, v necklace, v necklace gold, diamond v necklace, chevron necklace, solid gold necklace, diamond pendant gold, minimalist diamond, push present, geometric necklace, dainty diamond, 14k diamond necklace</v>
      </c>
      <c r="H37" s="4" t="n">
        <f aca="false">COUNTA(K37:W37)</f>
        <v>13</v>
      </c>
      <c r="I37" s="4" t="n">
        <f aca="false">SUMPRODUCT(MAX(LEN(K37:W37)))</f>
        <v>20</v>
      </c>
      <c r="J37" s="4" t="n">
        <v>9</v>
      </c>
      <c r="K37" s="7" t="s">
        <v>638</v>
      </c>
      <c r="L37" s="7" t="s">
        <v>639</v>
      </c>
      <c r="M37" s="7" t="s">
        <v>640</v>
      </c>
      <c r="N37" s="7" t="s">
        <v>641</v>
      </c>
      <c r="O37" s="7" t="s">
        <v>642</v>
      </c>
      <c r="P37" s="7" t="s">
        <v>643</v>
      </c>
      <c r="Q37" s="7" t="s">
        <v>200</v>
      </c>
      <c r="R37" s="7" t="s">
        <v>644</v>
      </c>
      <c r="S37" s="7" t="s">
        <v>645</v>
      </c>
      <c r="T37" s="7" t="s">
        <v>137</v>
      </c>
      <c r="U37" s="7" t="s">
        <v>223</v>
      </c>
      <c r="V37" s="7" t="s">
        <v>540</v>
      </c>
      <c r="W37" s="7" t="s">
        <v>646</v>
      </c>
      <c r="X37" s="4" t="s">
        <v>211</v>
      </c>
      <c r="Y37" s="5" t="s">
        <v>647</v>
      </c>
      <c r="Z37" s="5" t="s">
        <v>648</v>
      </c>
      <c r="AA37" s="7" t="s">
        <v>362</v>
      </c>
      <c r="AB37" s="7" t="s">
        <v>70</v>
      </c>
      <c r="AC37" s="7" t="s">
        <v>71</v>
      </c>
      <c r="AD37" s="6" t="s">
        <v>649</v>
      </c>
      <c r="AE37" s="6" t="s">
        <v>73</v>
      </c>
      <c r="AF37" s="6" t="s">
        <v>650</v>
      </c>
      <c r="AG37" s="5" t="s">
        <v>651</v>
      </c>
      <c r="AH37" s="4" t="s">
        <v>76</v>
      </c>
      <c r="AI37" s="4" t="s">
        <v>652</v>
      </c>
      <c r="AJ37" s="4" t="s">
        <v>653</v>
      </c>
      <c r="AK37" s="8" t="s">
        <v>654</v>
      </c>
      <c r="AL37" s="5"/>
    </row>
    <row r="38" customFormat="false" ht="120" hidden="false" customHeight="true" outlineLevel="0" collapsed="false">
      <c r="A38" s="4" t="s">
        <v>655</v>
      </c>
      <c r="B38" s="4" t="s">
        <v>656</v>
      </c>
      <c r="C38" s="4" t="s">
        <v>635</v>
      </c>
      <c r="D38" s="5" t="s">
        <v>657</v>
      </c>
      <c r="E38" s="6" t="s">
        <v>658</v>
      </c>
      <c r="F38" s="4" t="n">
        <f aca="false">LEN(E38)</f>
        <v>113</v>
      </c>
      <c r="G38" s="5" t="str">
        <f aca="false">_xlfn.TEXTJOIN(", ",TRUE(),K38:W38)</f>
        <v>gold lariat necklace, lariat necklace, star necklace, star necklace gold, y necklace gold, y lariat necklace, gold y necklace, lariat jewelry, celestial necklace, drop necklace gold, star lariat, push present, dainty lariat</v>
      </c>
      <c r="H38" s="4" t="n">
        <f aca="false">COUNTA(K38:W38)</f>
        <v>13</v>
      </c>
      <c r="I38" s="4" t="n">
        <f aca="false">SUMPRODUCT(MAX(LEN(K38:W38)))</f>
        <v>20</v>
      </c>
      <c r="J38" s="4" t="n">
        <v>9</v>
      </c>
      <c r="K38" s="7" t="s">
        <v>659</v>
      </c>
      <c r="L38" s="7" t="s">
        <v>660</v>
      </c>
      <c r="M38" s="7" t="s">
        <v>661</v>
      </c>
      <c r="N38" s="7" t="s">
        <v>662</v>
      </c>
      <c r="O38" s="7" t="s">
        <v>663</v>
      </c>
      <c r="P38" s="7" t="s">
        <v>664</v>
      </c>
      <c r="Q38" s="7" t="s">
        <v>665</v>
      </c>
      <c r="R38" s="7" t="s">
        <v>666</v>
      </c>
      <c r="S38" s="7" t="s">
        <v>667</v>
      </c>
      <c r="T38" s="7" t="s">
        <v>668</v>
      </c>
      <c r="U38" s="7" t="s">
        <v>669</v>
      </c>
      <c r="V38" s="7" t="s">
        <v>137</v>
      </c>
      <c r="W38" s="7" t="s">
        <v>670</v>
      </c>
      <c r="X38" s="4" t="s">
        <v>211</v>
      </c>
      <c r="Y38" s="5" t="s">
        <v>671</v>
      </c>
      <c r="Z38" s="5" t="s">
        <v>386</v>
      </c>
      <c r="AA38" s="7" t="s">
        <v>362</v>
      </c>
      <c r="AB38" s="7" t="s">
        <v>70</v>
      </c>
      <c r="AC38" s="7" t="s">
        <v>71</v>
      </c>
      <c r="AD38" s="6" t="s">
        <v>672</v>
      </c>
      <c r="AE38" s="6" t="s">
        <v>73</v>
      </c>
      <c r="AF38" s="6" t="s">
        <v>673</v>
      </c>
      <c r="AG38" s="5" t="s">
        <v>674</v>
      </c>
      <c r="AH38" s="4" t="s">
        <v>76</v>
      </c>
      <c r="AI38" s="4" t="s">
        <v>675</v>
      </c>
      <c r="AJ38" s="4" t="s">
        <v>676</v>
      </c>
      <c r="AK38" s="5" t="s">
        <v>677</v>
      </c>
      <c r="AL38" s="5"/>
    </row>
    <row r="39" customFormat="false" ht="120" hidden="false" customHeight="true" outlineLevel="0" collapsed="false">
      <c r="A39" s="4" t="s">
        <v>678</v>
      </c>
      <c r="B39" s="4" t="s">
        <v>679</v>
      </c>
      <c r="C39" s="4" t="s">
        <v>635</v>
      </c>
      <c r="D39" s="5" t="s">
        <v>680</v>
      </c>
      <c r="E39" s="6" t="s">
        <v>681</v>
      </c>
      <c r="F39" s="4" t="n">
        <f aca="false">LEN(E39)</f>
        <v>121</v>
      </c>
      <c r="G39" s="5" t="str">
        <f aca="false">_xlfn.TEXTJOIN(", ",TRUE(),K39:W39)</f>
        <v>infinity necklace, gold infinity, infinity pendant, cable chain necklace, solid gold necklace, 14k gold infinity, eternity necklace, symbol necklace gold, push present, anniversary necklace, minimalist necklace, open infinity, twin bail pendant</v>
      </c>
      <c r="H39" s="4" t="n">
        <f aca="false">COUNTA(K39:W39)</f>
        <v>13</v>
      </c>
      <c r="I39" s="4" t="n">
        <f aca="false">SUMPRODUCT(MAX(LEN(K39:W39)))</f>
        <v>20</v>
      </c>
      <c r="J39" s="4" t="n">
        <v>6</v>
      </c>
      <c r="K39" s="7" t="s">
        <v>682</v>
      </c>
      <c r="L39" s="7" t="s">
        <v>419</v>
      </c>
      <c r="M39" s="7" t="s">
        <v>683</v>
      </c>
      <c r="N39" s="7" t="s">
        <v>207</v>
      </c>
      <c r="O39" s="7" t="s">
        <v>200</v>
      </c>
      <c r="P39" s="7" t="s">
        <v>596</v>
      </c>
      <c r="Q39" s="7" t="s">
        <v>684</v>
      </c>
      <c r="R39" s="7" t="s">
        <v>685</v>
      </c>
      <c r="S39" s="7" t="s">
        <v>137</v>
      </c>
      <c r="T39" s="7" t="s">
        <v>686</v>
      </c>
      <c r="U39" s="7" t="s">
        <v>226</v>
      </c>
      <c r="V39" s="7" t="s">
        <v>598</v>
      </c>
      <c r="W39" s="7" t="s">
        <v>687</v>
      </c>
      <c r="X39" s="4" t="s">
        <v>211</v>
      </c>
      <c r="Y39" s="5" t="s">
        <v>688</v>
      </c>
      <c r="Z39" s="5" t="s">
        <v>386</v>
      </c>
      <c r="AA39" s="7" t="s">
        <v>362</v>
      </c>
      <c r="AB39" s="7" t="s">
        <v>70</v>
      </c>
      <c r="AC39" s="7" t="s">
        <v>71</v>
      </c>
      <c r="AD39" s="6" t="s">
        <v>689</v>
      </c>
      <c r="AE39" s="6" t="s">
        <v>73</v>
      </c>
      <c r="AF39" s="6" t="s">
        <v>587</v>
      </c>
      <c r="AG39" s="5" t="s">
        <v>690</v>
      </c>
      <c r="AH39" s="4" t="s">
        <v>76</v>
      </c>
      <c r="AI39" s="4" t="s">
        <v>691</v>
      </c>
      <c r="AJ39" s="4" t="s">
        <v>692</v>
      </c>
      <c r="AK39" s="8" t="s">
        <v>693</v>
      </c>
      <c r="AL39" s="5"/>
    </row>
    <row r="40" customFormat="false" ht="120" hidden="false" customHeight="true" outlineLevel="0" collapsed="false">
      <c r="A40" s="4" t="s">
        <v>694</v>
      </c>
      <c r="B40" s="4" t="s">
        <v>695</v>
      </c>
      <c r="C40" s="4" t="s">
        <v>635</v>
      </c>
      <c r="D40" s="5" t="s">
        <v>696</v>
      </c>
      <c r="E40" s="6" t="s">
        <v>697</v>
      </c>
      <c r="F40" s="4" t="n">
        <f aca="false">LEN(E40)</f>
        <v>110</v>
      </c>
      <c r="G40" s="5" t="str">
        <f aca="false">_xlfn.TEXTJOIN(", ",TRUE(),K40:W40)</f>
        <v>lion necklace, gold lion pendant, lion pendant, lion jewelry, mesopotamian jewelry, solid gold necklace, lion pendant gold, leo necklace gold, animal necklace gold, symbol necklace gold, push present, gold lion necklace, lion head necklace</v>
      </c>
      <c r="H40" s="4" t="n">
        <f aca="false">COUNTA(K40:W40)</f>
        <v>13</v>
      </c>
      <c r="I40" s="4" t="n">
        <f aca="false">SUMPRODUCT(MAX(LEN(K40:W40)))</f>
        <v>20</v>
      </c>
      <c r="J40" s="4" t="n">
        <v>8</v>
      </c>
      <c r="K40" s="7" t="s">
        <v>698</v>
      </c>
      <c r="L40" s="7" t="s">
        <v>699</v>
      </c>
      <c r="M40" s="7" t="s">
        <v>700</v>
      </c>
      <c r="N40" s="7" t="s">
        <v>701</v>
      </c>
      <c r="O40" s="7" t="s">
        <v>379</v>
      </c>
      <c r="P40" s="7" t="s">
        <v>200</v>
      </c>
      <c r="Q40" s="7" t="s">
        <v>702</v>
      </c>
      <c r="R40" s="7" t="s">
        <v>703</v>
      </c>
      <c r="S40" s="7" t="s">
        <v>704</v>
      </c>
      <c r="T40" s="7" t="s">
        <v>685</v>
      </c>
      <c r="U40" s="7" t="s">
        <v>137</v>
      </c>
      <c r="V40" s="7" t="s">
        <v>705</v>
      </c>
      <c r="W40" s="7" t="s">
        <v>706</v>
      </c>
      <c r="X40" s="4" t="s">
        <v>211</v>
      </c>
      <c r="Y40" s="5" t="s">
        <v>707</v>
      </c>
      <c r="Z40" s="5" t="s">
        <v>386</v>
      </c>
      <c r="AA40" s="7" t="s">
        <v>362</v>
      </c>
      <c r="AB40" s="7" t="s">
        <v>70</v>
      </c>
      <c r="AC40" s="7" t="s">
        <v>71</v>
      </c>
      <c r="AD40" s="6" t="s">
        <v>708</v>
      </c>
      <c r="AE40" s="6" t="s">
        <v>73</v>
      </c>
      <c r="AF40" s="6" t="s">
        <v>709</v>
      </c>
      <c r="AG40" s="5" t="s">
        <v>710</v>
      </c>
      <c r="AH40" s="4" t="s">
        <v>76</v>
      </c>
      <c r="AI40" s="4" t="s">
        <v>711</v>
      </c>
      <c r="AJ40" s="4" t="s">
        <v>712</v>
      </c>
      <c r="AK40" s="8" t="s">
        <v>693</v>
      </c>
      <c r="AL40" s="5"/>
    </row>
    <row r="41" customFormat="false" ht="120" hidden="false" customHeight="true" outlineLevel="0" collapsed="false">
      <c r="A41" s="4" t="s">
        <v>713</v>
      </c>
      <c r="B41" s="4" t="s">
        <v>714</v>
      </c>
      <c r="C41" s="4" t="s">
        <v>635</v>
      </c>
      <c r="D41" s="5" t="s">
        <v>715</v>
      </c>
      <c r="E41" s="6" t="s">
        <v>716</v>
      </c>
      <c r="F41" s="4" t="n">
        <f aca="false">LEN(E41)</f>
        <v>125</v>
      </c>
      <c r="G41" s="5" t="str">
        <f aca="false">_xlfn.TEXTJOIN(", ",TRUE(),K41:W41)</f>
        <v>red stone necklace, geometric necklace, solid gold necklace, open frame necklace, rectangle necklace, red gem necklace, minimalist necklace, gold frame pendant, push present, flush set stone, small gold pendant, red accent necklace, modern gold pendant</v>
      </c>
      <c r="H41" s="4" t="n">
        <f aca="false">COUNTA(K41:W41)</f>
        <v>13</v>
      </c>
      <c r="I41" s="4" t="n">
        <f aca="false">SUMPRODUCT(MAX(LEN(K41:W41)))</f>
        <v>19</v>
      </c>
      <c r="J41" s="4" t="n">
        <v>5</v>
      </c>
      <c r="K41" s="7" t="s">
        <v>717</v>
      </c>
      <c r="L41" s="7" t="s">
        <v>223</v>
      </c>
      <c r="M41" s="7" t="s">
        <v>200</v>
      </c>
      <c r="N41" s="7" t="s">
        <v>225</v>
      </c>
      <c r="O41" s="7" t="s">
        <v>224</v>
      </c>
      <c r="P41" s="7" t="s">
        <v>718</v>
      </c>
      <c r="Q41" s="7" t="s">
        <v>226</v>
      </c>
      <c r="R41" s="7" t="s">
        <v>719</v>
      </c>
      <c r="S41" s="7" t="s">
        <v>137</v>
      </c>
      <c r="T41" s="7" t="s">
        <v>720</v>
      </c>
      <c r="U41" s="7" t="s">
        <v>208</v>
      </c>
      <c r="V41" s="7" t="s">
        <v>721</v>
      </c>
      <c r="W41" s="7" t="s">
        <v>722</v>
      </c>
      <c r="X41" s="4" t="s">
        <v>211</v>
      </c>
      <c r="Y41" s="5" t="s">
        <v>723</v>
      </c>
      <c r="Z41" s="5" t="s">
        <v>626</v>
      </c>
      <c r="AA41" s="7" t="s">
        <v>362</v>
      </c>
      <c r="AB41" s="7" t="s">
        <v>70</v>
      </c>
      <c r="AC41" s="7" t="s">
        <v>71</v>
      </c>
      <c r="AD41" s="6" t="s">
        <v>724</v>
      </c>
      <c r="AE41" s="6" t="s">
        <v>73</v>
      </c>
      <c r="AF41" s="6" t="s">
        <v>725</v>
      </c>
      <c r="AG41" s="5" t="s">
        <v>726</v>
      </c>
      <c r="AH41" s="4" t="s">
        <v>76</v>
      </c>
      <c r="AI41" s="4" t="s">
        <v>727</v>
      </c>
      <c r="AJ41" s="4" t="s">
        <v>728</v>
      </c>
      <c r="AK41" s="8" t="s">
        <v>729</v>
      </c>
      <c r="AL41" s="5"/>
    </row>
    <row r="42" customFormat="false" ht="120" hidden="false" customHeight="true" outlineLevel="0" collapsed="false">
      <c r="A42" s="4" t="s">
        <v>730</v>
      </c>
      <c r="B42" s="4" t="s">
        <v>731</v>
      </c>
      <c r="C42" s="4" t="s">
        <v>635</v>
      </c>
      <c r="D42" s="5" t="s">
        <v>732</v>
      </c>
      <c r="E42" s="6" t="s">
        <v>733</v>
      </c>
      <c r="F42" s="4" t="n">
        <f aca="false">LEN(E42)</f>
        <v>113</v>
      </c>
      <c r="G42" s="5" t="str">
        <f aca="false">_xlfn.TEXTJOIN(", ",TRUE(),K42:W42)</f>
        <v>mobius necklace, solid gold necklace, twisted pendant gold, ribbon pendant gold, twist necklace gold, sculptural necklace, geometric necklace, minimalist necklace, rose gold necklace, white gold necklace, push present, mobius strip pendant, modern gold pendant</v>
      </c>
      <c r="H42" s="4" t="n">
        <f aca="false">COUNTA(K42:W42)</f>
        <v>13</v>
      </c>
      <c r="I42" s="4" t="n">
        <f aca="false">SUMPRODUCT(MAX(LEN(K42:W42)))</f>
        <v>20</v>
      </c>
      <c r="J42" s="4" t="n">
        <v>4</v>
      </c>
      <c r="K42" s="7" t="s">
        <v>734</v>
      </c>
      <c r="L42" s="7" t="s">
        <v>200</v>
      </c>
      <c r="M42" s="7" t="s">
        <v>735</v>
      </c>
      <c r="N42" s="7" t="s">
        <v>736</v>
      </c>
      <c r="O42" s="7" t="s">
        <v>737</v>
      </c>
      <c r="P42" s="7" t="s">
        <v>738</v>
      </c>
      <c r="Q42" s="7" t="s">
        <v>223</v>
      </c>
      <c r="R42" s="7" t="s">
        <v>226</v>
      </c>
      <c r="S42" s="7" t="s">
        <v>739</v>
      </c>
      <c r="T42" s="7" t="s">
        <v>740</v>
      </c>
      <c r="U42" s="7" t="s">
        <v>137</v>
      </c>
      <c r="V42" s="7" t="s">
        <v>741</v>
      </c>
      <c r="W42" s="7" t="s">
        <v>722</v>
      </c>
      <c r="X42" s="4" t="s">
        <v>211</v>
      </c>
      <c r="Y42" s="5" t="s">
        <v>742</v>
      </c>
      <c r="Z42" s="5" t="s">
        <v>457</v>
      </c>
      <c r="AA42" s="7" t="s">
        <v>362</v>
      </c>
      <c r="AB42" s="7" t="s">
        <v>70</v>
      </c>
      <c r="AC42" s="7" t="s">
        <v>71</v>
      </c>
      <c r="AD42" s="6" t="s">
        <v>743</v>
      </c>
      <c r="AE42" s="6" t="s">
        <v>73</v>
      </c>
      <c r="AF42" s="6" t="s">
        <v>744</v>
      </c>
      <c r="AG42" s="5" t="s">
        <v>745</v>
      </c>
      <c r="AH42" s="4" t="s">
        <v>76</v>
      </c>
      <c r="AI42" s="4" t="s">
        <v>746</v>
      </c>
      <c r="AJ42" s="4" t="s">
        <v>747</v>
      </c>
      <c r="AK42" s="5" t="s">
        <v>748</v>
      </c>
      <c r="AL42" s="5"/>
    </row>
    <row r="44" customFormat="false" ht="15" hidden="false" customHeight="false" outlineLevel="0" collapsed="false">
      <c r="D44" s="9" t="s">
        <v>749</v>
      </c>
      <c r="E44" s="10" t="s">
        <v>750</v>
      </c>
      <c r="F44" s="10" t="n">
        <f aca="false">COUNTIF(F2:F42,"&gt;140")</f>
        <v>0</v>
      </c>
    </row>
    <row r="45" customFormat="false" ht="15" hidden="false" customHeight="false" outlineLevel="0" collapsed="false">
      <c r="E45" s="10" t="s">
        <v>751</v>
      </c>
      <c r="F45" s="10" t="n">
        <f aca="false">COUNTIF(H2:H42,"&lt;&gt;13")</f>
        <v>0</v>
      </c>
    </row>
    <row r="46" customFormat="false" ht="15" hidden="false" customHeight="false" outlineLevel="0" collapsed="false">
      <c r="E46" s="10" t="s">
        <v>752</v>
      </c>
      <c r="F46" s="10" t="n">
        <f aca="false">COUNTIF(I2:I42,"&gt;20")</f>
        <v>0</v>
      </c>
    </row>
  </sheetData>
  <autoFilter ref="A1:AL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18" min="3" style="0" width="16"/>
  </cols>
  <sheetData>
    <row r="1" customFormat="false" ht="90" hidden="false" customHeight="true" outlineLevel="0" collapsed="false">
      <c r="A1" s="3" t="s">
        <v>10</v>
      </c>
      <c r="B1" s="3" t="s">
        <v>11</v>
      </c>
      <c r="C1" s="3" t="s">
        <v>753</v>
      </c>
      <c r="D1" s="3" t="s">
        <v>754</v>
      </c>
      <c r="E1" s="3" t="s">
        <v>755</v>
      </c>
      <c r="F1" s="3" t="s">
        <v>756</v>
      </c>
      <c r="G1" s="3" t="s">
        <v>757</v>
      </c>
      <c r="H1" s="3" t="s">
        <v>758</v>
      </c>
      <c r="I1" s="3" t="s">
        <v>759</v>
      </c>
      <c r="J1" s="3" t="s">
        <v>760</v>
      </c>
      <c r="K1" s="3" t="s">
        <v>761</v>
      </c>
      <c r="L1" s="3" t="s">
        <v>762</v>
      </c>
      <c r="M1" s="3" t="s">
        <v>763</v>
      </c>
      <c r="N1" s="3" t="s">
        <v>764</v>
      </c>
      <c r="O1" s="3" t="s">
        <v>765</v>
      </c>
      <c r="P1" s="3" t="s">
        <v>766</v>
      </c>
      <c r="Q1" s="3" t="s">
        <v>767</v>
      </c>
      <c r="R1" s="3" t="s">
        <v>768</v>
      </c>
    </row>
    <row r="2" customFormat="false" ht="15" hidden="false" customHeight="false" outlineLevel="0" collapsed="false">
      <c r="A2" s="10" t="s">
        <v>48</v>
      </c>
      <c r="B2" s="10" t="s">
        <v>49</v>
      </c>
      <c r="C2" s="11" t="s">
        <v>769</v>
      </c>
      <c r="D2" s="11"/>
      <c r="E2" s="11"/>
      <c r="F2" s="11" t="s">
        <v>769</v>
      </c>
      <c r="G2" s="11"/>
      <c r="H2" s="11"/>
      <c r="I2" s="11"/>
      <c r="J2" s="11"/>
      <c r="K2" s="11"/>
      <c r="L2" s="11"/>
      <c r="M2" s="11" t="s">
        <v>769</v>
      </c>
      <c r="N2" s="11" t="s">
        <v>769</v>
      </c>
      <c r="O2" s="11" t="s">
        <v>769</v>
      </c>
      <c r="P2" s="11"/>
      <c r="Q2" s="11" t="s">
        <v>769</v>
      </c>
      <c r="R2" s="10" t="n">
        <f aca="false">COUNTIF(C2:Q2,"x")</f>
        <v>6</v>
      </c>
    </row>
    <row r="3" customFormat="false" ht="15" hidden="false" customHeight="false" outlineLevel="0" collapsed="false">
      <c r="A3" s="10" t="s">
        <v>79</v>
      </c>
      <c r="B3" s="10" t="s">
        <v>80</v>
      </c>
      <c r="C3" s="11" t="s">
        <v>769</v>
      </c>
      <c r="D3" s="11"/>
      <c r="E3" s="11"/>
      <c r="F3" s="11" t="s">
        <v>769</v>
      </c>
      <c r="G3" s="11"/>
      <c r="H3" s="11"/>
      <c r="I3" s="11"/>
      <c r="J3" s="11"/>
      <c r="K3" s="11"/>
      <c r="L3" s="11"/>
      <c r="M3" s="11" t="s">
        <v>769</v>
      </c>
      <c r="N3" s="11" t="s">
        <v>769</v>
      </c>
      <c r="O3" s="11" t="s">
        <v>769</v>
      </c>
      <c r="P3" s="11"/>
      <c r="Q3" s="11" t="s">
        <v>769</v>
      </c>
      <c r="R3" s="10" t="n">
        <f aca="false">COUNTIF(C3:Q3,"x")</f>
        <v>6</v>
      </c>
    </row>
    <row r="4" customFormat="false" ht="15" hidden="false" customHeight="false" outlineLevel="0" collapsed="false">
      <c r="A4" s="10" t="s">
        <v>91</v>
      </c>
      <c r="B4" s="10" t="s">
        <v>92</v>
      </c>
      <c r="C4" s="11" t="s">
        <v>769</v>
      </c>
      <c r="D4" s="11"/>
      <c r="E4" s="11"/>
      <c r="F4" s="11" t="s">
        <v>769</v>
      </c>
      <c r="G4" s="11"/>
      <c r="H4" s="11"/>
      <c r="I4" s="11"/>
      <c r="J4" s="11"/>
      <c r="K4" s="11"/>
      <c r="L4" s="11"/>
      <c r="M4" s="11" t="s">
        <v>769</v>
      </c>
      <c r="N4" s="11" t="s">
        <v>769</v>
      </c>
      <c r="O4" s="11" t="s">
        <v>769</v>
      </c>
      <c r="P4" s="11"/>
      <c r="Q4" s="11" t="s">
        <v>769</v>
      </c>
      <c r="R4" s="10" t="n">
        <f aca="false">COUNTIF(C4:Q4,"x")</f>
        <v>6</v>
      </c>
    </row>
    <row r="5" customFormat="false" ht="15" hidden="false" customHeight="false" outlineLevel="0" collapsed="false">
      <c r="A5" s="10" t="s">
        <v>102</v>
      </c>
      <c r="B5" s="10" t="s">
        <v>103</v>
      </c>
      <c r="C5" s="11" t="s">
        <v>769</v>
      </c>
      <c r="D5" s="11"/>
      <c r="E5" s="11"/>
      <c r="F5" s="11" t="s">
        <v>769</v>
      </c>
      <c r="G5" s="11"/>
      <c r="H5" s="11"/>
      <c r="I5" s="11"/>
      <c r="J5" s="11"/>
      <c r="K5" s="11"/>
      <c r="L5" s="11"/>
      <c r="M5" s="11"/>
      <c r="N5" s="11" t="s">
        <v>769</v>
      </c>
      <c r="O5" s="11" t="s">
        <v>769</v>
      </c>
      <c r="P5" s="11"/>
      <c r="Q5" s="11"/>
      <c r="R5" s="10" t="n">
        <f aca="false">COUNTIF(C5:Q5,"x")</f>
        <v>4</v>
      </c>
    </row>
    <row r="6" customFormat="false" ht="15" hidden="false" customHeight="false" outlineLevel="0" collapsed="false">
      <c r="A6" s="10" t="s">
        <v>114</v>
      </c>
      <c r="B6" s="10" t="s">
        <v>115</v>
      </c>
      <c r="C6" s="11" t="s">
        <v>769</v>
      </c>
      <c r="D6" s="11"/>
      <c r="E6" s="11"/>
      <c r="F6" s="11" t="s">
        <v>769</v>
      </c>
      <c r="G6" s="11"/>
      <c r="H6" s="11"/>
      <c r="I6" s="11"/>
      <c r="J6" s="11"/>
      <c r="K6" s="11"/>
      <c r="L6" s="11"/>
      <c r="M6" s="11" t="s">
        <v>769</v>
      </c>
      <c r="N6" s="11" t="s">
        <v>769</v>
      </c>
      <c r="O6" s="11" t="s">
        <v>769</v>
      </c>
      <c r="P6" s="11"/>
      <c r="Q6" s="11" t="s">
        <v>769</v>
      </c>
      <c r="R6" s="10" t="n">
        <f aca="false">COUNTIF(C6:Q6,"x")</f>
        <v>6</v>
      </c>
    </row>
    <row r="7" customFormat="false" ht="15" hidden="false" customHeight="false" outlineLevel="0" collapsed="false">
      <c r="A7" s="10" t="s">
        <v>125</v>
      </c>
      <c r="B7" s="10" t="s">
        <v>126</v>
      </c>
      <c r="C7" s="11" t="s">
        <v>769</v>
      </c>
      <c r="D7" s="11"/>
      <c r="E7" s="11" t="s">
        <v>769</v>
      </c>
      <c r="F7" s="11" t="s">
        <v>769</v>
      </c>
      <c r="G7" s="11"/>
      <c r="H7" s="11" t="s">
        <v>769</v>
      </c>
      <c r="I7" s="11"/>
      <c r="J7" s="11"/>
      <c r="K7" s="11"/>
      <c r="L7" s="11"/>
      <c r="M7" s="11" t="s">
        <v>769</v>
      </c>
      <c r="N7" s="11" t="s">
        <v>769</v>
      </c>
      <c r="O7" s="11" t="s">
        <v>769</v>
      </c>
      <c r="P7" s="11"/>
      <c r="Q7" s="11" t="s">
        <v>769</v>
      </c>
      <c r="R7" s="10" t="n">
        <f aca="false">COUNTIF(C7:Q7,"x")</f>
        <v>8</v>
      </c>
    </row>
    <row r="8" customFormat="false" ht="15" hidden="false" customHeight="false" outlineLevel="0" collapsed="false">
      <c r="A8" s="10" t="s">
        <v>150</v>
      </c>
      <c r="B8" s="10" t="s">
        <v>151</v>
      </c>
      <c r="C8" s="11" t="s">
        <v>769</v>
      </c>
      <c r="D8" s="11"/>
      <c r="E8" s="11" t="s">
        <v>769</v>
      </c>
      <c r="F8" s="11" t="s">
        <v>769</v>
      </c>
      <c r="G8" s="11"/>
      <c r="H8" s="11" t="s">
        <v>769</v>
      </c>
      <c r="I8" s="11"/>
      <c r="J8" s="11"/>
      <c r="K8" s="11"/>
      <c r="L8" s="11"/>
      <c r="M8" s="11" t="s">
        <v>769</v>
      </c>
      <c r="N8" s="11" t="s">
        <v>769</v>
      </c>
      <c r="O8" s="11" t="s">
        <v>769</v>
      </c>
      <c r="P8" s="11"/>
      <c r="Q8" s="11" t="s">
        <v>769</v>
      </c>
      <c r="R8" s="10" t="n">
        <f aca="false">COUNTIF(C8:Q8,"x")</f>
        <v>8</v>
      </c>
    </row>
    <row r="9" customFormat="false" ht="15" hidden="false" customHeight="false" outlineLevel="0" collapsed="false">
      <c r="A9" s="10" t="s">
        <v>162</v>
      </c>
      <c r="B9" s="10" t="s">
        <v>163</v>
      </c>
      <c r="C9" s="11" t="s">
        <v>769</v>
      </c>
      <c r="D9" s="11"/>
      <c r="E9" s="11" t="s">
        <v>769</v>
      </c>
      <c r="F9" s="11" t="s">
        <v>769</v>
      </c>
      <c r="G9" s="11"/>
      <c r="H9" s="11" t="s">
        <v>769</v>
      </c>
      <c r="I9" s="11"/>
      <c r="J9" s="11"/>
      <c r="K9" s="11"/>
      <c r="L9" s="11"/>
      <c r="M9" s="11" t="s">
        <v>769</v>
      </c>
      <c r="N9" s="11" t="s">
        <v>769</v>
      </c>
      <c r="O9" s="11" t="s">
        <v>769</v>
      </c>
      <c r="P9" s="11"/>
      <c r="Q9" s="11" t="s">
        <v>769</v>
      </c>
      <c r="R9" s="10" t="n">
        <f aca="false">COUNTIF(C9:Q9,"x")</f>
        <v>8</v>
      </c>
    </row>
    <row r="10" customFormat="false" ht="15" hidden="false" customHeight="false" outlineLevel="0" collapsed="false">
      <c r="A10" s="10" t="s">
        <v>173</v>
      </c>
      <c r="B10" s="10" t="s">
        <v>174</v>
      </c>
      <c r="C10" s="11" t="s">
        <v>769</v>
      </c>
      <c r="D10" s="11"/>
      <c r="E10" s="11" t="s">
        <v>769</v>
      </c>
      <c r="F10" s="11" t="s">
        <v>769</v>
      </c>
      <c r="G10" s="11"/>
      <c r="H10" s="11" t="s">
        <v>769</v>
      </c>
      <c r="I10" s="11"/>
      <c r="J10" s="11"/>
      <c r="K10" s="11"/>
      <c r="L10" s="11"/>
      <c r="M10" s="11" t="s">
        <v>769</v>
      </c>
      <c r="N10" s="11" t="s">
        <v>769</v>
      </c>
      <c r="O10" s="11" t="s">
        <v>769</v>
      </c>
      <c r="P10" s="11"/>
      <c r="Q10" s="11" t="s">
        <v>769</v>
      </c>
      <c r="R10" s="10" t="n">
        <f aca="false">COUNTIF(C10:Q10,"x")</f>
        <v>8</v>
      </c>
    </row>
    <row r="11" customFormat="false" ht="15" hidden="false" customHeight="false" outlineLevel="0" collapsed="false">
      <c r="A11" s="10" t="s">
        <v>184</v>
      </c>
      <c r="B11" s="10" t="s">
        <v>185</v>
      </c>
      <c r="C11" s="11" t="s">
        <v>769</v>
      </c>
      <c r="D11" s="11"/>
      <c r="E11" s="11" t="s">
        <v>769</v>
      </c>
      <c r="F11" s="11" t="s">
        <v>769</v>
      </c>
      <c r="G11" s="11"/>
      <c r="H11" s="11" t="s">
        <v>769</v>
      </c>
      <c r="I11" s="11"/>
      <c r="J11" s="11"/>
      <c r="K11" s="11"/>
      <c r="L11" s="11"/>
      <c r="M11" s="11" t="s">
        <v>769</v>
      </c>
      <c r="N11" s="11" t="s">
        <v>769</v>
      </c>
      <c r="O11" s="11" t="s">
        <v>769</v>
      </c>
      <c r="P11" s="11"/>
      <c r="Q11" s="11" t="s">
        <v>769</v>
      </c>
      <c r="R11" s="10" t="n">
        <f aca="false">COUNTIF(C11:Q11,"x")</f>
        <v>8</v>
      </c>
    </row>
    <row r="12" customFormat="false" ht="15" hidden="false" customHeight="false" outlineLevel="0" collapsed="false">
      <c r="A12" s="10" t="s">
        <v>195</v>
      </c>
      <c r="B12" s="10" t="s">
        <v>196</v>
      </c>
      <c r="C12" s="11" t="s">
        <v>769</v>
      </c>
      <c r="D12" s="11"/>
      <c r="E12" s="11" t="s">
        <v>769</v>
      </c>
      <c r="F12" s="11" t="s">
        <v>769</v>
      </c>
      <c r="G12" s="11"/>
      <c r="H12" s="11" t="s">
        <v>769</v>
      </c>
      <c r="I12" s="11"/>
      <c r="J12" s="11"/>
      <c r="K12" s="11"/>
      <c r="L12" s="11"/>
      <c r="M12" s="11" t="s">
        <v>769</v>
      </c>
      <c r="N12" s="11" t="s">
        <v>769</v>
      </c>
      <c r="O12" s="11" t="s">
        <v>769</v>
      </c>
      <c r="P12" s="11"/>
      <c r="Q12" s="11" t="s">
        <v>769</v>
      </c>
      <c r="R12" s="10" t="n">
        <f aca="false">COUNTIF(C12:Q12,"x")</f>
        <v>8</v>
      </c>
    </row>
    <row r="13" customFormat="false" ht="15" hidden="false" customHeight="false" outlineLevel="0" collapsed="false">
      <c r="A13" s="10" t="s">
        <v>218</v>
      </c>
      <c r="B13" s="10" t="s">
        <v>219</v>
      </c>
      <c r="C13" s="11" t="s">
        <v>769</v>
      </c>
      <c r="D13" s="11"/>
      <c r="E13" s="11" t="s">
        <v>769</v>
      </c>
      <c r="F13" s="11" t="s">
        <v>769</v>
      </c>
      <c r="G13" s="11"/>
      <c r="H13" s="11" t="s">
        <v>769</v>
      </c>
      <c r="I13" s="11"/>
      <c r="J13" s="11"/>
      <c r="K13" s="11"/>
      <c r="L13" s="11"/>
      <c r="M13" s="11" t="s">
        <v>769</v>
      </c>
      <c r="N13" s="11" t="s">
        <v>769</v>
      </c>
      <c r="O13" s="11" t="s">
        <v>769</v>
      </c>
      <c r="P13" s="11"/>
      <c r="Q13" s="11" t="s">
        <v>769</v>
      </c>
      <c r="R13" s="10" t="n">
        <f aca="false">COUNTIF(C13:Q13,"x")</f>
        <v>8</v>
      </c>
    </row>
    <row r="14" customFormat="false" ht="15" hidden="false" customHeight="false" outlineLevel="0" collapsed="false">
      <c r="A14" s="10" t="s">
        <v>231</v>
      </c>
      <c r="B14" s="10" t="s">
        <v>232</v>
      </c>
      <c r="C14" s="11"/>
      <c r="D14" s="11"/>
      <c r="E14" s="11" t="s">
        <v>769</v>
      </c>
      <c r="F14" s="11" t="s">
        <v>769</v>
      </c>
      <c r="G14" s="11"/>
      <c r="H14" s="11" t="s">
        <v>769</v>
      </c>
      <c r="I14" s="11"/>
      <c r="J14" s="11"/>
      <c r="K14" s="11"/>
      <c r="L14" s="11"/>
      <c r="M14" s="11" t="s">
        <v>769</v>
      </c>
      <c r="N14" s="11" t="s">
        <v>769</v>
      </c>
      <c r="O14" s="11" t="s">
        <v>769</v>
      </c>
      <c r="P14" s="11"/>
      <c r="Q14" s="11" t="s">
        <v>769</v>
      </c>
      <c r="R14" s="10" t="n">
        <f aca="false">COUNTIF(C14:Q14,"x")</f>
        <v>7</v>
      </c>
    </row>
    <row r="15" customFormat="false" ht="15" hidden="false" customHeight="false" outlineLevel="0" collapsed="false">
      <c r="A15" s="10" t="s">
        <v>244</v>
      </c>
      <c r="B15" s="10" t="s">
        <v>245</v>
      </c>
      <c r="C15" s="11"/>
      <c r="D15" s="11"/>
      <c r="E15" s="11" t="s">
        <v>769</v>
      </c>
      <c r="F15" s="11" t="s">
        <v>769</v>
      </c>
      <c r="G15" s="11"/>
      <c r="H15" s="11" t="s">
        <v>769</v>
      </c>
      <c r="I15" s="11" t="s">
        <v>769</v>
      </c>
      <c r="J15" s="11"/>
      <c r="K15" s="11"/>
      <c r="L15" s="11"/>
      <c r="M15" s="11" t="s">
        <v>769</v>
      </c>
      <c r="N15" s="11" t="s">
        <v>769</v>
      </c>
      <c r="O15" s="11" t="s">
        <v>769</v>
      </c>
      <c r="P15" s="11"/>
      <c r="Q15" s="11" t="s">
        <v>769</v>
      </c>
      <c r="R15" s="10" t="n">
        <f aca="false">COUNTIF(C15:Q15,"x")</f>
        <v>8</v>
      </c>
    </row>
    <row r="16" customFormat="false" ht="15" hidden="false" customHeight="false" outlineLevel="0" collapsed="false">
      <c r="A16" s="10" t="s">
        <v>258</v>
      </c>
      <c r="B16" s="10" t="s">
        <v>259</v>
      </c>
      <c r="C16" s="11"/>
      <c r="D16" s="11"/>
      <c r="E16" s="11" t="s">
        <v>769</v>
      </c>
      <c r="F16" s="11" t="s">
        <v>769</v>
      </c>
      <c r="G16" s="11"/>
      <c r="H16" s="11" t="s">
        <v>769</v>
      </c>
      <c r="I16" s="11"/>
      <c r="J16" s="11"/>
      <c r="K16" s="11"/>
      <c r="L16" s="11"/>
      <c r="M16" s="11" t="s">
        <v>769</v>
      </c>
      <c r="N16" s="11" t="s">
        <v>769</v>
      </c>
      <c r="O16" s="11" t="s">
        <v>769</v>
      </c>
      <c r="P16" s="11"/>
      <c r="Q16" s="11" t="s">
        <v>769</v>
      </c>
      <c r="R16" s="10" t="n">
        <f aca="false">COUNTIF(C16:Q16,"x")</f>
        <v>7</v>
      </c>
    </row>
    <row r="17" customFormat="false" ht="15" hidden="false" customHeight="false" outlineLevel="0" collapsed="false">
      <c r="A17" s="10" t="s">
        <v>270</v>
      </c>
      <c r="B17" s="10" t="s">
        <v>271</v>
      </c>
      <c r="C17" s="11"/>
      <c r="D17" s="11"/>
      <c r="E17" s="11" t="s">
        <v>769</v>
      </c>
      <c r="F17" s="11" t="s">
        <v>769</v>
      </c>
      <c r="G17" s="11" t="s">
        <v>769</v>
      </c>
      <c r="H17" s="11"/>
      <c r="I17" s="11"/>
      <c r="J17" s="11"/>
      <c r="K17" s="11"/>
      <c r="L17" s="11"/>
      <c r="M17" s="11" t="s">
        <v>769</v>
      </c>
      <c r="N17" s="11" t="s">
        <v>769</v>
      </c>
      <c r="O17" s="11" t="s">
        <v>769</v>
      </c>
      <c r="P17" s="11"/>
      <c r="Q17" s="11" t="s">
        <v>769</v>
      </c>
      <c r="R17" s="10" t="n">
        <f aca="false">COUNTIF(C17:Q17,"x")</f>
        <v>7</v>
      </c>
    </row>
    <row r="18" customFormat="false" ht="15" hidden="false" customHeight="false" outlineLevel="0" collapsed="false">
      <c r="A18" s="10" t="s">
        <v>298</v>
      </c>
      <c r="B18" s="10" t="s">
        <v>299</v>
      </c>
      <c r="C18" s="11"/>
      <c r="D18" s="11"/>
      <c r="E18" s="11" t="s">
        <v>769</v>
      </c>
      <c r="F18" s="11" t="s">
        <v>769</v>
      </c>
      <c r="G18" s="11" t="s">
        <v>769</v>
      </c>
      <c r="H18" s="11"/>
      <c r="I18" s="11" t="s">
        <v>769</v>
      </c>
      <c r="J18" s="11"/>
      <c r="K18" s="11"/>
      <c r="L18" s="11"/>
      <c r="M18" s="11" t="s">
        <v>769</v>
      </c>
      <c r="N18" s="11" t="s">
        <v>769</v>
      </c>
      <c r="O18" s="11" t="s">
        <v>769</v>
      </c>
      <c r="P18" s="11"/>
      <c r="Q18" s="11" t="s">
        <v>769</v>
      </c>
      <c r="R18" s="10" t="n">
        <f aca="false">COUNTIF(C18:Q18,"x")</f>
        <v>8</v>
      </c>
    </row>
    <row r="19" customFormat="false" ht="15" hidden="false" customHeight="false" outlineLevel="0" collapsed="false">
      <c r="A19" s="10" t="s">
        <v>316</v>
      </c>
      <c r="B19" s="10" t="s">
        <v>317</v>
      </c>
      <c r="C19" s="11"/>
      <c r="D19" s="11"/>
      <c r="E19" s="11" t="s">
        <v>769</v>
      </c>
      <c r="F19" s="11" t="s">
        <v>769</v>
      </c>
      <c r="G19" s="11" t="s">
        <v>769</v>
      </c>
      <c r="H19" s="11"/>
      <c r="I19" s="11"/>
      <c r="J19" s="11"/>
      <c r="K19" s="11"/>
      <c r="L19" s="11"/>
      <c r="M19" s="11" t="s">
        <v>769</v>
      </c>
      <c r="N19" s="11" t="s">
        <v>769</v>
      </c>
      <c r="O19" s="11" t="s">
        <v>769</v>
      </c>
      <c r="P19" s="11"/>
      <c r="Q19" s="11" t="s">
        <v>769</v>
      </c>
      <c r="R19" s="10" t="n">
        <f aca="false">COUNTIF(C19:Q19,"x")</f>
        <v>7</v>
      </c>
    </row>
    <row r="20" customFormat="false" ht="15" hidden="false" customHeight="false" outlineLevel="0" collapsed="false">
      <c r="A20" s="10" t="s">
        <v>327</v>
      </c>
      <c r="B20" s="10" t="s">
        <v>328</v>
      </c>
      <c r="C20" s="11" t="s">
        <v>769</v>
      </c>
      <c r="D20" s="11" t="s">
        <v>769</v>
      </c>
      <c r="E20" s="11" t="s">
        <v>769</v>
      </c>
      <c r="F20" s="11" t="s">
        <v>769</v>
      </c>
      <c r="G20" s="11" t="s">
        <v>769</v>
      </c>
      <c r="H20" s="11"/>
      <c r="I20" s="11"/>
      <c r="J20" s="11"/>
      <c r="K20" s="11"/>
      <c r="L20" s="11"/>
      <c r="M20" s="11"/>
      <c r="N20" s="11" t="s">
        <v>769</v>
      </c>
      <c r="O20" s="11" t="s">
        <v>769</v>
      </c>
      <c r="P20" s="11"/>
      <c r="Q20" s="11" t="s">
        <v>769</v>
      </c>
      <c r="R20" s="10" t="n">
        <f aca="false">COUNTIF(C20:Q20,"x")</f>
        <v>8</v>
      </c>
    </row>
    <row r="21" customFormat="false" ht="15" hidden="false" customHeight="false" outlineLevel="0" collapsed="false">
      <c r="A21" s="10" t="s">
        <v>337</v>
      </c>
      <c r="B21" s="10" t="s">
        <v>338</v>
      </c>
      <c r="C21" s="11"/>
      <c r="D21" s="11"/>
      <c r="E21" s="11" t="s">
        <v>769</v>
      </c>
      <c r="F21" s="11" t="s">
        <v>769</v>
      </c>
      <c r="G21" s="11"/>
      <c r="H21" s="11"/>
      <c r="I21" s="11"/>
      <c r="J21" s="11"/>
      <c r="K21" s="11"/>
      <c r="L21" s="11"/>
      <c r="M21" s="11"/>
      <c r="N21" s="11" t="s">
        <v>769</v>
      </c>
      <c r="O21" s="11" t="s">
        <v>769</v>
      </c>
      <c r="P21" s="11"/>
      <c r="Q21" s="11"/>
      <c r="R21" s="10" t="n">
        <f aca="false">COUNTIF(C21:Q21,"x")</f>
        <v>4</v>
      </c>
    </row>
    <row r="22" customFormat="false" ht="15" hidden="false" customHeight="false" outlineLevel="0" collapsed="false">
      <c r="A22" s="10" t="s">
        <v>348</v>
      </c>
      <c r="B22" s="10" t="s">
        <v>349</v>
      </c>
      <c r="C22" s="11"/>
      <c r="D22" s="11"/>
      <c r="E22" s="11" t="s">
        <v>769</v>
      </c>
      <c r="F22" s="11" t="s">
        <v>769</v>
      </c>
      <c r="G22" s="11"/>
      <c r="H22" s="11"/>
      <c r="I22" s="11"/>
      <c r="J22" s="11"/>
      <c r="K22" s="11"/>
      <c r="L22" s="11" t="s">
        <v>769</v>
      </c>
      <c r="M22" s="11"/>
      <c r="N22" s="11"/>
      <c r="O22" s="11"/>
      <c r="P22" s="11" t="s">
        <v>769</v>
      </c>
      <c r="Q22" s="11"/>
      <c r="R22" s="10" t="n">
        <f aca="false">COUNTIF(C22:Q22,"x")</f>
        <v>4</v>
      </c>
    </row>
    <row r="23" customFormat="false" ht="15" hidden="false" customHeight="false" outlineLevel="0" collapsed="false">
      <c r="A23" s="10" t="s">
        <v>370</v>
      </c>
      <c r="B23" s="10" t="s">
        <v>371</v>
      </c>
      <c r="C23" s="11"/>
      <c r="D23" s="11"/>
      <c r="E23" s="11"/>
      <c r="F23" s="11" t="s">
        <v>769</v>
      </c>
      <c r="G23" s="11" t="s">
        <v>769</v>
      </c>
      <c r="H23" s="11"/>
      <c r="I23" s="11"/>
      <c r="J23" s="11"/>
      <c r="K23" s="11"/>
      <c r="L23" s="11" t="s">
        <v>769</v>
      </c>
      <c r="M23" s="11"/>
      <c r="N23" s="11"/>
      <c r="O23" s="11"/>
      <c r="P23" s="11"/>
      <c r="Q23" s="11"/>
      <c r="R23" s="10" t="n">
        <f aca="false">COUNTIF(C23:Q23,"x")</f>
        <v>3</v>
      </c>
    </row>
    <row r="24" customFormat="false" ht="15" hidden="false" customHeight="false" outlineLevel="0" collapsed="false">
      <c r="A24" s="10" t="s">
        <v>392</v>
      </c>
      <c r="B24" s="10" t="s">
        <v>393</v>
      </c>
      <c r="C24" s="11"/>
      <c r="D24" s="11"/>
      <c r="E24" s="11"/>
      <c r="F24" s="11"/>
      <c r="G24" s="11" t="s">
        <v>769</v>
      </c>
      <c r="H24" s="11"/>
      <c r="I24" s="11"/>
      <c r="J24" s="11"/>
      <c r="K24" s="11"/>
      <c r="L24" s="11" t="s">
        <v>769</v>
      </c>
      <c r="M24" s="11"/>
      <c r="N24" s="11"/>
      <c r="O24" s="11"/>
      <c r="P24" s="11"/>
      <c r="Q24" s="11"/>
      <c r="R24" s="10" t="n">
        <f aca="false">COUNTIF(C24:Q24,"x")</f>
        <v>2</v>
      </c>
    </row>
    <row r="25" customFormat="false" ht="15" hidden="false" customHeight="false" outlineLevel="0" collapsed="false">
      <c r="A25" s="10" t="s">
        <v>413</v>
      </c>
      <c r="B25" s="10" t="s">
        <v>414</v>
      </c>
      <c r="C25" s="11" t="s">
        <v>769</v>
      </c>
      <c r="D25" s="11" t="s">
        <v>769</v>
      </c>
      <c r="E25" s="11"/>
      <c r="F25" s="11"/>
      <c r="G25" s="11" t="s">
        <v>769</v>
      </c>
      <c r="H25" s="11"/>
      <c r="I25" s="11"/>
      <c r="J25" s="11"/>
      <c r="K25" s="11"/>
      <c r="L25" s="11" t="s">
        <v>769</v>
      </c>
      <c r="M25" s="11"/>
      <c r="N25" s="11"/>
      <c r="O25" s="11"/>
      <c r="P25" s="11"/>
      <c r="Q25" s="11"/>
      <c r="R25" s="10" t="n">
        <f aca="false">COUNTIF(C25:Q25,"x")</f>
        <v>4</v>
      </c>
    </row>
    <row r="26" customFormat="false" ht="15" hidden="false" customHeight="false" outlineLevel="0" collapsed="false">
      <c r="A26" s="10" t="s">
        <v>432</v>
      </c>
      <c r="B26" s="10" t="s">
        <v>433</v>
      </c>
      <c r="C26" s="11" t="s">
        <v>769</v>
      </c>
      <c r="D26" s="11" t="s">
        <v>769</v>
      </c>
      <c r="E26" s="11"/>
      <c r="F26" s="11" t="s">
        <v>769</v>
      </c>
      <c r="G26" s="11" t="s">
        <v>769</v>
      </c>
      <c r="H26" s="11"/>
      <c r="I26" s="11"/>
      <c r="J26" s="11"/>
      <c r="K26" s="11"/>
      <c r="L26" s="11" t="s">
        <v>769</v>
      </c>
      <c r="M26" s="11"/>
      <c r="N26" s="11"/>
      <c r="O26" s="11"/>
      <c r="P26" s="11"/>
      <c r="Q26" s="11"/>
      <c r="R26" s="10" t="n">
        <f aca="false">COUNTIF(C26:Q26,"x")</f>
        <v>5</v>
      </c>
    </row>
    <row r="27" customFormat="false" ht="15" hidden="false" customHeight="false" outlineLevel="0" collapsed="false">
      <c r="A27" s="10" t="s">
        <v>446</v>
      </c>
      <c r="B27" s="10" t="s">
        <v>447</v>
      </c>
      <c r="C27" s="11"/>
      <c r="D27" s="11" t="s">
        <v>769</v>
      </c>
      <c r="E27" s="11"/>
      <c r="F27" s="11" t="s">
        <v>769</v>
      </c>
      <c r="G27" s="11" t="s">
        <v>769</v>
      </c>
      <c r="H27" s="11"/>
      <c r="I27" s="11"/>
      <c r="J27" s="11"/>
      <c r="K27" s="11"/>
      <c r="L27" s="11"/>
      <c r="M27" s="11"/>
      <c r="N27" s="11"/>
      <c r="O27" s="11" t="s">
        <v>769</v>
      </c>
      <c r="P27" s="11"/>
      <c r="Q27" s="11"/>
      <c r="R27" s="10" t="n">
        <f aca="false">COUNTIF(C27:Q27,"x")</f>
        <v>4</v>
      </c>
    </row>
    <row r="28" customFormat="false" ht="15" hidden="false" customHeight="false" outlineLevel="0" collapsed="false">
      <c r="A28" s="10" t="s">
        <v>463</v>
      </c>
      <c r="B28" s="10" t="s">
        <v>464</v>
      </c>
      <c r="C28" s="11"/>
      <c r="D28" s="11"/>
      <c r="E28" s="11" t="s">
        <v>769</v>
      </c>
      <c r="F28" s="11" t="s">
        <v>769</v>
      </c>
      <c r="G28" s="11"/>
      <c r="H28" s="11"/>
      <c r="I28" s="11"/>
      <c r="J28" s="11" t="s">
        <v>769</v>
      </c>
      <c r="K28" s="11"/>
      <c r="L28" s="11"/>
      <c r="M28" s="11"/>
      <c r="N28" s="11"/>
      <c r="O28" s="11"/>
      <c r="P28" s="11"/>
      <c r="Q28" s="11"/>
      <c r="R28" s="10" t="n">
        <f aca="false">COUNTIF(C28:Q28,"x")</f>
        <v>3</v>
      </c>
    </row>
    <row r="29" customFormat="false" ht="15" hidden="false" customHeight="false" outlineLevel="0" collapsed="false">
      <c r="A29" s="10" t="s">
        <v>480</v>
      </c>
      <c r="B29" s="10" t="s">
        <v>481</v>
      </c>
      <c r="C29" s="11"/>
      <c r="D29" s="11"/>
      <c r="E29" s="11"/>
      <c r="F29" s="11"/>
      <c r="G29" s="11"/>
      <c r="H29" s="11"/>
      <c r="I29" s="11"/>
      <c r="J29" s="11"/>
      <c r="K29" s="11"/>
      <c r="L29" s="11"/>
      <c r="M29" s="11"/>
      <c r="N29" s="11"/>
      <c r="O29" s="11"/>
      <c r="P29" s="11" t="s">
        <v>769</v>
      </c>
      <c r="Q29" s="11"/>
      <c r="R29" s="10" t="n">
        <f aca="false">COUNTIF(C29:Q29,"x")</f>
        <v>1</v>
      </c>
    </row>
    <row r="30" customFormat="false" ht="15" hidden="false" customHeight="false" outlineLevel="0" collapsed="false">
      <c r="A30" s="10" t="s">
        <v>505</v>
      </c>
      <c r="B30" s="10" t="s">
        <v>506</v>
      </c>
      <c r="C30" s="11"/>
      <c r="D30" s="11"/>
      <c r="E30" s="11"/>
      <c r="F30" s="11"/>
      <c r="G30" s="11"/>
      <c r="H30" s="11"/>
      <c r="I30" s="11"/>
      <c r="J30" s="11"/>
      <c r="K30" s="11"/>
      <c r="L30" s="11"/>
      <c r="M30" s="11"/>
      <c r="N30" s="11"/>
      <c r="O30" s="11"/>
      <c r="P30" s="11" t="s">
        <v>769</v>
      </c>
      <c r="Q30" s="11"/>
      <c r="R30" s="10" t="n">
        <f aca="false">COUNTIF(C30:Q30,"x")</f>
        <v>1</v>
      </c>
    </row>
    <row r="31" customFormat="false" ht="15" hidden="false" customHeight="false" outlineLevel="0" collapsed="false">
      <c r="A31" s="10" t="s">
        <v>531</v>
      </c>
      <c r="B31" s="10" t="s">
        <v>532</v>
      </c>
      <c r="C31" s="11"/>
      <c r="D31" s="11"/>
      <c r="E31" s="11"/>
      <c r="F31" s="11"/>
      <c r="G31" s="11"/>
      <c r="H31" s="11"/>
      <c r="I31" s="11"/>
      <c r="J31" s="11"/>
      <c r="K31" s="11"/>
      <c r="L31" s="11" t="s">
        <v>769</v>
      </c>
      <c r="M31" s="11"/>
      <c r="N31" s="11"/>
      <c r="O31" s="11"/>
      <c r="P31" s="11"/>
      <c r="Q31" s="11"/>
      <c r="R31" s="10" t="n">
        <f aca="false">COUNTIF(C31:Q31,"x")</f>
        <v>1</v>
      </c>
    </row>
    <row r="32" customFormat="false" ht="15" hidden="false" customHeight="false" outlineLevel="0" collapsed="false">
      <c r="A32" s="10" t="s">
        <v>550</v>
      </c>
      <c r="B32" s="10" t="s">
        <v>551</v>
      </c>
      <c r="C32" s="11"/>
      <c r="D32" s="11" t="s">
        <v>769</v>
      </c>
      <c r="E32" s="11"/>
      <c r="F32" s="11"/>
      <c r="G32" s="11"/>
      <c r="H32" s="11"/>
      <c r="I32" s="11"/>
      <c r="J32" s="11"/>
      <c r="K32" s="11"/>
      <c r="L32" s="11" t="s">
        <v>769</v>
      </c>
      <c r="M32" s="11"/>
      <c r="N32" s="11"/>
      <c r="O32" s="11"/>
      <c r="P32" s="11"/>
      <c r="Q32" s="11"/>
      <c r="R32" s="10" t="n">
        <f aca="false">COUNTIF(C32:Q32,"x")</f>
        <v>2</v>
      </c>
    </row>
    <row r="33" customFormat="false" ht="15" hidden="false" customHeight="false" outlineLevel="0" collapsed="false">
      <c r="A33" s="10" t="s">
        <v>572</v>
      </c>
      <c r="B33" s="10" t="s">
        <v>573</v>
      </c>
      <c r="C33" s="11"/>
      <c r="D33" s="11"/>
      <c r="E33" s="11" t="s">
        <v>769</v>
      </c>
      <c r="F33" s="11" t="s">
        <v>769</v>
      </c>
      <c r="G33" s="11"/>
      <c r="H33" s="11"/>
      <c r="I33" s="11"/>
      <c r="J33" s="11"/>
      <c r="K33" s="11"/>
      <c r="L33" s="11"/>
      <c r="M33" s="11"/>
      <c r="N33" s="11"/>
      <c r="O33" s="11"/>
      <c r="P33" s="11"/>
      <c r="Q33" s="11"/>
      <c r="R33" s="10" t="n">
        <f aca="false">COUNTIF(C33:Q33,"x")</f>
        <v>2</v>
      </c>
    </row>
    <row r="34" customFormat="false" ht="15" hidden="false" customHeight="false" outlineLevel="0" collapsed="false">
      <c r="A34" s="10" t="s">
        <v>591</v>
      </c>
      <c r="B34" s="10" t="s">
        <v>592</v>
      </c>
      <c r="C34" s="11"/>
      <c r="D34" s="11"/>
      <c r="E34" s="11"/>
      <c r="F34" s="11"/>
      <c r="G34" s="11"/>
      <c r="H34" s="11"/>
      <c r="I34" s="11"/>
      <c r="J34" s="11"/>
      <c r="K34" s="11"/>
      <c r="L34" s="11"/>
      <c r="M34" s="11"/>
      <c r="N34" s="11"/>
      <c r="O34" s="11"/>
      <c r="P34" s="11"/>
      <c r="Q34" s="11"/>
      <c r="R34" s="10" t="n">
        <f aca="false">COUNTIF(C34:Q34,"x")</f>
        <v>0</v>
      </c>
    </row>
    <row r="35" customFormat="false" ht="15" hidden="false" customHeight="false" outlineLevel="0" collapsed="false">
      <c r="A35" s="10" t="s">
        <v>606</v>
      </c>
      <c r="B35" s="10" t="s">
        <v>607</v>
      </c>
      <c r="C35" s="11"/>
      <c r="D35" s="11"/>
      <c r="E35" s="11"/>
      <c r="F35" s="11"/>
      <c r="G35" s="11"/>
      <c r="H35" s="11"/>
      <c r="I35" s="11"/>
      <c r="J35" s="11"/>
      <c r="K35" s="11"/>
      <c r="L35" s="11"/>
      <c r="M35" s="11"/>
      <c r="N35" s="11"/>
      <c r="O35" s="11"/>
      <c r="P35" s="11"/>
      <c r="Q35" s="11"/>
      <c r="R35" s="10" t="n">
        <f aca="false">COUNTIF(C35:Q35,"x")</f>
        <v>0</v>
      </c>
    </row>
    <row r="36" customFormat="false" ht="15" hidden="false" customHeight="false" outlineLevel="0" collapsed="false">
      <c r="A36" s="10" t="s">
        <v>619</v>
      </c>
      <c r="B36" s="10" t="s">
        <v>620</v>
      </c>
      <c r="C36" s="11"/>
      <c r="D36" s="11"/>
      <c r="E36" s="11"/>
      <c r="F36" s="11"/>
      <c r="G36" s="11"/>
      <c r="H36" s="11"/>
      <c r="I36" s="11"/>
      <c r="J36" s="11"/>
      <c r="K36" s="11"/>
      <c r="L36" s="11"/>
      <c r="M36" s="11"/>
      <c r="N36" s="11"/>
      <c r="O36" s="11"/>
      <c r="P36" s="11"/>
      <c r="Q36" s="11"/>
      <c r="R36" s="10" t="n">
        <f aca="false">COUNTIF(C36:Q36,"x")</f>
        <v>0</v>
      </c>
    </row>
    <row r="37" customFormat="false" ht="15" hidden="false" customHeight="false" outlineLevel="0" collapsed="false">
      <c r="A37" s="10" t="s">
        <v>633</v>
      </c>
      <c r="B37" s="10" t="s">
        <v>634</v>
      </c>
      <c r="C37" s="11"/>
      <c r="D37" s="11"/>
      <c r="E37" s="11"/>
      <c r="F37" s="11" t="s">
        <v>769</v>
      </c>
      <c r="G37" s="11"/>
      <c r="H37" s="11" t="s">
        <v>769</v>
      </c>
      <c r="I37" s="11"/>
      <c r="J37" s="11"/>
      <c r="K37" s="11" t="s">
        <v>769</v>
      </c>
      <c r="L37" s="11" t="s">
        <v>769</v>
      </c>
      <c r="M37" s="11"/>
      <c r="N37" s="11"/>
      <c r="O37" s="11"/>
      <c r="P37" s="11"/>
      <c r="Q37" s="11"/>
      <c r="R37" s="10" t="n">
        <f aca="false">COUNTIF(C37:Q37,"x")</f>
        <v>4</v>
      </c>
    </row>
    <row r="38" customFormat="false" ht="15" hidden="false" customHeight="false" outlineLevel="0" collapsed="false">
      <c r="A38" s="10" t="s">
        <v>655</v>
      </c>
      <c r="B38" s="10" t="s">
        <v>656</v>
      </c>
      <c r="C38" s="11"/>
      <c r="D38" s="11"/>
      <c r="E38" s="11"/>
      <c r="F38" s="11"/>
      <c r="G38" s="11"/>
      <c r="H38" s="11" t="s">
        <v>769</v>
      </c>
      <c r="I38" s="11"/>
      <c r="J38" s="11"/>
      <c r="K38" s="11" t="s">
        <v>769</v>
      </c>
      <c r="L38" s="11" t="s">
        <v>769</v>
      </c>
      <c r="M38" s="11"/>
      <c r="N38" s="11"/>
      <c r="O38" s="11"/>
      <c r="P38" s="11"/>
      <c r="Q38" s="11"/>
      <c r="R38" s="10" t="n">
        <f aca="false">COUNTIF(C38:Q38,"x")</f>
        <v>3</v>
      </c>
    </row>
    <row r="39" customFormat="false" ht="15" hidden="false" customHeight="false" outlineLevel="0" collapsed="false">
      <c r="A39" s="10" t="s">
        <v>678</v>
      </c>
      <c r="B39" s="10" t="s">
        <v>679</v>
      </c>
      <c r="C39" s="11"/>
      <c r="D39" s="11"/>
      <c r="E39" s="11"/>
      <c r="F39" s="11"/>
      <c r="G39" s="11"/>
      <c r="H39" s="11"/>
      <c r="I39" s="11"/>
      <c r="J39" s="11"/>
      <c r="K39" s="11"/>
      <c r="L39" s="11" t="s">
        <v>769</v>
      </c>
      <c r="M39" s="11"/>
      <c r="N39" s="11"/>
      <c r="O39" s="11"/>
      <c r="P39" s="11"/>
      <c r="Q39" s="11" t="s">
        <v>769</v>
      </c>
      <c r="R39" s="10" t="n">
        <f aca="false">COUNTIF(C39:Q39,"x")</f>
        <v>2</v>
      </c>
    </row>
    <row r="40" customFormat="false" ht="15" hidden="false" customHeight="false" outlineLevel="0" collapsed="false">
      <c r="A40" s="10" t="s">
        <v>694</v>
      </c>
      <c r="B40" s="10" t="s">
        <v>695</v>
      </c>
      <c r="C40" s="11"/>
      <c r="D40" s="11"/>
      <c r="E40" s="11"/>
      <c r="F40" s="11" t="s">
        <v>769</v>
      </c>
      <c r="G40" s="11"/>
      <c r="H40" s="11"/>
      <c r="I40" s="11"/>
      <c r="J40" s="11"/>
      <c r="K40" s="11"/>
      <c r="L40" s="11" t="s">
        <v>769</v>
      </c>
      <c r="M40" s="11"/>
      <c r="N40" s="11"/>
      <c r="O40" s="11"/>
      <c r="P40" s="11"/>
      <c r="Q40" s="11"/>
      <c r="R40" s="10" t="n">
        <f aca="false">COUNTIF(C40:Q40,"x")</f>
        <v>2</v>
      </c>
    </row>
    <row r="41" customFormat="false" ht="15" hidden="false" customHeight="false" outlineLevel="0" collapsed="false">
      <c r="A41" s="10" t="s">
        <v>713</v>
      </c>
      <c r="B41" s="10" t="s">
        <v>714</v>
      </c>
      <c r="C41" s="11"/>
      <c r="D41" s="11"/>
      <c r="E41" s="11"/>
      <c r="F41" s="11"/>
      <c r="G41" s="11"/>
      <c r="H41" s="11"/>
      <c r="I41" s="11"/>
      <c r="J41" s="11"/>
      <c r="K41" s="11"/>
      <c r="L41" s="11"/>
      <c r="M41" s="11"/>
      <c r="N41" s="11"/>
      <c r="O41" s="11"/>
      <c r="P41" s="11"/>
      <c r="Q41" s="11"/>
      <c r="R41" s="10" t="n">
        <f aca="false">COUNTIF(C41:Q41,"x")</f>
        <v>0</v>
      </c>
    </row>
    <row r="42" customFormat="false" ht="15" hidden="false" customHeight="false" outlineLevel="0" collapsed="false">
      <c r="A42" s="10" t="s">
        <v>730</v>
      </c>
      <c r="B42" s="10" t="s">
        <v>731</v>
      </c>
      <c r="C42" s="11"/>
      <c r="D42" s="11"/>
      <c r="E42" s="11"/>
      <c r="F42" s="11"/>
      <c r="G42" s="11"/>
      <c r="H42" s="11"/>
      <c r="I42" s="11"/>
      <c r="J42" s="11"/>
      <c r="K42" s="11"/>
      <c r="L42" s="11"/>
      <c r="M42" s="11"/>
      <c r="N42" s="11"/>
      <c r="O42" s="11"/>
      <c r="P42" s="11"/>
      <c r="Q42" s="11"/>
      <c r="R42" s="10" t="n">
        <f aca="false">COUNTIF(C42:Q42,"x")</f>
        <v>0</v>
      </c>
    </row>
    <row r="43" customFormat="false" ht="15" hidden="false" customHeight="false" outlineLevel="0" collapsed="false">
      <c r="B43" s="9" t="s">
        <v>770</v>
      </c>
      <c r="C43" s="9" t="n">
        <f aca="false">COUNTIF(C2:C42,"x")</f>
        <v>15</v>
      </c>
      <c r="D43" s="9" t="n">
        <f aca="false">COUNTIF(D2:D42,"x")</f>
        <v>5</v>
      </c>
      <c r="E43" s="9" t="n">
        <f aca="false">COUNTIF(E2:E42,"x")</f>
        <v>18</v>
      </c>
      <c r="F43" s="9" t="n">
        <f aca="false">COUNTIF(F2:F42,"x")</f>
        <v>28</v>
      </c>
      <c r="G43" s="9" t="n">
        <f aca="false">COUNTIF(G2:G42,"x")</f>
        <v>9</v>
      </c>
      <c r="H43" s="9" t="n">
        <f aca="false">COUNTIF(H2:H42,"x")</f>
        <v>12</v>
      </c>
      <c r="I43" s="9" t="n">
        <f aca="false">COUNTIF(I2:I42,"x")</f>
        <v>2</v>
      </c>
      <c r="J43" s="9" t="n">
        <f aca="false">COUNTIF(J2:J42,"x")</f>
        <v>1</v>
      </c>
      <c r="K43" s="9" t="n">
        <f aca="false">COUNTIF(K2:K42,"x")</f>
        <v>2</v>
      </c>
      <c r="L43" s="9" t="n">
        <f aca="false">COUNTIF(L2:L42,"x")</f>
        <v>11</v>
      </c>
      <c r="M43" s="9" t="n">
        <f aca="false">COUNTIF(M2:M42,"x")</f>
        <v>17</v>
      </c>
      <c r="N43" s="9" t="n">
        <f aca="false">COUNTIF(N2:N42,"x")</f>
        <v>20</v>
      </c>
      <c r="O43" s="9" t="n">
        <f aca="false">COUNTIF(O2:O42,"x")</f>
        <v>21</v>
      </c>
      <c r="P43" s="9" t="n">
        <f aca="false">COUNTIF(P2:P42,"x")</f>
        <v>3</v>
      </c>
      <c r="Q43" s="9" t="n">
        <f aca="false">COUNTIF(Q2:Q42,"x")</f>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6" min="3" style="0" width="16"/>
    <col collapsed="false" customWidth="true" hidden="false" outlineLevel="0" max="7" min="7" style="0" width="60"/>
    <col collapsed="false" customWidth="true" hidden="false" outlineLevel="0" max="8" min="8" style="0" width="70"/>
  </cols>
  <sheetData>
    <row r="1" customFormat="false" ht="31.5" hidden="false" customHeight="true" outlineLevel="0" collapsed="false">
      <c r="A1" s="3" t="s">
        <v>10</v>
      </c>
      <c r="B1" s="3" t="s">
        <v>11</v>
      </c>
      <c r="C1" s="3" t="s">
        <v>12</v>
      </c>
      <c r="D1" s="3" t="s">
        <v>771</v>
      </c>
      <c r="E1" s="3" t="s">
        <v>772</v>
      </c>
      <c r="F1" s="3" t="s">
        <v>773</v>
      </c>
      <c r="G1" s="3" t="s">
        <v>774</v>
      </c>
      <c r="H1" s="3" t="s">
        <v>775</v>
      </c>
    </row>
    <row r="2" customFormat="false" ht="23.85" hidden="false" customHeight="false" outlineLevel="0" collapsed="false">
      <c r="A2" s="5" t="s">
        <v>48</v>
      </c>
      <c r="B2" s="5" t="s">
        <v>49</v>
      </c>
      <c r="C2" s="5" t="s">
        <v>50</v>
      </c>
      <c r="D2" s="12" t="n">
        <v>700</v>
      </c>
      <c r="E2" s="13" t="n">
        <f aca="false">ROUND(D2*0.75,0)</f>
        <v>525</v>
      </c>
      <c r="F2" s="5" t="s">
        <v>776</v>
      </c>
      <c r="G2" s="5" t="s">
        <v>777</v>
      </c>
      <c r="H2" s="5"/>
    </row>
    <row r="3" customFormat="false" ht="23.85" hidden="false" customHeight="false" outlineLevel="0" collapsed="false">
      <c r="A3" s="5" t="s">
        <v>79</v>
      </c>
      <c r="B3" s="5" t="s">
        <v>80</v>
      </c>
      <c r="C3" s="5" t="s">
        <v>50</v>
      </c>
      <c r="D3" s="12" t="n">
        <v>700</v>
      </c>
      <c r="E3" s="13" t="n">
        <f aca="false">ROUND(D3*0.75,0)</f>
        <v>525</v>
      </c>
      <c r="F3" s="5" t="s">
        <v>776</v>
      </c>
      <c r="G3" s="5" t="s">
        <v>777</v>
      </c>
      <c r="H3" s="5"/>
    </row>
    <row r="4" customFormat="false" ht="23.85" hidden="false" customHeight="false" outlineLevel="0" collapsed="false">
      <c r="A4" s="5" t="s">
        <v>91</v>
      </c>
      <c r="B4" s="5" t="s">
        <v>92</v>
      </c>
      <c r="C4" s="5" t="s">
        <v>50</v>
      </c>
      <c r="D4" s="12" t="n">
        <v>700</v>
      </c>
      <c r="E4" s="13" t="n">
        <f aca="false">ROUND(D4*0.75,0)</f>
        <v>525</v>
      </c>
      <c r="F4" s="5" t="s">
        <v>776</v>
      </c>
      <c r="G4" s="5" t="s">
        <v>777</v>
      </c>
      <c r="H4" s="5"/>
    </row>
    <row r="5" customFormat="false" ht="23.85" hidden="false" customHeight="false" outlineLevel="0" collapsed="false">
      <c r="A5" s="5" t="s">
        <v>102</v>
      </c>
      <c r="B5" s="5" t="s">
        <v>103</v>
      </c>
      <c r="C5" s="5" t="s">
        <v>50</v>
      </c>
      <c r="D5" s="12" t="n">
        <v>700</v>
      </c>
      <c r="E5" s="13" t="n">
        <f aca="false">ROUND(D5*0.75,0)</f>
        <v>525</v>
      </c>
      <c r="F5" s="5" t="s">
        <v>776</v>
      </c>
      <c r="G5" s="5" t="s">
        <v>777</v>
      </c>
      <c r="H5" s="5"/>
    </row>
    <row r="6" customFormat="false" ht="23.85" hidden="false" customHeight="false" outlineLevel="0" collapsed="false">
      <c r="A6" s="5" t="s">
        <v>114</v>
      </c>
      <c r="B6" s="5" t="s">
        <v>115</v>
      </c>
      <c r="C6" s="5" t="s">
        <v>50</v>
      </c>
      <c r="D6" s="12" t="n">
        <v>700</v>
      </c>
      <c r="E6" s="13" t="n">
        <f aca="false">ROUND(D6*0.75,0)</f>
        <v>525</v>
      </c>
      <c r="F6" s="5" t="s">
        <v>776</v>
      </c>
      <c r="G6" s="5" t="s">
        <v>777</v>
      </c>
      <c r="H6" s="5"/>
    </row>
    <row r="7" customFormat="false" ht="23.85" hidden="false" customHeight="false" outlineLevel="0" collapsed="false">
      <c r="A7" s="5" t="s">
        <v>125</v>
      </c>
      <c r="B7" s="5" t="s">
        <v>126</v>
      </c>
      <c r="C7" s="5" t="s">
        <v>127</v>
      </c>
      <c r="D7" s="12" t="n">
        <v>750</v>
      </c>
      <c r="E7" s="13" t="n">
        <f aca="false">ROUND(D7*0.75,0)</f>
        <v>563</v>
      </c>
      <c r="F7" s="5" t="s">
        <v>776</v>
      </c>
      <c r="G7" s="5" t="s">
        <v>777</v>
      </c>
      <c r="H7" s="5"/>
    </row>
    <row r="8" customFormat="false" ht="23.85" hidden="false" customHeight="false" outlineLevel="0" collapsed="false">
      <c r="A8" s="5" t="s">
        <v>150</v>
      </c>
      <c r="B8" s="5" t="s">
        <v>151</v>
      </c>
      <c r="C8" s="5" t="s">
        <v>127</v>
      </c>
      <c r="D8" s="12" t="n">
        <v>750</v>
      </c>
      <c r="E8" s="13" t="n">
        <f aca="false">ROUND(D8*0.75,0)</f>
        <v>563</v>
      </c>
      <c r="F8" s="5" t="s">
        <v>776</v>
      </c>
      <c r="G8" s="5" t="s">
        <v>777</v>
      </c>
      <c r="H8" s="5"/>
    </row>
    <row r="9" customFormat="false" ht="23.85" hidden="false" customHeight="false" outlineLevel="0" collapsed="false">
      <c r="A9" s="5" t="s">
        <v>162</v>
      </c>
      <c r="B9" s="5" t="s">
        <v>163</v>
      </c>
      <c r="C9" s="5" t="s">
        <v>127</v>
      </c>
      <c r="D9" s="12" t="n">
        <v>750</v>
      </c>
      <c r="E9" s="13" t="n">
        <f aca="false">ROUND(D9*0.75,0)</f>
        <v>563</v>
      </c>
      <c r="F9" s="5" t="s">
        <v>776</v>
      </c>
      <c r="G9" s="5" t="s">
        <v>777</v>
      </c>
      <c r="H9" s="5"/>
    </row>
    <row r="10" customFormat="false" ht="23.85" hidden="false" customHeight="false" outlineLevel="0" collapsed="false">
      <c r="A10" s="5" t="s">
        <v>173</v>
      </c>
      <c r="B10" s="5" t="s">
        <v>174</v>
      </c>
      <c r="C10" s="5" t="s">
        <v>127</v>
      </c>
      <c r="D10" s="12" t="n">
        <v>750</v>
      </c>
      <c r="E10" s="13" t="n">
        <f aca="false">ROUND(D10*0.75,0)</f>
        <v>563</v>
      </c>
      <c r="F10" s="5" t="s">
        <v>776</v>
      </c>
      <c r="G10" s="5" t="s">
        <v>777</v>
      </c>
      <c r="H10" s="5"/>
    </row>
    <row r="11" customFormat="false" ht="23.85" hidden="false" customHeight="false" outlineLevel="0" collapsed="false">
      <c r="A11" s="5" t="s">
        <v>184</v>
      </c>
      <c r="B11" s="5" t="s">
        <v>185</v>
      </c>
      <c r="C11" s="5" t="s">
        <v>127</v>
      </c>
      <c r="D11" s="12" t="n">
        <v>750</v>
      </c>
      <c r="E11" s="13" t="n">
        <f aca="false">ROUND(D11*0.75,0)</f>
        <v>563</v>
      </c>
      <c r="F11" s="5" t="s">
        <v>776</v>
      </c>
      <c r="G11" s="5" t="s">
        <v>777</v>
      </c>
      <c r="H11" s="5"/>
    </row>
    <row r="12" customFormat="false" ht="23.85" hidden="false" customHeight="false" outlineLevel="0" collapsed="false">
      <c r="A12" s="5" t="s">
        <v>195</v>
      </c>
      <c r="B12" s="5" t="s">
        <v>196</v>
      </c>
      <c r="C12" s="5" t="s">
        <v>197</v>
      </c>
      <c r="D12" s="12" t="n">
        <v>760</v>
      </c>
      <c r="E12" s="13" t="n">
        <f aca="false">ROUND(D12*0.75,0)</f>
        <v>570</v>
      </c>
      <c r="F12" s="5" t="s">
        <v>776</v>
      </c>
      <c r="G12" s="5" t="s">
        <v>777</v>
      </c>
      <c r="H12" s="5"/>
    </row>
    <row r="13" customFormat="false" ht="23.85" hidden="false" customHeight="false" outlineLevel="0" collapsed="false">
      <c r="A13" s="5" t="s">
        <v>218</v>
      </c>
      <c r="B13" s="5" t="s">
        <v>219</v>
      </c>
      <c r="C13" s="5" t="s">
        <v>197</v>
      </c>
      <c r="D13" s="12" t="n">
        <v>760</v>
      </c>
      <c r="E13" s="13" t="n">
        <f aca="false">ROUND(D13*0.75,0)</f>
        <v>570</v>
      </c>
      <c r="F13" s="5" t="s">
        <v>776</v>
      </c>
      <c r="G13" s="5" t="s">
        <v>777</v>
      </c>
      <c r="H13" s="5"/>
    </row>
    <row r="14" customFormat="false" ht="23.85" hidden="false" customHeight="false" outlineLevel="0" collapsed="false">
      <c r="A14" s="5" t="s">
        <v>231</v>
      </c>
      <c r="B14" s="5" t="s">
        <v>232</v>
      </c>
      <c r="C14" s="5" t="s">
        <v>197</v>
      </c>
      <c r="D14" s="12" t="n">
        <v>760</v>
      </c>
      <c r="E14" s="13" t="n">
        <f aca="false">ROUND(D14*0.75,0)</f>
        <v>570</v>
      </c>
      <c r="F14" s="5" t="s">
        <v>776</v>
      </c>
      <c r="G14" s="5" t="s">
        <v>777</v>
      </c>
      <c r="H14" s="5"/>
    </row>
    <row r="15" customFormat="false" ht="23.85" hidden="false" customHeight="false" outlineLevel="0" collapsed="false">
      <c r="A15" s="5" t="s">
        <v>244</v>
      </c>
      <c r="B15" s="5" t="s">
        <v>245</v>
      </c>
      <c r="C15" s="5" t="s">
        <v>197</v>
      </c>
      <c r="D15" s="12" t="n">
        <v>760</v>
      </c>
      <c r="E15" s="13" t="n">
        <f aca="false">ROUND(D15*0.75,0)</f>
        <v>570</v>
      </c>
      <c r="F15" s="5" t="s">
        <v>776</v>
      </c>
      <c r="G15" s="5" t="s">
        <v>777</v>
      </c>
      <c r="H15" s="5"/>
    </row>
    <row r="16" customFormat="false" ht="23.85" hidden="false" customHeight="false" outlineLevel="0" collapsed="false">
      <c r="A16" s="5" t="s">
        <v>258</v>
      </c>
      <c r="B16" s="5" t="s">
        <v>259</v>
      </c>
      <c r="C16" s="5" t="s">
        <v>197</v>
      </c>
      <c r="D16" s="12" t="n">
        <v>760</v>
      </c>
      <c r="E16" s="13" t="n">
        <f aca="false">ROUND(D16*0.75,0)</f>
        <v>570</v>
      </c>
      <c r="F16" s="5" t="s">
        <v>776</v>
      </c>
      <c r="G16" s="5" t="s">
        <v>777</v>
      </c>
      <c r="H16" s="5"/>
    </row>
    <row r="17" customFormat="false" ht="23.85" hidden="false" customHeight="false" outlineLevel="0" collapsed="false">
      <c r="A17" s="5" t="s">
        <v>270</v>
      </c>
      <c r="B17" s="5" t="s">
        <v>271</v>
      </c>
      <c r="C17" s="5" t="s">
        <v>272</v>
      </c>
      <c r="D17" s="12" t="n">
        <v>730</v>
      </c>
      <c r="E17" s="13" t="n">
        <f aca="false">ROUND(D17*0.75,0)</f>
        <v>548</v>
      </c>
      <c r="F17" s="5" t="s">
        <v>776</v>
      </c>
      <c r="G17" s="5" t="s">
        <v>777</v>
      </c>
      <c r="H17" s="5" t="s">
        <v>778</v>
      </c>
    </row>
    <row r="18" customFormat="false" ht="23.85" hidden="false" customHeight="false" outlineLevel="0" collapsed="false">
      <c r="A18" s="5" t="s">
        <v>298</v>
      </c>
      <c r="B18" s="5" t="s">
        <v>299</v>
      </c>
      <c r="C18" s="5" t="s">
        <v>272</v>
      </c>
      <c r="D18" s="12" t="n">
        <v>730</v>
      </c>
      <c r="E18" s="13" t="n">
        <f aca="false">ROUND(D18*0.75,0)</f>
        <v>548</v>
      </c>
      <c r="F18" s="5" t="s">
        <v>776</v>
      </c>
      <c r="G18" s="5" t="s">
        <v>777</v>
      </c>
      <c r="H18" s="5"/>
    </row>
    <row r="19" customFormat="false" ht="23.85" hidden="false" customHeight="false" outlineLevel="0" collapsed="false">
      <c r="A19" s="5" t="s">
        <v>316</v>
      </c>
      <c r="B19" s="5" t="s">
        <v>317</v>
      </c>
      <c r="C19" s="5" t="s">
        <v>272</v>
      </c>
      <c r="D19" s="12" t="n">
        <v>730</v>
      </c>
      <c r="E19" s="13" t="n">
        <f aca="false">ROUND(D19*0.75,0)</f>
        <v>548</v>
      </c>
      <c r="F19" s="5" t="s">
        <v>776</v>
      </c>
      <c r="G19" s="5" t="s">
        <v>777</v>
      </c>
      <c r="H19" s="5"/>
    </row>
    <row r="20" customFormat="false" ht="23.85" hidden="false" customHeight="false" outlineLevel="0" collapsed="false">
      <c r="A20" s="5" t="s">
        <v>327</v>
      </c>
      <c r="B20" s="5" t="s">
        <v>328</v>
      </c>
      <c r="C20" s="5" t="s">
        <v>272</v>
      </c>
      <c r="D20" s="12" t="n">
        <v>730</v>
      </c>
      <c r="E20" s="13" t="n">
        <f aca="false">ROUND(D20*0.75,0)</f>
        <v>548</v>
      </c>
      <c r="F20" s="5" t="s">
        <v>776</v>
      </c>
      <c r="G20" s="5" t="s">
        <v>777</v>
      </c>
      <c r="H20" s="5"/>
    </row>
    <row r="21" customFormat="false" ht="23.85" hidden="false" customHeight="false" outlineLevel="0" collapsed="false">
      <c r="A21" s="5" t="s">
        <v>337</v>
      </c>
      <c r="B21" s="5" t="s">
        <v>338</v>
      </c>
      <c r="C21" s="5" t="s">
        <v>272</v>
      </c>
      <c r="D21" s="12" t="n">
        <v>730</v>
      </c>
      <c r="E21" s="13" t="n">
        <f aca="false">ROUND(D21*0.75,0)</f>
        <v>548</v>
      </c>
      <c r="F21" s="5" t="s">
        <v>776</v>
      </c>
      <c r="G21" s="5" t="s">
        <v>777</v>
      </c>
      <c r="H21" s="5"/>
    </row>
    <row r="22" customFormat="false" ht="23.85" hidden="false" customHeight="false" outlineLevel="0" collapsed="false">
      <c r="A22" s="5" t="s">
        <v>348</v>
      </c>
      <c r="B22" s="5" t="s">
        <v>349</v>
      </c>
      <c r="C22" s="5" t="s">
        <v>350</v>
      </c>
      <c r="D22" s="12" t="n">
        <v>1029</v>
      </c>
      <c r="E22" s="13" t="n">
        <f aca="false">ROUND(D22*0.75,0)</f>
        <v>772</v>
      </c>
      <c r="F22" s="5" t="s">
        <v>779</v>
      </c>
      <c r="G22" s="5" t="s">
        <v>780</v>
      </c>
      <c r="H22" s="5" t="s">
        <v>781</v>
      </c>
    </row>
    <row r="23" customFormat="false" ht="23.85" hidden="false" customHeight="false" outlineLevel="0" collapsed="false">
      <c r="A23" s="5" t="s">
        <v>370</v>
      </c>
      <c r="B23" s="5" t="s">
        <v>371</v>
      </c>
      <c r="C23" s="5" t="s">
        <v>350</v>
      </c>
      <c r="D23" s="12" t="n">
        <v>644</v>
      </c>
      <c r="E23" s="13" t="n">
        <f aca="false">ROUND(D23*0.75,0)</f>
        <v>483</v>
      </c>
      <c r="F23" s="5" t="s">
        <v>776</v>
      </c>
      <c r="G23" s="5" t="s">
        <v>777</v>
      </c>
      <c r="H23" s="5"/>
    </row>
    <row r="24" customFormat="false" ht="23.85" hidden="false" customHeight="false" outlineLevel="0" collapsed="false">
      <c r="A24" s="5" t="s">
        <v>392</v>
      </c>
      <c r="B24" s="5" t="s">
        <v>393</v>
      </c>
      <c r="C24" s="5" t="s">
        <v>350</v>
      </c>
      <c r="D24" s="12" t="n">
        <v>634</v>
      </c>
      <c r="E24" s="13" t="n">
        <f aca="false">ROUND(D24*0.75,0)</f>
        <v>476</v>
      </c>
      <c r="F24" s="5" t="s">
        <v>776</v>
      </c>
      <c r="G24" s="5" t="s">
        <v>777</v>
      </c>
      <c r="H24" s="5"/>
    </row>
    <row r="25" customFormat="false" ht="23.85" hidden="false" customHeight="false" outlineLevel="0" collapsed="false">
      <c r="A25" s="5" t="s">
        <v>413</v>
      </c>
      <c r="B25" s="5" t="s">
        <v>414</v>
      </c>
      <c r="C25" s="5" t="s">
        <v>350</v>
      </c>
      <c r="D25" s="12" t="n">
        <v>489</v>
      </c>
      <c r="E25" s="13" t="n">
        <f aca="false">ROUND(D25*0.75,0)</f>
        <v>367</v>
      </c>
      <c r="F25" s="5" t="s">
        <v>776</v>
      </c>
      <c r="G25" s="5" t="s">
        <v>777</v>
      </c>
      <c r="H25" s="5"/>
    </row>
    <row r="26" customFormat="false" ht="23.85" hidden="false" customHeight="false" outlineLevel="0" collapsed="false">
      <c r="A26" s="5" t="s">
        <v>432</v>
      </c>
      <c r="B26" s="5" t="s">
        <v>433</v>
      </c>
      <c r="C26" s="5" t="s">
        <v>350</v>
      </c>
      <c r="D26" s="12" t="n">
        <v>504</v>
      </c>
      <c r="E26" s="13" t="n">
        <f aca="false">ROUND(D26*0.75,0)</f>
        <v>378</v>
      </c>
      <c r="F26" s="5" t="s">
        <v>776</v>
      </c>
      <c r="G26" s="5" t="s">
        <v>777</v>
      </c>
      <c r="H26" s="5"/>
    </row>
    <row r="27" customFormat="false" ht="23.85" hidden="false" customHeight="false" outlineLevel="0" collapsed="false">
      <c r="A27" s="5" t="s">
        <v>446</v>
      </c>
      <c r="B27" s="5" t="s">
        <v>447</v>
      </c>
      <c r="C27" s="5" t="s">
        <v>350</v>
      </c>
      <c r="D27" s="12" t="n">
        <v>504</v>
      </c>
      <c r="E27" s="13" t="n">
        <f aca="false">ROUND(D27*0.75,0)</f>
        <v>378</v>
      </c>
      <c r="F27" s="5" t="s">
        <v>776</v>
      </c>
      <c r="G27" s="5" t="s">
        <v>777</v>
      </c>
      <c r="H27" s="5"/>
    </row>
    <row r="28" customFormat="false" ht="23.85" hidden="false" customHeight="false" outlineLevel="0" collapsed="false">
      <c r="A28" s="5" t="s">
        <v>463</v>
      </c>
      <c r="B28" s="5" t="s">
        <v>464</v>
      </c>
      <c r="C28" s="5" t="s">
        <v>350</v>
      </c>
      <c r="D28" s="12" t="n">
        <v>1164</v>
      </c>
      <c r="E28" s="13" t="n">
        <f aca="false">ROUND(D28*0.75,0)</f>
        <v>873</v>
      </c>
      <c r="F28" s="5" t="s">
        <v>779</v>
      </c>
      <c r="G28" s="5" t="s">
        <v>780</v>
      </c>
      <c r="H28" s="5"/>
    </row>
    <row r="29" customFormat="false" ht="23.85" hidden="false" customHeight="false" outlineLevel="0" collapsed="false">
      <c r="A29" s="5" t="s">
        <v>480</v>
      </c>
      <c r="B29" s="5" t="s">
        <v>481</v>
      </c>
      <c r="C29" s="5" t="s">
        <v>350</v>
      </c>
      <c r="D29" s="12" t="n">
        <v>929</v>
      </c>
      <c r="E29" s="13" t="n">
        <f aca="false">ROUND(D29*0.75,0)</f>
        <v>697</v>
      </c>
      <c r="F29" s="5" t="s">
        <v>776</v>
      </c>
      <c r="G29" s="5" t="s">
        <v>777</v>
      </c>
      <c r="H29" s="5" t="s">
        <v>782</v>
      </c>
    </row>
    <row r="30" customFormat="false" ht="23.85" hidden="false" customHeight="false" outlineLevel="0" collapsed="false">
      <c r="A30" s="5" t="s">
        <v>505</v>
      </c>
      <c r="B30" s="5" t="s">
        <v>506</v>
      </c>
      <c r="C30" s="5" t="s">
        <v>507</v>
      </c>
      <c r="D30" s="12" t="n">
        <v>1368</v>
      </c>
      <c r="E30" s="13" t="n">
        <f aca="false">ROUND(D30*0.75,0)</f>
        <v>1026</v>
      </c>
      <c r="F30" s="5" t="s">
        <v>779</v>
      </c>
      <c r="G30" s="5" t="s">
        <v>780</v>
      </c>
      <c r="H30" s="5"/>
    </row>
    <row r="31" customFormat="false" ht="23.85" hidden="false" customHeight="false" outlineLevel="0" collapsed="false">
      <c r="A31" s="5" t="s">
        <v>531</v>
      </c>
      <c r="B31" s="5" t="s">
        <v>532</v>
      </c>
      <c r="C31" s="5" t="s">
        <v>507</v>
      </c>
      <c r="D31" s="12" t="n">
        <v>744</v>
      </c>
      <c r="E31" s="13" t="n">
        <f aca="false">ROUND(D31*0.75,0)</f>
        <v>558</v>
      </c>
      <c r="F31" s="5" t="s">
        <v>783</v>
      </c>
      <c r="G31" s="5" t="s">
        <v>784</v>
      </c>
      <c r="H31" s="5"/>
    </row>
    <row r="32" customFormat="false" ht="23.85" hidden="false" customHeight="false" outlineLevel="0" collapsed="false">
      <c r="A32" s="5" t="s">
        <v>550</v>
      </c>
      <c r="B32" s="5" t="s">
        <v>551</v>
      </c>
      <c r="C32" s="5" t="s">
        <v>507</v>
      </c>
      <c r="D32" s="12" t="n">
        <v>459</v>
      </c>
      <c r="E32" s="13" t="n">
        <f aca="false">ROUND(D32*0.75,0)</f>
        <v>344</v>
      </c>
      <c r="F32" s="5" t="s">
        <v>783</v>
      </c>
      <c r="G32" s="5" t="s">
        <v>784</v>
      </c>
      <c r="H32" s="5" t="s">
        <v>785</v>
      </c>
    </row>
    <row r="33" customFormat="false" ht="23.85" hidden="false" customHeight="false" outlineLevel="0" collapsed="false">
      <c r="A33" s="5" t="s">
        <v>572</v>
      </c>
      <c r="B33" s="5" t="s">
        <v>573</v>
      </c>
      <c r="C33" s="5" t="s">
        <v>507</v>
      </c>
      <c r="D33" s="12" t="n">
        <v>634</v>
      </c>
      <c r="E33" s="13" t="n">
        <f aca="false">ROUND(D33*0.75,0)</f>
        <v>476</v>
      </c>
      <c r="F33" s="5" t="s">
        <v>776</v>
      </c>
      <c r="G33" s="5" t="s">
        <v>777</v>
      </c>
      <c r="H33" s="5"/>
    </row>
    <row r="34" customFormat="false" ht="23.85" hidden="false" customHeight="false" outlineLevel="0" collapsed="false">
      <c r="A34" s="5" t="s">
        <v>591</v>
      </c>
      <c r="B34" s="5" t="s">
        <v>592</v>
      </c>
      <c r="C34" s="5" t="s">
        <v>507</v>
      </c>
      <c r="D34" s="12" t="n">
        <v>429</v>
      </c>
      <c r="E34" s="13" t="n">
        <f aca="false">ROUND(D34*0.75,0)</f>
        <v>322</v>
      </c>
      <c r="F34" s="5" t="s">
        <v>783</v>
      </c>
      <c r="G34" s="5" t="s">
        <v>784</v>
      </c>
      <c r="H34" s="5" t="s">
        <v>786</v>
      </c>
    </row>
    <row r="35" customFormat="false" ht="23.85" hidden="false" customHeight="false" outlineLevel="0" collapsed="false">
      <c r="A35" s="5" t="s">
        <v>606</v>
      </c>
      <c r="B35" s="5" t="s">
        <v>607</v>
      </c>
      <c r="C35" s="5" t="s">
        <v>507</v>
      </c>
      <c r="D35" s="12" t="n">
        <v>429</v>
      </c>
      <c r="E35" s="13" t="n">
        <f aca="false">ROUND(D35*0.75,0)</f>
        <v>322</v>
      </c>
      <c r="F35" s="5" t="s">
        <v>783</v>
      </c>
      <c r="G35" s="5" t="s">
        <v>784</v>
      </c>
      <c r="H35" s="5" t="s">
        <v>787</v>
      </c>
    </row>
    <row r="36" customFormat="false" ht="23.85" hidden="false" customHeight="false" outlineLevel="0" collapsed="false">
      <c r="A36" s="5" t="s">
        <v>619</v>
      </c>
      <c r="B36" s="5" t="s">
        <v>620</v>
      </c>
      <c r="C36" s="5" t="s">
        <v>507</v>
      </c>
      <c r="D36" s="12" t="n">
        <v>449</v>
      </c>
      <c r="E36" s="13" t="n">
        <f aca="false">ROUND(D36*0.75,0)</f>
        <v>337</v>
      </c>
      <c r="F36" s="5" t="s">
        <v>783</v>
      </c>
      <c r="G36" s="5" t="s">
        <v>784</v>
      </c>
      <c r="H36" s="5" t="s">
        <v>788</v>
      </c>
    </row>
    <row r="37" customFormat="false" ht="23.85" hidden="false" customHeight="false" outlineLevel="0" collapsed="false">
      <c r="A37" s="5" t="s">
        <v>633</v>
      </c>
      <c r="B37" s="5" t="s">
        <v>634</v>
      </c>
      <c r="C37" s="5" t="s">
        <v>635</v>
      </c>
      <c r="D37" s="12" t="n">
        <v>1650</v>
      </c>
      <c r="E37" s="13" t="n">
        <f aca="false">ROUND(D37*0.75,0)</f>
        <v>1238</v>
      </c>
      <c r="F37" s="5" t="s">
        <v>779</v>
      </c>
      <c r="G37" s="5" t="s">
        <v>780</v>
      </c>
      <c r="H37" s="5"/>
    </row>
    <row r="38" customFormat="false" ht="23.85" hidden="false" customHeight="false" outlineLevel="0" collapsed="false">
      <c r="A38" s="5" t="s">
        <v>655</v>
      </c>
      <c r="B38" s="5" t="s">
        <v>656</v>
      </c>
      <c r="C38" s="5" t="s">
        <v>635</v>
      </c>
      <c r="D38" s="12" t="n">
        <v>1150</v>
      </c>
      <c r="E38" s="13" t="n">
        <f aca="false">ROUND(D38*0.75,0)</f>
        <v>863</v>
      </c>
      <c r="F38" s="5" t="s">
        <v>779</v>
      </c>
      <c r="G38" s="5" t="s">
        <v>780</v>
      </c>
      <c r="H38" s="5" t="s">
        <v>789</v>
      </c>
    </row>
    <row r="39" customFormat="false" ht="23.85" hidden="false" customHeight="false" outlineLevel="0" collapsed="false">
      <c r="A39" s="5" t="s">
        <v>678</v>
      </c>
      <c r="B39" s="5" t="s">
        <v>679</v>
      </c>
      <c r="C39" s="5" t="s">
        <v>635</v>
      </c>
      <c r="D39" s="12" t="n">
        <v>584</v>
      </c>
      <c r="E39" s="13" t="n">
        <f aca="false">ROUND(D39*0.75,0)</f>
        <v>438</v>
      </c>
      <c r="F39" s="5" t="s">
        <v>783</v>
      </c>
      <c r="G39" s="5" t="s">
        <v>784</v>
      </c>
      <c r="H39" s="5"/>
    </row>
    <row r="40" customFormat="false" ht="23.85" hidden="false" customHeight="false" outlineLevel="0" collapsed="false">
      <c r="A40" s="5" t="s">
        <v>694</v>
      </c>
      <c r="B40" s="5" t="s">
        <v>695</v>
      </c>
      <c r="C40" s="5" t="s">
        <v>635</v>
      </c>
      <c r="D40" s="12" t="n">
        <v>569</v>
      </c>
      <c r="E40" s="13" t="n">
        <f aca="false">ROUND(D40*0.75,0)</f>
        <v>427</v>
      </c>
      <c r="F40" s="5" t="s">
        <v>776</v>
      </c>
      <c r="G40" s="5" t="s">
        <v>777</v>
      </c>
      <c r="H40" s="5"/>
    </row>
    <row r="41" customFormat="false" ht="23.85" hidden="false" customHeight="false" outlineLevel="0" collapsed="false">
      <c r="A41" s="5" t="s">
        <v>713</v>
      </c>
      <c r="B41" s="5" t="s">
        <v>714</v>
      </c>
      <c r="C41" s="5" t="s">
        <v>635</v>
      </c>
      <c r="D41" s="12" t="n">
        <v>464</v>
      </c>
      <c r="E41" s="13" t="n">
        <f aca="false">ROUND(D41*0.75,0)</f>
        <v>348</v>
      </c>
      <c r="F41" s="5" t="s">
        <v>783</v>
      </c>
      <c r="G41" s="5" t="s">
        <v>784</v>
      </c>
      <c r="H41" s="5"/>
    </row>
    <row r="42" customFormat="false" ht="23.85" hidden="false" customHeight="false" outlineLevel="0" collapsed="false">
      <c r="A42" s="5" t="s">
        <v>730</v>
      </c>
      <c r="B42" s="5" t="s">
        <v>731</v>
      </c>
      <c r="C42" s="5" t="s">
        <v>635</v>
      </c>
      <c r="D42" s="12" t="n">
        <v>604</v>
      </c>
      <c r="E42" s="13" t="n">
        <f aca="false">ROUND(D42*0.75,0)</f>
        <v>453</v>
      </c>
      <c r="F42" s="5" t="s">
        <v>783</v>
      </c>
      <c r="G42" s="5" t="s">
        <v>784</v>
      </c>
      <c r="H42" s="5"/>
    </row>
    <row r="44" customFormat="false" ht="15" hidden="false" customHeight="false" outlineLevel="0" collapsed="false">
      <c r="A44" s="10" t="s">
        <v>790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0"/>
    <col collapsed="false" customWidth="true" hidden="false" outlineLevel="0" max="4" min="4" style="0" width="8"/>
    <col collapsed="false" customWidth="true" hidden="false" outlineLevel="0" max="5" min="5" style="0" width="16"/>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9" min="9" style="0" width="8"/>
    <col collapsed="false" customWidth="true" hidden="false" outlineLevel="0" max="10" min="10" style="0" width="44"/>
  </cols>
  <sheetData>
    <row r="1" customFormat="false" ht="31.5" hidden="false" customHeight="true" outlineLevel="0" collapsed="false">
      <c r="A1" s="3" t="s">
        <v>791</v>
      </c>
      <c r="B1" s="3" t="s">
        <v>792</v>
      </c>
      <c r="C1" s="3" t="s">
        <v>793</v>
      </c>
      <c r="D1" s="3" t="s">
        <v>794</v>
      </c>
      <c r="E1" s="3" t="s">
        <v>795</v>
      </c>
      <c r="F1" s="3" t="s">
        <v>796</v>
      </c>
      <c r="G1" s="3" t="s">
        <v>797</v>
      </c>
      <c r="H1" s="3" t="s">
        <v>798</v>
      </c>
      <c r="I1" s="3" t="s">
        <v>799</v>
      </c>
      <c r="J1" s="3" t="s">
        <v>800</v>
      </c>
    </row>
    <row r="2" customFormat="false" ht="15" hidden="false" customHeight="false" outlineLevel="0" collapsed="false">
      <c r="A2" s="14" t="s">
        <v>801</v>
      </c>
      <c r="B2" s="15" t="n">
        <v>41355</v>
      </c>
      <c r="C2" s="15" t="n">
        <v>47129</v>
      </c>
      <c r="D2" s="14" t="n">
        <v>114</v>
      </c>
      <c r="E2" s="15" t="n">
        <v>5573446</v>
      </c>
      <c r="F2" s="14" t="n">
        <v>100</v>
      </c>
      <c r="G2" s="15"/>
      <c r="H2" s="14" t="s">
        <v>802</v>
      </c>
      <c r="I2" s="14" t="s">
        <v>803</v>
      </c>
      <c r="J2" s="14" t="s">
        <v>804</v>
      </c>
    </row>
    <row r="3" customFormat="false" ht="15" hidden="false" customHeight="false" outlineLevel="0" collapsed="false">
      <c r="A3" s="14" t="s">
        <v>805</v>
      </c>
      <c r="B3" s="15" t="n">
        <v>15579</v>
      </c>
      <c r="C3" s="15" t="n">
        <v>16732</v>
      </c>
      <c r="D3" s="14" t="n">
        <v>107</v>
      </c>
      <c r="E3" s="15" t="n">
        <v>5409638</v>
      </c>
      <c r="F3" s="14" t="n">
        <v>100</v>
      </c>
      <c r="G3" s="15" t="n">
        <v>33100</v>
      </c>
      <c r="H3" s="14" t="s">
        <v>802</v>
      </c>
      <c r="I3" s="14" t="n">
        <v>3</v>
      </c>
      <c r="J3" s="14" t="s">
        <v>806</v>
      </c>
    </row>
    <row r="4" customFormat="false" ht="15" hidden="false" customHeight="false" outlineLevel="0" collapsed="false">
      <c r="A4" s="14" t="s">
        <v>310</v>
      </c>
      <c r="B4" s="15" t="n">
        <v>6219</v>
      </c>
      <c r="C4" s="15" t="n">
        <v>6291</v>
      </c>
      <c r="D4" s="14" t="n">
        <v>101</v>
      </c>
      <c r="E4" s="15" t="n">
        <v>29182</v>
      </c>
      <c r="F4" s="14" t="n">
        <v>34</v>
      </c>
      <c r="G4" s="15" t="n">
        <v>60500</v>
      </c>
      <c r="H4" s="14" t="s">
        <v>807</v>
      </c>
      <c r="I4" s="14" t="n">
        <v>1</v>
      </c>
      <c r="J4" s="14" t="s">
        <v>806</v>
      </c>
    </row>
    <row r="5" customFormat="false" ht="15" hidden="false" customHeight="false" outlineLevel="0" collapsed="false">
      <c r="A5" s="14" t="s">
        <v>356</v>
      </c>
      <c r="B5" s="15" t="n">
        <v>3419</v>
      </c>
      <c r="C5" s="15" t="n">
        <v>3409</v>
      </c>
      <c r="D5" s="14" t="n">
        <v>100</v>
      </c>
      <c r="E5" s="15" t="n">
        <v>16414</v>
      </c>
      <c r="F5" s="14" t="n">
        <v>34</v>
      </c>
      <c r="G5" s="15" t="n">
        <v>22200</v>
      </c>
      <c r="H5" s="14" t="s">
        <v>807</v>
      </c>
      <c r="I5" s="14" t="n">
        <v>1</v>
      </c>
      <c r="J5" s="14" t="s">
        <v>806</v>
      </c>
    </row>
    <row r="6" customFormat="false" ht="15" hidden="false" customHeight="false" outlineLevel="0" collapsed="false">
      <c r="A6" s="14" t="s">
        <v>279</v>
      </c>
      <c r="B6" s="15" t="n">
        <v>3298</v>
      </c>
      <c r="C6" s="15" t="n">
        <v>3863</v>
      </c>
      <c r="D6" s="14" t="n">
        <v>117</v>
      </c>
      <c r="E6" s="15" t="n">
        <v>448590</v>
      </c>
      <c r="F6" s="14" t="n">
        <v>100</v>
      </c>
      <c r="G6" s="15" t="n">
        <v>22200</v>
      </c>
      <c r="H6" s="14" t="s">
        <v>808</v>
      </c>
      <c r="I6" s="14" t="n">
        <v>2</v>
      </c>
      <c r="J6" s="14" t="s">
        <v>806</v>
      </c>
    </row>
    <row r="7" customFormat="false" ht="15" hidden="false" customHeight="false" outlineLevel="0" collapsed="false">
      <c r="A7" s="14" t="s">
        <v>130</v>
      </c>
      <c r="B7" s="15" t="n">
        <v>2893</v>
      </c>
      <c r="C7" s="15" t="n">
        <v>3592</v>
      </c>
      <c r="D7" s="14" t="n">
        <v>124</v>
      </c>
      <c r="E7" s="15" t="n">
        <v>34856</v>
      </c>
      <c r="F7" s="14" t="n">
        <v>54</v>
      </c>
      <c r="G7" s="15" t="n">
        <v>4400</v>
      </c>
      <c r="H7" s="14" t="s">
        <v>807</v>
      </c>
      <c r="I7" s="14" t="n">
        <v>1</v>
      </c>
      <c r="J7" s="14" t="s">
        <v>806</v>
      </c>
    </row>
    <row r="8" customFormat="false" ht="15" hidden="false" customHeight="false" outlineLevel="0" collapsed="false">
      <c r="A8" s="14" t="s">
        <v>484</v>
      </c>
      <c r="B8" s="15" t="n">
        <v>2698</v>
      </c>
      <c r="C8" s="15" t="n">
        <v>2892</v>
      </c>
      <c r="D8" s="14" t="n">
        <v>107</v>
      </c>
      <c r="E8" s="15" t="n">
        <v>242777</v>
      </c>
      <c r="F8" s="14" t="n">
        <v>98</v>
      </c>
      <c r="G8" s="15" t="n">
        <v>40500</v>
      </c>
      <c r="H8" s="14" t="s">
        <v>808</v>
      </c>
      <c r="I8" s="14" t="n">
        <v>4</v>
      </c>
      <c r="J8" s="14" t="s">
        <v>806</v>
      </c>
    </row>
    <row r="9" customFormat="false" ht="15" hidden="false" customHeight="false" outlineLevel="0" collapsed="false">
      <c r="A9" s="14" t="s">
        <v>661</v>
      </c>
      <c r="B9" s="15" t="n">
        <v>2687</v>
      </c>
      <c r="C9" s="15" t="n">
        <v>2918</v>
      </c>
      <c r="D9" s="14" t="n">
        <v>109</v>
      </c>
      <c r="E9" s="15" t="n">
        <v>69583</v>
      </c>
      <c r="F9" s="14" t="n">
        <v>71</v>
      </c>
      <c r="G9" s="15" t="n">
        <v>6600</v>
      </c>
      <c r="H9" s="14" t="s">
        <v>809</v>
      </c>
      <c r="I9" s="14" t="s">
        <v>810</v>
      </c>
      <c r="J9" s="14" t="s">
        <v>806</v>
      </c>
    </row>
    <row r="10" customFormat="false" ht="15" hidden="false" customHeight="false" outlineLevel="0" collapsed="false">
      <c r="A10" s="14" t="s">
        <v>554</v>
      </c>
      <c r="B10" s="15" t="n">
        <v>2686</v>
      </c>
      <c r="C10" s="15" t="n">
        <v>2725</v>
      </c>
      <c r="D10" s="14" t="n">
        <v>101</v>
      </c>
      <c r="E10" s="15" t="n">
        <v>29870</v>
      </c>
      <c r="F10" s="14" t="n">
        <v>52</v>
      </c>
      <c r="G10" s="15" t="n">
        <v>33100</v>
      </c>
      <c r="H10" s="14" t="s">
        <v>807</v>
      </c>
      <c r="I10" s="14" t="n">
        <v>1</v>
      </c>
      <c r="J10" s="14" t="s">
        <v>806</v>
      </c>
    </row>
    <row r="11" customFormat="false" ht="15" hidden="false" customHeight="false" outlineLevel="0" collapsed="false">
      <c r="A11" s="14" t="s">
        <v>660</v>
      </c>
      <c r="B11" s="15" t="n">
        <v>2498</v>
      </c>
      <c r="C11" s="15" t="n">
        <v>2662</v>
      </c>
      <c r="D11" s="14" t="n">
        <v>107</v>
      </c>
      <c r="E11" s="15" t="n">
        <v>24653</v>
      </c>
      <c r="F11" s="14" t="n">
        <v>50</v>
      </c>
      <c r="G11" s="15" t="n">
        <v>18100</v>
      </c>
      <c r="H11" s="14" t="s">
        <v>807</v>
      </c>
      <c r="I11" s="14" t="n">
        <v>3</v>
      </c>
      <c r="J11" s="14" t="s">
        <v>806</v>
      </c>
    </row>
    <row r="12" customFormat="false" ht="15" hidden="false" customHeight="false" outlineLevel="0" collapsed="false">
      <c r="A12" s="14" t="s">
        <v>303</v>
      </c>
      <c r="B12" s="15" t="n">
        <v>2313</v>
      </c>
      <c r="C12" s="15" t="n">
        <v>2558</v>
      </c>
      <c r="D12" s="14" t="n">
        <v>111</v>
      </c>
      <c r="E12" s="15" t="n">
        <v>18939</v>
      </c>
      <c r="F12" s="14" t="n">
        <v>46</v>
      </c>
      <c r="G12" s="15" t="n">
        <v>5400</v>
      </c>
      <c r="H12" s="14" t="s">
        <v>807</v>
      </c>
      <c r="I12" s="14" t="n">
        <v>4</v>
      </c>
      <c r="J12" s="14" t="s">
        <v>806</v>
      </c>
    </row>
    <row r="13" customFormat="false" ht="15" hidden="false" customHeight="false" outlineLevel="0" collapsed="false">
      <c r="A13" s="14" t="s">
        <v>60</v>
      </c>
      <c r="B13" s="15" t="n">
        <v>2290</v>
      </c>
      <c r="C13" s="15" t="n">
        <v>2339</v>
      </c>
      <c r="D13" s="14" t="n">
        <v>102</v>
      </c>
      <c r="E13" s="15" t="n">
        <v>176641</v>
      </c>
      <c r="F13" s="14" t="n">
        <v>94</v>
      </c>
      <c r="G13" s="15" t="n">
        <v>33100</v>
      </c>
      <c r="H13" s="14" t="s">
        <v>808</v>
      </c>
      <c r="I13" s="14" t="s">
        <v>810</v>
      </c>
      <c r="J13" s="14" t="s">
        <v>806</v>
      </c>
    </row>
    <row r="14" customFormat="false" ht="15" hidden="false" customHeight="false" outlineLevel="0" collapsed="false">
      <c r="A14" s="14" t="s">
        <v>136</v>
      </c>
      <c r="B14" s="15" t="n">
        <v>2248</v>
      </c>
      <c r="C14" s="15" t="n">
        <v>2571</v>
      </c>
      <c r="D14" s="14" t="n">
        <v>114</v>
      </c>
      <c r="E14" s="15" t="n">
        <v>87398</v>
      </c>
      <c r="F14" s="14" t="n">
        <v>79</v>
      </c>
      <c r="G14" s="15" t="n">
        <v>22200</v>
      </c>
      <c r="H14" s="14" t="s">
        <v>809</v>
      </c>
      <c r="I14" s="14" t="n">
        <v>1</v>
      </c>
      <c r="J14" s="14" t="s">
        <v>806</v>
      </c>
    </row>
    <row r="15" customFormat="false" ht="15" hidden="false" customHeight="false" outlineLevel="0" collapsed="false">
      <c r="A15" s="14" t="s">
        <v>201</v>
      </c>
      <c r="B15" s="15" t="n">
        <v>2199</v>
      </c>
      <c r="C15" s="15" t="n">
        <v>2540</v>
      </c>
      <c r="D15" s="14" t="n">
        <v>116</v>
      </c>
      <c r="E15" s="15" t="n">
        <v>278470</v>
      </c>
      <c r="F15" s="14" t="n">
        <v>100</v>
      </c>
      <c r="G15" s="15" t="n">
        <v>27100</v>
      </c>
      <c r="H15" s="14" t="s">
        <v>808</v>
      </c>
      <c r="I15" s="14" t="n">
        <v>1</v>
      </c>
      <c r="J15" s="14" t="s">
        <v>806</v>
      </c>
    </row>
    <row r="16" customFormat="false" ht="15" hidden="false" customHeight="false" outlineLevel="0" collapsed="false">
      <c r="A16" s="14" t="s">
        <v>200</v>
      </c>
      <c r="B16" s="15" t="n">
        <v>2128</v>
      </c>
      <c r="C16" s="15" t="n">
        <v>2210</v>
      </c>
      <c r="D16" s="14" t="n">
        <v>104</v>
      </c>
      <c r="E16" s="15" t="n">
        <v>130914</v>
      </c>
      <c r="F16" s="14" t="n">
        <v>89</v>
      </c>
      <c r="G16" s="15" t="n">
        <v>6600</v>
      </c>
      <c r="H16" s="14" t="s">
        <v>808</v>
      </c>
      <c r="I16" s="14" t="n">
        <v>1</v>
      </c>
      <c r="J16" s="14" t="s">
        <v>806</v>
      </c>
    </row>
    <row r="17" customFormat="false" ht="15" hidden="false" customHeight="false" outlineLevel="0" collapsed="false">
      <c r="A17" s="14" t="s">
        <v>811</v>
      </c>
      <c r="B17" s="15" t="n">
        <v>2083</v>
      </c>
      <c r="C17" s="15" t="n">
        <v>2250</v>
      </c>
      <c r="D17" s="14" t="n">
        <v>108</v>
      </c>
      <c r="E17" s="15" t="n">
        <v>432264</v>
      </c>
      <c r="F17" s="14" t="n">
        <v>100</v>
      </c>
      <c r="G17" s="15"/>
      <c r="H17" s="14" t="s">
        <v>808</v>
      </c>
      <c r="I17" s="14" t="s">
        <v>803</v>
      </c>
      <c r="J17" s="14" t="s">
        <v>804</v>
      </c>
    </row>
    <row r="18" customFormat="false" ht="15" hidden="false" customHeight="false" outlineLevel="0" collapsed="false">
      <c r="A18" s="14" t="s">
        <v>210</v>
      </c>
      <c r="B18" s="15" t="n">
        <v>2004</v>
      </c>
      <c r="C18" s="15" t="n">
        <v>2089</v>
      </c>
      <c r="D18" s="14" t="n">
        <v>104</v>
      </c>
      <c r="E18" s="15" t="n">
        <v>182952</v>
      </c>
      <c r="F18" s="14" t="n">
        <v>98</v>
      </c>
      <c r="G18" s="15" t="n">
        <v>8100</v>
      </c>
      <c r="H18" s="14" t="s">
        <v>808</v>
      </c>
      <c r="I18" s="14" t="s">
        <v>810</v>
      </c>
      <c r="J18" s="14" t="s">
        <v>806</v>
      </c>
    </row>
    <row r="19" customFormat="false" ht="15" hidden="false" customHeight="false" outlineLevel="0" collapsed="false">
      <c r="A19" s="14" t="s">
        <v>812</v>
      </c>
      <c r="B19" s="15" t="n">
        <v>1973</v>
      </c>
      <c r="C19" s="15" t="n">
        <v>2225</v>
      </c>
      <c r="D19" s="14" t="n">
        <v>113</v>
      </c>
      <c r="E19" s="15" t="n">
        <v>528072</v>
      </c>
      <c r="F19" s="14" t="n">
        <v>100</v>
      </c>
      <c r="G19" s="15" t="n">
        <v>14800</v>
      </c>
      <c r="H19" s="14" t="s">
        <v>808</v>
      </c>
      <c r="I19" s="14" t="s">
        <v>813</v>
      </c>
      <c r="J19" s="14" t="s">
        <v>806</v>
      </c>
    </row>
    <row r="20" customFormat="false" ht="15" hidden="false" customHeight="false" outlineLevel="0" collapsed="false">
      <c r="A20" s="14" t="s">
        <v>397</v>
      </c>
      <c r="B20" s="15" t="n">
        <v>1893</v>
      </c>
      <c r="C20" s="15" t="n">
        <v>1838</v>
      </c>
      <c r="D20" s="14" t="n">
        <v>97</v>
      </c>
      <c r="E20" s="15" t="n">
        <v>97843</v>
      </c>
      <c r="F20" s="14" t="n">
        <v>86</v>
      </c>
      <c r="G20" s="15" t="n">
        <v>5400</v>
      </c>
      <c r="H20" s="14" t="s">
        <v>809</v>
      </c>
      <c r="I20" s="14" t="s">
        <v>814</v>
      </c>
      <c r="J20" s="14" t="s">
        <v>806</v>
      </c>
    </row>
    <row r="21" customFormat="false" ht="15" hidden="false" customHeight="false" outlineLevel="0" collapsed="false">
      <c r="A21" s="14" t="s">
        <v>815</v>
      </c>
      <c r="B21" s="15" t="n">
        <v>1860</v>
      </c>
      <c r="C21" s="15" t="n">
        <v>2029</v>
      </c>
      <c r="D21" s="14" t="n">
        <v>109</v>
      </c>
      <c r="E21" s="15" t="n">
        <v>1207724</v>
      </c>
      <c r="F21" s="14" t="n">
        <v>100</v>
      </c>
      <c r="G21" s="15" t="n">
        <v>9900</v>
      </c>
      <c r="H21" s="14" t="s">
        <v>802</v>
      </c>
      <c r="I21" s="14" t="n">
        <v>3</v>
      </c>
      <c r="J21" s="14" t="s">
        <v>806</v>
      </c>
    </row>
    <row r="22" customFormat="false" ht="15" hidden="false" customHeight="false" outlineLevel="0" collapsed="false">
      <c r="A22" s="14" t="s">
        <v>306</v>
      </c>
      <c r="B22" s="15" t="n">
        <v>1848</v>
      </c>
      <c r="C22" s="15" t="n">
        <v>2081</v>
      </c>
      <c r="D22" s="14" t="n">
        <v>113</v>
      </c>
      <c r="E22" s="15" t="n">
        <v>6096</v>
      </c>
      <c r="F22" s="14" t="n">
        <v>26</v>
      </c>
      <c r="G22" s="15" t="n">
        <v>5400</v>
      </c>
      <c r="H22" s="14" t="s">
        <v>807</v>
      </c>
      <c r="I22" s="14" t="s">
        <v>814</v>
      </c>
      <c r="J22" s="14" t="s">
        <v>806</v>
      </c>
    </row>
    <row r="23" customFormat="false" ht="15" hidden="false" customHeight="false" outlineLevel="0" collapsed="false">
      <c r="A23" s="14" t="s">
        <v>467</v>
      </c>
      <c r="B23" s="15" t="n">
        <v>1775</v>
      </c>
      <c r="C23" s="15" t="n">
        <v>1798</v>
      </c>
      <c r="D23" s="14" t="n">
        <v>101</v>
      </c>
      <c r="E23" s="15" t="n">
        <v>25687</v>
      </c>
      <c r="F23" s="14" t="n">
        <v>58</v>
      </c>
      <c r="G23" s="15" t="n">
        <v>6600</v>
      </c>
      <c r="H23" s="14" t="s">
        <v>807</v>
      </c>
      <c r="I23" s="14" t="n">
        <v>1</v>
      </c>
      <c r="J23" s="14" t="s">
        <v>806</v>
      </c>
    </row>
    <row r="24" customFormat="false" ht="15" hidden="false" customHeight="false" outlineLevel="0" collapsed="false">
      <c r="A24" s="14" t="s">
        <v>576</v>
      </c>
      <c r="B24" s="15" t="n">
        <v>1766</v>
      </c>
      <c r="C24" s="15" t="n">
        <v>2003</v>
      </c>
      <c r="D24" s="14" t="n">
        <v>113</v>
      </c>
      <c r="E24" s="15" t="n">
        <v>81640</v>
      </c>
      <c r="F24" s="14" t="n">
        <v>83</v>
      </c>
      <c r="G24" s="15" t="n">
        <v>3600</v>
      </c>
      <c r="H24" s="14" t="s">
        <v>809</v>
      </c>
      <c r="I24" s="14" t="s">
        <v>814</v>
      </c>
      <c r="J24" s="14" t="s">
        <v>806</v>
      </c>
    </row>
    <row r="25" customFormat="false" ht="15" hidden="false" customHeight="false" outlineLevel="0" collapsed="false">
      <c r="A25" s="14" t="s">
        <v>510</v>
      </c>
      <c r="B25" s="15" t="n">
        <v>1755</v>
      </c>
      <c r="C25" s="15" t="n">
        <v>1822</v>
      </c>
      <c r="D25" s="14" t="n">
        <v>104</v>
      </c>
      <c r="E25" s="15" t="n">
        <v>37347</v>
      </c>
      <c r="F25" s="14" t="n">
        <v>66</v>
      </c>
      <c r="G25" s="15" t="n">
        <v>6600</v>
      </c>
      <c r="H25" s="14" t="s">
        <v>807</v>
      </c>
      <c r="I25" s="14" t="n">
        <v>1</v>
      </c>
      <c r="J25" s="14" t="s">
        <v>806</v>
      </c>
    </row>
    <row r="26" customFormat="false" ht="15" hidden="false" customHeight="false" outlineLevel="0" collapsed="false">
      <c r="A26" s="14" t="s">
        <v>376</v>
      </c>
      <c r="B26" s="15" t="n">
        <v>1559</v>
      </c>
      <c r="C26" s="15" t="n">
        <v>1678</v>
      </c>
      <c r="D26" s="14" t="n">
        <v>108</v>
      </c>
      <c r="E26" s="15" t="n">
        <v>236634</v>
      </c>
      <c r="F26" s="14" t="n">
        <v>100</v>
      </c>
      <c r="G26" s="15" t="n">
        <v>2400</v>
      </c>
      <c r="H26" s="14" t="s">
        <v>808</v>
      </c>
      <c r="I26" s="14" t="s">
        <v>813</v>
      </c>
      <c r="J26" s="14" t="s">
        <v>806</v>
      </c>
    </row>
    <row r="27" customFormat="false" ht="15" hidden="false" customHeight="false" outlineLevel="0" collapsed="false">
      <c r="A27" s="14" t="s">
        <v>816</v>
      </c>
      <c r="B27" s="15" t="n">
        <v>1551</v>
      </c>
      <c r="C27" s="15" t="n">
        <v>1594</v>
      </c>
      <c r="D27" s="14" t="n">
        <v>103</v>
      </c>
      <c r="E27" s="15" t="n">
        <v>222654</v>
      </c>
      <c r="F27" s="14" t="n">
        <v>100</v>
      </c>
      <c r="G27" s="15" t="n">
        <v>12100</v>
      </c>
      <c r="H27" s="14" t="s">
        <v>802</v>
      </c>
      <c r="I27" s="14" t="s">
        <v>813</v>
      </c>
      <c r="J27" s="14" t="s">
        <v>806</v>
      </c>
    </row>
    <row r="28" customFormat="false" ht="15" hidden="false" customHeight="false" outlineLevel="0" collapsed="false">
      <c r="A28" s="14" t="s">
        <v>817</v>
      </c>
      <c r="B28" s="15" t="n">
        <v>1523</v>
      </c>
      <c r="C28" s="15" t="n">
        <v>1614</v>
      </c>
      <c r="D28" s="14" t="n">
        <v>106</v>
      </c>
      <c r="E28" s="15" t="n">
        <v>73440</v>
      </c>
      <c r="F28" s="14" t="n">
        <v>84</v>
      </c>
      <c r="G28" s="15" t="n">
        <v>22200</v>
      </c>
      <c r="H28" s="14" t="s">
        <v>802</v>
      </c>
      <c r="I28" s="14" t="n">
        <v>3</v>
      </c>
      <c r="J28" s="14" t="s">
        <v>806</v>
      </c>
    </row>
    <row r="29" customFormat="false" ht="15" hidden="false" customHeight="false" outlineLevel="0" collapsed="false">
      <c r="A29" s="14" t="s">
        <v>308</v>
      </c>
      <c r="B29" s="15" t="n">
        <v>1511</v>
      </c>
      <c r="C29" s="15" t="n">
        <v>1708</v>
      </c>
      <c r="D29" s="14" t="n">
        <v>113</v>
      </c>
      <c r="E29" s="15" t="n">
        <v>17717</v>
      </c>
      <c r="F29" s="14" t="n">
        <v>53</v>
      </c>
      <c r="G29" s="15" t="n">
        <v>14800</v>
      </c>
      <c r="H29" s="14" t="s">
        <v>807</v>
      </c>
      <c r="I29" s="14" t="n">
        <v>2</v>
      </c>
      <c r="J29" s="14" t="s">
        <v>806</v>
      </c>
    </row>
    <row r="30" customFormat="false" ht="15" hidden="false" customHeight="false" outlineLevel="0" collapsed="false">
      <c r="A30" s="14" t="s">
        <v>535</v>
      </c>
      <c r="B30" s="15" t="n">
        <v>1438</v>
      </c>
      <c r="C30" s="15" t="n">
        <v>1620</v>
      </c>
      <c r="D30" s="14" t="n">
        <v>113</v>
      </c>
      <c r="E30" s="15" t="n">
        <v>51347</v>
      </c>
      <c r="F30" s="14" t="n">
        <v>78</v>
      </c>
      <c r="G30" s="15" t="n">
        <v>27100</v>
      </c>
      <c r="H30" s="14" t="s">
        <v>809</v>
      </c>
      <c r="I30" s="14" t="n">
        <v>3</v>
      </c>
      <c r="J30" s="14" t="s">
        <v>806</v>
      </c>
    </row>
    <row r="31" customFormat="false" ht="15" hidden="false" customHeight="false" outlineLevel="0" collapsed="false">
      <c r="A31" s="14" t="s">
        <v>818</v>
      </c>
      <c r="B31" s="15" t="n">
        <v>1387</v>
      </c>
      <c r="C31" s="15" t="n">
        <v>1361</v>
      </c>
      <c r="D31" s="14" t="n">
        <v>98</v>
      </c>
      <c r="E31" s="15" t="n">
        <v>170290</v>
      </c>
      <c r="F31" s="14" t="n">
        <v>100</v>
      </c>
      <c r="G31" s="15" t="n">
        <v>40500</v>
      </c>
      <c r="H31" s="14" t="s">
        <v>802</v>
      </c>
      <c r="I31" s="14" t="n">
        <v>3</v>
      </c>
      <c r="J31" s="14" t="s">
        <v>806</v>
      </c>
    </row>
    <row r="32" customFormat="false" ht="15" hidden="false" customHeight="false" outlineLevel="0" collapsed="false">
      <c r="A32" s="14" t="s">
        <v>819</v>
      </c>
      <c r="B32" s="15" t="n">
        <v>1326</v>
      </c>
      <c r="C32" s="15" t="n">
        <v>1438</v>
      </c>
      <c r="D32" s="14" t="n">
        <v>108</v>
      </c>
      <c r="E32" s="15" t="n">
        <v>125396</v>
      </c>
      <c r="F32" s="14" t="n">
        <v>99</v>
      </c>
      <c r="G32" s="15" t="n">
        <v>2400</v>
      </c>
      <c r="H32" s="14" t="s">
        <v>808</v>
      </c>
      <c r="I32" s="14" t="n">
        <v>2</v>
      </c>
      <c r="J32" s="14" t="s">
        <v>806</v>
      </c>
    </row>
    <row r="33" customFormat="false" ht="15" hidden="false" customHeight="false" outlineLevel="0" collapsed="false">
      <c r="A33" s="14" t="s">
        <v>59</v>
      </c>
      <c r="B33" s="15" t="n">
        <v>1316</v>
      </c>
      <c r="C33" s="15" t="n">
        <v>1311</v>
      </c>
      <c r="D33" s="14" t="n">
        <v>100</v>
      </c>
      <c r="E33" s="15" t="n">
        <v>202763</v>
      </c>
      <c r="F33" s="14" t="n">
        <v>100</v>
      </c>
      <c r="G33" s="15" t="n">
        <v>14800</v>
      </c>
      <c r="H33" s="14" t="s">
        <v>808</v>
      </c>
      <c r="I33" s="14" t="s">
        <v>810</v>
      </c>
      <c r="J33" s="14" t="s">
        <v>806</v>
      </c>
    </row>
    <row r="34" customFormat="false" ht="15" hidden="false" customHeight="false" outlineLevel="0" collapsed="false">
      <c r="A34" s="14" t="s">
        <v>137</v>
      </c>
      <c r="B34" s="15" t="n">
        <v>1300</v>
      </c>
      <c r="C34" s="15" t="n">
        <v>1392</v>
      </c>
      <c r="D34" s="14" t="n">
        <v>107</v>
      </c>
      <c r="E34" s="15" t="n">
        <v>11342</v>
      </c>
      <c r="F34" s="14" t="n">
        <v>47</v>
      </c>
      <c r="G34" s="15" t="n">
        <v>18100</v>
      </c>
      <c r="H34" s="14" t="s">
        <v>807</v>
      </c>
      <c r="I34" s="14" t="s">
        <v>813</v>
      </c>
      <c r="J34" s="14" t="s">
        <v>806</v>
      </c>
    </row>
    <row r="35" customFormat="false" ht="15" hidden="false" customHeight="false" outlineLevel="0" collapsed="false">
      <c r="A35" s="14" t="s">
        <v>353</v>
      </c>
      <c r="B35" s="15" t="n">
        <v>1258</v>
      </c>
      <c r="C35" s="15" t="n">
        <v>1274</v>
      </c>
      <c r="D35" s="14" t="n">
        <v>101</v>
      </c>
      <c r="E35" s="15" t="n">
        <v>4116</v>
      </c>
      <c r="F35" s="14" t="n">
        <v>26</v>
      </c>
      <c r="G35" s="15" t="n">
        <v>2400</v>
      </c>
      <c r="H35" s="14" t="s">
        <v>807</v>
      </c>
      <c r="I35" s="14" t="n">
        <v>4</v>
      </c>
      <c r="J35" s="14" t="s">
        <v>806</v>
      </c>
    </row>
    <row r="36" customFormat="false" ht="15" hidden="false" customHeight="false" outlineLevel="0" collapsed="false">
      <c r="A36" s="14" t="s">
        <v>820</v>
      </c>
      <c r="B36" s="15" t="n">
        <v>1258</v>
      </c>
      <c r="C36" s="15" t="n">
        <v>1190</v>
      </c>
      <c r="D36" s="14" t="n">
        <v>95</v>
      </c>
      <c r="E36" s="15" t="n">
        <v>239563</v>
      </c>
      <c r="F36" s="14" t="n">
        <v>100</v>
      </c>
      <c r="G36" s="15" t="n">
        <v>14800</v>
      </c>
      <c r="H36" s="14" t="s">
        <v>808</v>
      </c>
      <c r="I36" s="14" t="s">
        <v>814</v>
      </c>
      <c r="J36" s="14" t="s">
        <v>806</v>
      </c>
    </row>
    <row r="37" customFormat="false" ht="15" hidden="false" customHeight="false" outlineLevel="0" collapsed="false">
      <c r="A37" s="14" t="s">
        <v>821</v>
      </c>
      <c r="B37" s="15" t="n">
        <v>1244</v>
      </c>
      <c r="C37" s="15" t="n">
        <v>1244</v>
      </c>
      <c r="D37" s="14" t="n">
        <v>100</v>
      </c>
      <c r="E37" s="15" t="n">
        <v>747606</v>
      </c>
      <c r="F37" s="14" t="n">
        <v>100</v>
      </c>
      <c r="G37" s="15" t="n">
        <v>14800</v>
      </c>
      <c r="H37" s="14" t="s">
        <v>802</v>
      </c>
      <c r="I37" s="14" t="n">
        <v>1</v>
      </c>
      <c r="J37" s="14" t="s">
        <v>806</v>
      </c>
    </row>
    <row r="38" customFormat="false" ht="15" hidden="false" customHeight="false" outlineLevel="0" collapsed="false">
      <c r="A38" s="14" t="s">
        <v>355</v>
      </c>
      <c r="B38" s="15" t="n">
        <v>1200</v>
      </c>
      <c r="C38" s="15" t="n">
        <v>1200</v>
      </c>
      <c r="D38" s="14" t="n">
        <v>100</v>
      </c>
      <c r="E38" s="15" t="n">
        <v>9571</v>
      </c>
      <c r="F38" s="14" t="n">
        <v>45</v>
      </c>
      <c r="G38" s="15" t="n">
        <v>5400</v>
      </c>
      <c r="H38" s="14" t="s">
        <v>807</v>
      </c>
      <c r="I38" s="14" t="n">
        <v>1</v>
      </c>
      <c r="J38" s="14" t="s">
        <v>806</v>
      </c>
    </row>
    <row r="39" customFormat="false" ht="15" hidden="false" customHeight="false" outlineLevel="0" collapsed="false">
      <c r="A39" s="14" t="s">
        <v>659</v>
      </c>
      <c r="B39" s="15" t="n">
        <v>1198</v>
      </c>
      <c r="C39" s="15" t="n">
        <v>1196</v>
      </c>
      <c r="D39" s="14" t="n">
        <v>100</v>
      </c>
      <c r="E39" s="15" t="n">
        <v>10660</v>
      </c>
      <c r="F39" s="14" t="n">
        <v>47</v>
      </c>
      <c r="G39" s="15" t="n">
        <v>4400</v>
      </c>
      <c r="H39" s="14" t="s">
        <v>807</v>
      </c>
      <c r="I39" s="14" t="s">
        <v>810</v>
      </c>
      <c r="J39" s="14" t="s">
        <v>806</v>
      </c>
    </row>
    <row r="40" customFormat="false" ht="15" hidden="false" customHeight="false" outlineLevel="0" collapsed="false">
      <c r="A40" s="14" t="s">
        <v>307</v>
      </c>
      <c r="B40" s="15" t="n">
        <v>1192</v>
      </c>
      <c r="C40" s="15" t="n">
        <v>1191</v>
      </c>
      <c r="D40" s="14" t="n">
        <v>100</v>
      </c>
      <c r="E40" s="15" t="n">
        <v>5284</v>
      </c>
      <c r="F40" s="14" t="n">
        <v>32</v>
      </c>
      <c r="G40" s="15"/>
      <c r="H40" s="14" t="s">
        <v>807</v>
      </c>
      <c r="I40" s="14" t="s">
        <v>803</v>
      </c>
      <c r="J40" s="14" t="s">
        <v>804</v>
      </c>
    </row>
    <row r="41" customFormat="false" ht="15" hidden="false" customHeight="false" outlineLevel="0" collapsed="false">
      <c r="A41" s="14" t="s">
        <v>822</v>
      </c>
      <c r="B41" s="15" t="n">
        <v>1093</v>
      </c>
      <c r="C41" s="15" t="n">
        <v>1119</v>
      </c>
      <c r="D41" s="14" t="n">
        <v>102</v>
      </c>
      <c r="E41" s="15" t="n">
        <v>109733</v>
      </c>
      <c r="F41" s="14" t="n">
        <v>100</v>
      </c>
      <c r="G41" s="15" t="n">
        <v>5400</v>
      </c>
      <c r="H41" s="14" t="s">
        <v>802</v>
      </c>
      <c r="I41" s="14" t="n">
        <v>3</v>
      </c>
      <c r="J41" s="14" t="s">
        <v>806</v>
      </c>
    </row>
    <row r="42" customFormat="false" ht="15" hidden="false" customHeight="false" outlineLevel="0" collapsed="false">
      <c r="A42" s="14" t="s">
        <v>823</v>
      </c>
      <c r="B42" s="15" t="n">
        <v>1043</v>
      </c>
      <c r="C42" s="15" t="n">
        <v>1057</v>
      </c>
      <c r="D42" s="14" t="n">
        <v>101</v>
      </c>
      <c r="E42" s="15" t="n">
        <v>468721</v>
      </c>
      <c r="F42" s="14" t="n">
        <v>100</v>
      </c>
      <c r="G42" s="15" t="n">
        <v>9900</v>
      </c>
      <c r="H42" s="14" t="s">
        <v>802</v>
      </c>
      <c r="I42" s="14" t="s">
        <v>810</v>
      </c>
      <c r="J42" s="14" t="s">
        <v>806</v>
      </c>
    </row>
    <row r="43" customFormat="false" ht="15" hidden="false" customHeight="false" outlineLevel="0" collapsed="false">
      <c r="A43" s="14" t="s">
        <v>357</v>
      </c>
      <c r="B43" s="15" t="n">
        <v>990</v>
      </c>
      <c r="C43" s="15" t="n">
        <v>987</v>
      </c>
      <c r="D43" s="14" t="n">
        <v>100</v>
      </c>
      <c r="E43" s="15" t="n">
        <v>2588</v>
      </c>
      <c r="F43" s="14" t="n">
        <v>21</v>
      </c>
      <c r="G43" s="15" t="n">
        <v>1000</v>
      </c>
      <c r="H43" s="14" t="s">
        <v>807</v>
      </c>
      <c r="I43" s="14" t="n">
        <v>4</v>
      </c>
      <c r="J43" s="14" t="s">
        <v>806</v>
      </c>
    </row>
    <row r="44" customFormat="false" ht="15" hidden="false" customHeight="false" outlineLevel="0" collapsed="false">
      <c r="A44" s="14" t="s">
        <v>824</v>
      </c>
      <c r="B44" s="15" t="n">
        <v>983</v>
      </c>
      <c r="C44" s="15" t="n">
        <v>1008</v>
      </c>
      <c r="D44" s="14" t="n">
        <v>103</v>
      </c>
      <c r="E44" s="15" t="n">
        <v>102845</v>
      </c>
      <c r="F44" s="14" t="n">
        <v>100</v>
      </c>
      <c r="G44" s="15" t="n">
        <v>5400</v>
      </c>
      <c r="H44" s="14" t="s">
        <v>808</v>
      </c>
      <c r="I44" s="14" t="s">
        <v>814</v>
      </c>
      <c r="J44" s="14" t="s">
        <v>806</v>
      </c>
    </row>
    <row r="45" customFormat="false" ht="15" hidden="false" customHeight="false" outlineLevel="0" collapsed="false">
      <c r="A45" s="14" t="s">
        <v>561</v>
      </c>
      <c r="B45" s="15" t="n">
        <v>957</v>
      </c>
      <c r="C45" s="15" t="n">
        <v>1011</v>
      </c>
      <c r="D45" s="14" t="n">
        <v>106</v>
      </c>
      <c r="E45" s="15" t="n">
        <v>41182</v>
      </c>
      <c r="F45" s="14" t="n">
        <v>82</v>
      </c>
      <c r="G45" s="15" t="n">
        <v>2900</v>
      </c>
      <c r="H45" s="14" t="s">
        <v>809</v>
      </c>
      <c r="I45" s="14" t="s">
        <v>813</v>
      </c>
      <c r="J45" s="14" t="s">
        <v>806</v>
      </c>
    </row>
    <row r="46" customFormat="false" ht="15" hidden="false" customHeight="false" outlineLevel="0" collapsed="false">
      <c r="A46" s="14" t="s">
        <v>825</v>
      </c>
      <c r="B46" s="15" t="n">
        <v>951</v>
      </c>
      <c r="C46" s="15" t="n">
        <v>1028</v>
      </c>
      <c r="D46" s="14" t="n">
        <v>108</v>
      </c>
      <c r="E46" s="15" t="n">
        <v>194293</v>
      </c>
      <c r="F46" s="14" t="n">
        <v>100</v>
      </c>
      <c r="G46" s="15" t="n">
        <v>5400</v>
      </c>
      <c r="H46" s="14" t="s">
        <v>802</v>
      </c>
      <c r="I46" s="14" t="s">
        <v>813</v>
      </c>
      <c r="J46" s="14" t="s">
        <v>806</v>
      </c>
    </row>
    <row r="47" customFormat="false" ht="15" hidden="false" customHeight="false" outlineLevel="0" collapsed="false">
      <c r="A47" s="14" t="s">
        <v>826</v>
      </c>
      <c r="B47" s="15" t="n">
        <v>924</v>
      </c>
      <c r="C47" s="15" t="n">
        <v>959</v>
      </c>
      <c r="D47" s="14" t="n">
        <v>104</v>
      </c>
      <c r="E47" s="15" t="n">
        <v>15833</v>
      </c>
      <c r="F47" s="14" t="n">
        <v>62</v>
      </c>
      <c r="G47" s="15" t="n">
        <v>2900</v>
      </c>
      <c r="H47" s="14" t="s">
        <v>807</v>
      </c>
      <c r="I47" s="14" t="n">
        <v>1</v>
      </c>
      <c r="J47" s="14" t="s">
        <v>806</v>
      </c>
    </row>
    <row r="48" customFormat="false" ht="15" hidden="false" customHeight="false" outlineLevel="0" collapsed="false">
      <c r="A48" s="14" t="s">
        <v>422</v>
      </c>
      <c r="B48" s="15" t="n">
        <v>892</v>
      </c>
      <c r="C48" s="15" t="n">
        <v>895</v>
      </c>
      <c r="D48" s="14" t="n">
        <v>100</v>
      </c>
      <c r="E48" s="15" t="n">
        <v>145926</v>
      </c>
      <c r="F48" s="14" t="n">
        <v>100</v>
      </c>
      <c r="G48" s="15" t="n">
        <v>6600</v>
      </c>
      <c r="H48" s="14" t="s">
        <v>808</v>
      </c>
      <c r="I48" s="14" t="n">
        <v>2</v>
      </c>
      <c r="J48" s="14" t="s">
        <v>806</v>
      </c>
    </row>
    <row r="49" customFormat="false" ht="15" hidden="false" customHeight="false" outlineLevel="0" collapsed="false">
      <c r="A49" s="14" t="s">
        <v>827</v>
      </c>
      <c r="B49" s="15" t="n">
        <v>882</v>
      </c>
      <c r="C49" s="15" t="n">
        <v>881</v>
      </c>
      <c r="D49" s="14" t="n">
        <v>100</v>
      </c>
      <c r="E49" s="15" t="n">
        <v>3700</v>
      </c>
      <c r="F49" s="14" t="n">
        <v>31</v>
      </c>
      <c r="G49" s="15" t="n">
        <v>260</v>
      </c>
      <c r="H49" s="14" t="s">
        <v>807</v>
      </c>
      <c r="I49" s="14" t="n">
        <v>4</v>
      </c>
      <c r="J49" s="14" t="s">
        <v>806</v>
      </c>
    </row>
    <row r="50" customFormat="false" ht="15" hidden="false" customHeight="false" outlineLevel="0" collapsed="false">
      <c r="A50" s="14" t="s">
        <v>275</v>
      </c>
      <c r="B50" s="15" t="n">
        <v>799</v>
      </c>
      <c r="C50" s="15" t="n">
        <v>902</v>
      </c>
      <c r="D50" s="14" t="n">
        <v>113</v>
      </c>
      <c r="E50" s="15" t="n">
        <v>17774</v>
      </c>
      <c r="F50" s="14" t="n">
        <v>67</v>
      </c>
      <c r="G50" s="15" t="n">
        <v>1900</v>
      </c>
      <c r="H50" s="14" t="s">
        <v>807</v>
      </c>
      <c r="I50" s="14" t="n">
        <v>2</v>
      </c>
      <c r="J50" s="14" t="s">
        <v>806</v>
      </c>
    </row>
    <row r="51" customFormat="false" ht="15" hidden="false" customHeight="false" outlineLevel="0" collapsed="false">
      <c r="A51" s="14" t="s">
        <v>828</v>
      </c>
      <c r="B51" s="15" t="n">
        <v>796</v>
      </c>
      <c r="C51" s="15" t="n">
        <v>795</v>
      </c>
      <c r="D51" s="14" t="n">
        <v>100</v>
      </c>
      <c r="E51" s="15" t="n">
        <v>68150</v>
      </c>
      <c r="F51" s="14" t="n">
        <v>97</v>
      </c>
      <c r="G51" s="15" t="n">
        <v>6600</v>
      </c>
      <c r="H51" s="14" t="s">
        <v>808</v>
      </c>
      <c r="I51" s="14" t="n">
        <v>2</v>
      </c>
      <c r="J51" s="14" t="s">
        <v>806</v>
      </c>
    </row>
    <row r="52" customFormat="false" ht="15" hidden="false" customHeight="false" outlineLevel="0" collapsed="false">
      <c r="A52" s="14" t="s">
        <v>829</v>
      </c>
      <c r="B52" s="15" t="n">
        <v>770</v>
      </c>
      <c r="C52" s="15" t="n">
        <v>900</v>
      </c>
      <c r="D52" s="14" t="n">
        <v>117</v>
      </c>
      <c r="E52" s="15" t="n">
        <v>1935</v>
      </c>
      <c r="F52" s="14" t="n">
        <v>20</v>
      </c>
      <c r="G52" s="15" t="n">
        <v>720</v>
      </c>
      <c r="H52" s="14" t="s">
        <v>807</v>
      </c>
      <c r="I52" s="14" t="n">
        <v>1</v>
      </c>
      <c r="J52" s="14" t="s">
        <v>806</v>
      </c>
    </row>
    <row r="53" customFormat="false" ht="15" hidden="false" customHeight="false" outlineLevel="0" collapsed="false">
      <c r="A53" s="14" t="s">
        <v>682</v>
      </c>
      <c r="B53" s="15" t="n">
        <v>752</v>
      </c>
      <c r="C53" s="15" t="n">
        <v>1007</v>
      </c>
      <c r="D53" s="14" t="n">
        <v>134</v>
      </c>
      <c r="E53" s="15" t="n">
        <v>23424</v>
      </c>
      <c r="F53" s="14" t="n">
        <v>75</v>
      </c>
      <c r="G53" s="15" t="n">
        <v>8100</v>
      </c>
      <c r="H53" s="14" t="s">
        <v>809</v>
      </c>
      <c r="I53" s="14" t="n">
        <v>1</v>
      </c>
      <c r="J53" s="14" t="s">
        <v>806</v>
      </c>
    </row>
    <row r="54" customFormat="false" ht="15" hidden="false" customHeight="false" outlineLevel="0" collapsed="false">
      <c r="A54" s="14" t="s">
        <v>55</v>
      </c>
      <c r="B54" s="15" t="n">
        <v>687</v>
      </c>
      <c r="C54" s="15" t="n">
        <v>681</v>
      </c>
      <c r="D54" s="14" t="n">
        <v>99</v>
      </c>
      <c r="E54" s="15" t="n">
        <v>53246</v>
      </c>
      <c r="F54" s="14" t="n">
        <v>94</v>
      </c>
      <c r="G54" s="15" t="n">
        <v>590</v>
      </c>
      <c r="H54" s="14" t="s">
        <v>808</v>
      </c>
      <c r="I54" s="14" t="s">
        <v>810</v>
      </c>
      <c r="J54" s="14" t="s">
        <v>806</v>
      </c>
    </row>
    <row r="55" customFormat="false" ht="15" hidden="false" customHeight="false" outlineLevel="0" collapsed="false">
      <c r="A55" s="14" t="s">
        <v>698</v>
      </c>
      <c r="B55" s="15" t="n">
        <v>685</v>
      </c>
      <c r="C55" s="15" t="n">
        <v>678</v>
      </c>
      <c r="D55" s="14" t="n">
        <v>99</v>
      </c>
      <c r="E55" s="15" t="n">
        <v>7898</v>
      </c>
      <c r="F55" s="14" t="n">
        <v>53</v>
      </c>
      <c r="G55" s="15" t="n">
        <v>880</v>
      </c>
      <c r="H55" s="14" t="s">
        <v>807</v>
      </c>
      <c r="I55" s="14" t="n">
        <v>3</v>
      </c>
      <c r="J55" s="14" t="s">
        <v>806</v>
      </c>
    </row>
    <row r="56" customFormat="false" ht="15" hidden="false" customHeight="false" outlineLevel="0" collapsed="false">
      <c r="A56" s="14" t="s">
        <v>417</v>
      </c>
      <c r="B56" s="15" t="n">
        <v>588</v>
      </c>
      <c r="C56" s="15" t="n">
        <v>557</v>
      </c>
      <c r="D56" s="14" t="n">
        <v>95</v>
      </c>
      <c r="E56" s="15" t="n">
        <v>20867</v>
      </c>
      <c r="F56" s="14" t="n">
        <v>78</v>
      </c>
      <c r="G56" s="15" t="n">
        <v>8100</v>
      </c>
      <c r="H56" s="14" t="s">
        <v>809</v>
      </c>
      <c r="I56" s="14" t="s">
        <v>814</v>
      </c>
      <c r="J56" s="14" t="s">
        <v>806</v>
      </c>
    </row>
    <row r="57" customFormat="false" ht="15" hidden="false" customHeight="false" outlineLevel="0" collapsed="false">
      <c r="A57" s="14" t="s">
        <v>830</v>
      </c>
      <c r="B57" s="15" t="n">
        <v>584</v>
      </c>
      <c r="C57" s="15" t="n">
        <v>602</v>
      </c>
      <c r="D57" s="14" t="n">
        <v>103</v>
      </c>
      <c r="E57" s="15" t="n">
        <v>119994</v>
      </c>
      <c r="F57" s="14" t="n">
        <v>100</v>
      </c>
      <c r="G57" s="15" t="n">
        <v>6600</v>
      </c>
      <c r="H57" s="14" t="s">
        <v>802</v>
      </c>
      <c r="I57" s="14" t="s">
        <v>813</v>
      </c>
      <c r="J57" s="14" t="s">
        <v>806</v>
      </c>
    </row>
    <row r="58" customFormat="false" ht="15" hidden="false" customHeight="false" outlineLevel="0" collapsed="false">
      <c r="A58" s="14" t="s">
        <v>359</v>
      </c>
      <c r="B58" s="15" t="n">
        <v>583</v>
      </c>
      <c r="C58" s="15" t="n">
        <v>576</v>
      </c>
      <c r="D58" s="14" t="n">
        <v>99</v>
      </c>
      <c r="E58" s="15" t="n">
        <v>11809</v>
      </c>
      <c r="F58" s="14" t="n">
        <v>65</v>
      </c>
      <c r="G58" s="15" t="n">
        <v>8100</v>
      </c>
      <c r="H58" s="14" t="s">
        <v>807</v>
      </c>
      <c r="I58" s="14" t="s">
        <v>813</v>
      </c>
      <c r="J58" s="14" t="s">
        <v>806</v>
      </c>
    </row>
    <row r="59" customFormat="false" ht="15" hidden="false" customHeight="false" outlineLevel="0" collapsed="false">
      <c r="A59" s="14" t="s">
        <v>468</v>
      </c>
      <c r="B59" s="15" t="n">
        <v>492</v>
      </c>
      <c r="C59" s="15" t="n">
        <v>485</v>
      </c>
      <c r="D59" s="14" t="n">
        <v>99</v>
      </c>
      <c r="E59" s="15" t="n">
        <v>14353</v>
      </c>
      <c r="F59" s="14" t="n">
        <v>73</v>
      </c>
      <c r="G59" s="15" t="n">
        <v>3600</v>
      </c>
      <c r="H59" s="14" t="s">
        <v>831</v>
      </c>
      <c r="I59" s="14" t="n">
        <v>1</v>
      </c>
      <c r="J59" s="14" t="s">
        <v>806</v>
      </c>
    </row>
    <row r="60" customFormat="false" ht="15" hidden="false" customHeight="false" outlineLevel="0" collapsed="false">
      <c r="A60" s="14" t="s">
        <v>354</v>
      </c>
      <c r="B60" s="15" t="n">
        <v>491</v>
      </c>
      <c r="C60" s="15" t="n">
        <v>483</v>
      </c>
      <c r="D60" s="14" t="n">
        <v>98</v>
      </c>
      <c r="E60" s="15" t="n">
        <v>1146</v>
      </c>
      <c r="F60" s="14" t="n">
        <v>18</v>
      </c>
      <c r="G60" s="15" t="n">
        <v>390</v>
      </c>
      <c r="H60" s="14" t="s">
        <v>807</v>
      </c>
      <c r="I60" s="14" t="s">
        <v>813</v>
      </c>
      <c r="J60" s="14" t="s">
        <v>806</v>
      </c>
    </row>
    <row r="61" customFormat="false" ht="15" hidden="false" customHeight="false" outlineLevel="0" collapsed="false">
      <c r="A61" s="14" t="s">
        <v>832</v>
      </c>
      <c r="B61" s="15" t="n">
        <v>486</v>
      </c>
      <c r="C61" s="15" t="n">
        <v>477</v>
      </c>
      <c r="D61" s="14" t="n">
        <v>98</v>
      </c>
      <c r="E61" s="15" t="n">
        <v>109756</v>
      </c>
      <c r="F61" s="14" t="n">
        <v>100</v>
      </c>
      <c r="G61" s="15" t="n">
        <v>880</v>
      </c>
      <c r="H61" s="14" t="s">
        <v>802</v>
      </c>
      <c r="I61" s="14" t="s">
        <v>810</v>
      </c>
      <c r="J61" s="14" t="s">
        <v>806</v>
      </c>
    </row>
    <row r="62" customFormat="false" ht="15" hidden="false" customHeight="false" outlineLevel="0" collapsed="false">
      <c r="A62" s="14" t="s">
        <v>833</v>
      </c>
      <c r="B62" s="15" t="n">
        <v>415</v>
      </c>
      <c r="C62" s="15" t="n">
        <v>421</v>
      </c>
      <c r="D62" s="14" t="n">
        <v>101</v>
      </c>
      <c r="E62" s="15" t="n">
        <v>9399</v>
      </c>
      <c r="F62" s="14" t="n">
        <v>68</v>
      </c>
      <c r="G62" s="15" t="n">
        <v>6600</v>
      </c>
      <c r="H62" s="14" t="s">
        <v>807</v>
      </c>
      <c r="I62" s="14" t="n">
        <v>3</v>
      </c>
      <c r="J62" s="14" t="s">
        <v>806</v>
      </c>
    </row>
    <row r="63" customFormat="false" ht="15" hidden="false" customHeight="false" outlineLevel="0" collapsed="false">
      <c r="A63" s="14" t="s">
        <v>396</v>
      </c>
      <c r="B63" s="15" t="n">
        <v>402</v>
      </c>
      <c r="C63" s="15" t="n">
        <v>396</v>
      </c>
      <c r="D63" s="14" t="n">
        <v>99</v>
      </c>
      <c r="E63" s="15" t="n">
        <v>35403</v>
      </c>
      <c r="F63" s="14" t="n">
        <v>97</v>
      </c>
      <c r="G63" s="15" t="n">
        <v>2400</v>
      </c>
      <c r="H63" s="14" t="s">
        <v>808</v>
      </c>
      <c r="I63" s="14" t="n">
        <v>4</v>
      </c>
      <c r="J63" s="14" t="s">
        <v>806</v>
      </c>
    </row>
    <row r="64" customFormat="false" ht="15" hidden="false" customHeight="false" outlineLevel="0" collapsed="false">
      <c r="A64" s="14" t="s">
        <v>834</v>
      </c>
      <c r="B64" s="15" t="n">
        <v>348</v>
      </c>
      <c r="C64" s="15" t="n">
        <v>391</v>
      </c>
      <c r="D64" s="14" t="n">
        <v>112</v>
      </c>
      <c r="E64" s="15" t="n">
        <v>251018</v>
      </c>
      <c r="F64" s="14" t="n">
        <v>100</v>
      </c>
      <c r="G64" s="15" t="n">
        <v>480</v>
      </c>
      <c r="H64" s="14" t="s">
        <v>802</v>
      </c>
      <c r="I64" s="14" t="s">
        <v>810</v>
      </c>
      <c r="J64" s="14" t="s">
        <v>806</v>
      </c>
    </row>
    <row r="65" customFormat="false" ht="15" hidden="false" customHeight="false" outlineLevel="0" collapsed="false">
      <c r="A65" s="14" t="s">
        <v>374</v>
      </c>
      <c r="B65" s="15" t="n">
        <v>336</v>
      </c>
      <c r="C65" s="15" t="n">
        <v>428</v>
      </c>
      <c r="D65" s="14" t="n">
        <v>127</v>
      </c>
      <c r="E65" s="15" t="n">
        <v>7445</v>
      </c>
      <c r="F65" s="14" t="n">
        <v>67</v>
      </c>
      <c r="G65" s="15"/>
      <c r="H65" s="14" t="s">
        <v>807</v>
      </c>
      <c r="I65" s="14" t="n">
        <v>3</v>
      </c>
      <c r="J65" s="14" t="s">
        <v>806</v>
      </c>
    </row>
    <row r="66" customFormat="false" ht="15" hidden="false" customHeight="false" outlineLevel="0" collapsed="false">
      <c r="A66" s="14" t="s">
        <v>358</v>
      </c>
      <c r="B66" s="15" t="n">
        <v>323</v>
      </c>
      <c r="C66" s="15" t="n">
        <v>330</v>
      </c>
      <c r="D66" s="14" t="n">
        <v>102</v>
      </c>
      <c r="E66" s="15" t="n">
        <v>1537</v>
      </c>
      <c r="F66" s="14" t="n">
        <v>34</v>
      </c>
      <c r="G66" s="15" t="n">
        <v>590</v>
      </c>
      <c r="H66" s="14" t="s">
        <v>807</v>
      </c>
      <c r="I66" s="14" t="s">
        <v>813</v>
      </c>
      <c r="J66" s="14" t="s">
        <v>806</v>
      </c>
    </row>
    <row r="67" customFormat="false" ht="15" hidden="false" customHeight="false" outlineLevel="0" collapsed="false">
      <c r="A67" s="14" t="s">
        <v>835</v>
      </c>
      <c r="B67" s="15" t="n">
        <v>303</v>
      </c>
      <c r="C67" s="15" t="n">
        <v>295</v>
      </c>
      <c r="D67" s="14" t="n">
        <v>97</v>
      </c>
      <c r="E67" s="15" t="n">
        <v>9293</v>
      </c>
      <c r="F67" s="14" t="n">
        <v>74</v>
      </c>
      <c r="G67" s="15" t="n">
        <v>320</v>
      </c>
      <c r="H67" s="14" t="s">
        <v>831</v>
      </c>
      <c r="I67" s="14" t="s">
        <v>814</v>
      </c>
      <c r="J67" s="14" t="s">
        <v>806</v>
      </c>
    </row>
    <row r="68" customFormat="false" ht="15" hidden="false" customHeight="false" outlineLevel="0" collapsed="false">
      <c r="A68" s="14" t="s">
        <v>836</v>
      </c>
      <c r="B68" s="15" t="n">
        <v>236</v>
      </c>
      <c r="C68" s="15" t="n">
        <v>258</v>
      </c>
      <c r="D68" s="14" t="n">
        <v>109</v>
      </c>
      <c r="E68" s="15" t="n">
        <v>83356</v>
      </c>
      <c r="F68" s="14" t="n">
        <v>100</v>
      </c>
      <c r="G68" s="15" t="n">
        <v>8100</v>
      </c>
      <c r="H68" s="14" t="s">
        <v>809</v>
      </c>
      <c r="I68" s="14" t="n">
        <v>4</v>
      </c>
      <c r="J68" s="14" t="s">
        <v>806</v>
      </c>
    </row>
    <row r="69" customFormat="false" ht="15" hidden="false" customHeight="false" outlineLevel="0" collapsed="false">
      <c r="A69" s="14" t="s">
        <v>837</v>
      </c>
      <c r="B69" s="15" t="n">
        <v>236</v>
      </c>
      <c r="C69" s="15" t="n">
        <v>243</v>
      </c>
      <c r="D69" s="14" t="n">
        <v>103</v>
      </c>
      <c r="E69" s="15" t="n">
        <v>5475</v>
      </c>
      <c r="F69" s="14" t="n">
        <v>68</v>
      </c>
      <c r="G69" s="15" t="n">
        <v>5400</v>
      </c>
      <c r="H69" s="14" t="s">
        <v>831</v>
      </c>
      <c r="I69" s="14" t="s">
        <v>813</v>
      </c>
      <c r="J69" s="14" t="s">
        <v>806</v>
      </c>
    </row>
    <row r="70" customFormat="false" ht="15" hidden="false" customHeight="false" outlineLevel="0" collapsed="false">
      <c r="A70" s="14" t="s">
        <v>321</v>
      </c>
      <c r="B70" s="15" t="n">
        <v>203</v>
      </c>
      <c r="C70" s="15" t="n">
        <v>196</v>
      </c>
      <c r="D70" s="14" t="n">
        <v>97</v>
      </c>
      <c r="E70" s="15" t="n">
        <v>2699</v>
      </c>
      <c r="F70" s="14" t="n">
        <v>56</v>
      </c>
      <c r="G70" s="15" t="n">
        <v>110</v>
      </c>
      <c r="H70" s="14" t="s">
        <v>831</v>
      </c>
      <c r="I70" s="14" t="s">
        <v>813</v>
      </c>
      <c r="J70" s="14" t="s">
        <v>806</v>
      </c>
    </row>
    <row r="71" customFormat="false" ht="15" hidden="false" customHeight="false" outlineLevel="0" collapsed="false">
      <c r="A71" s="14" t="s">
        <v>838</v>
      </c>
      <c r="B71" s="15" t="n">
        <v>190</v>
      </c>
      <c r="C71" s="15" t="n">
        <v>188</v>
      </c>
      <c r="D71" s="14" t="n">
        <v>99</v>
      </c>
      <c r="E71" s="15" t="n">
        <v>164823</v>
      </c>
      <c r="F71" s="14" t="n">
        <v>100</v>
      </c>
      <c r="G71" s="15"/>
      <c r="H71" s="14" t="s">
        <v>802</v>
      </c>
      <c r="I71" s="14" t="s">
        <v>813</v>
      </c>
      <c r="J71" s="14" t="s">
        <v>806</v>
      </c>
    </row>
    <row r="72" customFormat="false" ht="15" hidden="false" customHeight="false" outlineLevel="0" collapsed="false">
      <c r="A72" s="14" t="s">
        <v>54</v>
      </c>
      <c r="B72" s="15" t="n">
        <v>178</v>
      </c>
      <c r="C72" s="15" t="n">
        <v>206</v>
      </c>
      <c r="D72" s="14" t="n">
        <v>116</v>
      </c>
      <c r="E72" s="15" t="n">
        <v>64682</v>
      </c>
      <c r="F72" s="14" t="n">
        <v>100</v>
      </c>
      <c r="G72" s="15" t="n">
        <v>880</v>
      </c>
      <c r="H72" s="14" t="s">
        <v>809</v>
      </c>
      <c r="I72" s="14" t="n">
        <v>2</v>
      </c>
      <c r="J72" s="14" t="s">
        <v>806</v>
      </c>
    </row>
    <row r="73" customFormat="false" ht="15" hidden="false" customHeight="false" outlineLevel="0" collapsed="false">
      <c r="A73" s="14" t="s">
        <v>839</v>
      </c>
      <c r="B73" s="15" t="n">
        <v>151</v>
      </c>
      <c r="C73" s="15" t="n">
        <v>164</v>
      </c>
      <c r="D73" s="14" t="n">
        <v>109</v>
      </c>
      <c r="E73" s="15" t="n">
        <v>1611</v>
      </c>
      <c r="F73" s="14" t="n">
        <v>51</v>
      </c>
      <c r="G73" s="15" t="n">
        <v>880</v>
      </c>
      <c r="H73" s="14" t="s">
        <v>831</v>
      </c>
      <c r="I73" s="14" t="n">
        <v>1</v>
      </c>
      <c r="J73" s="14" t="s">
        <v>806</v>
      </c>
    </row>
    <row r="74" customFormat="false" ht="15" hidden="false" customHeight="false" outlineLevel="0" collapsed="false">
      <c r="A74" s="14" t="s">
        <v>840</v>
      </c>
      <c r="B74" s="15" t="n">
        <v>148</v>
      </c>
      <c r="C74" s="15" t="n">
        <v>161</v>
      </c>
      <c r="D74" s="14" t="n">
        <v>109</v>
      </c>
      <c r="E74" s="15" t="n">
        <v>13403</v>
      </c>
      <c r="F74" s="14" t="n">
        <v>98</v>
      </c>
      <c r="G74" s="15" t="n">
        <v>70</v>
      </c>
      <c r="H74" s="14" t="s">
        <v>831</v>
      </c>
      <c r="I74" s="14" t="n">
        <v>4</v>
      </c>
      <c r="J74" s="14" t="s">
        <v>806</v>
      </c>
    </row>
    <row r="75" customFormat="false" ht="15" hidden="false" customHeight="false" outlineLevel="0" collapsed="false">
      <c r="A75" s="14" t="s">
        <v>717</v>
      </c>
      <c r="B75" s="15" t="n">
        <v>135</v>
      </c>
      <c r="C75" s="15" t="n">
        <v>190</v>
      </c>
      <c r="D75" s="14" t="n">
        <v>141</v>
      </c>
      <c r="E75" s="15" t="n">
        <v>34648</v>
      </c>
      <c r="F75" s="14" t="n">
        <v>100</v>
      </c>
      <c r="G75" s="15" t="n">
        <v>720</v>
      </c>
      <c r="H75" s="14" t="s">
        <v>809</v>
      </c>
      <c r="I75" s="14" t="s">
        <v>810</v>
      </c>
      <c r="J75" s="14" t="s">
        <v>806</v>
      </c>
    </row>
    <row r="76" customFormat="false" ht="15" hidden="false" customHeight="false" outlineLevel="0" collapsed="false">
      <c r="A76" s="14" t="s">
        <v>841</v>
      </c>
      <c r="B76" s="15" t="n">
        <v>133</v>
      </c>
      <c r="C76" s="15" t="n">
        <v>190</v>
      </c>
      <c r="D76" s="14" t="n">
        <v>143</v>
      </c>
      <c r="E76" s="15" t="n">
        <v>52808</v>
      </c>
      <c r="F76" s="14" t="n">
        <v>100</v>
      </c>
      <c r="G76" s="15" t="n">
        <v>1000</v>
      </c>
      <c r="H76" s="14" t="s">
        <v>809</v>
      </c>
      <c r="I76" s="14" t="n">
        <v>2</v>
      </c>
      <c r="J76" s="14" t="s">
        <v>806</v>
      </c>
    </row>
    <row r="77" customFormat="false" ht="15" hidden="false" customHeight="false" outlineLevel="0" collapsed="false">
      <c r="A77" s="14" t="s">
        <v>842</v>
      </c>
      <c r="B77" s="15" t="n">
        <v>116</v>
      </c>
      <c r="C77" s="15" t="n">
        <v>111</v>
      </c>
      <c r="D77" s="14" t="n">
        <v>96</v>
      </c>
      <c r="E77" s="15" t="n">
        <v>64642</v>
      </c>
      <c r="F77" s="14" t="n">
        <v>100</v>
      </c>
      <c r="G77" s="15" t="n">
        <v>12100</v>
      </c>
      <c r="H77" s="14" t="s">
        <v>809</v>
      </c>
      <c r="I77" s="14" t="s">
        <v>814</v>
      </c>
      <c r="J77" s="14" t="s">
        <v>806</v>
      </c>
    </row>
    <row r="78" customFormat="false" ht="15" hidden="false" customHeight="false" outlineLevel="0" collapsed="false">
      <c r="A78" s="14" t="s">
        <v>843</v>
      </c>
      <c r="B78" s="15" t="n">
        <v>108</v>
      </c>
      <c r="C78" s="15" t="n">
        <v>101</v>
      </c>
      <c r="D78" s="14" t="n">
        <v>94</v>
      </c>
      <c r="E78" s="15" t="n">
        <v>202534</v>
      </c>
      <c r="F78" s="14" t="n">
        <v>100</v>
      </c>
      <c r="G78" s="15" t="n">
        <v>1600</v>
      </c>
      <c r="H78" s="14" t="s">
        <v>802</v>
      </c>
      <c r="I78" s="14" t="n">
        <v>3</v>
      </c>
      <c r="J78" s="14" t="s">
        <v>806</v>
      </c>
    </row>
    <row r="79" customFormat="false" ht="15" hidden="false" customHeight="false" outlineLevel="0" collapsed="false">
      <c r="A79" s="14" t="s">
        <v>844</v>
      </c>
      <c r="B79" s="15" t="n">
        <v>108</v>
      </c>
      <c r="C79" s="15" t="n">
        <v>100</v>
      </c>
      <c r="D79" s="14" t="n">
        <v>93</v>
      </c>
      <c r="E79" s="15" t="n">
        <v>584324</v>
      </c>
      <c r="F79" s="14" t="n">
        <v>100</v>
      </c>
      <c r="G79" s="15" t="n">
        <v>1000</v>
      </c>
      <c r="H79" s="14" t="s">
        <v>802</v>
      </c>
      <c r="I79" s="14" t="n">
        <v>3</v>
      </c>
      <c r="J79" s="14" t="s">
        <v>806</v>
      </c>
    </row>
    <row r="80" customFormat="false" ht="15" hidden="false" customHeight="false" outlineLevel="0" collapsed="false">
      <c r="A80" s="14" t="s">
        <v>56</v>
      </c>
      <c r="B80" s="15" t="n">
        <v>105</v>
      </c>
      <c r="C80" s="15" t="n">
        <v>96</v>
      </c>
      <c r="D80" s="14" t="n">
        <v>91</v>
      </c>
      <c r="E80" s="15" t="n">
        <v>46286</v>
      </c>
      <c r="F80" s="14" t="n">
        <v>100</v>
      </c>
      <c r="G80" s="15" t="n">
        <v>390</v>
      </c>
      <c r="H80" s="14" t="s">
        <v>809</v>
      </c>
      <c r="I80" s="14" t="s">
        <v>810</v>
      </c>
      <c r="J80" s="14" t="s">
        <v>806</v>
      </c>
    </row>
    <row r="81" customFormat="false" ht="15" hidden="false" customHeight="false" outlineLevel="0" collapsed="false">
      <c r="A81" s="14" t="s">
        <v>845</v>
      </c>
      <c r="B81" s="15" t="n">
        <v>105</v>
      </c>
      <c r="C81" s="15" t="n">
        <v>96</v>
      </c>
      <c r="D81" s="14" t="n">
        <v>91</v>
      </c>
      <c r="E81" s="15" t="n">
        <v>167703</v>
      </c>
      <c r="F81" s="14" t="n">
        <v>100</v>
      </c>
      <c r="G81" s="15" t="n">
        <v>18100</v>
      </c>
      <c r="H81" s="14" t="s">
        <v>802</v>
      </c>
      <c r="I81" s="14" t="s">
        <v>814</v>
      </c>
      <c r="J81" s="14" t="s">
        <v>806</v>
      </c>
    </row>
    <row r="82" customFormat="false" ht="15" hidden="false" customHeight="false" outlineLevel="0" collapsed="false">
      <c r="A82" s="14" t="s">
        <v>595</v>
      </c>
      <c r="B82" s="15" t="n">
        <v>103</v>
      </c>
      <c r="C82" s="15" t="n">
        <v>94</v>
      </c>
      <c r="D82" s="14" t="n">
        <v>91</v>
      </c>
      <c r="E82" s="15" t="n">
        <v>11736</v>
      </c>
      <c r="F82" s="14" t="n">
        <v>100</v>
      </c>
      <c r="G82" s="15" t="n">
        <v>4400</v>
      </c>
      <c r="H82" s="14" t="s">
        <v>831</v>
      </c>
      <c r="I82" s="14" t="n">
        <v>1</v>
      </c>
      <c r="J82" s="14" t="s">
        <v>806</v>
      </c>
    </row>
    <row r="83" customFormat="false" ht="15" hidden="false" customHeight="false" outlineLevel="0" collapsed="false">
      <c r="A83" s="14" t="s">
        <v>305</v>
      </c>
      <c r="B83" s="15" t="n">
        <v>101</v>
      </c>
      <c r="C83" s="15" t="n">
        <v>93</v>
      </c>
      <c r="D83" s="14" t="n">
        <v>92</v>
      </c>
      <c r="E83" s="15" t="n">
        <v>2636</v>
      </c>
      <c r="F83" s="14" t="n">
        <v>71</v>
      </c>
      <c r="G83" s="15"/>
      <c r="H83" s="14" t="s">
        <v>831</v>
      </c>
      <c r="I83" s="14" t="s">
        <v>803</v>
      </c>
      <c r="J83" s="14" t="s">
        <v>804</v>
      </c>
    </row>
    <row r="84" customFormat="false" ht="15" hidden="false" customHeight="false" outlineLevel="0" collapsed="false">
      <c r="A84" s="14" t="s">
        <v>663</v>
      </c>
      <c r="B84" s="15" t="n">
        <v>98</v>
      </c>
      <c r="C84" s="15" t="n">
        <v>23</v>
      </c>
      <c r="D84" s="14" t="n">
        <v>23</v>
      </c>
      <c r="E84" s="15" t="n">
        <v>12025</v>
      </c>
      <c r="F84" s="14" t="n">
        <v>100</v>
      </c>
      <c r="G84" s="15" t="n">
        <v>1000</v>
      </c>
      <c r="H84" s="14" t="s">
        <v>831</v>
      </c>
      <c r="I84" s="14" t="s">
        <v>810</v>
      </c>
      <c r="J84" s="14" t="s">
        <v>806</v>
      </c>
    </row>
    <row r="85" customFormat="false" ht="15" hidden="false" customHeight="false" outlineLevel="0" collapsed="false">
      <c r="A85" s="14" t="s">
        <v>203</v>
      </c>
      <c r="B85" s="15" t="n">
        <v>90</v>
      </c>
      <c r="C85" s="15" t="n">
        <v>34</v>
      </c>
      <c r="D85" s="14" t="n">
        <v>38</v>
      </c>
      <c r="E85" s="15" t="n">
        <v>84088</v>
      </c>
      <c r="F85" s="14" t="n">
        <v>100</v>
      </c>
      <c r="G85" s="15" t="n">
        <v>480</v>
      </c>
      <c r="H85" s="14" t="s">
        <v>809</v>
      </c>
      <c r="I85" s="14" t="n">
        <v>5</v>
      </c>
      <c r="J85" s="14" t="s">
        <v>806</v>
      </c>
    </row>
    <row r="86" customFormat="false" ht="15" hidden="false" customHeight="false" outlineLevel="0" collapsed="false">
      <c r="A86" s="14" t="s">
        <v>436</v>
      </c>
      <c r="B86" s="15" t="n">
        <v>43</v>
      </c>
      <c r="C86" s="15" t="n">
        <v>53</v>
      </c>
      <c r="D86" s="14" t="n">
        <v>123</v>
      </c>
      <c r="E86" s="15" t="n">
        <v>34325</v>
      </c>
      <c r="F86" s="14" t="n">
        <v>100</v>
      </c>
      <c r="G86" s="15"/>
      <c r="H86" s="14" t="s">
        <v>809</v>
      </c>
      <c r="I86" s="14" t="n">
        <v>2</v>
      </c>
      <c r="J86" s="14" t="s">
        <v>806</v>
      </c>
    </row>
    <row r="87" customFormat="false" ht="15" hidden="false" customHeight="false" outlineLevel="0" collapsed="false">
      <c r="A87" s="14" t="s">
        <v>846</v>
      </c>
      <c r="B87" s="15" t="n">
        <v>43</v>
      </c>
      <c r="C87" s="15" t="n">
        <v>20</v>
      </c>
      <c r="D87" s="14" t="n">
        <v>21</v>
      </c>
      <c r="E87" s="15" t="n">
        <v>2011</v>
      </c>
      <c r="F87" s="14" t="n">
        <v>83</v>
      </c>
      <c r="G87" s="15" t="n">
        <v>70</v>
      </c>
      <c r="H87" s="14" t="s">
        <v>831</v>
      </c>
      <c r="I87" s="14" t="s">
        <v>810</v>
      </c>
      <c r="J87" s="14" t="s">
        <v>806</v>
      </c>
    </row>
    <row r="88" customFormat="false" ht="15" hidden="false" customHeight="false" outlineLevel="0" collapsed="false">
      <c r="A88" s="14" t="s">
        <v>559</v>
      </c>
      <c r="B88" s="15" t="n">
        <v>38</v>
      </c>
      <c r="C88" s="15" t="n">
        <v>46</v>
      </c>
      <c r="D88" s="14" t="n">
        <v>121</v>
      </c>
      <c r="E88" s="15" t="n">
        <v>1609</v>
      </c>
      <c r="F88" s="14" t="n">
        <v>81</v>
      </c>
      <c r="G88" s="15" t="n">
        <v>480</v>
      </c>
      <c r="H88" s="14" t="s">
        <v>831</v>
      </c>
      <c r="I88" s="14" t="s">
        <v>813</v>
      </c>
      <c r="J88" s="14" t="s">
        <v>806</v>
      </c>
    </row>
    <row r="89" customFormat="false" ht="15" hidden="false" customHeight="false" outlineLevel="0" collapsed="false">
      <c r="A89" s="14" t="s">
        <v>57</v>
      </c>
      <c r="B89" s="15" t="n">
        <v>26</v>
      </c>
      <c r="C89" s="15" t="n">
        <v>27</v>
      </c>
      <c r="D89" s="14" t="n">
        <v>104</v>
      </c>
      <c r="E89" s="15" t="n">
        <v>22998</v>
      </c>
      <c r="F89" s="14" t="n">
        <v>100</v>
      </c>
      <c r="G89" s="15" t="n">
        <v>110</v>
      </c>
      <c r="H89" s="14" t="s">
        <v>809</v>
      </c>
      <c r="I89" s="14" t="n">
        <v>5</v>
      </c>
      <c r="J89" s="14" t="s">
        <v>806</v>
      </c>
    </row>
    <row r="90" customFormat="false" ht="15" hidden="false" customHeight="false" outlineLevel="0" collapsed="false">
      <c r="A90" s="14" t="s">
        <v>248</v>
      </c>
      <c r="B90" s="15" t="n">
        <v>26</v>
      </c>
      <c r="C90" s="15" t="n">
        <v>27</v>
      </c>
      <c r="D90" s="14" t="n">
        <v>104</v>
      </c>
      <c r="E90" s="15" t="n">
        <v>59156</v>
      </c>
      <c r="F90" s="14" t="n">
        <v>100</v>
      </c>
      <c r="G90" s="15" t="n">
        <v>1300</v>
      </c>
      <c r="H90" s="14" t="s">
        <v>809</v>
      </c>
      <c r="I90" s="14" t="s">
        <v>810</v>
      </c>
      <c r="J90" s="14" t="s">
        <v>806</v>
      </c>
    </row>
    <row r="91" customFormat="false" ht="15" hidden="false" customHeight="false" outlineLevel="0" collapsed="false">
      <c r="A91" s="14" t="s">
        <v>167</v>
      </c>
      <c r="B91" s="15" t="n">
        <v>23</v>
      </c>
      <c r="C91" s="15" t="n">
        <v>10</v>
      </c>
      <c r="D91" s="14" t="n">
        <v>65</v>
      </c>
      <c r="E91" s="15" t="n">
        <v>12325</v>
      </c>
      <c r="F91" s="14" t="n">
        <v>100</v>
      </c>
      <c r="G91" s="15"/>
      <c r="H91" s="14" t="s">
        <v>831</v>
      </c>
      <c r="I91" s="14" t="s">
        <v>803</v>
      </c>
      <c r="J91" s="14" t="s">
        <v>804</v>
      </c>
    </row>
    <row r="92" customFormat="false" ht="15" hidden="false" customHeight="false" outlineLevel="0" collapsed="false">
      <c r="A92" s="14" t="s">
        <v>202</v>
      </c>
      <c r="B92" s="15" t="n">
        <v>20</v>
      </c>
      <c r="C92" s="15"/>
      <c r="D92" s="14"/>
      <c r="E92" s="15" t="n">
        <v>28066</v>
      </c>
      <c r="F92" s="14" t="n">
        <v>100</v>
      </c>
      <c r="G92" s="15"/>
      <c r="H92" s="14" t="s">
        <v>809</v>
      </c>
      <c r="I92" s="14" t="s">
        <v>810</v>
      </c>
      <c r="J92" s="14" t="s">
        <v>806</v>
      </c>
    </row>
    <row r="93" customFormat="false" ht="15" hidden="false" customHeight="false" outlineLevel="0" collapsed="false">
      <c r="A93" s="14" t="s">
        <v>641</v>
      </c>
      <c r="B93" s="15" t="n">
        <v>20</v>
      </c>
      <c r="C93" s="15"/>
      <c r="D93" s="14"/>
      <c r="E93" s="15" t="n">
        <v>2342</v>
      </c>
      <c r="F93" s="14" t="n">
        <v>100</v>
      </c>
      <c r="G93" s="15"/>
      <c r="H93" s="14" t="s">
        <v>831</v>
      </c>
      <c r="I93" s="14" t="s">
        <v>810</v>
      </c>
      <c r="J93" s="14" t="s">
        <v>806</v>
      </c>
    </row>
    <row r="94" customFormat="false" ht="15" hidden="false" customHeight="false" outlineLevel="0" collapsed="false">
      <c r="A94" s="14" t="s">
        <v>642</v>
      </c>
      <c r="B94" s="15" t="n">
        <v>20</v>
      </c>
      <c r="C94" s="15"/>
      <c r="D94" s="14"/>
      <c r="E94" s="15" t="n">
        <v>621</v>
      </c>
      <c r="F94" s="14" t="n">
        <v>100</v>
      </c>
      <c r="G94" s="15"/>
      <c r="H94" s="14" t="s">
        <v>831</v>
      </c>
      <c r="I94" s="14" t="s">
        <v>810</v>
      </c>
      <c r="J94" s="14" t="s">
        <v>806</v>
      </c>
    </row>
    <row r="95" customFormat="false" ht="15" hidden="false" customHeight="false" outlineLevel="0" collapsed="false">
      <c r="A95" s="14" t="s">
        <v>847</v>
      </c>
      <c r="B95" s="15" t="n">
        <v>20</v>
      </c>
      <c r="C95" s="15" t="n">
        <v>20</v>
      </c>
      <c r="D95" s="14" t="n">
        <v>33</v>
      </c>
      <c r="E95" s="15" t="n">
        <v>5282</v>
      </c>
      <c r="F95" s="14" t="n">
        <v>100</v>
      </c>
      <c r="G95" s="15" t="n">
        <v>260</v>
      </c>
      <c r="H95" s="14" t="s">
        <v>831</v>
      </c>
      <c r="I95" s="14" t="s">
        <v>810</v>
      </c>
      <c r="J95" s="14" t="s">
        <v>806</v>
      </c>
    </row>
    <row r="96" customFormat="false" ht="15" hidden="false" customHeight="false" outlineLevel="0" collapsed="false">
      <c r="A96" s="14" t="s">
        <v>734</v>
      </c>
      <c r="B96" s="15" t="n">
        <v>20</v>
      </c>
      <c r="C96" s="15"/>
      <c r="D96" s="14"/>
      <c r="E96" s="15" t="n">
        <v>356</v>
      </c>
      <c r="F96" s="14" t="n">
        <v>93</v>
      </c>
      <c r="G96" s="15" t="n">
        <v>50</v>
      </c>
      <c r="H96" s="14" t="s">
        <v>831</v>
      </c>
      <c r="I96" s="14" t="s">
        <v>810</v>
      </c>
      <c r="J96" s="14" t="s">
        <v>806</v>
      </c>
    </row>
    <row r="97" customFormat="false" ht="15" hidden="false" customHeight="false" outlineLevel="0" collapsed="false">
      <c r="A97" s="14" t="s">
        <v>168</v>
      </c>
      <c r="B97" s="15" t="n">
        <v>20</v>
      </c>
      <c r="C97" s="15" t="n">
        <v>20</v>
      </c>
      <c r="D97" s="14" t="n">
        <v>20</v>
      </c>
      <c r="E97" s="15" t="n">
        <v>8347</v>
      </c>
      <c r="F97" s="14" t="n">
        <v>100</v>
      </c>
      <c r="G97" s="15" t="n">
        <v>390</v>
      </c>
      <c r="H97" s="14" t="s">
        <v>831</v>
      </c>
      <c r="I97" s="14" t="s">
        <v>814</v>
      </c>
      <c r="J97" s="14" t="s">
        <v>806</v>
      </c>
    </row>
    <row r="98" customFormat="false" ht="15" hidden="false" customHeight="false" outlineLevel="0" collapsed="false">
      <c r="A98" s="14" t="s">
        <v>135</v>
      </c>
      <c r="B98" s="15" t="n">
        <v>20</v>
      </c>
      <c r="C98" s="15"/>
      <c r="D98" s="14"/>
      <c r="E98" s="15" t="n">
        <v>131</v>
      </c>
      <c r="F98" s="14" t="n">
        <v>91</v>
      </c>
      <c r="G98" s="15"/>
      <c r="H98" s="14" t="s">
        <v>831</v>
      </c>
      <c r="I98" s="14" t="s">
        <v>814</v>
      </c>
      <c r="J98" s="14" t="s">
        <v>806</v>
      </c>
    </row>
    <row r="99" customFormat="false" ht="15" hidden="false" customHeight="false" outlineLevel="0" collapsed="false">
      <c r="A99" s="14" t="s">
        <v>848</v>
      </c>
      <c r="B99" s="15" t="n">
        <v>20</v>
      </c>
      <c r="C99" s="15"/>
      <c r="D99" s="14"/>
      <c r="E99" s="15" t="n">
        <v>38809</v>
      </c>
      <c r="F99" s="14" t="n">
        <v>100</v>
      </c>
      <c r="G99" s="15"/>
      <c r="H99" s="14" t="s">
        <v>802</v>
      </c>
      <c r="I99" s="14" t="s">
        <v>814</v>
      </c>
      <c r="J99" s="14" t="s">
        <v>806</v>
      </c>
    </row>
    <row r="100" customFormat="false" ht="15" hidden="false" customHeight="false" outlineLevel="0" collapsed="false">
      <c r="A100" s="14" t="s">
        <v>849</v>
      </c>
      <c r="B100" s="15" t="n">
        <v>20</v>
      </c>
      <c r="C100" s="15" t="n">
        <v>20</v>
      </c>
      <c r="D100" s="14" t="n">
        <v>20</v>
      </c>
      <c r="E100" s="15" t="n">
        <v>133297</v>
      </c>
      <c r="F100" s="14" t="n">
        <v>100</v>
      </c>
      <c r="G100" s="15"/>
      <c r="H100" s="14" t="s">
        <v>802</v>
      </c>
      <c r="I100" s="14" t="s">
        <v>814</v>
      </c>
      <c r="J100" s="14" t="s">
        <v>806</v>
      </c>
    </row>
    <row r="101" customFormat="false" ht="15" hidden="false" customHeight="false" outlineLevel="0" collapsed="false">
      <c r="A101" s="14" t="s">
        <v>469</v>
      </c>
      <c r="B101" s="15" t="n">
        <v>20</v>
      </c>
      <c r="C101" s="15" t="n">
        <v>20</v>
      </c>
      <c r="D101" s="14" t="n">
        <v>20</v>
      </c>
      <c r="E101" s="15" t="n">
        <v>8082</v>
      </c>
      <c r="F101" s="14" t="n">
        <v>100</v>
      </c>
      <c r="G101" s="15"/>
      <c r="H101" s="14" t="s">
        <v>831</v>
      </c>
      <c r="I101" s="14" t="s">
        <v>814</v>
      </c>
      <c r="J101" s="14" t="s">
        <v>806</v>
      </c>
    </row>
    <row r="102" customFormat="false" ht="15" hidden="false" customHeight="false" outlineLevel="0" collapsed="false">
      <c r="A102" s="14" t="s">
        <v>850</v>
      </c>
      <c r="B102" s="15" t="n">
        <v>20</v>
      </c>
      <c r="C102" s="15" t="n">
        <v>20</v>
      </c>
      <c r="D102" s="14" t="n">
        <v>20</v>
      </c>
      <c r="E102" s="15" t="n">
        <v>2149</v>
      </c>
      <c r="F102" s="14" t="n">
        <v>100</v>
      </c>
      <c r="G102" s="15" t="n">
        <v>260</v>
      </c>
      <c r="H102" s="14" t="s">
        <v>831</v>
      </c>
      <c r="I102" s="14" t="s">
        <v>814</v>
      </c>
      <c r="J102" s="14" t="s">
        <v>806</v>
      </c>
    </row>
    <row r="103" customFormat="false" ht="15" hidden="false" customHeight="false" outlineLevel="0" collapsed="false">
      <c r="A103" s="14" t="s">
        <v>851</v>
      </c>
      <c r="B103" s="15" t="n">
        <v>20</v>
      </c>
      <c r="C103" s="15"/>
      <c r="D103" s="14"/>
      <c r="E103" s="15"/>
      <c r="F103" s="14"/>
      <c r="G103" s="15"/>
      <c r="H103" s="14" t="s">
        <v>831</v>
      </c>
      <c r="I103" s="14" t="s">
        <v>814</v>
      </c>
      <c r="J103" s="14" t="s">
        <v>806</v>
      </c>
    </row>
    <row r="104" customFormat="false" ht="15" hidden="false" customHeight="false" outlineLevel="0" collapsed="false">
      <c r="A104" s="14" t="s">
        <v>304</v>
      </c>
      <c r="B104" s="15" t="n">
        <v>20</v>
      </c>
      <c r="C104" s="15" t="n">
        <v>20</v>
      </c>
      <c r="D104" s="14" t="n">
        <v>20</v>
      </c>
      <c r="E104" s="15" t="n">
        <v>471</v>
      </c>
      <c r="F104" s="14" t="n">
        <v>88</v>
      </c>
      <c r="G104" s="15"/>
      <c r="H104" s="14" t="s">
        <v>831</v>
      </c>
      <c r="I104" s="14" t="s">
        <v>813</v>
      </c>
      <c r="J104" s="14" t="s">
        <v>806</v>
      </c>
    </row>
    <row r="105" customFormat="false" ht="15" hidden="false" customHeight="false" outlineLevel="0" collapsed="false">
      <c r="A105" s="14" t="s">
        <v>343</v>
      </c>
      <c r="B105" s="15" t="n">
        <v>20</v>
      </c>
      <c r="C105" s="15" t="n">
        <v>20</v>
      </c>
      <c r="D105" s="14" t="n">
        <v>20</v>
      </c>
      <c r="E105" s="15" t="n">
        <v>1204</v>
      </c>
      <c r="F105" s="14" t="n">
        <v>100</v>
      </c>
      <c r="G105" s="15" t="n">
        <v>320</v>
      </c>
      <c r="H105" s="14" t="s">
        <v>831</v>
      </c>
      <c r="I105" s="14" t="s">
        <v>813</v>
      </c>
      <c r="J105" s="14" t="s">
        <v>806</v>
      </c>
    </row>
    <row r="106" customFormat="false" ht="15" hidden="false" customHeight="false" outlineLevel="0" collapsed="false">
      <c r="A106" s="14" t="s">
        <v>852</v>
      </c>
      <c r="B106" s="15" t="n">
        <v>20</v>
      </c>
      <c r="C106" s="15" t="n">
        <v>20</v>
      </c>
      <c r="D106" s="14" t="n">
        <v>20</v>
      </c>
      <c r="E106" s="15" t="n">
        <v>171539</v>
      </c>
      <c r="F106" s="14" t="n">
        <v>100</v>
      </c>
      <c r="G106" s="15" t="n">
        <v>2400</v>
      </c>
      <c r="H106" s="14" t="s">
        <v>802</v>
      </c>
      <c r="I106" s="14" t="s">
        <v>813</v>
      </c>
      <c r="J106" s="14" t="s">
        <v>806</v>
      </c>
    </row>
    <row r="107" customFormat="false" ht="15" hidden="false" customHeight="false" outlineLevel="0" collapsed="false">
      <c r="A107" s="14" t="s">
        <v>853</v>
      </c>
      <c r="B107" s="15" t="n">
        <v>20</v>
      </c>
      <c r="C107" s="15"/>
      <c r="D107" s="14"/>
      <c r="E107" s="15" t="n">
        <v>42140</v>
      </c>
      <c r="F107" s="14" t="n">
        <v>100</v>
      </c>
      <c r="G107" s="15"/>
      <c r="H107" s="14" t="s">
        <v>802</v>
      </c>
      <c r="I107" s="14" t="s">
        <v>813</v>
      </c>
      <c r="J107" s="14" t="s">
        <v>806</v>
      </c>
    </row>
    <row r="108" customFormat="false" ht="15" hidden="false" customHeight="false" outlineLevel="0" collapsed="false">
      <c r="A108" s="14" t="s">
        <v>558</v>
      </c>
      <c r="B108" s="15" t="n">
        <v>20</v>
      </c>
      <c r="C108" s="15" t="n">
        <v>20</v>
      </c>
      <c r="D108" s="14" t="n">
        <v>20</v>
      </c>
      <c r="E108" s="15" t="n">
        <v>3529</v>
      </c>
      <c r="F108" s="14" t="n">
        <v>100</v>
      </c>
      <c r="G108" s="15" t="n">
        <v>40</v>
      </c>
      <c r="H108" s="14" t="s">
        <v>831</v>
      </c>
      <c r="I108" s="14" t="s">
        <v>813</v>
      </c>
      <c r="J108" s="14" t="s">
        <v>806</v>
      </c>
    </row>
    <row r="109" customFormat="false" ht="15" hidden="false" customHeight="false" outlineLevel="0" collapsed="false">
      <c r="A109" s="14" t="s">
        <v>854</v>
      </c>
      <c r="B109" s="15" t="n">
        <v>10</v>
      </c>
      <c r="C109" s="15"/>
      <c r="D109" s="14"/>
      <c r="E109" s="15" t="n">
        <v>4051</v>
      </c>
      <c r="F109" s="14" t="n">
        <v>100</v>
      </c>
      <c r="G109" s="15"/>
      <c r="H109" s="14" t="s">
        <v>831</v>
      </c>
      <c r="I109" s="14" t="n">
        <v>1</v>
      </c>
      <c r="J109" s="14" t="s">
        <v>806</v>
      </c>
    </row>
    <row r="110" customFormat="false" ht="15" hidden="false" customHeight="false" outlineLevel="0" collapsed="false">
      <c r="A110" s="14" t="s">
        <v>855</v>
      </c>
      <c r="B110" s="15" t="n">
        <v>10</v>
      </c>
      <c r="C110" s="15"/>
      <c r="D110" s="14"/>
      <c r="E110" s="15" t="n">
        <v>2673</v>
      </c>
      <c r="F110" s="14" t="n">
        <v>100</v>
      </c>
      <c r="G110" s="15"/>
      <c r="H110" s="14" t="s">
        <v>831</v>
      </c>
      <c r="I110" s="14" t="n">
        <v>1</v>
      </c>
      <c r="J110" s="14" t="s">
        <v>806</v>
      </c>
    </row>
    <row r="111" customFormat="false" ht="15" hidden="false" customHeight="false" outlineLevel="0" collapsed="false">
      <c r="A111" s="14" t="s">
        <v>856</v>
      </c>
      <c r="B111" s="15" t="n">
        <v>10</v>
      </c>
      <c r="C111" s="15" t="n">
        <v>10</v>
      </c>
      <c r="D111" s="14" t="n">
        <v>10</v>
      </c>
      <c r="E111" s="15" t="n">
        <v>7309</v>
      </c>
      <c r="F111" s="14" t="n">
        <v>100</v>
      </c>
      <c r="G111" s="15" t="n">
        <v>1900</v>
      </c>
      <c r="H111" s="14" t="s">
        <v>831</v>
      </c>
      <c r="I111" s="14" t="n">
        <v>1</v>
      </c>
      <c r="J111" s="14" t="s">
        <v>806</v>
      </c>
    </row>
    <row r="112" customFormat="false" ht="15" hidden="false" customHeight="false" outlineLevel="0" collapsed="false">
      <c r="A112" s="14" t="s">
        <v>857</v>
      </c>
      <c r="B112" s="15" t="n">
        <v>10</v>
      </c>
      <c r="C112" s="15"/>
      <c r="D112" s="14"/>
      <c r="E112" s="15" t="n">
        <v>27252</v>
      </c>
      <c r="F112" s="14" t="n">
        <v>100</v>
      </c>
      <c r="G112" s="15"/>
      <c r="H112" s="14" t="s">
        <v>802</v>
      </c>
      <c r="I112" s="14" t="n">
        <v>2</v>
      </c>
      <c r="J112" s="14" t="s">
        <v>806</v>
      </c>
    </row>
    <row r="113" customFormat="false" ht="15" hidden="false" customHeight="false" outlineLevel="0" collapsed="false">
      <c r="A113" s="14" t="s">
        <v>53</v>
      </c>
      <c r="B113" s="15" t="n">
        <v>10</v>
      </c>
      <c r="C113" s="15" t="n">
        <v>10</v>
      </c>
      <c r="D113" s="14" t="n">
        <v>10</v>
      </c>
      <c r="E113" s="15" t="n">
        <v>10360</v>
      </c>
      <c r="F113" s="14" t="n">
        <v>100</v>
      </c>
      <c r="G113" s="15"/>
      <c r="H113" s="14" t="s">
        <v>831</v>
      </c>
      <c r="I113" s="14" t="n">
        <v>2</v>
      </c>
      <c r="J113" s="14" t="s">
        <v>806</v>
      </c>
    </row>
    <row r="114" customFormat="false" ht="15" hidden="false" customHeight="false" outlineLevel="0" collapsed="false">
      <c r="A114" s="14" t="s">
        <v>858</v>
      </c>
      <c r="B114" s="15" t="n">
        <v>10</v>
      </c>
      <c r="C114" s="15" t="n">
        <v>10</v>
      </c>
      <c r="D114" s="14" t="n">
        <v>10</v>
      </c>
      <c r="E114" s="15" t="n">
        <v>9559</v>
      </c>
      <c r="F114" s="14" t="n">
        <v>100</v>
      </c>
      <c r="G114" s="15" t="n">
        <v>260</v>
      </c>
      <c r="H114" s="14" t="s">
        <v>831</v>
      </c>
      <c r="I114" s="14" t="n">
        <v>2</v>
      </c>
      <c r="J114" s="14" t="s">
        <v>806</v>
      </c>
    </row>
    <row r="115" customFormat="false" ht="15" hidden="false" customHeight="false" outlineLevel="0" collapsed="false">
      <c r="A115" s="14" t="s">
        <v>276</v>
      </c>
      <c r="B115" s="15" t="n">
        <v>10</v>
      </c>
      <c r="C115" s="15" t="n">
        <v>10</v>
      </c>
      <c r="D115" s="14" t="n">
        <v>10</v>
      </c>
      <c r="E115" s="15" t="n">
        <v>8325</v>
      </c>
      <c r="F115" s="14" t="n">
        <v>100</v>
      </c>
      <c r="G115" s="15"/>
      <c r="H115" s="14" t="s">
        <v>831</v>
      </c>
      <c r="I115" s="14" t="n">
        <v>2</v>
      </c>
      <c r="J115" s="14" t="s">
        <v>806</v>
      </c>
    </row>
    <row r="116" customFormat="false" ht="15" hidden="false" customHeight="false" outlineLevel="0" collapsed="false">
      <c r="A116" s="14" t="s">
        <v>131</v>
      </c>
      <c r="B116" s="15" t="n">
        <v>10</v>
      </c>
      <c r="C116" s="15"/>
      <c r="D116" s="14"/>
      <c r="E116" s="15" t="n">
        <v>17335</v>
      </c>
      <c r="F116" s="14" t="n">
        <v>100</v>
      </c>
      <c r="G116" s="15"/>
      <c r="H116" s="14" t="s">
        <v>831</v>
      </c>
      <c r="I116" s="14" t="n">
        <v>2</v>
      </c>
      <c r="J116" s="14" t="s">
        <v>806</v>
      </c>
    </row>
    <row r="117" customFormat="false" ht="15" hidden="false" customHeight="false" outlineLevel="0" collapsed="false">
      <c r="A117" s="14" t="s">
        <v>859</v>
      </c>
      <c r="B117" s="15" t="n">
        <v>10</v>
      </c>
      <c r="C117" s="15" t="n">
        <v>10</v>
      </c>
      <c r="D117" s="14" t="n">
        <v>10</v>
      </c>
      <c r="E117" s="15" t="n">
        <v>78368</v>
      </c>
      <c r="F117" s="14" t="n">
        <v>100</v>
      </c>
      <c r="G117" s="15"/>
      <c r="H117" s="14" t="s">
        <v>802</v>
      </c>
      <c r="I117" s="14" t="n">
        <v>2</v>
      </c>
      <c r="J117" s="14" t="s">
        <v>806</v>
      </c>
    </row>
    <row r="118" customFormat="false" ht="15" hidden="false" customHeight="false" outlineLevel="0" collapsed="false">
      <c r="A118" s="14" t="s">
        <v>860</v>
      </c>
      <c r="B118" s="15" t="n">
        <v>10</v>
      </c>
      <c r="C118" s="15"/>
      <c r="D118" s="14"/>
      <c r="E118" s="15" t="n">
        <v>39693</v>
      </c>
      <c r="F118" s="14" t="n">
        <v>100</v>
      </c>
      <c r="G118" s="15"/>
      <c r="H118" s="14" t="s">
        <v>809</v>
      </c>
      <c r="I118" s="14" t="n">
        <v>2</v>
      </c>
      <c r="J118" s="14" t="s">
        <v>806</v>
      </c>
    </row>
    <row r="119" customFormat="false" ht="15" hidden="false" customHeight="false" outlineLevel="0" collapsed="false">
      <c r="A119" s="14" t="s">
        <v>861</v>
      </c>
      <c r="B119" s="15" t="n">
        <v>10</v>
      </c>
      <c r="C119" s="15"/>
      <c r="D119" s="14"/>
      <c r="E119" s="15" t="n">
        <v>42877</v>
      </c>
      <c r="F119" s="14" t="n">
        <v>100</v>
      </c>
      <c r="G119" s="15"/>
      <c r="H119" s="14" t="s">
        <v>802</v>
      </c>
      <c r="I119" s="14" t="n">
        <v>2</v>
      </c>
      <c r="J119" s="14" t="s">
        <v>806</v>
      </c>
    </row>
    <row r="120" customFormat="false" ht="15" hidden="false" customHeight="false" outlineLevel="0" collapsed="false">
      <c r="A120" s="14" t="s">
        <v>58</v>
      </c>
      <c r="B120" s="15" t="n">
        <v>10</v>
      </c>
      <c r="C120" s="15" t="n">
        <v>10</v>
      </c>
      <c r="D120" s="14" t="n">
        <v>10</v>
      </c>
      <c r="E120" s="15" t="n">
        <v>20506</v>
      </c>
      <c r="F120" s="14" t="n">
        <v>100</v>
      </c>
      <c r="G120" s="15" t="n">
        <v>260</v>
      </c>
      <c r="H120" s="14" t="s">
        <v>809</v>
      </c>
      <c r="I120" s="14" t="n">
        <v>2</v>
      </c>
      <c r="J120" s="14" t="s">
        <v>806</v>
      </c>
    </row>
    <row r="121" customFormat="false" ht="15" hidden="false" customHeight="false" outlineLevel="0" collapsed="false">
      <c r="A121" s="14" t="s">
        <v>450</v>
      </c>
      <c r="B121" s="15" t="n">
        <v>10</v>
      </c>
      <c r="C121" s="15" t="n">
        <v>10</v>
      </c>
      <c r="D121" s="14" t="n">
        <v>10</v>
      </c>
      <c r="E121" s="15" t="n">
        <v>1818</v>
      </c>
      <c r="F121" s="14" t="n">
        <v>100</v>
      </c>
      <c r="G121" s="15"/>
      <c r="H121" s="14" t="s">
        <v>831</v>
      </c>
      <c r="I121" s="14" t="n">
        <v>2</v>
      </c>
      <c r="J121" s="14" t="s">
        <v>806</v>
      </c>
    </row>
    <row r="122" customFormat="false" ht="15" hidden="false" customHeight="false" outlineLevel="0" collapsed="false">
      <c r="A122" s="14" t="s">
        <v>862</v>
      </c>
      <c r="B122" s="15" t="n">
        <v>10</v>
      </c>
      <c r="C122" s="15"/>
      <c r="D122" s="14"/>
      <c r="E122" s="15" t="n">
        <v>99747</v>
      </c>
      <c r="F122" s="14" t="n">
        <v>100</v>
      </c>
      <c r="G122" s="15"/>
      <c r="H122" s="14" t="s">
        <v>802</v>
      </c>
      <c r="I122" s="14" t="n">
        <v>2</v>
      </c>
      <c r="J122" s="14" t="s">
        <v>806</v>
      </c>
    </row>
    <row r="123" customFormat="false" ht="15" hidden="false" customHeight="false" outlineLevel="0" collapsed="false">
      <c r="A123" s="14" t="s">
        <v>699</v>
      </c>
      <c r="B123" s="15" t="n">
        <v>10</v>
      </c>
      <c r="C123" s="15" t="n">
        <v>10</v>
      </c>
      <c r="D123" s="14" t="n">
        <v>10</v>
      </c>
      <c r="E123" s="15" t="n">
        <v>2658</v>
      </c>
      <c r="F123" s="14" t="n">
        <v>100</v>
      </c>
      <c r="G123" s="15" t="n">
        <v>880</v>
      </c>
      <c r="H123" s="14" t="s">
        <v>831</v>
      </c>
      <c r="I123" s="14" t="n">
        <v>3</v>
      </c>
      <c r="J123" s="14" t="s">
        <v>806</v>
      </c>
    </row>
    <row r="124" customFormat="false" ht="15" hidden="false" customHeight="false" outlineLevel="0" collapsed="false">
      <c r="A124" s="14" t="s">
        <v>662</v>
      </c>
      <c r="B124" s="15" t="n">
        <v>10</v>
      </c>
      <c r="C124" s="15" t="n">
        <v>10</v>
      </c>
      <c r="D124" s="14" t="n">
        <v>10</v>
      </c>
      <c r="E124" s="15" t="n">
        <v>29984</v>
      </c>
      <c r="F124" s="14" t="n">
        <v>100</v>
      </c>
      <c r="G124" s="15" t="n">
        <v>1900</v>
      </c>
      <c r="H124" s="14" t="s">
        <v>809</v>
      </c>
      <c r="I124" s="14" t="n">
        <v>3</v>
      </c>
      <c r="J124" s="14" t="s">
        <v>806</v>
      </c>
    </row>
    <row r="125" customFormat="false" ht="15" hidden="false" customHeight="false" outlineLevel="0" collapsed="false">
      <c r="A125" s="14" t="s">
        <v>375</v>
      </c>
      <c r="B125" s="15" t="n">
        <v>10</v>
      </c>
      <c r="C125" s="15" t="n">
        <v>10</v>
      </c>
      <c r="D125" s="14" t="n">
        <v>10</v>
      </c>
      <c r="E125" s="15" t="n">
        <v>1043</v>
      </c>
      <c r="F125" s="14" t="n">
        <v>100</v>
      </c>
      <c r="G125" s="15" t="n">
        <v>90</v>
      </c>
      <c r="H125" s="14" t="s">
        <v>831</v>
      </c>
      <c r="I125" s="14" t="n">
        <v>3</v>
      </c>
      <c r="J125" s="14" t="s">
        <v>806</v>
      </c>
    </row>
    <row r="126" customFormat="false" ht="15" hidden="false" customHeight="false" outlineLevel="0" collapsed="false">
      <c r="A126" s="14" t="s">
        <v>863</v>
      </c>
      <c r="B126" s="15" t="n">
        <v>10</v>
      </c>
      <c r="C126" s="15"/>
      <c r="D126" s="14"/>
      <c r="E126" s="15"/>
      <c r="F126" s="14"/>
      <c r="G126" s="15"/>
      <c r="H126" s="14" t="s">
        <v>802</v>
      </c>
      <c r="I126" s="14" t="n">
        <v>3</v>
      </c>
      <c r="J126" s="14" t="s">
        <v>806</v>
      </c>
    </row>
    <row r="127" customFormat="false" ht="15" hidden="false" customHeight="false" outlineLevel="0" collapsed="false">
      <c r="A127" s="14" t="s">
        <v>864</v>
      </c>
      <c r="B127" s="15" t="n">
        <v>10</v>
      </c>
      <c r="C127" s="15" t="n">
        <v>10</v>
      </c>
      <c r="D127" s="14" t="n">
        <v>33</v>
      </c>
      <c r="E127" s="15" t="n">
        <v>55483</v>
      </c>
      <c r="F127" s="14" t="n">
        <v>100</v>
      </c>
      <c r="G127" s="15"/>
      <c r="H127" s="14" t="s">
        <v>802</v>
      </c>
      <c r="I127" s="14" t="n">
        <v>3</v>
      </c>
      <c r="J127" s="14" t="s">
        <v>806</v>
      </c>
    </row>
    <row r="128" customFormat="false" ht="15" hidden="false" customHeight="false" outlineLevel="0" collapsed="false">
      <c r="A128" s="14" t="s">
        <v>865</v>
      </c>
      <c r="B128" s="15" t="n">
        <v>10</v>
      </c>
      <c r="C128" s="15"/>
      <c r="D128" s="14"/>
      <c r="E128" s="15" t="n">
        <v>82828</v>
      </c>
      <c r="F128" s="14" t="n">
        <v>100</v>
      </c>
      <c r="G128" s="15"/>
      <c r="H128" s="14" t="s">
        <v>802</v>
      </c>
      <c r="I128" s="14" t="n">
        <v>3</v>
      </c>
      <c r="J128" s="14" t="s">
        <v>806</v>
      </c>
    </row>
    <row r="129" customFormat="false" ht="15" hidden="false" customHeight="false" outlineLevel="0" collapsed="false">
      <c r="A129" s="14" t="s">
        <v>866</v>
      </c>
      <c r="B129" s="15" t="n">
        <v>10</v>
      </c>
      <c r="C129" s="15"/>
      <c r="D129" s="14"/>
      <c r="E129" s="15" t="n">
        <v>7238</v>
      </c>
      <c r="F129" s="14" t="n">
        <v>100</v>
      </c>
      <c r="G129" s="15"/>
      <c r="H129" s="14" t="s">
        <v>802</v>
      </c>
      <c r="I129" s="14" t="n">
        <v>3</v>
      </c>
      <c r="J129" s="14" t="s">
        <v>806</v>
      </c>
    </row>
    <row r="130" customFormat="false" ht="15" hidden="false" customHeight="false" outlineLevel="0" collapsed="false">
      <c r="A130" s="14" t="s">
        <v>867</v>
      </c>
      <c r="B130" s="15" t="n">
        <v>10</v>
      </c>
      <c r="C130" s="15" t="n">
        <v>10</v>
      </c>
      <c r="D130" s="14" t="n">
        <v>10</v>
      </c>
      <c r="E130" s="15" t="n">
        <v>664</v>
      </c>
      <c r="F130" s="14" t="n">
        <v>96</v>
      </c>
      <c r="G130" s="15" t="n">
        <v>260</v>
      </c>
      <c r="H130" s="14" t="s">
        <v>831</v>
      </c>
      <c r="I130" s="14" t="n">
        <v>4</v>
      </c>
      <c r="J130" s="14" t="s">
        <v>806</v>
      </c>
    </row>
    <row r="131" customFormat="false" ht="15" hidden="false" customHeight="false" outlineLevel="0" collapsed="false">
      <c r="A131" s="14" t="s">
        <v>560</v>
      </c>
      <c r="B131" s="15" t="n">
        <v>10</v>
      </c>
      <c r="C131" s="15"/>
      <c r="D131" s="14"/>
      <c r="E131" s="15" t="n">
        <v>628</v>
      </c>
      <c r="F131" s="14" t="n">
        <v>100</v>
      </c>
      <c r="G131" s="15"/>
      <c r="H131" s="14" t="s">
        <v>831</v>
      </c>
      <c r="I131" s="14" t="n">
        <v>4</v>
      </c>
      <c r="J131" s="14" t="s">
        <v>806</v>
      </c>
    </row>
    <row r="132" customFormat="false" ht="15" hidden="false" customHeight="false" outlineLevel="0" collapsed="false">
      <c r="A132" s="14" t="s">
        <v>418</v>
      </c>
      <c r="B132" s="15" t="n">
        <v>10</v>
      </c>
      <c r="C132" s="15"/>
      <c r="D132" s="14"/>
      <c r="E132" s="15" t="n">
        <v>12844</v>
      </c>
      <c r="F132" s="14" t="n">
        <v>100</v>
      </c>
      <c r="G132" s="15" t="n">
        <v>1600</v>
      </c>
      <c r="H132" s="14" t="s">
        <v>831</v>
      </c>
      <c r="I132" s="14" t="n">
        <v>4</v>
      </c>
      <c r="J132" s="14" t="s">
        <v>806</v>
      </c>
    </row>
    <row r="133" customFormat="false" ht="15" hidden="false" customHeight="false" outlineLevel="0" collapsed="false">
      <c r="A133" s="14" t="s">
        <v>868</v>
      </c>
      <c r="B133" s="15" t="n">
        <v>10</v>
      </c>
      <c r="C133" s="15"/>
      <c r="D133" s="14"/>
      <c r="E133" s="15" t="n">
        <v>944</v>
      </c>
      <c r="F133" s="14" t="n">
        <v>100</v>
      </c>
      <c r="G133" s="15"/>
      <c r="H133" s="14" t="s">
        <v>831</v>
      </c>
      <c r="I133" s="14" t="n">
        <v>4</v>
      </c>
      <c r="J133" s="14" t="s">
        <v>806</v>
      </c>
    </row>
    <row r="134" customFormat="false" ht="15" hidden="false" customHeight="false" outlineLevel="0" collapsed="false">
      <c r="A134" s="14" t="s">
        <v>869</v>
      </c>
      <c r="B134" s="15" t="n">
        <v>10</v>
      </c>
      <c r="C134" s="15"/>
      <c r="D134" s="14"/>
      <c r="E134" s="15" t="n">
        <v>2501</v>
      </c>
      <c r="F134" s="14" t="n">
        <v>100</v>
      </c>
      <c r="G134" s="15"/>
      <c r="H134" s="14" t="s">
        <v>831</v>
      </c>
      <c r="I134" s="14" t="n">
        <v>4</v>
      </c>
      <c r="J134" s="14" t="s">
        <v>806</v>
      </c>
    </row>
    <row r="135" customFormat="false" ht="15" hidden="false" customHeight="false" outlineLevel="0" collapsed="false">
      <c r="A135" s="14" t="s">
        <v>486</v>
      </c>
      <c r="B135" s="15" t="n">
        <v>10</v>
      </c>
      <c r="C135" s="15"/>
      <c r="D135" s="14"/>
      <c r="E135" s="15" t="n">
        <v>7483</v>
      </c>
      <c r="F135" s="14" t="n">
        <v>100</v>
      </c>
      <c r="G135" s="15"/>
      <c r="H135" s="14" t="s">
        <v>831</v>
      </c>
      <c r="I135" s="14" t="n">
        <v>4</v>
      </c>
      <c r="J135" s="14" t="s">
        <v>806</v>
      </c>
    </row>
    <row r="136" customFormat="false" ht="15" hidden="false" customHeight="false" outlineLevel="0" collapsed="false">
      <c r="A136" s="14" t="s">
        <v>870</v>
      </c>
      <c r="B136" s="15" t="n">
        <v>10</v>
      </c>
      <c r="C136" s="15" t="n">
        <v>10</v>
      </c>
      <c r="D136" s="14" t="n">
        <v>10</v>
      </c>
      <c r="E136" s="15" t="n">
        <v>81315</v>
      </c>
      <c r="F136" s="14" t="n">
        <v>100</v>
      </c>
      <c r="G136" s="15" t="n">
        <v>2400</v>
      </c>
      <c r="H136" s="14" t="s">
        <v>802</v>
      </c>
      <c r="I136" s="14" t="n">
        <v>4</v>
      </c>
      <c r="J136" s="14" t="s">
        <v>806</v>
      </c>
    </row>
    <row r="137" customFormat="false" ht="15" hidden="false" customHeight="false" outlineLevel="0" collapsed="false">
      <c r="A137" s="14" t="s">
        <v>537</v>
      </c>
      <c r="B137" s="15" t="n">
        <v>10</v>
      </c>
      <c r="C137" s="15"/>
      <c r="D137" s="14"/>
      <c r="E137" s="15" t="n">
        <v>435</v>
      </c>
      <c r="F137" s="14" t="n">
        <v>100</v>
      </c>
      <c r="G137" s="15"/>
      <c r="H137" s="14" t="s">
        <v>831</v>
      </c>
      <c r="I137" s="14" t="n">
        <v>4</v>
      </c>
      <c r="J137" s="14" t="s">
        <v>806</v>
      </c>
    </row>
    <row r="138" customFormat="false" ht="15" hidden="false" customHeight="false" outlineLevel="0" collapsed="false">
      <c r="A138" s="14" t="s">
        <v>871</v>
      </c>
      <c r="B138" s="15" t="n">
        <v>10</v>
      </c>
      <c r="C138" s="15"/>
      <c r="D138" s="14"/>
      <c r="E138" s="15" t="n">
        <v>2835</v>
      </c>
      <c r="F138" s="14" t="n">
        <v>100</v>
      </c>
      <c r="G138" s="15"/>
      <c r="H138" s="14" t="s">
        <v>831</v>
      </c>
      <c r="I138" s="14" t="n">
        <v>4</v>
      </c>
      <c r="J138" s="14" t="s">
        <v>806</v>
      </c>
    </row>
    <row r="139" customFormat="false" ht="15" hidden="false" customHeight="false" outlineLevel="0" collapsed="false">
      <c r="A139" s="14" t="s">
        <v>640</v>
      </c>
      <c r="B139" s="15" t="n">
        <v>10</v>
      </c>
      <c r="C139" s="15" t="n">
        <v>10</v>
      </c>
      <c r="D139" s="14" t="n">
        <v>78</v>
      </c>
      <c r="E139" s="15" t="n">
        <v>6289</v>
      </c>
      <c r="F139" s="14" t="n">
        <v>100</v>
      </c>
      <c r="G139" s="15" t="n">
        <v>1300</v>
      </c>
      <c r="H139" s="14" t="s">
        <v>831</v>
      </c>
      <c r="I139" s="14" t="n">
        <v>4</v>
      </c>
      <c r="J139" s="14" t="s">
        <v>806</v>
      </c>
    </row>
    <row r="140" customFormat="false" ht="15" hidden="false" customHeight="false" outlineLevel="0" collapsed="false">
      <c r="A140" s="14" t="s">
        <v>872</v>
      </c>
      <c r="B140" s="15" t="n">
        <v>10</v>
      </c>
      <c r="C140" s="15"/>
      <c r="D140" s="14"/>
      <c r="E140" s="15" t="n">
        <v>1403</v>
      </c>
      <c r="F140" s="14" t="n">
        <v>100</v>
      </c>
      <c r="G140" s="15" t="n">
        <v>170</v>
      </c>
      <c r="H140" s="14" t="s">
        <v>831</v>
      </c>
      <c r="I140" s="14" t="n">
        <v>4</v>
      </c>
      <c r="J140" s="14" t="s">
        <v>806</v>
      </c>
    </row>
    <row r="141" customFormat="false" ht="15" hidden="false" customHeight="false" outlineLevel="0" collapsed="false">
      <c r="A141" s="14" t="s">
        <v>873</v>
      </c>
      <c r="B141" s="15" t="n">
        <v>10</v>
      </c>
      <c r="C141" s="15" t="n">
        <v>10</v>
      </c>
      <c r="D141" s="14" t="n">
        <v>10</v>
      </c>
      <c r="E141" s="15" t="n">
        <v>42147</v>
      </c>
      <c r="F141" s="14" t="n">
        <v>100</v>
      </c>
      <c r="G141" s="15" t="n">
        <v>4400</v>
      </c>
      <c r="H141" s="14" t="s">
        <v>802</v>
      </c>
      <c r="I141" s="14" t="n">
        <v>4</v>
      </c>
      <c r="J141" s="14" t="s">
        <v>806</v>
      </c>
    </row>
    <row r="142" customFormat="false" ht="15" hidden="false" customHeight="false" outlineLevel="0" collapsed="false">
      <c r="A142" s="14" t="s">
        <v>341</v>
      </c>
      <c r="B142" s="15" t="n">
        <v>10</v>
      </c>
      <c r="C142" s="15" t="n">
        <v>10</v>
      </c>
      <c r="D142" s="14" t="n">
        <v>10</v>
      </c>
      <c r="E142" s="15" t="n">
        <v>3692</v>
      </c>
      <c r="F142" s="14" t="n">
        <v>100</v>
      </c>
      <c r="G142" s="15"/>
      <c r="H142" s="14" t="s">
        <v>831</v>
      </c>
      <c r="I142" s="14" t="n">
        <v>5</v>
      </c>
      <c r="J142" s="14" t="s">
        <v>806</v>
      </c>
    </row>
    <row r="143" customFormat="false" ht="15" hidden="false" customHeight="false" outlineLevel="0" collapsed="false">
      <c r="A143" s="14" t="s">
        <v>320</v>
      </c>
      <c r="B143" s="15" t="n">
        <v>10</v>
      </c>
      <c r="C143" s="15"/>
      <c r="D143" s="14"/>
      <c r="E143" s="15" t="n">
        <v>1580</v>
      </c>
      <c r="F143" s="14" t="n">
        <v>100</v>
      </c>
      <c r="G143" s="15"/>
      <c r="H143" s="14" t="s">
        <v>831</v>
      </c>
      <c r="I143" s="14" t="n">
        <v>5</v>
      </c>
      <c r="J143" s="14" t="s">
        <v>806</v>
      </c>
    </row>
    <row r="144" customFormat="false" ht="15" hidden="false" customHeight="false" outlineLevel="0" collapsed="false">
      <c r="A144" s="14" t="s">
        <v>277</v>
      </c>
      <c r="B144" s="15" t="n">
        <v>10</v>
      </c>
      <c r="C144" s="15"/>
      <c r="D144" s="14"/>
      <c r="E144" s="15" t="n">
        <v>2096</v>
      </c>
      <c r="F144" s="14" t="n">
        <v>100</v>
      </c>
      <c r="G144" s="15"/>
      <c r="H144" s="14" t="s">
        <v>831</v>
      </c>
      <c r="I144" s="14" t="n">
        <v>5</v>
      </c>
      <c r="J144" s="14" t="s">
        <v>806</v>
      </c>
    </row>
    <row r="145" customFormat="false" ht="15" hidden="false" customHeight="false" outlineLevel="0" collapsed="false">
      <c r="A145" s="14" t="s">
        <v>302</v>
      </c>
      <c r="B145" s="15" t="n">
        <v>10</v>
      </c>
      <c r="C145" s="15" t="n">
        <v>10</v>
      </c>
      <c r="D145" s="14" t="n">
        <v>10</v>
      </c>
      <c r="E145" s="15" t="n">
        <v>678</v>
      </c>
      <c r="F145" s="14" t="n">
        <v>100</v>
      </c>
      <c r="G145" s="15" t="n">
        <v>140</v>
      </c>
      <c r="H145" s="14" t="s">
        <v>831</v>
      </c>
      <c r="I145" s="14" t="n">
        <v>5</v>
      </c>
      <c r="J145" s="14" t="s">
        <v>806</v>
      </c>
    </row>
    <row r="146" customFormat="false" ht="15" hidden="false" customHeight="false" outlineLevel="0" collapsed="false">
      <c r="A146" s="14" t="s">
        <v>118</v>
      </c>
      <c r="B146" s="15" t="n">
        <v>10</v>
      </c>
      <c r="C146" s="15"/>
      <c r="D146" s="14"/>
      <c r="E146" s="15" t="n">
        <v>12594</v>
      </c>
      <c r="F146" s="14" t="n">
        <v>100</v>
      </c>
      <c r="G146" s="15"/>
      <c r="H146" s="14" t="s">
        <v>831</v>
      </c>
      <c r="I146" s="14" t="n">
        <v>5</v>
      </c>
      <c r="J146" s="14" t="s">
        <v>806</v>
      </c>
    </row>
    <row r="147" customFormat="false" ht="15" hidden="false" customHeight="false" outlineLevel="0" collapsed="false">
      <c r="A147" s="14" t="s">
        <v>83</v>
      </c>
      <c r="B147" s="15" t="n">
        <v>10</v>
      </c>
      <c r="C147" s="15"/>
      <c r="D147" s="14"/>
      <c r="E147" s="15" t="n">
        <v>6861</v>
      </c>
      <c r="F147" s="14" t="n">
        <v>100</v>
      </c>
      <c r="G147" s="15" t="n">
        <v>70</v>
      </c>
      <c r="H147" s="14" t="s">
        <v>831</v>
      </c>
      <c r="I147" s="14" t="n">
        <v>5</v>
      </c>
      <c r="J147" s="14" t="s">
        <v>806</v>
      </c>
    </row>
    <row r="148" customFormat="false" ht="15" hidden="false" customHeight="false" outlineLevel="0" collapsed="false">
      <c r="A148" s="14" t="s">
        <v>874</v>
      </c>
      <c r="B148" s="15" t="n">
        <v>10</v>
      </c>
      <c r="C148" s="15"/>
      <c r="D148" s="14"/>
      <c r="E148" s="15" t="n">
        <v>5859</v>
      </c>
      <c r="F148" s="14" t="n">
        <v>100</v>
      </c>
      <c r="G148" s="15"/>
      <c r="H148" s="14" t="s">
        <v>831</v>
      </c>
      <c r="I148" s="14" t="n">
        <v>5</v>
      </c>
      <c r="J148" s="14" t="s">
        <v>806</v>
      </c>
    </row>
    <row r="149" customFormat="false" ht="15" hidden="false" customHeight="false" outlineLevel="0" collapsed="false">
      <c r="A149" s="14" t="s">
        <v>262</v>
      </c>
      <c r="B149" s="15" t="n">
        <v>10</v>
      </c>
      <c r="C149" s="15"/>
      <c r="D149" s="14"/>
      <c r="E149" s="15" t="n">
        <v>11779</v>
      </c>
      <c r="F149" s="14" t="n">
        <v>100</v>
      </c>
      <c r="G149" s="15" t="n">
        <v>30</v>
      </c>
      <c r="H149" s="14" t="s">
        <v>831</v>
      </c>
      <c r="I149" s="14" t="n">
        <v>5</v>
      </c>
      <c r="J149" s="14" t="s">
        <v>806</v>
      </c>
    </row>
    <row r="150" customFormat="false" ht="15" hidden="false" customHeight="false" outlineLevel="0" collapsed="false">
      <c r="A150" s="14" t="s">
        <v>342</v>
      </c>
      <c r="B150" s="15" t="n">
        <v>10</v>
      </c>
      <c r="C150" s="15"/>
      <c r="D150" s="14"/>
      <c r="E150" s="15" t="n">
        <v>1848</v>
      </c>
      <c r="F150" s="14" t="n">
        <v>100</v>
      </c>
      <c r="G150" s="15"/>
      <c r="H150" s="14" t="s">
        <v>831</v>
      </c>
      <c r="I150" s="14" t="n">
        <v>5</v>
      </c>
      <c r="J150" s="14" t="s">
        <v>806</v>
      </c>
    </row>
    <row r="151" customFormat="false" ht="15" hidden="false" customHeight="false" outlineLevel="0" collapsed="false">
      <c r="A151" s="14" t="s">
        <v>109</v>
      </c>
      <c r="B151" s="15" t="n">
        <v>10</v>
      </c>
      <c r="C151" s="15" t="n">
        <v>10</v>
      </c>
      <c r="D151" s="14" t="n">
        <v>10</v>
      </c>
      <c r="E151" s="15" t="n">
        <v>4149</v>
      </c>
      <c r="F151" s="14" t="n">
        <v>100</v>
      </c>
      <c r="G151" s="15" t="n">
        <v>260</v>
      </c>
      <c r="H151" s="14" t="s">
        <v>831</v>
      </c>
      <c r="I151" s="14" t="n">
        <v>5</v>
      </c>
      <c r="J151" s="14" t="s">
        <v>806</v>
      </c>
    </row>
    <row r="152" customFormat="false" ht="15" hidden="false" customHeight="false" outlineLevel="0" collapsed="false">
      <c r="A152" s="14" t="s">
        <v>875</v>
      </c>
      <c r="B152" s="15" t="n">
        <v>10</v>
      </c>
      <c r="C152" s="15"/>
      <c r="D152" s="14"/>
      <c r="E152" s="15" t="n">
        <v>2349</v>
      </c>
      <c r="F152" s="14" t="n">
        <v>100</v>
      </c>
      <c r="G152" s="15"/>
      <c r="H152" s="14" t="s">
        <v>831</v>
      </c>
      <c r="I152" s="14" t="n">
        <v>5</v>
      </c>
      <c r="J152" s="14" t="s">
        <v>806</v>
      </c>
    </row>
    <row r="153" customFormat="false" ht="15" hidden="false" customHeight="false" outlineLevel="0" collapsed="false">
      <c r="A153" s="14" t="s">
        <v>876</v>
      </c>
      <c r="B153" s="15" t="n">
        <v>10</v>
      </c>
      <c r="C153" s="15" t="n">
        <v>27</v>
      </c>
      <c r="D153" s="14" t="n">
        <v>142</v>
      </c>
      <c r="E153" s="15" t="n">
        <v>58451</v>
      </c>
      <c r="F153" s="14" t="n">
        <v>100</v>
      </c>
      <c r="G153" s="15"/>
      <c r="H153" s="14" t="s">
        <v>802</v>
      </c>
      <c r="I153" s="14" t="n">
        <v>5</v>
      </c>
      <c r="J153" s="14" t="s">
        <v>806</v>
      </c>
    </row>
    <row r="154" customFormat="false" ht="15" hidden="false" customHeight="false" outlineLevel="0" collapsed="false">
      <c r="A154" s="14" t="s">
        <v>877</v>
      </c>
      <c r="B154" s="15" t="n">
        <v>10</v>
      </c>
      <c r="C154" s="15"/>
      <c r="D154" s="14"/>
      <c r="E154" s="15" t="n">
        <v>127348</v>
      </c>
      <c r="F154" s="14" t="n">
        <v>100</v>
      </c>
      <c r="G154" s="15" t="n">
        <v>590</v>
      </c>
      <c r="H154" s="14" t="s">
        <v>802</v>
      </c>
      <c r="I154" s="14" t="n">
        <v>5</v>
      </c>
      <c r="J154" s="14" t="s">
        <v>806</v>
      </c>
    </row>
    <row r="155" customFormat="false" ht="15" hidden="false" customHeight="false" outlineLevel="0" collapsed="false">
      <c r="A155" s="14" t="s">
        <v>878</v>
      </c>
      <c r="B155" s="15" t="n">
        <v>10</v>
      </c>
      <c r="C155" s="15"/>
      <c r="D155" s="14"/>
      <c r="E155" s="15" t="n">
        <v>16851</v>
      </c>
      <c r="F155" s="14" t="n">
        <v>100</v>
      </c>
      <c r="G155" s="15"/>
      <c r="H155" s="14" t="s">
        <v>831</v>
      </c>
      <c r="I155" s="14" t="n">
        <v>5</v>
      </c>
      <c r="J155" s="14" t="s">
        <v>806</v>
      </c>
    </row>
    <row r="156" customFormat="false" ht="15" hidden="false" customHeight="false" outlineLevel="0" collapsed="false">
      <c r="A156" s="14" t="s">
        <v>133</v>
      </c>
      <c r="B156" s="15" t="n">
        <v>10</v>
      </c>
      <c r="C156" s="15"/>
      <c r="D156" s="14"/>
      <c r="E156" s="15" t="n">
        <v>10941</v>
      </c>
      <c r="F156" s="14" t="n">
        <v>100</v>
      </c>
      <c r="G156" s="15"/>
      <c r="H156" s="14" t="s">
        <v>831</v>
      </c>
      <c r="I156" s="14" t="s">
        <v>803</v>
      </c>
      <c r="J156" s="14" t="s">
        <v>804</v>
      </c>
    </row>
    <row r="157" customFormat="false" ht="15" hidden="false" customHeight="false" outlineLevel="0" collapsed="false">
      <c r="A157" s="14" t="s">
        <v>879</v>
      </c>
      <c r="B157" s="15" t="n">
        <v>10</v>
      </c>
      <c r="C157" s="15"/>
      <c r="D157" s="14"/>
      <c r="E157" s="15" t="n">
        <v>39895</v>
      </c>
      <c r="F157" s="14" t="n">
        <v>100</v>
      </c>
      <c r="G157" s="15"/>
      <c r="H157" s="14" t="s">
        <v>802</v>
      </c>
      <c r="I157" s="14" t="s">
        <v>803</v>
      </c>
      <c r="J157" s="14" t="s">
        <v>804</v>
      </c>
    </row>
    <row r="158" customFormat="false" ht="15" hidden="false" customHeight="false" outlineLevel="0" collapsed="false">
      <c r="A158" s="14" t="s">
        <v>880</v>
      </c>
      <c r="B158" s="15" t="n">
        <v>10</v>
      </c>
      <c r="C158" s="15" t="n">
        <v>10</v>
      </c>
      <c r="D158" s="14" t="n">
        <v>10</v>
      </c>
      <c r="E158" s="15" t="n">
        <v>130163</v>
      </c>
      <c r="F158" s="14" t="n">
        <v>100</v>
      </c>
      <c r="G158" s="15"/>
      <c r="H158" s="14" t="s">
        <v>802</v>
      </c>
      <c r="I158" s="14" t="s">
        <v>803</v>
      </c>
      <c r="J158" s="14" t="s">
        <v>804</v>
      </c>
    </row>
    <row r="159" customFormat="false" ht="15" hidden="false" customHeight="false" outlineLevel="0" collapsed="false">
      <c r="A159" s="14" t="s">
        <v>881</v>
      </c>
      <c r="B159" s="15" t="n">
        <v>10</v>
      </c>
      <c r="C159" s="15"/>
      <c r="D159" s="14"/>
      <c r="E159" s="15" t="n">
        <v>301</v>
      </c>
      <c r="F159" s="14" t="n">
        <v>94</v>
      </c>
      <c r="G159" s="15"/>
      <c r="H159" s="14" t="s">
        <v>831</v>
      </c>
      <c r="I159" s="14" t="s">
        <v>803</v>
      </c>
      <c r="J159" s="14" t="s">
        <v>804</v>
      </c>
    </row>
    <row r="160" customFormat="false" ht="15" hidden="false" customHeight="false" outlineLevel="0" collapsed="false">
      <c r="A160" s="14" t="s">
        <v>379</v>
      </c>
      <c r="B160" s="15"/>
      <c r="C160" s="15"/>
      <c r="D160" s="14"/>
      <c r="E160" s="15" t="n">
        <v>79</v>
      </c>
      <c r="F160" s="14"/>
      <c r="G160" s="15"/>
      <c r="H160" s="14" t="s">
        <v>831</v>
      </c>
      <c r="I160" s="14" t="n">
        <v>3</v>
      </c>
      <c r="J160" s="14" t="s">
        <v>806</v>
      </c>
    </row>
    <row r="161" customFormat="false" ht="15" hidden="false" customHeight="false" outlineLevel="0" collapsed="false">
      <c r="A161" s="14" t="s">
        <v>331</v>
      </c>
      <c r="B161" s="15"/>
      <c r="C161" s="15"/>
      <c r="D161" s="14"/>
      <c r="E161" s="15" t="n">
        <v>579</v>
      </c>
      <c r="F161" s="14"/>
      <c r="G161" s="15"/>
      <c r="H161" s="14" t="s">
        <v>831</v>
      </c>
      <c r="I161" s="14" t="n">
        <v>5</v>
      </c>
      <c r="J161" s="14" t="s">
        <v>806</v>
      </c>
    </row>
    <row r="162" customFormat="false" ht="15" hidden="false" customHeight="false" outlineLevel="0" collapsed="false">
      <c r="A162" s="14" t="s">
        <v>882</v>
      </c>
      <c r="B162" s="15"/>
      <c r="C162" s="15"/>
      <c r="D162" s="14"/>
      <c r="E162" s="15" t="n">
        <v>4691</v>
      </c>
      <c r="F162" s="14"/>
      <c r="G162" s="15"/>
      <c r="H162" s="14" t="s">
        <v>831</v>
      </c>
      <c r="I162" s="14" t="n">
        <v>5</v>
      </c>
      <c r="J162" s="14" t="s">
        <v>806</v>
      </c>
    </row>
    <row r="163" customFormat="false" ht="15" hidden="false" customHeight="false" outlineLevel="0" collapsed="false">
      <c r="A163" s="14" t="s">
        <v>883</v>
      </c>
      <c r="B163" s="15"/>
      <c r="C163" s="15"/>
      <c r="D163" s="14"/>
      <c r="E163" s="15"/>
      <c r="F163" s="14"/>
      <c r="G163" s="15"/>
      <c r="H163" s="14" t="s">
        <v>831</v>
      </c>
      <c r="I163" s="14" t="n">
        <v>5</v>
      </c>
      <c r="J163" s="14" t="s">
        <v>806</v>
      </c>
    </row>
    <row r="164" customFormat="false" ht="15" hidden="false" customHeight="false" outlineLevel="0" collapsed="false">
      <c r="A164" s="14" t="s">
        <v>84</v>
      </c>
      <c r="B164" s="15"/>
      <c r="C164" s="15"/>
      <c r="D164" s="14"/>
      <c r="E164" s="15" t="n">
        <v>3553</v>
      </c>
      <c r="F164" s="14"/>
      <c r="G164" s="15"/>
      <c r="H164" s="14" t="s">
        <v>831</v>
      </c>
      <c r="I164" s="14" t="n">
        <v>5</v>
      </c>
      <c r="J164" s="14" t="s">
        <v>806</v>
      </c>
    </row>
    <row r="165" customFormat="false" ht="15" hidden="false" customHeight="false" outlineLevel="0" collapsed="false">
      <c r="A165" s="14" t="s">
        <v>884</v>
      </c>
      <c r="B165" s="15"/>
      <c r="C165" s="15"/>
      <c r="D165" s="14"/>
      <c r="E165" s="15" t="n">
        <v>709233</v>
      </c>
      <c r="F165" s="14"/>
      <c r="G165" s="15"/>
      <c r="H165" s="14" t="s">
        <v>802</v>
      </c>
      <c r="I165" s="14" t="s">
        <v>803</v>
      </c>
      <c r="J165" s="14" t="s">
        <v>804</v>
      </c>
    </row>
    <row r="166" customFormat="false" ht="15" hidden="false" customHeight="false" outlineLevel="0" collapsed="false">
      <c r="A166" s="14" t="s">
        <v>885</v>
      </c>
      <c r="B166" s="15"/>
      <c r="C166" s="15"/>
      <c r="D166" s="14"/>
      <c r="E166" s="15" t="n">
        <v>23480</v>
      </c>
      <c r="F166" s="14"/>
      <c r="G166" s="15"/>
      <c r="H166" s="14" t="s">
        <v>809</v>
      </c>
      <c r="I166" s="14" t="s">
        <v>810</v>
      </c>
      <c r="J166" s="14" t="s">
        <v>806</v>
      </c>
    </row>
    <row r="167" customFormat="false" ht="15" hidden="false" customHeight="false" outlineLevel="0" collapsed="false">
      <c r="A167" s="14" t="s">
        <v>132</v>
      </c>
      <c r="B167" s="15"/>
      <c r="C167" s="15"/>
      <c r="D167" s="14"/>
      <c r="E167" s="15" t="n">
        <v>17586</v>
      </c>
      <c r="F167" s="14"/>
      <c r="G167" s="15"/>
      <c r="H167" s="14" t="s">
        <v>831</v>
      </c>
      <c r="I167" s="14" t="s">
        <v>814</v>
      </c>
      <c r="J167" s="14" t="s">
        <v>806</v>
      </c>
    </row>
    <row r="168" customFormat="false" ht="15" hidden="false" customHeight="false" outlineLevel="0" collapsed="false">
      <c r="A168" s="14" t="s">
        <v>886</v>
      </c>
      <c r="B168" s="15"/>
      <c r="C168" s="15"/>
      <c r="D168" s="14"/>
      <c r="E168" s="15" t="n">
        <v>433</v>
      </c>
      <c r="F168" s="14"/>
      <c r="G168" s="15"/>
      <c r="H168" s="14" t="s">
        <v>831</v>
      </c>
      <c r="I168" s="14" t="s">
        <v>814</v>
      </c>
      <c r="J168" s="14" t="s">
        <v>806</v>
      </c>
    </row>
    <row r="169" customFormat="false" ht="15" hidden="false" customHeight="false" outlineLevel="0" collapsed="false">
      <c r="A169" s="14" t="s">
        <v>538</v>
      </c>
      <c r="B169" s="15"/>
      <c r="C169" s="15"/>
      <c r="D169" s="14"/>
      <c r="E169" s="15" t="n">
        <v>5198</v>
      </c>
      <c r="F169" s="14"/>
      <c r="G169" s="15"/>
      <c r="H169" s="14" t="s">
        <v>831</v>
      </c>
      <c r="I169" s="14" t="s">
        <v>814</v>
      </c>
      <c r="J169" s="14" t="s">
        <v>806</v>
      </c>
    </row>
    <row r="170" customFormat="false" ht="15" hidden="false" customHeight="false" outlineLevel="0" collapsed="false">
      <c r="A170" s="14" t="s">
        <v>487</v>
      </c>
      <c r="B170" s="15"/>
      <c r="C170" s="15"/>
      <c r="D170" s="14"/>
      <c r="E170" s="15" t="n">
        <v>2713</v>
      </c>
      <c r="F170" s="14"/>
      <c r="G170" s="15"/>
      <c r="H170" s="14" t="s">
        <v>831</v>
      </c>
      <c r="I170" s="14" t="s">
        <v>814</v>
      </c>
      <c r="J170" s="14" t="s">
        <v>806</v>
      </c>
    </row>
    <row r="171" customFormat="false" ht="15" hidden="false" customHeight="false" outlineLevel="0" collapsed="false">
      <c r="A171" s="14" t="s">
        <v>887</v>
      </c>
      <c r="B171" s="15"/>
      <c r="C171" s="15"/>
      <c r="D171" s="14"/>
      <c r="E171" s="15" t="n">
        <v>98325</v>
      </c>
      <c r="F171" s="14"/>
      <c r="G171" s="15"/>
      <c r="H171" s="14" t="s">
        <v>802</v>
      </c>
      <c r="I171" s="14" t="s">
        <v>813</v>
      </c>
      <c r="J171" s="14" t="s">
        <v>806</v>
      </c>
    </row>
  </sheetData>
  <autoFilter ref="A1:J1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7" min="6" style="0" width="6"/>
    <col collapsed="false" customWidth="true" hidden="false" outlineLevel="0" max="8" min="8" style="0" width="120"/>
  </cols>
  <sheetData>
    <row r="1" customFormat="false" ht="31.5" hidden="false" customHeight="true" outlineLevel="0" collapsed="false">
      <c r="A1" s="3" t="s">
        <v>888</v>
      </c>
      <c r="B1" s="3" t="s">
        <v>889</v>
      </c>
      <c r="C1" s="3" t="s">
        <v>890</v>
      </c>
      <c r="D1" s="3" t="s">
        <v>891</v>
      </c>
      <c r="E1" s="3" t="s">
        <v>892</v>
      </c>
      <c r="F1" s="3" t="s">
        <v>796</v>
      </c>
      <c r="G1" s="3" t="s">
        <v>893</v>
      </c>
      <c r="H1" s="3" t="s">
        <v>894</v>
      </c>
    </row>
    <row r="2" customFormat="false" ht="60" hidden="false" customHeight="true" outlineLevel="0" collapsed="false">
      <c r="A2" s="5" t="s">
        <v>554</v>
      </c>
      <c r="B2" s="5" t="s">
        <v>895</v>
      </c>
      <c r="C2" s="5" t="s">
        <v>896</v>
      </c>
      <c r="D2" s="5" t="s">
        <v>897</v>
      </c>
      <c r="E2" s="5" t="s">
        <v>898</v>
      </c>
      <c r="F2" s="5" t="s">
        <v>899</v>
      </c>
      <c r="G2" s="5" t="s">
        <v>900</v>
      </c>
      <c r="H2" s="5" t="s">
        <v>901</v>
      </c>
    </row>
    <row r="3" customFormat="false" ht="60" hidden="false" customHeight="true" outlineLevel="0" collapsed="false">
      <c r="A3" s="5" t="s">
        <v>310</v>
      </c>
      <c r="B3" s="5" t="s">
        <v>902</v>
      </c>
      <c r="C3" s="5" t="s">
        <v>903</v>
      </c>
      <c r="D3" s="5" t="s">
        <v>904</v>
      </c>
      <c r="E3" s="5" t="s">
        <v>898</v>
      </c>
      <c r="F3" s="5" t="s">
        <v>905</v>
      </c>
      <c r="G3" s="5" t="s">
        <v>906</v>
      </c>
      <c r="H3" s="5" t="s">
        <v>907</v>
      </c>
    </row>
    <row r="4" customFormat="false" ht="60" hidden="false" customHeight="true" outlineLevel="0" collapsed="false">
      <c r="A4" s="5" t="s">
        <v>356</v>
      </c>
      <c r="B4" s="5" t="s">
        <v>908</v>
      </c>
      <c r="C4" s="5" t="s">
        <v>909</v>
      </c>
      <c r="D4" s="5" t="s">
        <v>910</v>
      </c>
      <c r="E4" s="5" t="s">
        <v>911</v>
      </c>
      <c r="F4" s="5" t="s">
        <v>912</v>
      </c>
      <c r="G4" s="5" t="s">
        <v>913</v>
      </c>
      <c r="H4" s="5" t="s">
        <v>914</v>
      </c>
    </row>
    <row r="5" customFormat="false" ht="60" hidden="false" customHeight="true" outlineLevel="0" collapsed="false">
      <c r="A5" s="5" t="s">
        <v>467</v>
      </c>
      <c r="B5" s="5" t="s">
        <v>915</v>
      </c>
      <c r="C5" s="5" t="s">
        <v>916</v>
      </c>
      <c r="D5" s="5" t="s">
        <v>917</v>
      </c>
      <c r="E5" s="5" t="s">
        <v>911</v>
      </c>
      <c r="F5" s="5" t="s">
        <v>918</v>
      </c>
      <c r="G5" s="5" t="s">
        <v>919</v>
      </c>
      <c r="H5" s="5" t="s">
        <v>920</v>
      </c>
    </row>
    <row r="6" customFormat="false" ht="60" hidden="false" customHeight="true" outlineLevel="0" collapsed="false">
      <c r="A6" s="5" t="s">
        <v>682</v>
      </c>
      <c r="B6" s="5" t="s">
        <v>921</v>
      </c>
      <c r="C6" s="5" t="s">
        <v>922</v>
      </c>
      <c r="D6" s="5" t="s">
        <v>923</v>
      </c>
      <c r="E6" s="5" t="s">
        <v>911</v>
      </c>
      <c r="F6" s="5" t="s">
        <v>905</v>
      </c>
      <c r="G6" s="5" t="s">
        <v>924</v>
      </c>
      <c r="H6" s="5" t="s">
        <v>925</v>
      </c>
    </row>
    <row r="7" customFormat="false" ht="60" hidden="false" customHeight="true" outlineLevel="0" collapsed="false">
      <c r="A7" s="5" t="s">
        <v>660</v>
      </c>
      <c r="B7" s="5" t="s">
        <v>926</v>
      </c>
      <c r="C7" s="5" t="s">
        <v>927</v>
      </c>
      <c r="D7" s="5" t="s">
        <v>928</v>
      </c>
      <c r="E7" s="5" t="s">
        <v>911</v>
      </c>
      <c r="F7" s="5" t="s">
        <v>929</v>
      </c>
      <c r="G7" s="5" t="s">
        <v>930</v>
      </c>
      <c r="H7" s="5" t="s">
        <v>931</v>
      </c>
    </row>
    <row r="8" customFormat="false" ht="60" hidden="false" customHeight="true" outlineLevel="0" collapsed="false">
      <c r="A8" s="5" t="s">
        <v>698</v>
      </c>
      <c r="B8" s="5" t="s">
        <v>932</v>
      </c>
      <c r="C8" s="5" t="s">
        <v>933</v>
      </c>
      <c r="D8" s="5" t="s">
        <v>934</v>
      </c>
      <c r="E8" s="5" t="s">
        <v>911</v>
      </c>
      <c r="F8" s="5" t="s">
        <v>935</v>
      </c>
      <c r="G8" s="5" t="s">
        <v>936</v>
      </c>
      <c r="H8" s="5" t="s">
        <v>937</v>
      </c>
    </row>
    <row r="9" customFormat="false" ht="60" hidden="false" customHeight="true" outlineLevel="0" collapsed="false">
      <c r="A9" s="5" t="s">
        <v>130</v>
      </c>
      <c r="B9" s="5" t="s">
        <v>938</v>
      </c>
      <c r="C9" s="5" t="s">
        <v>939</v>
      </c>
      <c r="D9" s="5" t="s">
        <v>940</v>
      </c>
      <c r="E9" s="5" t="s">
        <v>898</v>
      </c>
      <c r="F9" s="5" t="s">
        <v>941</v>
      </c>
      <c r="G9" s="5" t="s">
        <v>942</v>
      </c>
      <c r="H9" s="5" t="s">
        <v>943</v>
      </c>
    </row>
    <row r="10" customFormat="false" ht="60" hidden="false" customHeight="true" outlineLevel="0" collapsed="false">
      <c r="A10" s="5" t="s">
        <v>510</v>
      </c>
      <c r="B10" s="5" t="s">
        <v>944</v>
      </c>
      <c r="C10" s="5" t="s">
        <v>945</v>
      </c>
      <c r="D10" s="5" t="s">
        <v>946</v>
      </c>
      <c r="E10" s="5" t="s">
        <v>898</v>
      </c>
      <c r="F10" s="5" t="s">
        <v>947</v>
      </c>
      <c r="G10" s="5" t="s">
        <v>906</v>
      </c>
      <c r="H10" s="5" t="s">
        <v>948</v>
      </c>
    </row>
    <row r="11" customFormat="false" ht="60" hidden="false" customHeight="true" outlineLevel="0" collapsed="false">
      <c r="A11" s="5" t="s">
        <v>484</v>
      </c>
      <c r="B11" s="5"/>
      <c r="C11" s="5"/>
      <c r="D11" s="5"/>
      <c r="E11" s="5"/>
      <c r="F11" s="5"/>
      <c r="G11" s="5"/>
      <c r="H11" s="5" t="s">
        <v>949</v>
      </c>
    </row>
    <row r="12" customFormat="false" ht="60" hidden="false" customHeight="true" outlineLevel="0" collapsed="false">
      <c r="A12" s="5" t="s">
        <v>535</v>
      </c>
      <c r="B12" s="5" t="s">
        <v>950</v>
      </c>
      <c r="C12" s="5" t="s">
        <v>951</v>
      </c>
      <c r="D12" s="5" t="s">
        <v>952</v>
      </c>
      <c r="E12" s="5" t="s">
        <v>898</v>
      </c>
      <c r="F12" s="5" t="s">
        <v>935</v>
      </c>
      <c r="G12" s="5" t="s">
        <v>953</v>
      </c>
      <c r="H12" s="5" t="s">
        <v>954</v>
      </c>
    </row>
    <row r="13" customFormat="false" ht="60" hidden="false" customHeight="true" outlineLevel="0" collapsed="false">
      <c r="A13" s="5" t="s">
        <v>275</v>
      </c>
      <c r="B13" s="5" t="s">
        <v>955</v>
      </c>
      <c r="C13" s="5" t="s">
        <v>956</v>
      </c>
      <c r="D13" s="5" t="s">
        <v>928</v>
      </c>
      <c r="E13" s="5" t="s">
        <v>911</v>
      </c>
      <c r="F13" s="5" t="s">
        <v>947</v>
      </c>
      <c r="G13" s="5" t="s">
        <v>957</v>
      </c>
      <c r="H13" s="5" t="s">
        <v>958</v>
      </c>
    </row>
    <row r="14" customFormat="false" ht="60" hidden="false" customHeight="true" outlineLevel="0" collapsed="false">
      <c r="A14" s="5" t="s">
        <v>54</v>
      </c>
      <c r="B14" s="5" t="s">
        <v>959</v>
      </c>
      <c r="C14" s="5" t="s">
        <v>960</v>
      </c>
      <c r="D14" s="5" t="s">
        <v>961</v>
      </c>
      <c r="E14" s="5" t="s">
        <v>898</v>
      </c>
      <c r="F14" s="5" t="s">
        <v>962</v>
      </c>
      <c r="G14" s="5" t="s">
        <v>962</v>
      </c>
      <c r="H14" s="5" t="s">
        <v>963</v>
      </c>
    </row>
    <row r="15" customFormat="false" ht="60" hidden="false" customHeight="true" outlineLevel="0" collapsed="false">
      <c r="A15" s="5" t="s">
        <v>59</v>
      </c>
      <c r="B15" s="5"/>
      <c r="C15" s="5"/>
      <c r="D15" s="5"/>
      <c r="E15" s="5"/>
      <c r="F15" s="5"/>
      <c r="G15" s="5"/>
      <c r="H15" s="5" t="s">
        <v>964</v>
      </c>
    </row>
    <row r="16" customFormat="false" ht="60" hidden="false" customHeight="true" outlineLevel="0" collapsed="false">
      <c r="A16" s="5" t="s">
        <v>841</v>
      </c>
      <c r="B16" s="5" t="s">
        <v>965</v>
      </c>
      <c r="C16" s="5" t="s">
        <v>966</v>
      </c>
      <c r="D16" s="5" t="s">
        <v>967</v>
      </c>
      <c r="E16" s="5" t="s">
        <v>898</v>
      </c>
      <c r="F16" s="5" t="s">
        <v>918</v>
      </c>
      <c r="G16" s="5" t="s">
        <v>968</v>
      </c>
      <c r="H16" s="5" t="s">
        <v>969</v>
      </c>
    </row>
    <row r="17" customFormat="false" ht="60" hidden="false" customHeight="true" outlineLevel="0" collapsed="false">
      <c r="A17" s="5" t="s">
        <v>396</v>
      </c>
      <c r="B17" s="5" t="s">
        <v>970</v>
      </c>
      <c r="C17" s="5" t="s">
        <v>971</v>
      </c>
      <c r="D17" s="5" t="s">
        <v>972</v>
      </c>
      <c r="E17" s="5" t="s">
        <v>898</v>
      </c>
      <c r="F17" s="5" t="s">
        <v>935</v>
      </c>
      <c r="G17" s="5" t="s">
        <v>973</v>
      </c>
      <c r="H17" s="5" t="s">
        <v>974</v>
      </c>
    </row>
    <row r="18" customFormat="false" ht="60" hidden="false" customHeight="true" outlineLevel="0" collapsed="false">
      <c r="A18" s="5" t="s">
        <v>374</v>
      </c>
      <c r="B18" s="5" t="s">
        <v>975</v>
      </c>
      <c r="C18" s="5" t="s">
        <v>976</v>
      </c>
      <c r="D18" s="5" t="s">
        <v>977</v>
      </c>
      <c r="E18" s="5" t="s">
        <v>911</v>
      </c>
      <c r="F18" s="5" t="s">
        <v>941</v>
      </c>
      <c r="G18" s="5" t="s">
        <v>930</v>
      </c>
      <c r="H18" s="5" t="s">
        <v>978</v>
      </c>
    </row>
    <row r="19" customFormat="false" ht="60" hidden="false" customHeight="true" outlineLevel="0" collapsed="false">
      <c r="A19" s="5" t="s">
        <v>833</v>
      </c>
      <c r="B19" s="5"/>
      <c r="C19" s="5"/>
      <c r="D19" s="5"/>
      <c r="E19" s="5"/>
      <c r="F19" s="5"/>
      <c r="G19" s="5"/>
      <c r="H19" s="5" t="s">
        <v>979</v>
      </c>
    </row>
    <row r="20" customFormat="false" ht="60" hidden="false" customHeight="true" outlineLevel="0" collapsed="false">
      <c r="A20" s="5" t="s">
        <v>595</v>
      </c>
      <c r="B20" s="5" t="s">
        <v>980</v>
      </c>
      <c r="C20" s="5" t="s">
        <v>981</v>
      </c>
      <c r="D20" s="5" t="s">
        <v>982</v>
      </c>
      <c r="E20" s="5" t="s">
        <v>911</v>
      </c>
      <c r="F20" s="5" t="s">
        <v>941</v>
      </c>
      <c r="G20" s="5" t="s">
        <v>942</v>
      </c>
      <c r="H20" s="5" t="s">
        <v>983</v>
      </c>
    </row>
    <row r="22" customFormat="false" ht="15" hidden="false" customHeight="false" outlineLevel="0" collapsed="false">
      <c r="A22" s="10" t="s">
        <v>984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2026-09-29T13:38:52Z</dcterms:created>
  <dc:creator>openpyxl</dc:creator>
  <dc:description/>
  <dc:language>en-US</dc:language>
  <cp:lastModifiedBy/>
  <dcterms:modified xsi:type="dcterms:W3CDTF">2026-09-29T13:38:52Z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